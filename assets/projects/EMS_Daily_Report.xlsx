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MI\Desktop\"/>
    </mc:Choice>
  </mc:AlternateContent>
  <xr:revisionPtr revIDLastSave="0" documentId="13_ncr:1_{F8E97014-8072-45F7-82D3-0AD4932076A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ummary" sheetId="27" r:id="rId1"/>
    <sheet name="Daily_Energy1" sheetId="2" state="hidden" r:id="rId2"/>
    <sheet name="Feeder Names" sheetId="3" state="hidden" r:id="rId3"/>
    <sheet name="Sheet1" sheetId="28" state="hidden" r:id="rId4"/>
    <sheet name="SHIFT_A" sheetId="41" state="hidden" r:id="rId5"/>
    <sheet name="SHIFT_B" sheetId="42" state="hidden" r:id="rId6"/>
    <sheet name="SHIFT_C" sheetId="43" state="hidden" r:id="rId7"/>
    <sheet name="DAILY_ENERGY" sheetId="1" state="hidden" r:id="rId8"/>
    <sheet name="Daily Data" sheetId="33" r:id="rId9"/>
    <sheet name="Shiftwise Data" sheetId="37" r:id="rId10"/>
    <sheet name="Hourly" sheetId="39" r:id="rId11"/>
    <sheet name="Energy Data Monthly" sheetId="38" r:id="rId12"/>
    <sheet name="Monthly_kWh" sheetId="19" state="hidden" r:id="rId13"/>
    <sheet name="Monthly_Consumption" sheetId="45" r:id="rId14"/>
    <sheet name="Yearly_Consumption" sheetId="46" r:id="rId15"/>
    <sheet name="Zone wise Meter data" sheetId="36" state="hidden" r:id="rId16"/>
    <sheet name="Hourly_kWh" sheetId="4" state="hidden" r:id="rId17"/>
    <sheet name="REP_Interval" sheetId="44" state="hidden" r:id="rId18"/>
    <sheet name="Prev_Month_kWh" sheetId="32" state="hidden" r:id="rId19"/>
    <sheet name="Monthly_kVAh" sheetId="17" state="hidden" r:id="rId20"/>
    <sheet name="Avg_par" sheetId="24" state="hidden" r:id="rId21"/>
    <sheet name="kWh Monthly" sheetId="20" state="hidden" r:id="rId22"/>
    <sheet name="This_Year_KWH" sheetId="21" state="hidden" r:id="rId23"/>
    <sheet name="Prev_Year_KWH" sheetId="31" state="hidden" r:id="rId24"/>
    <sheet name="This_Year_KVAH" sheetId="22" state="hidden" r:id="rId25"/>
    <sheet name="Interval_kwh" sheetId="7" state="hidden" r:id="rId26"/>
    <sheet name="Avg_Par_A" sheetId="8" state="hidden" r:id="rId27"/>
    <sheet name="Avg_Voltage" sheetId="9" state="hidden" r:id="rId28"/>
    <sheet name="Max_kw" sheetId="10" state="hidden" r:id="rId29"/>
    <sheet name="Max_kva" sheetId="11" state="hidden" r:id="rId30"/>
    <sheet name="Ithd_A" sheetId="12" state="hidden" r:id="rId31"/>
    <sheet name="Ithd_B" sheetId="13" state="hidden" r:id="rId32"/>
    <sheet name="Ithd_C" sheetId="14" state="hidden" r:id="rId33"/>
    <sheet name="Vthd_A" sheetId="15" state="hidden" r:id="rId34"/>
    <sheet name="Vthd_B" sheetId="16" state="hidden" r:id="rId35"/>
    <sheet name="Vthd_C" sheetId="18" state="hidden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0__123Graph_ACHART_6" hidden="1">[1]H!$L$111:$V$111</definedName>
    <definedName name="_11__123Graph_BCHART_3" hidden="1">[1]H!$L$67:$V$67</definedName>
    <definedName name="_123graph_bchart4" hidden="1">[2]H!$L$67:$V$67</definedName>
    <definedName name="_14__123Graph_LBL_ACHART_1" localSheetId="27" hidden="1">[3]COMMRY!#REF!</definedName>
    <definedName name="_14__123Graph_LBL_ACHART_1" localSheetId="8" hidden="1">[3]COMMRY!#REF!</definedName>
    <definedName name="_14__123Graph_LBL_ACHART_1" localSheetId="11" hidden="1">[3]COMMRY!#REF!</definedName>
    <definedName name="_14__123Graph_LBL_ACHART_1" localSheetId="30" hidden="1">[3]COMMRY!#REF!</definedName>
    <definedName name="_14__123Graph_LBL_ACHART_1" localSheetId="31" hidden="1">[3]COMMRY!#REF!</definedName>
    <definedName name="_14__123Graph_LBL_ACHART_1" localSheetId="32" hidden="1">[3]COMMRY!#REF!</definedName>
    <definedName name="_14__123Graph_LBL_ACHART_1" localSheetId="29" hidden="1">[3]COMMRY!#REF!</definedName>
    <definedName name="_14__123Graph_LBL_ACHART_1" localSheetId="28" hidden="1">[3]COMMRY!#REF!</definedName>
    <definedName name="_14__123Graph_LBL_ACHART_1" localSheetId="12" hidden="1">[3]COMMRY!#REF!</definedName>
    <definedName name="_14__123Graph_LBL_ACHART_1" localSheetId="18" hidden="1">[3]COMMRY!#REF!</definedName>
    <definedName name="_14__123Graph_LBL_ACHART_1" localSheetId="9" hidden="1">[3]COMMRY!#REF!</definedName>
    <definedName name="_14__123Graph_LBL_ACHART_1" localSheetId="0" hidden="1">[3]COMMRY!#REF!</definedName>
    <definedName name="_14__123Graph_LBL_ACHART_1" localSheetId="24" hidden="1">[3]COMMRY!#REF!</definedName>
    <definedName name="_14__123Graph_LBL_ACHART_1" localSheetId="33" hidden="1">[3]COMMRY!#REF!</definedName>
    <definedName name="_14__123Graph_LBL_ACHART_1" localSheetId="34" hidden="1">[3]COMMRY!#REF!</definedName>
    <definedName name="_14__123Graph_LBL_ACHART_1" localSheetId="35" hidden="1">[3]COMMRY!#REF!</definedName>
    <definedName name="_14__123Graph_LBL_ACHART_1" hidden="1">[3]COMMRY!#REF!</definedName>
    <definedName name="_15__123Graph_LBL_ACHART_2" hidden="1">[1]H!$L$52:$V$52</definedName>
    <definedName name="_18__123Graph_LBL_ACHART_4" localSheetId="27" hidden="1">[3]COMMRY!#REF!</definedName>
    <definedName name="_18__123Graph_LBL_ACHART_4" localSheetId="8" hidden="1">[3]COMMRY!#REF!</definedName>
    <definedName name="_18__123Graph_LBL_ACHART_4" localSheetId="11" hidden="1">[3]COMMRY!#REF!</definedName>
    <definedName name="_18__123Graph_LBL_ACHART_4" localSheetId="30" hidden="1">[3]COMMRY!#REF!</definedName>
    <definedName name="_18__123Graph_LBL_ACHART_4" localSheetId="31" hidden="1">[3]COMMRY!#REF!</definedName>
    <definedName name="_18__123Graph_LBL_ACHART_4" localSheetId="32" hidden="1">[3]COMMRY!#REF!</definedName>
    <definedName name="_18__123Graph_LBL_ACHART_4" localSheetId="29" hidden="1">[3]COMMRY!#REF!</definedName>
    <definedName name="_18__123Graph_LBL_ACHART_4" localSheetId="28" hidden="1">[3]COMMRY!#REF!</definedName>
    <definedName name="_18__123Graph_LBL_ACHART_4" localSheetId="12" hidden="1">[3]COMMRY!#REF!</definedName>
    <definedName name="_18__123Graph_LBL_ACHART_4" localSheetId="18" hidden="1">[3]COMMRY!#REF!</definedName>
    <definedName name="_18__123Graph_LBL_ACHART_4" localSheetId="9" hidden="1">[3]COMMRY!#REF!</definedName>
    <definedName name="_18__123Graph_LBL_ACHART_4" localSheetId="0" hidden="1">[3]COMMRY!#REF!</definedName>
    <definedName name="_18__123Graph_LBL_ACHART_4" localSheetId="24" hidden="1">[3]COMMRY!#REF!</definedName>
    <definedName name="_18__123Graph_LBL_ACHART_4" localSheetId="33" hidden="1">[3]COMMRY!#REF!</definedName>
    <definedName name="_18__123Graph_LBL_ACHART_4" localSheetId="34" hidden="1">[3]COMMRY!#REF!</definedName>
    <definedName name="_18__123Graph_LBL_ACHART_4" localSheetId="35" hidden="1">[3]COMMRY!#REF!</definedName>
    <definedName name="_18__123Graph_LBL_ACHART_4" hidden="1">[3]COMMRY!#REF!</definedName>
    <definedName name="_19__123Graph_LBL_ACHART_5" hidden="1">[1]H!$L$101:$V$101</definedName>
    <definedName name="_20__123Graph_LBL_ACHART_6" hidden="1">[1]H!$L$111:$V$111</definedName>
    <definedName name="_21__123Graph_XCHART_2" hidden="1">[1]H!$L$51:$V$51</definedName>
    <definedName name="_22__123Graph_XCHART_3" hidden="1">[1]H!$L$65:$V$65</definedName>
    <definedName name="_25__123Graph_XCHART_4" localSheetId="27" hidden="1">[3]COMMRY!#REF!</definedName>
    <definedName name="_25__123Graph_XCHART_4" localSheetId="8" hidden="1">[3]COMMRY!#REF!</definedName>
    <definedName name="_25__123Graph_XCHART_4" localSheetId="11" hidden="1">[3]COMMRY!#REF!</definedName>
    <definedName name="_25__123Graph_XCHART_4" localSheetId="30" hidden="1">[3]COMMRY!#REF!</definedName>
    <definedName name="_25__123Graph_XCHART_4" localSheetId="31" hidden="1">[3]COMMRY!#REF!</definedName>
    <definedName name="_25__123Graph_XCHART_4" localSheetId="32" hidden="1">[3]COMMRY!#REF!</definedName>
    <definedName name="_25__123Graph_XCHART_4" localSheetId="29" hidden="1">[3]COMMRY!#REF!</definedName>
    <definedName name="_25__123Graph_XCHART_4" localSheetId="28" hidden="1">[3]COMMRY!#REF!</definedName>
    <definedName name="_25__123Graph_XCHART_4" localSheetId="12" hidden="1">[3]COMMRY!#REF!</definedName>
    <definedName name="_25__123Graph_XCHART_4" localSheetId="18" hidden="1">[3]COMMRY!#REF!</definedName>
    <definedName name="_25__123Graph_XCHART_4" localSheetId="9" hidden="1">[3]COMMRY!#REF!</definedName>
    <definedName name="_25__123Graph_XCHART_4" localSheetId="0" hidden="1">[3]COMMRY!#REF!</definedName>
    <definedName name="_25__123Graph_XCHART_4" localSheetId="24" hidden="1">[3]COMMRY!#REF!</definedName>
    <definedName name="_25__123Graph_XCHART_4" localSheetId="33" hidden="1">[3]COMMRY!#REF!</definedName>
    <definedName name="_25__123Graph_XCHART_4" localSheetId="34" hidden="1">[3]COMMRY!#REF!</definedName>
    <definedName name="_25__123Graph_XCHART_4" localSheetId="35" hidden="1">[3]COMMRY!#REF!</definedName>
    <definedName name="_25__123Graph_XCHART_4" hidden="1">[3]COMMRY!#REF!</definedName>
    <definedName name="_26__123Graph_XCHART_5" hidden="1">[1]H!$L$100:$V$100</definedName>
    <definedName name="_27__123Graph_XCHART_6" hidden="1">[1]H!$L$110:$V$110</definedName>
    <definedName name="_3__123Graph_ACHART_1" localSheetId="27" hidden="1">[3]COMMRY!#REF!</definedName>
    <definedName name="_3__123Graph_ACHART_1" localSheetId="8" hidden="1">[3]COMMRY!#REF!</definedName>
    <definedName name="_3__123Graph_ACHART_1" localSheetId="11" hidden="1">[3]COMMRY!#REF!</definedName>
    <definedName name="_3__123Graph_ACHART_1" localSheetId="30" hidden="1">[3]COMMRY!#REF!</definedName>
    <definedName name="_3__123Graph_ACHART_1" localSheetId="31" hidden="1">[3]COMMRY!#REF!</definedName>
    <definedName name="_3__123Graph_ACHART_1" localSheetId="32" hidden="1">[3]COMMRY!#REF!</definedName>
    <definedName name="_3__123Graph_ACHART_1" localSheetId="29" hidden="1">[3]COMMRY!#REF!</definedName>
    <definedName name="_3__123Graph_ACHART_1" localSheetId="28" hidden="1">[3]COMMRY!#REF!</definedName>
    <definedName name="_3__123Graph_ACHART_1" localSheetId="12" hidden="1">[3]COMMRY!#REF!</definedName>
    <definedName name="_3__123Graph_ACHART_1" localSheetId="18" hidden="1">[3]COMMRY!#REF!</definedName>
    <definedName name="_3__123Graph_ACHART_1" localSheetId="9" hidden="1">[3]COMMRY!#REF!</definedName>
    <definedName name="_3__123Graph_ACHART_1" localSheetId="0" hidden="1">[3]COMMRY!#REF!</definedName>
    <definedName name="_3__123Graph_ACHART_1" localSheetId="24" hidden="1">[3]COMMRY!#REF!</definedName>
    <definedName name="_3__123Graph_ACHART_1" localSheetId="33" hidden="1">[3]COMMRY!#REF!</definedName>
    <definedName name="_3__123Graph_ACHART_1" localSheetId="34" hidden="1">[3]COMMRY!#REF!</definedName>
    <definedName name="_3__123Graph_ACHART_1" localSheetId="35" hidden="1">[3]COMMRY!#REF!</definedName>
    <definedName name="_3__123Graph_ACHART_1" hidden="1">[3]COMMRY!#REF!</definedName>
    <definedName name="_4__123Graph_ACHART_2" hidden="1">[1]H!$L$52:$V$52</definedName>
    <definedName name="_5__123Graph_ACHART_3" hidden="1">[1]H!$L$66:$V$66</definedName>
    <definedName name="_8__123Graph_ACHART_4" localSheetId="27" hidden="1">[3]COMMRY!#REF!</definedName>
    <definedName name="_8__123Graph_ACHART_4" localSheetId="8" hidden="1">[3]COMMRY!#REF!</definedName>
    <definedName name="_8__123Graph_ACHART_4" localSheetId="11" hidden="1">[3]COMMRY!#REF!</definedName>
    <definedName name="_8__123Graph_ACHART_4" localSheetId="30" hidden="1">[3]COMMRY!#REF!</definedName>
    <definedName name="_8__123Graph_ACHART_4" localSheetId="31" hidden="1">[3]COMMRY!#REF!</definedName>
    <definedName name="_8__123Graph_ACHART_4" localSheetId="32" hidden="1">[3]COMMRY!#REF!</definedName>
    <definedName name="_8__123Graph_ACHART_4" localSheetId="29" hidden="1">[3]COMMRY!#REF!</definedName>
    <definedName name="_8__123Graph_ACHART_4" localSheetId="28" hidden="1">[3]COMMRY!#REF!</definedName>
    <definedName name="_8__123Graph_ACHART_4" localSheetId="12" hidden="1">[3]COMMRY!#REF!</definedName>
    <definedName name="_8__123Graph_ACHART_4" localSheetId="18" hidden="1">[3]COMMRY!#REF!</definedName>
    <definedName name="_8__123Graph_ACHART_4" localSheetId="9" hidden="1">[3]COMMRY!#REF!</definedName>
    <definedName name="_8__123Graph_ACHART_4" localSheetId="0" hidden="1">[3]COMMRY!#REF!</definedName>
    <definedName name="_8__123Graph_ACHART_4" localSheetId="24" hidden="1">[3]COMMRY!#REF!</definedName>
    <definedName name="_8__123Graph_ACHART_4" localSheetId="33" hidden="1">[3]COMMRY!#REF!</definedName>
    <definedName name="_8__123Graph_ACHART_4" localSheetId="34" hidden="1">[3]COMMRY!#REF!</definedName>
    <definedName name="_8__123Graph_ACHART_4" localSheetId="35" hidden="1">[3]COMMRY!#REF!</definedName>
    <definedName name="_8__123Graph_ACHART_4" hidden="1">[3]COMMRY!#REF!</definedName>
    <definedName name="_9__123Graph_ACHART_5" hidden="1">[1]H!$L$101:$V$101</definedName>
    <definedName name="_A1" localSheetId="8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A1" localSheetId="11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A1" localSheetId="1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A1" localSheetId="16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A1" localSheetId="1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A1" localSheetId="9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A1" localSheetId="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A1" localSheetId="14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A1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_exp2" hidden="1">{#N/A,#N/A,FALSE,"Sheet6 (24)"}</definedName>
    <definedName name="_fd1" hidden="1">{#N/A,#N/A,FALSE,"Sheet6 (24)"}</definedName>
    <definedName name="_Fill" localSheetId="27" hidden="1">#REF!</definedName>
    <definedName name="_Fill" localSheetId="8" hidden="1">#REF!</definedName>
    <definedName name="_Fill" localSheetId="11" hidden="1">#REF!</definedName>
    <definedName name="_Fill" localSheetId="30" hidden="1">#REF!</definedName>
    <definedName name="_Fill" localSheetId="31" hidden="1">#REF!</definedName>
    <definedName name="_Fill" localSheetId="32" hidden="1">#REF!</definedName>
    <definedName name="_Fill" localSheetId="29" hidden="1">#REF!</definedName>
    <definedName name="_Fill" localSheetId="28" hidden="1">#REF!</definedName>
    <definedName name="_Fill" localSheetId="12" hidden="1">#REF!</definedName>
    <definedName name="_Fill" localSheetId="18" hidden="1">#REF!</definedName>
    <definedName name="_Fill" localSheetId="9" hidden="1">#REF!</definedName>
    <definedName name="_Fill" localSheetId="0" hidden="1">#REF!</definedName>
    <definedName name="_Fill" localSheetId="24" hidden="1">#REF!</definedName>
    <definedName name="_Fill" localSheetId="33" hidden="1">#REF!</definedName>
    <definedName name="_Fill" localSheetId="34" hidden="1">#REF!</definedName>
    <definedName name="_Fill" localSheetId="35" hidden="1">#REF!</definedName>
    <definedName name="_Fill" hidden="1">#REF!</definedName>
    <definedName name="_Key1" localSheetId="27" hidden="1">#REF!</definedName>
    <definedName name="_Key1" localSheetId="8" hidden="1">#REF!</definedName>
    <definedName name="_Key1" localSheetId="11" hidden="1">#REF!</definedName>
    <definedName name="_Key1" localSheetId="30" hidden="1">#REF!</definedName>
    <definedName name="_Key1" localSheetId="31" hidden="1">#REF!</definedName>
    <definedName name="_Key1" localSheetId="32" hidden="1">#REF!</definedName>
    <definedName name="_Key1" localSheetId="29" hidden="1">#REF!</definedName>
    <definedName name="_Key1" localSheetId="28" hidden="1">#REF!</definedName>
    <definedName name="_Key1" localSheetId="12" hidden="1">#REF!</definedName>
    <definedName name="_Key1" localSheetId="18" hidden="1">#REF!</definedName>
    <definedName name="_Key1" localSheetId="9" hidden="1">#REF!</definedName>
    <definedName name="_Key1" localSheetId="0" hidden="1">#REF!</definedName>
    <definedName name="_Key1" localSheetId="24" hidden="1">#REF!</definedName>
    <definedName name="_Key1" localSheetId="33" hidden="1">#REF!</definedName>
    <definedName name="_Key1" localSheetId="34" hidden="1">#REF!</definedName>
    <definedName name="_Key1" localSheetId="35" hidden="1">#REF!</definedName>
    <definedName name="_Key1" hidden="1">#REF!</definedName>
    <definedName name="_Key2" localSheetId="27" hidden="1">#REF!</definedName>
    <definedName name="_Key2" localSheetId="8" hidden="1">#REF!</definedName>
    <definedName name="_Key2" localSheetId="11" hidden="1">#REF!</definedName>
    <definedName name="_Key2" localSheetId="30" hidden="1">#REF!</definedName>
    <definedName name="_Key2" localSheetId="31" hidden="1">#REF!</definedName>
    <definedName name="_Key2" localSheetId="32" hidden="1">#REF!</definedName>
    <definedName name="_Key2" localSheetId="29" hidden="1">#REF!</definedName>
    <definedName name="_Key2" localSheetId="28" hidden="1">#REF!</definedName>
    <definedName name="_Key2" localSheetId="12" hidden="1">#REF!</definedName>
    <definedName name="_Key2" localSheetId="18" hidden="1">#REF!</definedName>
    <definedName name="_Key2" localSheetId="9" hidden="1">#REF!</definedName>
    <definedName name="_Key2" localSheetId="0" hidden="1">#REF!</definedName>
    <definedName name="_Key2" localSheetId="24" hidden="1">#REF!</definedName>
    <definedName name="_Key2" localSheetId="33" hidden="1">#REF!</definedName>
    <definedName name="_Key2" localSheetId="34" hidden="1">#REF!</definedName>
    <definedName name="_Key2" localSheetId="35" hidden="1">#REF!</definedName>
    <definedName name="_Key2" hidden="1">#REF!</definedName>
    <definedName name="_Order1" hidden="1">255</definedName>
    <definedName name="_Order2" hidden="1">255</definedName>
    <definedName name="_Sort" localSheetId="27" hidden="1">#REF!</definedName>
    <definedName name="_Sort" localSheetId="8" hidden="1">#REF!</definedName>
    <definedName name="_Sort" localSheetId="11" hidden="1">#REF!</definedName>
    <definedName name="_Sort" localSheetId="30" hidden="1">#REF!</definedName>
    <definedName name="_Sort" localSheetId="31" hidden="1">#REF!</definedName>
    <definedName name="_Sort" localSheetId="32" hidden="1">#REF!</definedName>
    <definedName name="_Sort" localSheetId="29" hidden="1">#REF!</definedName>
    <definedName name="_Sort" localSheetId="28" hidden="1">#REF!</definedName>
    <definedName name="_Sort" localSheetId="12" hidden="1">#REF!</definedName>
    <definedName name="_Sort" localSheetId="18" hidden="1">#REF!</definedName>
    <definedName name="_Sort" localSheetId="9" hidden="1">#REF!</definedName>
    <definedName name="_Sort" localSheetId="0" hidden="1">#REF!</definedName>
    <definedName name="_Sort" localSheetId="24" hidden="1">#REF!</definedName>
    <definedName name="_Sort" localSheetId="33" hidden="1">#REF!</definedName>
    <definedName name="_Sort" localSheetId="34" hidden="1">#REF!</definedName>
    <definedName name="_Sort" localSheetId="35" hidden="1">#REF!</definedName>
    <definedName name="_Sort" hidden="1">#REF!</definedName>
    <definedName name="Ａ" hidden="1">{#N/A,#N/A,FALSE,"Sheet6 (24)"}</definedName>
    <definedName name="ａａａ" hidden="1">{#N/A,#N/A,FALSE,"Sheet6 (24)"}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bcd" localSheetId="8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d" localSheetId="11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d" localSheetId="1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d" localSheetId="16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d" localSheetId="1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d" localSheetId="9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d" localSheetId="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d" localSheetId="14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d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m" localSheetId="27">#REF!</definedName>
    <definedName name="am" localSheetId="8">#REF!</definedName>
    <definedName name="am" localSheetId="11">#REF!</definedName>
    <definedName name="am" localSheetId="30">#REF!</definedName>
    <definedName name="am" localSheetId="31">#REF!</definedName>
    <definedName name="am" localSheetId="32">#REF!</definedName>
    <definedName name="am" localSheetId="29">#REF!</definedName>
    <definedName name="am" localSheetId="28">#REF!</definedName>
    <definedName name="am" localSheetId="12">#REF!</definedName>
    <definedName name="am" localSheetId="18">#REF!</definedName>
    <definedName name="am" localSheetId="9">#REF!</definedName>
    <definedName name="am" localSheetId="0">#REF!</definedName>
    <definedName name="am" localSheetId="24">#REF!</definedName>
    <definedName name="am" localSheetId="33">#REF!</definedName>
    <definedName name="am" localSheetId="34">#REF!</definedName>
    <definedName name="am" localSheetId="35">#REF!</definedName>
    <definedName name="am">#REF!</definedName>
    <definedName name="AS2DocOpenMode" hidden="1">"AS2DocumentEdit"</definedName>
    <definedName name="B" localSheetId="8" hidden="1">#REF!</definedName>
    <definedName name="B" localSheetId="11" hidden="1">#REF!</definedName>
    <definedName name="B" localSheetId="16" hidden="1">#REF!</definedName>
    <definedName name="B" localSheetId="9" hidden="1">#REF!</definedName>
    <definedName name="B" hidden="1">[4]YTD!$C$198:$S$316</definedName>
    <definedName name="Ｂ" hidden="1">{#N/A,#N/A,FALSE,"Sheet6 (24)"}</definedName>
    <definedName name="bn" hidden="1">{#N/A,#N/A,FALSE,"Sheet6 (24)"}</definedName>
    <definedName name="CC" hidden="1">{#N/A,#N/A,FALSE,"Sheet6 (24)"}</definedName>
    <definedName name="ＣＣＣＣＣ" hidden="1">{#N/A,#N/A,FALSE,"Sheet6 (24)"}</definedName>
    <definedName name="ＣＤ" hidden="1">{#N/A,#N/A,FALSE,"Sheet6 (24)"}</definedName>
    <definedName name="cn" localSheetId="27">#REF!</definedName>
    <definedName name="cn" localSheetId="8">#REF!</definedName>
    <definedName name="cn" localSheetId="11">#REF!</definedName>
    <definedName name="cn" localSheetId="30">#REF!</definedName>
    <definedName name="cn" localSheetId="31">#REF!</definedName>
    <definedName name="cn" localSheetId="32">#REF!</definedName>
    <definedName name="cn" localSheetId="29">#REF!</definedName>
    <definedName name="cn" localSheetId="28">#REF!</definedName>
    <definedName name="cn" localSheetId="12">#REF!</definedName>
    <definedName name="cn" localSheetId="18">#REF!</definedName>
    <definedName name="cn" localSheetId="9">#REF!</definedName>
    <definedName name="cn" localSheetId="0">#REF!</definedName>
    <definedName name="cn" localSheetId="24">#REF!</definedName>
    <definedName name="cn" localSheetId="33">#REF!</definedName>
    <definedName name="cn" localSheetId="34">#REF!</definedName>
    <definedName name="cn" localSheetId="35">#REF!</definedName>
    <definedName name="cn">#REF!</definedName>
    <definedName name="cp" localSheetId="27">#REF!</definedName>
    <definedName name="cp" localSheetId="8">#REF!</definedName>
    <definedName name="cp" localSheetId="11">#REF!</definedName>
    <definedName name="cp" localSheetId="30">#REF!</definedName>
    <definedName name="cp" localSheetId="31">#REF!</definedName>
    <definedName name="cp" localSheetId="32">#REF!</definedName>
    <definedName name="cp" localSheetId="29">#REF!</definedName>
    <definedName name="cp" localSheetId="28">#REF!</definedName>
    <definedName name="cp" localSheetId="12">#REF!</definedName>
    <definedName name="cp" localSheetId="18">#REF!</definedName>
    <definedName name="cp" localSheetId="9">#REF!</definedName>
    <definedName name="cp" localSheetId="0">#REF!</definedName>
    <definedName name="cp" localSheetId="24">#REF!</definedName>
    <definedName name="cp" localSheetId="33">#REF!</definedName>
    <definedName name="cp" localSheetId="34">#REF!</definedName>
    <definedName name="cp" localSheetId="35">#REF!</definedName>
    <definedName name="cp">#REF!</definedName>
    <definedName name="ＣＰ" hidden="1">{#N/A,#N/A,FALSE,"Sheet6 (24)"}</definedName>
    <definedName name="cq" hidden="1">{#N/A,#N/A,FALSE,"Sheet6 (24)"}</definedName>
    <definedName name="ＣＱ" hidden="1">{#N/A,#N/A,FALSE,"Sheet6 (24)"}</definedName>
    <definedName name="Ｄ" hidden="1">{#N/A,#N/A,FALSE,"Sheet6 (24)"}</definedName>
    <definedName name="debtors" localSheetId="8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localSheetId="11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localSheetId="1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localSheetId="16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localSheetId="1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localSheetId="9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localSheetId="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localSheetId="14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btors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ef" localSheetId="8" hidden="1">[5]YTD!$A$2653:$A$2715</definedName>
    <definedName name="def" localSheetId="11" hidden="1">[5]YTD!$A$2653:$A$2715</definedName>
    <definedName name="def" localSheetId="16" hidden="1">[6]YTD!$A$2653:$A$2715</definedName>
    <definedName name="def" localSheetId="9" hidden="1">[5]YTD!$A$2653:$A$2715</definedName>
    <definedName name="def" hidden="1">[7]YTD!$A$2653:$A$2715</definedName>
    <definedName name="ＤＥＮＳＯ" hidden="1">{#N/A,#N/A,FALSE,"Sheet6 (24)"}</definedName>
    <definedName name="EDFD" hidden="1">{#N/A,#N/A,FALSE,"Sheet6 (24)"}</definedName>
    <definedName name="ＥＤＦＤ１" hidden="1">{#N/A,#N/A,FALSE,"Sheet6 (24)"}</definedName>
    <definedName name="ＥＤＦＤ2" hidden="1">{#N/A,#N/A,FALSE,"Sheet6 (24)"}</definedName>
    <definedName name="EDFDNEW" hidden="1">{#N/A,#N/A,FALSE,"Sheet6 (24)"}</definedName>
    <definedName name="EFCD" hidden="1">{#N/A,#N/A,FALSE,"Sheet6 (24)"}</definedName>
    <definedName name="engsort" hidden="1">{#N/A,#N/A,FALSE,"Sheet6 (24)"}</definedName>
    <definedName name="Ｆ" hidden="1">{#N/A,#N/A,FALSE,"Sheet6 (24)"}</definedName>
    <definedName name="feb" localSheetId="8" hidden="1">{"mgmt forecast",#N/A,FALSE,"Mgmt Forecast";"dcf table",#N/A,FALSE,"Mgmt Forecast";"sensitivity",#N/A,FALSE,"Mgmt Forecast";"table inputs",#N/A,FALSE,"Mgmt Forecast";"calculations",#N/A,FALSE,"Mgmt Forecast"}</definedName>
    <definedName name="feb" localSheetId="11" hidden="1">{"mgmt forecast",#N/A,FALSE,"Mgmt Forecast";"dcf table",#N/A,FALSE,"Mgmt Forecast";"sensitivity",#N/A,FALSE,"Mgmt Forecast";"table inputs",#N/A,FALSE,"Mgmt Forecast";"calculations",#N/A,FALSE,"Mgmt Forecast"}</definedName>
    <definedName name="feb" localSheetId="10" hidden="1">{"mgmt forecast",#N/A,FALSE,"Mgmt Forecast";"dcf table",#N/A,FALSE,"Mgmt Forecast";"sensitivity",#N/A,FALSE,"Mgmt Forecast";"table inputs",#N/A,FALSE,"Mgmt Forecast";"calculations",#N/A,FALSE,"Mgmt Forecast"}</definedName>
    <definedName name="feb" localSheetId="16" hidden="1">{"mgmt forecast",#N/A,FALSE,"Mgmt Forecast";"dcf table",#N/A,FALSE,"Mgmt Forecast";"sensitivity",#N/A,FALSE,"Mgmt Forecast";"table inputs",#N/A,FALSE,"Mgmt Forecast";"calculations",#N/A,FALSE,"Mgmt Forecast"}</definedName>
    <definedName name="feb" localSheetId="13" hidden="1">{"mgmt forecast",#N/A,FALSE,"Mgmt Forecast";"dcf table",#N/A,FALSE,"Mgmt Forecast";"sensitivity",#N/A,FALSE,"Mgmt Forecast";"table inputs",#N/A,FALSE,"Mgmt Forecast";"calculations",#N/A,FALSE,"Mgmt Forecast"}</definedName>
    <definedName name="feb" localSheetId="9" hidden="1">{"mgmt forecast",#N/A,FALSE,"Mgmt Forecast";"dcf table",#N/A,FALSE,"Mgmt Forecast";"sensitivity",#N/A,FALSE,"Mgmt Forecast";"table inputs",#N/A,FALSE,"Mgmt Forecast";"calculations",#N/A,FALSE,"Mgmt Forecast"}</definedName>
    <definedName name="feb" localSheetId="0" hidden="1">{"mgmt forecast",#N/A,FALSE,"Mgmt Forecast";"dcf table",#N/A,FALSE,"Mgmt Forecast";"sensitivity",#N/A,FALSE,"Mgmt Forecast";"table inputs",#N/A,FALSE,"Mgmt Forecast";"calculations",#N/A,FALSE,"Mgmt Forecast"}</definedName>
    <definedName name="feb" localSheetId="14" hidden="1">{"mgmt forecast",#N/A,FALSE,"Mgmt Forecast";"dcf table",#N/A,FALSE,"Mgmt Forecast";"sensitivity",#N/A,FALSE,"Mgmt Forecast";"table inputs",#N/A,FALSE,"Mgmt Forecast";"calculations",#N/A,FALSE,"Mgmt Forecast"}</definedName>
    <definedName name="feb" hidden="1">{"mgmt forecast",#N/A,FALSE,"Mgmt Forecast";"dcf table",#N/A,FALSE,"Mgmt Forecast";"sensitivity",#N/A,FALSE,"Mgmt Forecast";"table inputs",#N/A,FALSE,"Mgmt Forecast";"calculations",#N/A,FALSE,"Mgmt Forecast"}</definedName>
    <definedName name="Ｇ" hidden="1">{#N/A,#N/A,FALSE,"Sheet6 (24)"}</definedName>
    <definedName name="Ｈ" hidden="1">{#N/A,#N/A,FALSE,"Sheet6 (24)"}</definedName>
    <definedName name="HKA" localSheetId="27" hidden="1">#REF!</definedName>
    <definedName name="HKA" localSheetId="8" hidden="1">#REF!</definedName>
    <definedName name="HKA" localSheetId="11" hidden="1">#REF!</definedName>
    <definedName name="HKA" localSheetId="30" hidden="1">#REF!</definedName>
    <definedName name="HKA" localSheetId="31" hidden="1">#REF!</definedName>
    <definedName name="HKA" localSheetId="32" hidden="1">#REF!</definedName>
    <definedName name="HKA" localSheetId="29" hidden="1">#REF!</definedName>
    <definedName name="HKA" localSheetId="28" hidden="1">#REF!</definedName>
    <definedName name="HKA" localSheetId="12" hidden="1">#REF!</definedName>
    <definedName name="HKA" localSheetId="18" hidden="1">#REF!</definedName>
    <definedName name="HKA" localSheetId="9" hidden="1">#REF!</definedName>
    <definedName name="HKA" localSheetId="0" hidden="1">#REF!</definedName>
    <definedName name="HKA" localSheetId="24" hidden="1">#REF!</definedName>
    <definedName name="HKA" localSheetId="33" hidden="1">#REF!</definedName>
    <definedName name="HKA" localSheetId="34" hidden="1">#REF!</definedName>
    <definedName name="HKA" localSheetId="35" hidden="1">#REF!</definedName>
    <definedName name="HKA" hidden="1">#REF!</definedName>
    <definedName name="HTML_CodePage" hidden="1">1252</definedName>
    <definedName name="HTML_Control" localSheetId="8" hidden="1">{"'August 2000'!$A$1:$J$101"}</definedName>
    <definedName name="HTML_Control" localSheetId="11" hidden="1">{"'August 2000'!$A$1:$J$101"}</definedName>
    <definedName name="HTML_Control" localSheetId="10" hidden="1">{"'August 2000'!$A$1:$J$101"}</definedName>
    <definedName name="HTML_Control" localSheetId="16" hidden="1">{"'August 2000'!$A$1:$J$101"}</definedName>
    <definedName name="HTML_Control" localSheetId="13" hidden="1">{"'August 2000'!$A$1:$J$101"}</definedName>
    <definedName name="HTML_Control" localSheetId="9" hidden="1">{"'August 2000'!$A$1:$J$101"}</definedName>
    <definedName name="HTML_Control" localSheetId="0" hidden="1">{"'August 2000'!$A$1:$J$101"}</definedName>
    <definedName name="HTML_Control" localSheetId="14" hidden="1">{"'August 2000'!$A$1:$J$101"}</definedName>
    <definedName name="HTML_Control" hidden="1">{"'August 2000'!$A$1:$J$101"}</definedName>
    <definedName name="HTML_control1" localSheetId="8" hidden="1">{"'August 2000'!$A$1:$J$101"}</definedName>
    <definedName name="HTML_control1" localSheetId="11" hidden="1">{"'August 2000'!$A$1:$J$101"}</definedName>
    <definedName name="HTML_control1" localSheetId="10" hidden="1">{"'August 2000'!$A$1:$J$101"}</definedName>
    <definedName name="HTML_control1" localSheetId="16" hidden="1">{"'August 2000'!$A$1:$J$101"}</definedName>
    <definedName name="HTML_control1" localSheetId="13" hidden="1">{"'August 2000'!$A$1:$J$101"}</definedName>
    <definedName name="HTML_control1" localSheetId="9" hidden="1">{"'August 2000'!$A$1:$J$101"}</definedName>
    <definedName name="HTML_control1" localSheetId="0" hidden="1">{"'August 2000'!$A$1:$J$101"}</definedName>
    <definedName name="HTML_control1" localSheetId="14" hidden="1">{"'August 2000'!$A$1:$J$101"}</definedName>
    <definedName name="HTML_control1" hidden="1">{"'August 2000'!$A$1:$J$101"}</definedName>
    <definedName name="HTML_Description" hidden="1">""</definedName>
    <definedName name="HTML_Email" hidden="1">"neerajk@ranbaxy.co.in"</definedName>
    <definedName name="HTML_Header" hidden="1">"September 2000"</definedName>
    <definedName name="HTML_LastUpdate" hidden="1">"10/3/00"</definedName>
    <definedName name="HTML_LineAfter" hidden="1">FALSE</definedName>
    <definedName name="HTML_LineBefore" hidden="1">FALSE</definedName>
    <definedName name="HTML_Name" hidden="1">"Neeraj Kukreti"</definedName>
    <definedName name="HTML_OBDlg2" hidden="1">TRUE</definedName>
    <definedName name="HTML_OBDlg4" hidden="1">TRUE</definedName>
    <definedName name="HTML_OS" hidden="1">0</definedName>
    <definedName name="HTML_PathFile" hidden="1">"C:\WINDOWS\Desktop\cash_flash.htm"</definedName>
    <definedName name="HTML_Title" hidden="1">"cf_SEP2000"</definedName>
    <definedName name="Ｊ" hidden="1">{#N/A,#N/A,FALSE,"Sheet6 (24)"}</definedName>
    <definedName name="K" hidden="1">{#N/A,#N/A,FALSE,"Sheet6 (24)"}</definedName>
    <definedName name="KC" hidden="1">{#N/A,#N/A,FALSE,"Sheet6 (24)"}</definedName>
    <definedName name="KK" hidden="1">{#N/A,#N/A,FALSE,"Sheet6 (24)"}</definedName>
    <definedName name="KO" hidden="1">{#N/A,#N/A,FALSE,"Sheet6 (24)"}</definedName>
    <definedName name="KOM" hidden="1">{#N/A,#N/A,FALSE,"Sheet6 (24)"}</definedName>
    <definedName name="KOMI" hidden="1">{#N/A,#N/A,FALSE,"Sheet6 (24)"}</definedName>
    <definedName name="KOMINATO" hidden="1">{#N/A,#N/A,FALSE,"Sheet6 (24)"}</definedName>
    <definedName name="ks" hidden="1">{#N/A,#N/A,FALSE,"Sheet6 (24)"}</definedName>
    <definedName name="ＫＳ" hidden="1">{#N/A,#N/A,FALSE,"Sheet6 (24)"}</definedName>
    <definedName name="ＫＴ" hidden="1">{#N/A,#N/A,FALSE,"Sheet6 (24)"}</definedName>
    <definedName name="L" hidden="1">{#N/A,#N/A,FALSE,"Sheet6 (24)"}</definedName>
    <definedName name="LO" hidden="1">{#N/A,#N/A,FALSE,"Sheet6 (24)"}</definedName>
    <definedName name="lp" hidden="1">{#N/A,#N/A,FALSE,"Sheet6 (24)"}</definedName>
    <definedName name="ＬＰ" hidden="1">{#N/A,#N/A,FALSE,"Sheet6 (24)"}</definedName>
    <definedName name="Ｍ" hidden="1">{#N/A,#N/A,FALSE,"Sheet6 (24)"}</definedName>
    <definedName name="MAT" hidden="1">{#N/A,#N/A,FALSE,"Sheet6 (24)"}</definedName>
    <definedName name="MITAL" hidden="1">{#N/A,#N/A,FALSE,"Sheet6 (24)"}</definedName>
    <definedName name="MITTAL" hidden="1">{#N/A,#N/A,FALSE,"Sheet6 (24)"}</definedName>
    <definedName name="MT" hidden="1">{#N/A,#N/A,FALSE,"Sheet6 (24)"}</definedName>
    <definedName name="MTN" hidden="1">{#N/A,#N/A,FALSE,"Sheet6 (24)"}</definedName>
    <definedName name="Ｎ" hidden="1">{#N/A,#N/A,FALSE,"Sheet6 (24)"}</definedName>
    <definedName name="NEWENG" hidden="1">{#N/A,#N/A,FALSE,"Sheet6 (24)"}</definedName>
    <definedName name="Ｏ" hidden="1">{#N/A,#N/A,FALSE,"Sheet6 (24)"}</definedName>
    <definedName name="p" hidden="1">{#N/A,#N/A,FALSE,"Sheet6 (24)"}</definedName>
    <definedName name="Ｐ" hidden="1">{#N/A,#N/A,FALSE,"Sheet6 (24)"}</definedName>
    <definedName name="PL" hidden="1">{#N/A,#N/A,FALSE,"Sheet6 (24)"}</definedName>
    <definedName name="power" localSheetId="8" hidden="1">{"mgmt forecast",#N/A,FALSE,"Mgmt Forecast";"dcf table",#N/A,FALSE,"Mgmt Forecast";"sensitivity",#N/A,FALSE,"Mgmt Forecast";"table inputs",#N/A,FALSE,"Mgmt Forecast";"calculations",#N/A,FALSE,"Mgmt Forecast"}</definedName>
    <definedName name="power" localSheetId="11" hidden="1">{"mgmt forecast",#N/A,FALSE,"Mgmt Forecast";"dcf table",#N/A,FALSE,"Mgmt Forecast";"sensitivity",#N/A,FALSE,"Mgmt Forecast";"table inputs",#N/A,FALSE,"Mgmt Forecast";"calculations",#N/A,FALSE,"Mgmt Forecast"}</definedName>
    <definedName name="power" localSheetId="10" hidden="1">{"mgmt forecast",#N/A,FALSE,"Mgmt Forecast";"dcf table",#N/A,FALSE,"Mgmt Forecast";"sensitivity",#N/A,FALSE,"Mgmt Forecast";"table inputs",#N/A,FALSE,"Mgmt Forecast";"calculations",#N/A,FALSE,"Mgmt Forecast"}</definedName>
    <definedName name="power" localSheetId="16" hidden="1">{"mgmt forecast",#N/A,FALSE,"Mgmt Forecast";"dcf table",#N/A,FALSE,"Mgmt Forecast";"sensitivity",#N/A,FALSE,"Mgmt Forecast";"table inputs",#N/A,FALSE,"Mgmt Forecast";"calculations",#N/A,FALSE,"Mgmt Forecast"}</definedName>
    <definedName name="power" localSheetId="13" hidden="1">{"mgmt forecast",#N/A,FALSE,"Mgmt Forecast";"dcf table",#N/A,FALSE,"Mgmt Forecast";"sensitivity",#N/A,FALSE,"Mgmt Forecast";"table inputs",#N/A,FALSE,"Mgmt Forecast";"calculations",#N/A,FALSE,"Mgmt Forecast"}</definedName>
    <definedName name="power" localSheetId="9" hidden="1">{"mgmt forecast",#N/A,FALSE,"Mgmt Forecast";"dcf table",#N/A,FALSE,"Mgmt Forecast";"sensitivity",#N/A,FALSE,"Mgmt Forecast";"table inputs",#N/A,FALSE,"Mgmt Forecast";"calculations",#N/A,FALSE,"Mgmt Forecast"}</definedName>
    <definedName name="power" localSheetId="0" hidden="1">{"mgmt forecast",#N/A,FALSE,"Mgmt Forecast";"dcf table",#N/A,FALSE,"Mgmt Forecast";"sensitivity",#N/A,FALSE,"Mgmt Forecast";"table inputs",#N/A,FALSE,"Mgmt Forecast";"calculations",#N/A,FALSE,"Mgmt Forecast"}</definedName>
    <definedName name="power" localSheetId="14" hidden="1">{"mgmt forecast",#N/A,FALSE,"Mgmt Forecast";"dcf table",#N/A,FALSE,"Mgmt Forecast";"sensitivity",#N/A,FALSE,"Mgmt Forecast";"table inputs",#N/A,FALSE,"Mgmt Forecast";"calculations",#N/A,FALSE,"Mgmt Forecast"}</definedName>
    <definedName name="power" hidden="1">{"mgmt forecast",#N/A,FALSE,"Mgmt Forecast";"dcf table",#N/A,FALSE,"Mgmt Forecast";"sensitivity",#N/A,FALSE,"Mgmt Forecast";"table inputs",#N/A,FALSE,"Mgmt Forecast";"calculations",#N/A,FALSE,"Mgmt Forecast"}</definedName>
    <definedName name="PP" hidden="1">{#N/A,#N/A,FALSE,"Sheet6 (24)"}</definedName>
    <definedName name="Ｑ" hidden="1">{#N/A,#N/A,FALSE,"Sheet6 (24)"}</definedName>
    <definedName name="ＲＴ" hidden="1">{#N/A,#N/A,FALSE,"Sheet6 (24)"}</definedName>
    <definedName name="Ｒちゅ" hidden="1">{#N/A,#N/A,FALSE,"Sheet6 (24)"}</definedName>
    <definedName name="S" localSheetId="8" hidden="1">[5]YTD!$A$2653:$A$2715</definedName>
    <definedName name="S" localSheetId="11" hidden="1">[5]YTD!$A$2653:$A$2715</definedName>
    <definedName name="S" localSheetId="16" hidden="1">[6]YTD!$A$2653:$A$2715</definedName>
    <definedName name="S" localSheetId="9" hidden="1">[5]YTD!$A$2653:$A$2715</definedName>
    <definedName name="S" hidden="1">[7]YTD!$A$2653:$A$2715</definedName>
    <definedName name="solver_adj" localSheetId="27" hidden="1">#REF!</definedName>
    <definedName name="solver_adj" localSheetId="8" hidden="1">#REF!</definedName>
    <definedName name="solver_adj" localSheetId="11" hidden="1">#REF!</definedName>
    <definedName name="solver_adj" localSheetId="30" hidden="1">#REF!</definedName>
    <definedName name="solver_adj" localSheetId="31" hidden="1">#REF!</definedName>
    <definedName name="solver_adj" localSheetId="32" hidden="1">#REF!</definedName>
    <definedName name="solver_adj" localSheetId="29" hidden="1">#REF!</definedName>
    <definedName name="solver_adj" localSheetId="28" hidden="1">#REF!</definedName>
    <definedName name="solver_adj" localSheetId="12" hidden="1">#REF!</definedName>
    <definedName name="solver_adj" localSheetId="18" hidden="1">#REF!</definedName>
    <definedName name="solver_adj" localSheetId="9" hidden="1">#REF!</definedName>
    <definedName name="solver_adj" localSheetId="0" hidden="1">#REF!</definedName>
    <definedName name="solver_adj" localSheetId="24" hidden="1">#REF!</definedName>
    <definedName name="solver_adj" localSheetId="33" hidden="1">#REF!</definedName>
    <definedName name="solver_adj" localSheetId="34" hidden="1">#REF!</definedName>
    <definedName name="solver_adj" localSheetId="35" hidden="1">#REF!</definedName>
    <definedName name="solver_adj" hidden="1">#REF!</definedName>
    <definedName name="solver_opt" localSheetId="27" hidden="1">#REF!</definedName>
    <definedName name="solver_opt" localSheetId="8" hidden="1">#REF!</definedName>
    <definedName name="solver_opt" localSheetId="11" hidden="1">#REF!</definedName>
    <definedName name="solver_opt" localSheetId="30" hidden="1">#REF!</definedName>
    <definedName name="solver_opt" localSheetId="31" hidden="1">#REF!</definedName>
    <definedName name="solver_opt" localSheetId="32" hidden="1">#REF!</definedName>
    <definedName name="solver_opt" localSheetId="29" hidden="1">#REF!</definedName>
    <definedName name="solver_opt" localSheetId="28" hidden="1">#REF!</definedName>
    <definedName name="solver_opt" localSheetId="12" hidden="1">#REF!</definedName>
    <definedName name="solver_opt" localSheetId="18" hidden="1">#REF!</definedName>
    <definedName name="solver_opt" localSheetId="9" hidden="1">#REF!</definedName>
    <definedName name="solver_opt" localSheetId="0" hidden="1">#REF!</definedName>
    <definedName name="solver_opt" localSheetId="24" hidden="1">#REF!</definedName>
    <definedName name="solver_opt" localSheetId="33" hidden="1">#REF!</definedName>
    <definedName name="solver_opt" localSheetId="34" hidden="1">#REF!</definedName>
    <definedName name="solver_opt" localSheetId="35" hidden="1">#REF!</definedName>
    <definedName name="solver_opt" hidden="1">#REF!</definedName>
    <definedName name="solver_typ" hidden="1">2</definedName>
    <definedName name="solver_val" hidden="1">0</definedName>
    <definedName name="ss" hidden="1">{#N/A,#N/A,FALSE,"Sheet6 (24)"}</definedName>
    <definedName name="ＳＳ" hidden="1">{#N/A,#N/A,FALSE,"Sheet6 (24)"}</definedName>
    <definedName name="Ｔ" hidden="1">{#N/A,#N/A,FALSE,"Sheet6 (24)"}</definedName>
    <definedName name="TAM" hidden="1">{#N/A,#N/A,FALSE,"Sheet6 (24)"}</definedName>
    <definedName name="TextRefCopyRangeCount" hidden="1">1</definedName>
    <definedName name="ＴＲＹ" hidden="1">{#N/A,#N/A,FALSE,"Sheet6 (24)"}</definedName>
    <definedName name="Ｖ" hidden="1">{#N/A,#N/A,FALSE,"Sheet6 (24)"}</definedName>
    <definedName name="wr" localSheetId="8" hidden="1">{"letter",#N/A,FALSE,"Letter";"amort",#N/A,FALSE,"Amort"}</definedName>
    <definedName name="wr" localSheetId="11" hidden="1">{"letter",#N/A,FALSE,"Letter";"amort",#N/A,FALSE,"Amort"}</definedName>
    <definedName name="wr" localSheetId="10" hidden="1">{"letter",#N/A,FALSE,"Letter";"amort",#N/A,FALSE,"Amort"}</definedName>
    <definedName name="wr" localSheetId="16" hidden="1">{"letter",#N/A,FALSE,"Letter";"amort",#N/A,FALSE,"Amort"}</definedName>
    <definedName name="wr" localSheetId="13" hidden="1">{"letter",#N/A,FALSE,"Letter";"amort",#N/A,FALSE,"Amort"}</definedName>
    <definedName name="wr" localSheetId="9" hidden="1">{"letter",#N/A,FALSE,"Letter";"amort",#N/A,FALSE,"Amort"}</definedName>
    <definedName name="wr" localSheetId="0" hidden="1">{"letter",#N/A,FALSE,"Letter";"amort",#N/A,FALSE,"Amort"}</definedName>
    <definedName name="wr" localSheetId="14" hidden="1">{"letter",#N/A,FALSE,"Letter";"amort",#N/A,FALSE,"Amort"}</definedName>
    <definedName name="wr" hidden="1">{"letter",#N/A,FALSE,"Letter";"amort",#N/A,FALSE,"Amort"}</definedName>
    <definedName name="wrn.dcf." localSheetId="8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11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10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16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13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9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0" hidden="1">{"mgmt forecast",#N/A,FALSE,"Mgmt Forecast";"dcf table",#N/A,FALSE,"Mgmt Forecast";"sensitivity",#N/A,FALSE,"Mgmt Forecast";"table inputs",#N/A,FALSE,"Mgmt Forecast";"calculations",#N/A,FALSE,"Mgmt Forecast"}</definedName>
    <definedName name="wrn.dcf." localSheetId="14" hidden="1">{"mgmt forecast",#N/A,FALSE,"Mgmt Forecast";"dcf table",#N/A,FALSE,"Mgmt Forecast";"sensitivity",#N/A,FALSE,"Mgmt Forecast";"table inputs",#N/A,FALSE,"Mgmt Forecast";"calculations",#N/A,FALSE,"Mgmt Forecast"}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fc." localSheetId="8" hidden="1">{"letter",#N/A,FALSE,"Letter";"amort",#N/A,FALSE,"Amort"}</definedName>
    <definedName name="wrn.fc." localSheetId="11" hidden="1">{"letter",#N/A,FALSE,"Letter";"amort",#N/A,FALSE,"Amort"}</definedName>
    <definedName name="wrn.fc." localSheetId="10" hidden="1">{"letter",#N/A,FALSE,"Letter";"amort",#N/A,FALSE,"Amort"}</definedName>
    <definedName name="wrn.fc." localSheetId="16" hidden="1">{"letter",#N/A,FALSE,"Letter";"amort",#N/A,FALSE,"Amort"}</definedName>
    <definedName name="wrn.fc." localSheetId="13" hidden="1">{"letter",#N/A,FALSE,"Letter";"amort",#N/A,FALSE,"Amort"}</definedName>
    <definedName name="wrn.fc." localSheetId="9" hidden="1">{"letter",#N/A,FALSE,"Letter";"amort",#N/A,FALSE,"Amort"}</definedName>
    <definedName name="wrn.fc." localSheetId="0" hidden="1">{"letter",#N/A,FALSE,"Letter";"amort",#N/A,FALSE,"Amort"}</definedName>
    <definedName name="wrn.fc." localSheetId="14" hidden="1">{"letter",#N/A,FALSE,"Letter";"amort",#N/A,FALSE,"Amort"}</definedName>
    <definedName name="wrn.fc." hidden="1">{"letter",#N/A,FALSE,"Letter";"amort",#N/A,FALSE,"Amort"}</definedName>
    <definedName name="wrn.KCCC." hidden="1">{#N/A,#N/A,FALSE,"Sheet6 (24)"}</definedName>
    <definedName name="wrn.MDS1." localSheetId="8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1." localSheetId="11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1." localSheetId="1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1." localSheetId="16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1." localSheetId="1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1." localSheetId="9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1." localSheetId="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1." localSheetId="14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MDS1.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" localSheetId="8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" localSheetId="11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" localSheetId="1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" localSheetId="16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" localSheetId="13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" localSheetId="9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" localSheetId="0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" localSheetId="14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" hidden="1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xxxxxxxxx" localSheetId="27" hidden="1">[8]H!#REF!</definedName>
    <definedName name="xxxxxxxxx" localSheetId="8" hidden="1">[8]H!#REF!</definedName>
    <definedName name="xxxxxxxxx" localSheetId="11" hidden="1">[8]H!#REF!</definedName>
    <definedName name="xxxxxxxxx" localSheetId="30" hidden="1">[8]H!#REF!</definedName>
    <definedName name="xxxxxxxxx" localSheetId="31" hidden="1">[8]H!#REF!</definedName>
    <definedName name="xxxxxxxxx" localSheetId="32" hidden="1">[8]H!#REF!</definedName>
    <definedName name="xxxxxxxxx" localSheetId="29" hidden="1">[8]H!#REF!</definedName>
    <definedName name="xxxxxxxxx" localSheetId="28" hidden="1">[8]H!#REF!</definedName>
    <definedName name="xxxxxxxxx" localSheetId="12" hidden="1">[8]H!#REF!</definedName>
    <definedName name="xxxxxxxxx" localSheetId="18" hidden="1">[8]H!#REF!</definedName>
    <definedName name="xxxxxxxxx" localSheetId="9" hidden="1">[8]H!#REF!</definedName>
    <definedName name="xxxxxxxxx" localSheetId="0" hidden="1">[8]H!#REF!</definedName>
    <definedName name="xxxxxxxxx" localSheetId="24" hidden="1">[8]H!#REF!</definedName>
    <definedName name="xxxxxxxxx" localSheetId="33" hidden="1">[8]H!#REF!</definedName>
    <definedName name="xxxxxxxxx" localSheetId="34" hidden="1">[8]H!#REF!</definedName>
    <definedName name="xxxxxxxxx" localSheetId="35" hidden="1">[8]H!#REF!</definedName>
    <definedName name="xxxxxxxxx" hidden="1">[8]H!#REF!</definedName>
    <definedName name="Ｙ" hidden="1">{#N/A,#N/A,FALSE,"Sheet6 (24)"}</definedName>
    <definedName name="Z" hidden="1">{#N/A,#N/A,FALSE,"Sheet6 (24)"}</definedName>
    <definedName name="Ｚ" hidden="1">{#N/A,#N/A,FALSE,"Sheet6 (24)"}</definedName>
    <definedName name="あ" hidden="1">{#N/A,#N/A,FALSE,"Sheet6 (24)"}</definedName>
    <definedName name="あＢ" hidden="1">{#N/A,#N/A,FALSE,"Sheet6 (24)"}</definedName>
    <definedName name="あい" hidden="1">{#N/A,#N/A,FALSE,"Sheet6 (24)"}</definedName>
    <definedName name="い" hidden="1">{#N/A,#N/A,FALSE,"Sheet6 (24)"}</definedName>
    <definedName name="う" hidden="1">{#N/A,#N/A,FALSE,"Sheet6 (24)"}</definedName>
    <definedName name="うい" hidden="1">{#N/A,#N/A,FALSE,"Sheet6 (24)"}</definedName>
    <definedName name="え" hidden="1">{#N/A,#N/A,FALSE,"Sheet6 (24)"}</definedName>
    <definedName name="お" hidden="1">{#N/A,#N/A,FALSE,"Sheet6 (24)"}</definedName>
    <definedName name="おＰ" hidden="1">{#N/A,#N/A,FALSE,"Sheet6 (24)"}</definedName>
    <definedName name="おお" hidden="1">{#N/A,#N/A,FALSE,"Sheet6 (24)"}</definedName>
    <definedName name="か" hidden="1">{#N/A,#N/A,FALSE,"Sheet6 (24)"}</definedName>
    <definedName name="ｺｽﾄ" hidden="1">{#N/A,#N/A,FALSE,"Sheet6 (24)"}</definedName>
    <definedName name="ｺｽﾄ総括" hidden="1">{#N/A,#N/A,FALSE,"Sheet6 (24)"}</definedName>
    <definedName name="ｺｽﾄ順1" hidden="1">{#N/A,#N/A,FALSE,"Sheet6 (24)"}</definedName>
    <definedName name="ｼｬｰｼ" hidden="1">{#N/A,#N/A,FALSE,"Sheet6 (24)"}</definedName>
    <definedName name="ゆ" hidden="1">{#N/A,#N/A,FALSE,"Sheet6 (24)"}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27" l="1"/>
  <c r="R9" i="46"/>
  <c r="S9" i="46"/>
  <c r="T9" i="46"/>
  <c r="U9" i="46"/>
  <c r="V9" i="46"/>
  <c r="W9" i="46"/>
  <c r="X9" i="46"/>
  <c r="Y9" i="46"/>
  <c r="Z9" i="46"/>
  <c r="AA9" i="46"/>
  <c r="AB9" i="46"/>
  <c r="AC9" i="46"/>
  <c r="R10" i="46"/>
  <c r="S10" i="46"/>
  <c r="T10" i="46"/>
  <c r="U10" i="46"/>
  <c r="V10" i="46"/>
  <c r="W10" i="46"/>
  <c r="X10" i="46"/>
  <c r="Y10" i="46"/>
  <c r="Z10" i="46"/>
  <c r="AA10" i="46"/>
  <c r="AB10" i="46"/>
  <c r="AC10" i="46"/>
  <c r="R11" i="46"/>
  <c r="S11" i="46"/>
  <c r="T11" i="46"/>
  <c r="U11" i="46"/>
  <c r="V11" i="46"/>
  <c r="W11" i="46"/>
  <c r="X11" i="46"/>
  <c r="Y11" i="46"/>
  <c r="Z11" i="46"/>
  <c r="AA11" i="46"/>
  <c r="AB11" i="46"/>
  <c r="AC11" i="46"/>
  <c r="R12" i="46"/>
  <c r="S12" i="46"/>
  <c r="T12" i="46"/>
  <c r="U12" i="46"/>
  <c r="V12" i="46"/>
  <c r="W12" i="46"/>
  <c r="X12" i="46"/>
  <c r="Y12" i="46"/>
  <c r="Z12" i="46"/>
  <c r="AA12" i="46"/>
  <c r="AB12" i="46"/>
  <c r="AC12" i="46"/>
  <c r="R13" i="46"/>
  <c r="S13" i="46"/>
  <c r="T13" i="46"/>
  <c r="U13" i="46"/>
  <c r="V13" i="46"/>
  <c r="W13" i="46"/>
  <c r="X13" i="46"/>
  <c r="Y13" i="46"/>
  <c r="Z13" i="46"/>
  <c r="AA13" i="46"/>
  <c r="AB13" i="46"/>
  <c r="AC13" i="46"/>
  <c r="R14" i="46"/>
  <c r="S14" i="46"/>
  <c r="T14" i="46"/>
  <c r="U14" i="46"/>
  <c r="V14" i="46"/>
  <c r="W14" i="46"/>
  <c r="X14" i="46"/>
  <c r="Y14" i="46"/>
  <c r="Z14" i="46"/>
  <c r="AA14" i="46"/>
  <c r="AB14" i="46"/>
  <c r="AC14" i="46"/>
  <c r="R15" i="46"/>
  <c r="S15" i="46"/>
  <c r="T15" i="46"/>
  <c r="U15" i="46"/>
  <c r="V15" i="46"/>
  <c r="W15" i="46"/>
  <c r="X15" i="46"/>
  <c r="Y15" i="46"/>
  <c r="Z15" i="46"/>
  <c r="AA15" i="46"/>
  <c r="AB15" i="46"/>
  <c r="AC15" i="46"/>
  <c r="R16" i="46"/>
  <c r="S16" i="46"/>
  <c r="T16" i="46"/>
  <c r="U16" i="46"/>
  <c r="V16" i="46"/>
  <c r="W16" i="46"/>
  <c r="X16" i="46"/>
  <c r="Y16" i="46"/>
  <c r="Z16" i="46"/>
  <c r="AA16" i="46"/>
  <c r="AB16" i="46"/>
  <c r="AC16" i="46"/>
  <c r="R17" i="46"/>
  <c r="S17" i="46"/>
  <c r="T17" i="46"/>
  <c r="U17" i="46"/>
  <c r="V17" i="46"/>
  <c r="W17" i="46"/>
  <c r="X17" i="46"/>
  <c r="Y17" i="46"/>
  <c r="Z17" i="46"/>
  <c r="AA17" i="46"/>
  <c r="AB17" i="46"/>
  <c r="AC17" i="46"/>
  <c r="R18" i="46"/>
  <c r="S18" i="46"/>
  <c r="T18" i="46"/>
  <c r="U18" i="46"/>
  <c r="V18" i="46"/>
  <c r="W18" i="46"/>
  <c r="X18" i="46"/>
  <c r="Y18" i="46"/>
  <c r="Z18" i="46"/>
  <c r="AA18" i="46"/>
  <c r="AB18" i="46"/>
  <c r="AC18" i="46"/>
  <c r="R8" i="46"/>
  <c r="S8" i="46"/>
  <c r="T8" i="46"/>
  <c r="U8" i="46"/>
  <c r="V8" i="46"/>
  <c r="W8" i="46"/>
  <c r="X8" i="46"/>
  <c r="Y8" i="46"/>
  <c r="Z8" i="46"/>
  <c r="AA8" i="46"/>
  <c r="AB8" i="46"/>
  <c r="AC8" i="46"/>
  <c r="AC7" i="46"/>
  <c r="AB7" i="46"/>
  <c r="AA7" i="46"/>
  <c r="Z7" i="46"/>
  <c r="Y7" i="46"/>
  <c r="X7" i="46"/>
  <c r="W7" i="46"/>
  <c r="V7" i="46"/>
  <c r="U7" i="46"/>
  <c r="T7" i="46"/>
  <c r="S7" i="46"/>
  <c r="R7" i="46"/>
  <c r="O63" i="36"/>
  <c r="P63" i="36"/>
  <c r="Q63" i="36"/>
  <c r="R63" i="36"/>
  <c r="S63" i="36"/>
  <c r="T63" i="36"/>
  <c r="U63" i="36"/>
  <c r="V63" i="36"/>
  <c r="W63" i="36"/>
  <c r="X63" i="36"/>
  <c r="Y63" i="36"/>
  <c r="Z63" i="36"/>
  <c r="AA63" i="36"/>
  <c r="AB63" i="36"/>
  <c r="AC63" i="36"/>
  <c r="AD63" i="36"/>
  <c r="AE63" i="36"/>
  <c r="AF63" i="36"/>
  <c r="AG63" i="36"/>
  <c r="AH63" i="36"/>
  <c r="AI63" i="36"/>
  <c r="AJ63" i="36"/>
  <c r="AK63" i="36"/>
  <c r="AL63" i="36"/>
  <c r="AM63" i="36"/>
  <c r="AN63" i="36"/>
  <c r="AO63" i="36"/>
  <c r="AP63" i="36"/>
  <c r="AQ63" i="36"/>
  <c r="AR63" i="36"/>
  <c r="AS63" i="36"/>
  <c r="AT63" i="36"/>
  <c r="AU63" i="36"/>
  <c r="AV63" i="36"/>
  <c r="AW63" i="36"/>
  <c r="AX63" i="36"/>
  <c r="AY63" i="36"/>
  <c r="AZ63" i="36"/>
  <c r="BA63" i="36"/>
  <c r="BB63" i="36"/>
  <c r="BC63" i="36"/>
  <c r="BD63" i="36"/>
  <c r="BE63" i="36"/>
  <c r="BF63" i="36"/>
  <c r="BG63" i="36"/>
  <c r="BH63" i="36"/>
  <c r="BI63" i="36"/>
  <c r="BJ63" i="36"/>
  <c r="BK63" i="36"/>
  <c r="BL63" i="36"/>
  <c r="BM63" i="36"/>
  <c r="BN63" i="36"/>
  <c r="BO63" i="36"/>
  <c r="BP63" i="36"/>
  <c r="BQ63" i="36"/>
  <c r="BR63" i="36"/>
  <c r="BS63" i="36"/>
  <c r="BT63" i="36"/>
  <c r="BU63" i="36"/>
  <c r="BV63" i="36"/>
  <c r="BW63" i="36"/>
  <c r="BX63" i="36"/>
  <c r="BY63" i="36"/>
  <c r="BZ63" i="36"/>
  <c r="CA63" i="36"/>
  <c r="CB63" i="36"/>
  <c r="CC63" i="36"/>
  <c r="CD63" i="36"/>
  <c r="CE63" i="36"/>
  <c r="CF63" i="36"/>
  <c r="CG63" i="36"/>
  <c r="CH63" i="36"/>
  <c r="CI63" i="36"/>
  <c r="CJ63" i="36"/>
  <c r="CK63" i="36"/>
  <c r="CL63" i="36"/>
  <c r="CM63" i="36"/>
  <c r="CN63" i="36"/>
  <c r="CO63" i="36"/>
  <c r="CP63" i="36"/>
  <c r="CQ63" i="36"/>
  <c r="CR63" i="36"/>
  <c r="CS63" i="36"/>
  <c r="CT63" i="36"/>
  <c r="CU63" i="36"/>
  <c r="CV63" i="36"/>
  <c r="CW63" i="36"/>
  <c r="CX63" i="36"/>
  <c r="CY63" i="36"/>
  <c r="CZ63" i="36"/>
  <c r="DA63" i="36"/>
  <c r="DB63" i="36"/>
  <c r="DC63" i="36"/>
  <c r="DD63" i="36"/>
  <c r="DE63" i="36"/>
  <c r="DF63" i="36"/>
  <c r="DG63" i="36"/>
  <c r="DH63" i="36"/>
  <c r="DI63" i="36"/>
  <c r="DJ63" i="36"/>
  <c r="DK63" i="36"/>
  <c r="DL63" i="36"/>
  <c r="DM63" i="36"/>
  <c r="DN63" i="36"/>
  <c r="DO63" i="36"/>
  <c r="DP63" i="36"/>
  <c r="DQ63" i="36"/>
  <c r="DR63" i="36"/>
  <c r="DS63" i="36"/>
  <c r="DT63" i="36"/>
  <c r="DU63" i="36"/>
  <c r="DV63" i="36"/>
  <c r="DW63" i="36"/>
  <c r="DX63" i="36"/>
  <c r="DY63" i="36"/>
  <c r="DZ63" i="36"/>
  <c r="EA63" i="36"/>
  <c r="EB63" i="36"/>
  <c r="EC63" i="36"/>
  <c r="ED63" i="36"/>
  <c r="O64" i="36"/>
  <c r="P64" i="36"/>
  <c r="Q64" i="36"/>
  <c r="R64" i="36"/>
  <c r="S64" i="36"/>
  <c r="T64" i="36"/>
  <c r="U64" i="36"/>
  <c r="V64" i="36"/>
  <c r="W64" i="36"/>
  <c r="X64" i="36"/>
  <c r="Y64" i="36"/>
  <c r="Z64" i="36"/>
  <c r="AA64" i="36"/>
  <c r="AB64" i="36"/>
  <c r="AC64" i="36"/>
  <c r="AD64" i="36"/>
  <c r="AE64" i="36"/>
  <c r="AF64" i="36"/>
  <c r="AG64" i="36"/>
  <c r="AH64" i="36"/>
  <c r="AI64" i="36"/>
  <c r="AJ64" i="36"/>
  <c r="AK64" i="36"/>
  <c r="AL64" i="36"/>
  <c r="AM64" i="36"/>
  <c r="AN64" i="36"/>
  <c r="AO64" i="36"/>
  <c r="AP64" i="36"/>
  <c r="AQ64" i="36"/>
  <c r="AR64" i="36"/>
  <c r="AS64" i="36"/>
  <c r="AT64" i="36"/>
  <c r="AU64" i="36"/>
  <c r="AV64" i="36"/>
  <c r="AW64" i="36"/>
  <c r="AX64" i="36"/>
  <c r="AY64" i="36"/>
  <c r="AZ64" i="36"/>
  <c r="BA64" i="36"/>
  <c r="BB64" i="36"/>
  <c r="BC64" i="36"/>
  <c r="BD64" i="36"/>
  <c r="BE64" i="36"/>
  <c r="BF64" i="36"/>
  <c r="BG64" i="36"/>
  <c r="BH64" i="36"/>
  <c r="BI64" i="36"/>
  <c r="BJ64" i="36"/>
  <c r="BK64" i="36"/>
  <c r="BL64" i="36"/>
  <c r="BM64" i="36"/>
  <c r="BN64" i="36"/>
  <c r="BO64" i="36"/>
  <c r="BP64" i="36"/>
  <c r="BQ64" i="36"/>
  <c r="BR64" i="36"/>
  <c r="BS64" i="36"/>
  <c r="BT64" i="36"/>
  <c r="BU64" i="36"/>
  <c r="BV64" i="36"/>
  <c r="BW64" i="36"/>
  <c r="BX64" i="36"/>
  <c r="BY64" i="36"/>
  <c r="BZ64" i="36"/>
  <c r="CA64" i="36"/>
  <c r="CB64" i="36"/>
  <c r="CC64" i="36"/>
  <c r="CD64" i="36"/>
  <c r="CE64" i="36"/>
  <c r="CF64" i="36"/>
  <c r="CG64" i="36"/>
  <c r="CH64" i="36"/>
  <c r="CI64" i="36"/>
  <c r="CJ64" i="36"/>
  <c r="CK64" i="36"/>
  <c r="CL64" i="36"/>
  <c r="CM64" i="36"/>
  <c r="CN64" i="36"/>
  <c r="CO64" i="36"/>
  <c r="CP64" i="36"/>
  <c r="CQ64" i="36"/>
  <c r="CR64" i="36"/>
  <c r="CS64" i="36"/>
  <c r="CT64" i="36"/>
  <c r="CU64" i="36"/>
  <c r="CV64" i="36"/>
  <c r="CW64" i="36"/>
  <c r="CX64" i="36"/>
  <c r="CY64" i="36"/>
  <c r="CZ64" i="36"/>
  <c r="DA64" i="36"/>
  <c r="DB64" i="36"/>
  <c r="DC64" i="36"/>
  <c r="DD64" i="36"/>
  <c r="DE64" i="36"/>
  <c r="DF64" i="36"/>
  <c r="DG64" i="36"/>
  <c r="DH64" i="36"/>
  <c r="DI64" i="36"/>
  <c r="DJ64" i="36"/>
  <c r="DK64" i="36"/>
  <c r="DL64" i="36"/>
  <c r="DM64" i="36"/>
  <c r="DN64" i="36"/>
  <c r="DO64" i="36"/>
  <c r="DP64" i="36"/>
  <c r="DQ64" i="36"/>
  <c r="DR64" i="36"/>
  <c r="DS64" i="36"/>
  <c r="DT64" i="36"/>
  <c r="DU64" i="36"/>
  <c r="DV64" i="36"/>
  <c r="DW64" i="36"/>
  <c r="DX64" i="36"/>
  <c r="DY64" i="36"/>
  <c r="DZ64" i="36"/>
  <c r="EA64" i="36"/>
  <c r="EB64" i="36"/>
  <c r="EC64" i="36"/>
  <c r="ED64" i="36"/>
  <c r="O65" i="36"/>
  <c r="P65" i="36"/>
  <c r="Q65" i="36"/>
  <c r="R65" i="36"/>
  <c r="S65" i="36"/>
  <c r="T65" i="36"/>
  <c r="U65" i="36"/>
  <c r="V65" i="36"/>
  <c r="W65" i="36"/>
  <c r="X65" i="36"/>
  <c r="Y65" i="36"/>
  <c r="Z65" i="36"/>
  <c r="AA65" i="36"/>
  <c r="AB65" i="36"/>
  <c r="AC65" i="36"/>
  <c r="AD65" i="36"/>
  <c r="AE65" i="36"/>
  <c r="AF65" i="36"/>
  <c r="AG65" i="36"/>
  <c r="AH65" i="36"/>
  <c r="AI65" i="36"/>
  <c r="AJ65" i="36"/>
  <c r="AK65" i="36"/>
  <c r="AL65" i="36"/>
  <c r="AM65" i="36"/>
  <c r="AN65" i="36"/>
  <c r="AO65" i="36"/>
  <c r="AP65" i="36"/>
  <c r="AQ65" i="36"/>
  <c r="AR65" i="36"/>
  <c r="AS65" i="36"/>
  <c r="AT65" i="36"/>
  <c r="AU65" i="36"/>
  <c r="AV65" i="36"/>
  <c r="AW65" i="36"/>
  <c r="AX65" i="36"/>
  <c r="AY65" i="36"/>
  <c r="AZ65" i="36"/>
  <c r="BA65" i="36"/>
  <c r="BB65" i="36"/>
  <c r="BC65" i="36"/>
  <c r="BD65" i="36"/>
  <c r="BE65" i="36"/>
  <c r="BF65" i="36"/>
  <c r="BG65" i="36"/>
  <c r="BH65" i="36"/>
  <c r="BI65" i="36"/>
  <c r="BJ65" i="36"/>
  <c r="BK65" i="36"/>
  <c r="BL65" i="36"/>
  <c r="BM65" i="36"/>
  <c r="BN65" i="36"/>
  <c r="BO65" i="36"/>
  <c r="BP65" i="36"/>
  <c r="BQ65" i="36"/>
  <c r="BR65" i="36"/>
  <c r="BS65" i="36"/>
  <c r="BT65" i="36"/>
  <c r="BU65" i="36"/>
  <c r="BV65" i="36"/>
  <c r="BW65" i="36"/>
  <c r="BX65" i="36"/>
  <c r="BY65" i="36"/>
  <c r="BZ65" i="36"/>
  <c r="CA65" i="36"/>
  <c r="CB65" i="36"/>
  <c r="CC65" i="36"/>
  <c r="CD65" i="36"/>
  <c r="CE65" i="36"/>
  <c r="CF65" i="36"/>
  <c r="CG65" i="36"/>
  <c r="CH65" i="36"/>
  <c r="CI65" i="36"/>
  <c r="CJ65" i="36"/>
  <c r="CK65" i="36"/>
  <c r="CL65" i="36"/>
  <c r="CM65" i="36"/>
  <c r="CN65" i="36"/>
  <c r="CO65" i="36"/>
  <c r="CP65" i="36"/>
  <c r="CQ65" i="36"/>
  <c r="CR65" i="36"/>
  <c r="CS65" i="36"/>
  <c r="CT65" i="36"/>
  <c r="CU65" i="36"/>
  <c r="CV65" i="36"/>
  <c r="CW65" i="36"/>
  <c r="CX65" i="36"/>
  <c r="CY65" i="36"/>
  <c r="CZ65" i="36"/>
  <c r="DA65" i="36"/>
  <c r="DB65" i="36"/>
  <c r="DC65" i="36"/>
  <c r="DD65" i="36"/>
  <c r="DE65" i="36"/>
  <c r="DF65" i="36"/>
  <c r="DG65" i="36"/>
  <c r="DH65" i="36"/>
  <c r="DI65" i="36"/>
  <c r="DJ65" i="36"/>
  <c r="DK65" i="36"/>
  <c r="DL65" i="36"/>
  <c r="DM65" i="36"/>
  <c r="DN65" i="36"/>
  <c r="DO65" i="36"/>
  <c r="DP65" i="36"/>
  <c r="DQ65" i="36"/>
  <c r="DR65" i="36"/>
  <c r="DS65" i="36"/>
  <c r="DT65" i="36"/>
  <c r="DU65" i="36"/>
  <c r="DV65" i="36"/>
  <c r="DW65" i="36"/>
  <c r="DX65" i="36"/>
  <c r="DY65" i="36"/>
  <c r="DZ65" i="36"/>
  <c r="EA65" i="36"/>
  <c r="EB65" i="36"/>
  <c r="EC65" i="36"/>
  <c r="ED65" i="36"/>
  <c r="O66" i="36"/>
  <c r="P66" i="36"/>
  <c r="Q66" i="36"/>
  <c r="R66" i="36"/>
  <c r="S66" i="36"/>
  <c r="T66" i="36"/>
  <c r="U66" i="36"/>
  <c r="V66" i="36"/>
  <c r="W66" i="36"/>
  <c r="X66" i="36"/>
  <c r="Y66" i="36"/>
  <c r="Z66" i="36"/>
  <c r="AA66" i="36"/>
  <c r="AB66" i="36"/>
  <c r="AC66" i="36"/>
  <c r="AD66" i="36"/>
  <c r="AE66" i="36"/>
  <c r="AF66" i="36"/>
  <c r="AG66" i="36"/>
  <c r="AH66" i="36"/>
  <c r="AI66" i="36"/>
  <c r="AJ66" i="36"/>
  <c r="AK66" i="36"/>
  <c r="AL66" i="36"/>
  <c r="AM66" i="36"/>
  <c r="AN66" i="36"/>
  <c r="AO66" i="36"/>
  <c r="AP66" i="36"/>
  <c r="AQ66" i="36"/>
  <c r="AR66" i="36"/>
  <c r="AS66" i="36"/>
  <c r="AT66" i="36"/>
  <c r="AU66" i="36"/>
  <c r="AV66" i="36"/>
  <c r="AW66" i="36"/>
  <c r="AX66" i="36"/>
  <c r="AY66" i="36"/>
  <c r="AZ66" i="36"/>
  <c r="BA66" i="36"/>
  <c r="BB66" i="36"/>
  <c r="BC66" i="36"/>
  <c r="BD66" i="36"/>
  <c r="BE66" i="36"/>
  <c r="BF66" i="36"/>
  <c r="BG66" i="36"/>
  <c r="BH66" i="36"/>
  <c r="BI66" i="36"/>
  <c r="BJ66" i="36"/>
  <c r="BK66" i="36"/>
  <c r="BL66" i="36"/>
  <c r="BM66" i="36"/>
  <c r="BN66" i="36"/>
  <c r="BO66" i="36"/>
  <c r="BP66" i="36"/>
  <c r="BQ66" i="36"/>
  <c r="BR66" i="36"/>
  <c r="BS66" i="36"/>
  <c r="BT66" i="36"/>
  <c r="BU66" i="36"/>
  <c r="BV66" i="36"/>
  <c r="BW66" i="36"/>
  <c r="BX66" i="36"/>
  <c r="BY66" i="36"/>
  <c r="BZ66" i="36"/>
  <c r="CA66" i="36"/>
  <c r="CB66" i="36"/>
  <c r="CC66" i="36"/>
  <c r="CD66" i="36"/>
  <c r="CE66" i="36"/>
  <c r="CF66" i="36"/>
  <c r="CG66" i="36"/>
  <c r="CH66" i="36"/>
  <c r="CI66" i="36"/>
  <c r="CJ66" i="36"/>
  <c r="CK66" i="36"/>
  <c r="CL66" i="36"/>
  <c r="CM66" i="36"/>
  <c r="CN66" i="36"/>
  <c r="CO66" i="36"/>
  <c r="CP66" i="36"/>
  <c r="CQ66" i="36"/>
  <c r="CR66" i="36"/>
  <c r="CS66" i="36"/>
  <c r="CT66" i="36"/>
  <c r="CU66" i="36"/>
  <c r="CV66" i="36"/>
  <c r="CW66" i="36"/>
  <c r="CX66" i="36"/>
  <c r="CY66" i="36"/>
  <c r="CZ66" i="36"/>
  <c r="DA66" i="36"/>
  <c r="DB66" i="36"/>
  <c r="DC66" i="36"/>
  <c r="DD66" i="36"/>
  <c r="DE66" i="36"/>
  <c r="DF66" i="36"/>
  <c r="DG66" i="36"/>
  <c r="DH66" i="36"/>
  <c r="DI66" i="36"/>
  <c r="DJ66" i="36"/>
  <c r="DK66" i="36"/>
  <c r="DL66" i="36"/>
  <c r="DM66" i="36"/>
  <c r="DN66" i="36"/>
  <c r="DO66" i="36"/>
  <c r="DP66" i="36"/>
  <c r="DQ66" i="36"/>
  <c r="DR66" i="36"/>
  <c r="DS66" i="36"/>
  <c r="DT66" i="36"/>
  <c r="DU66" i="36"/>
  <c r="DV66" i="36"/>
  <c r="DW66" i="36"/>
  <c r="DX66" i="36"/>
  <c r="DY66" i="36"/>
  <c r="DZ66" i="36"/>
  <c r="EA66" i="36"/>
  <c r="EB66" i="36"/>
  <c r="EC66" i="36"/>
  <c r="ED66" i="36"/>
  <c r="O67" i="36"/>
  <c r="P67" i="36"/>
  <c r="Q67" i="36"/>
  <c r="R67" i="36"/>
  <c r="S67" i="36"/>
  <c r="T67" i="36"/>
  <c r="U67" i="36"/>
  <c r="V67" i="36"/>
  <c r="W67" i="36"/>
  <c r="X67" i="36"/>
  <c r="Y67" i="36"/>
  <c r="Z67" i="36"/>
  <c r="AA67" i="36"/>
  <c r="AB67" i="36"/>
  <c r="AC67" i="36"/>
  <c r="AD67" i="36"/>
  <c r="AE67" i="36"/>
  <c r="AF67" i="36"/>
  <c r="AG67" i="36"/>
  <c r="AH67" i="36"/>
  <c r="AI67" i="36"/>
  <c r="AJ67" i="36"/>
  <c r="AK67" i="36"/>
  <c r="AL67" i="36"/>
  <c r="AM67" i="36"/>
  <c r="AN67" i="36"/>
  <c r="AO67" i="36"/>
  <c r="AP67" i="36"/>
  <c r="AQ67" i="36"/>
  <c r="AR67" i="36"/>
  <c r="AS67" i="36"/>
  <c r="AT67" i="36"/>
  <c r="AU67" i="36"/>
  <c r="AV67" i="36"/>
  <c r="AW67" i="36"/>
  <c r="AX67" i="36"/>
  <c r="AY67" i="36"/>
  <c r="AZ67" i="36"/>
  <c r="BA67" i="36"/>
  <c r="BB67" i="36"/>
  <c r="BC67" i="36"/>
  <c r="BD67" i="36"/>
  <c r="BE67" i="36"/>
  <c r="BF67" i="36"/>
  <c r="BG67" i="36"/>
  <c r="BH67" i="36"/>
  <c r="BI67" i="36"/>
  <c r="BJ67" i="36"/>
  <c r="BK67" i="36"/>
  <c r="BL67" i="36"/>
  <c r="BM67" i="36"/>
  <c r="BN67" i="36"/>
  <c r="BO67" i="36"/>
  <c r="BP67" i="36"/>
  <c r="BQ67" i="36"/>
  <c r="BR67" i="36"/>
  <c r="BS67" i="36"/>
  <c r="BT67" i="36"/>
  <c r="BU67" i="36"/>
  <c r="BV67" i="36"/>
  <c r="BW67" i="36"/>
  <c r="BX67" i="36"/>
  <c r="BY67" i="36"/>
  <c r="BZ67" i="36"/>
  <c r="CA67" i="36"/>
  <c r="CB67" i="36"/>
  <c r="CC67" i="36"/>
  <c r="CD67" i="36"/>
  <c r="CE67" i="36"/>
  <c r="CF67" i="36"/>
  <c r="CG67" i="36"/>
  <c r="CH67" i="36"/>
  <c r="CI67" i="36"/>
  <c r="CJ67" i="36"/>
  <c r="CK67" i="36"/>
  <c r="CL67" i="36"/>
  <c r="CM67" i="36"/>
  <c r="CN67" i="36"/>
  <c r="CO67" i="36"/>
  <c r="CP67" i="36"/>
  <c r="CQ67" i="36"/>
  <c r="CR67" i="36"/>
  <c r="CS67" i="36"/>
  <c r="CT67" i="36"/>
  <c r="CU67" i="36"/>
  <c r="CV67" i="36"/>
  <c r="CW67" i="36"/>
  <c r="CX67" i="36"/>
  <c r="CY67" i="36"/>
  <c r="CZ67" i="36"/>
  <c r="DA67" i="36"/>
  <c r="DB67" i="36"/>
  <c r="DC67" i="36"/>
  <c r="DD67" i="36"/>
  <c r="DE67" i="36"/>
  <c r="DF67" i="36"/>
  <c r="DG67" i="36"/>
  <c r="DH67" i="36"/>
  <c r="DI67" i="36"/>
  <c r="DJ67" i="36"/>
  <c r="DK67" i="36"/>
  <c r="DL67" i="36"/>
  <c r="DM67" i="36"/>
  <c r="DN67" i="36"/>
  <c r="DO67" i="36"/>
  <c r="DP67" i="36"/>
  <c r="DQ67" i="36"/>
  <c r="DR67" i="36"/>
  <c r="DS67" i="36"/>
  <c r="DT67" i="36"/>
  <c r="DU67" i="36"/>
  <c r="DV67" i="36"/>
  <c r="DW67" i="36"/>
  <c r="DX67" i="36"/>
  <c r="DY67" i="36"/>
  <c r="DZ67" i="36"/>
  <c r="EA67" i="36"/>
  <c r="EB67" i="36"/>
  <c r="EC67" i="36"/>
  <c r="ED67" i="36"/>
  <c r="O68" i="36"/>
  <c r="P68" i="36"/>
  <c r="Q68" i="36"/>
  <c r="R68" i="36"/>
  <c r="S68" i="36"/>
  <c r="T68" i="36"/>
  <c r="U68" i="36"/>
  <c r="V68" i="36"/>
  <c r="W68" i="36"/>
  <c r="X68" i="36"/>
  <c r="Y68" i="36"/>
  <c r="Z68" i="36"/>
  <c r="AA68" i="36"/>
  <c r="AB68" i="36"/>
  <c r="AC68" i="36"/>
  <c r="AD68" i="36"/>
  <c r="AE68" i="36"/>
  <c r="AF68" i="36"/>
  <c r="AG68" i="36"/>
  <c r="AH68" i="36"/>
  <c r="AI68" i="36"/>
  <c r="AJ68" i="36"/>
  <c r="AK68" i="36"/>
  <c r="AL68" i="36"/>
  <c r="AM68" i="36"/>
  <c r="AN68" i="36"/>
  <c r="AO68" i="36"/>
  <c r="AP68" i="36"/>
  <c r="AQ68" i="36"/>
  <c r="AR68" i="36"/>
  <c r="AS68" i="36"/>
  <c r="AT68" i="36"/>
  <c r="AU68" i="36"/>
  <c r="AV68" i="36"/>
  <c r="AW68" i="36"/>
  <c r="AX68" i="36"/>
  <c r="AY68" i="36"/>
  <c r="AZ68" i="36"/>
  <c r="BA68" i="36"/>
  <c r="BB68" i="36"/>
  <c r="BC68" i="36"/>
  <c r="BD68" i="36"/>
  <c r="BE68" i="36"/>
  <c r="BF68" i="36"/>
  <c r="BG68" i="36"/>
  <c r="BH68" i="36"/>
  <c r="BI68" i="36"/>
  <c r="BJ68" i="36"/>
  <c r="BK68" i="36"/>
  <c r="BL68" i="36"/>
  <c r="BM68" i="36"/>
  <c r="BN68" i="36"/>
  <c r="BO68" i="36"/>
  <c r="BP68" i="36"/>
  <c r="BQ68" i="36"/>
  <c r="BR68" i="36"/>
  <c r="BS68" i="36"/>
  <c r="BT68" i="36"/>
  <c r="BU68" i="36"/>
  <c r="BV68" i="36"/>
  <c r="BW68" i="36"/>
  <c r="BX68" i="36"/>
  <c r="BY68" i="36"/>
  <c r="BZ68" i="36"/>
  <c r="CA68" i="36"/>
  <c r="CB68" i="36"/>
  <c r="CC68" i="36"/>
  <c r="CD68" i="36"/>
  <c r="CE68" i="36"/>
  <c r="CF68" i="36"/>
  <c r="CG68" i="36"/>
  <c r="CH68" i="36"/>
  <c r="CI68" i="36"/>
  <c r="CJ68" i="36"/>
  <c r="CK68" i="36"/>
  <c r="CL68" i="36"/>
  <c r="CM68" i="36"/>
  <c r="CN68" i="36"/>
  <c r="CO68" i="36"/>
  <c r="CP68" i="36"/>
  <c r="CQ68" i="36"/>
  <c r="CR68" i="36"/>
  <c r="CS68" i="36"/>
  <c r="CT68" i="36"/>
  <c r="CU68" i="36"/>
  <c r="CV68" i="36"/>
  <c r="CW68" i="36"/>
  <c r="CX68" i="36"/>
  <c r="CY68" i="36"/>
  <c r="CZ68" i="36"/>
  <c r="DA68" i="36"/>
  <c r="DB68" i="36"/>
  <c r="DC68" i="36"/>
  <c r="DD68" i="36"/>
  <c r="DE68" i="36"/>
  <c r="DF68" i="36"/>
  <c r="DG68" i="36"/>
  <c r="DH68" i="36"/>
  <c r="DI68" i="36"/>
  <c r="DJ68" i="36"/>
  <c r="DK68" i="36"/>
  <c r="DL68" i="36"/>
  <c r="DM68" i="36"/>
  <c r="DN68" i="36"/>
  <c r="DO68" i="36"/>
  <c r="DP68" i="36"/>
  <c r="DQ68" i="36"/>
  <c r="DR68" i="36"/>
  <c r="DS68" i="36"/>
  <c r="DT68" i="36"/>
  <c r="DU68" i="36"/>
  <c r="DV68" i="36"/>
  <c r="DW68" i="36"/>
  <c r="DX68" i="36"/>
  <c r="DY68" i="36"/>
  <c r="DZ68" i="36"/>
  <c r="EA68" i="36"/>
  <c r="EB68" i="36"/>
  <c r="EC68" i="36"/>
  <c r="ED68" i="36"/>
  <c r="O69" i="36"/>
  <c r="P69" i="36"/>
  <c r="Q69" i="36"/>
  <c r="R69" i="36"/>
  <c r="S69" i="36"/>
  <c r="T69" i="36"/>
  <c r="U69" i="36"/>
  <c r="V69" i="36"/>
  <c r="W69" i="36"/>
  <c r="X69" i="36"/>
  <c r="Y69" i="36"/>
  <c r="Z69" i="36"/>
  <c r="AA69" i="36"/>
  <c r="AB69" i="36"/>
  <c r="AC69" i="36"/>
  <c r="AD69" i="36"/>
  <c r="AE69" i="36"/>
  <c r="AF69" i="36"/>
  <c r="AG69" i="36"/>
  <c r="AH69" i="36"/>
  <c r="AI69" i="36"/>
  <c r="AJ69" i="36"/>
  <c r="AK69" i="36"/>
  <c r="AL69" i="36"/>
  <c r="AM69" i="36"/>
  <c r="AN69" i="36"/>
  <c r="AO69" i="36"/>
  <c r="AP69" i="36"/>
  <c r="AQ69" i="36"/>
  <c r="AR69" i="36"/>
  <c r="AS69" i="36"/>
  <c r="AT69" i="36"/>
  <c r="AU69" i="36"/>
  <c r="AV69" i="36"/>
  <c r="AW69" i="36"/>
  <c r="AX69" i="36"/>
  <c r="AY69" i="36"/>
  <c r="AZ69" i="36"/>
  <c r="BA69" i="36"/>
  <c r="BB69" i="36"/>
  <c r="BC69" i="36"/>
  <c r="BD69" i="36"/>
  <c r="BE69" i="36"/>
  <c r="BF69" i="36"/>
  <c r="BG69" i="36"/>
  <c r="BH69" i="36"/>
  <c r="BI69" i="36"/>
  <c r="BJ69" i="36"/>
  <c r="BK69" i="36"/>
  <c r="BL69" i="36"/>
  <c r="BM69" i="36"/>
  <c r="BN69" i="36"/>
  <c r="BO69" i="36"/>
  <c r="BP69" i="36"/>
  <c r="BQ69" i="36"/>
  <c r="BR69" i="36"/>
  <c r="BS69" i="36"/>
  <c r="BT69" i="36"/>
  <c r="BU69" i="36"/>
  <c r="BV69" i="36"/>
  <c r="BW69" i="36"/>
  <c r="BX69" i="36"/>
  <c r="BY69" i="36"/>
  <c r="BZ69" i="36"/>
  <c r="CA69" i="36"/>
  <c r="CB69" i="36"/>
  <c r="CC69" i="36"/>
  <c r="CD69" i="36"/>
  <c r="CE69" i="36"/>
  <c r="CF69" i="36"/>
  <c r="CG69" i="36"/>
  <c r="CH69" i="36"/>
  <c r="CI69" i="36"/>
  <c r="CJ69" i="36"/>
  <c r="CK69" i="36"/>
  <c r="CL69" i="36"/>
  <c r="CM69" i="36"/>
  <c r="CN69" i="36"/>
  <c r="CO69" i="36"/>
  <c r="CP69" i="36"/>
  <c r="CQ69" i="36"/>
  <c r="CR69" i="36"/>
  <c r="CS69" i="36"/>
  <c r="CT69" i="36"/>
  <c r="CU69" i="36"/>
  <c r="CV69" i="36"/>
  <c r="CW69" i="36"/>
  <c r="CX69" i="36"/>
  <c r="CY69" i="36"/>
  <c r="CZ69" i="36"/>
  <c r="DA69" i="36"/>
  <c r="DB69" i="36"/>
  <c r="DC69" i="36"/>
  <c r="DD69" i="36"/>
  <c r="DE69" i="36"/>
  <c r="DF69" i="36"/>
  <c r="DG69" i="36"/>
  <c r="DH69" i="36"/>
  <c r="DI69" i="36"/>
  <c r="DJ69" i="36"/>
  <c r="DK69" i="36"/>
  <c r="DL69" i="36"/>
  <c r="DM69" i="36"/>
  <c r="DN69" i="36"/>
  <c r="DO69" i="36"/>
  <c r="DP69" i="36"/>
  <c r="DQ69" i="36"/>
  <c r="DR69" i="36"/>
  <c r="DS69" i="36"/>
  <c r="DT69" i="36"/>
  <c r="DU69" i="36"/>
  <c r="DV69" i="36"/>
  <c r="DW69" i="36"/>
  <c r="DX69" i="36"/>
  <c r="DY69" i="36"/>
  <c r="DZ69" i="36"/>
  <c r="EA69" i="36"/>
  <c r="EB69" i="36"/>
  <c r="EC69" i="36"/>
  <c r="ED69" i="36"/>
  <c r="O70" i="36"/>
  <c r="P70" i="36"/>
  <c r="Q70" i="36"/>
  <c r="R70" i="36"/>
  <c r="S70" i="36"/>
  <c r="T70" i="36"/>
  <c r="U70" i="36"/>
  <c r="V70" i="36"/>
  <c r="W70" i="36"/>
  <c r="X70" i="36"/>
  <c r="Y70" i="36"/>
  <c r="Z70" i="36"/>
  <c r="AA70" i="36"/>
  <c r="AB70" i="36"/>
  <c r="AC70" i="36"/>
  <c r="AD70" i="36"/>
  <c r="AE70" i="36"/>
  <c r="AF70" i="36"/>
  <c r="AG70" i="36"/>
  <c r="AH70" i="36"/>
  <c r="AI70" i="36"/>
  <c r="AJ70" i="36"/>
  <c r="AK70" i="36"/>
  <c r="AL70" i="36"/>
  <c r="AM70" i="36"/>
  <c r="AN70" i="36"/>
  <c r="AO70" i="36"/>
  <c r="AP70" i="36"/>
  <c r="AQ70" i="36"/>
  <c r="AR70" i="36"/>
  <c r="AS70" i="36"/>
  <c r="AT70" i="36"/>
  <c r="AU70" i="36"/>
  <c r="AV70" i="36"/>
  <c r="AW70" i="36"/>
  <c r="AX70" i="36"/>
  <c r="AY70" i="36"/>
  <c r="AZ70" i="36"/>
  <c r="BA70" i="36"/>
  <c r="BB70" i="36"/>
  <c r="BC70" i="36"/>
  <c r="BD70" i="36"/>
  <c r="BE70" i="36"/>
  <c r="BF70" i="36"/>
  <c r="BG70" i="36"/>
  <c r="BH70" i="36"/>
  <c r="BI70" i="36"/>
  <c r="BJ70" i="36"/>
  <c r="BK70" i="36"/>
  <c r="BL70" i="36"/>
  <c r="BM70" i="36"/>
  <c r="BN70" i="36"/>
  <c r="BO70" i="36"/>
  <c r="BP70" i="36"/>
  <c r="BQ70" i="36"/>
  <c r="BR70" i="36"/>
  <c r="BS70" i="36"/>
  <c r="BT70" i="36"/>
  <c r="BU70" i="36"/>
  <c r="BV70" i="36"/>
  <c r="BW70" i="36"/>
  <c r="BX70" i="36"/>
  <c r="BY70" i="36"/>
  <c r="BZ70" i="36"/>
  <c r="CA70" i="36"/>
  <c r="CB70" i="36"/>
  <c r="CC70" i="36"/>
  <c r="CD70" i="36"/>
  <c r="CE70" i="36"/>
  <c r="CF70" i="36"/>
  <c r="CG70" i="36"/>
  <c r="CH70" i="36"/>
  <c r="CI70" i="36"/>
  <c r="CJ70" i="36"/>
  <c r="CK70" i="36"/>
  <c r="CL70" i="36"/>
  <c r="CM70" i="36"/>
  <c r="CN70" i="36"/>
  <c r="CO70" i="36"/>
  <c r="CP70" i="36"/>
  <c r="CQ70" i="36"/>
  <c r="CR70" i="36"/>
  <c r="CS70" i="36"/>
  <c r="CT70" i="36"/>
  <c r="CU70" i="36"/>
  <c r="CV70" i="36"/>
  <c r="CW70" i="36"/>
  <c r="CX70" i="36"/>
  <c r="CY70" i="36"/>
  <c r="CZ70" i="36"/>
  <c r="DA70" i="36"/>
  <c r="DB70" i="36"/>
  <c r="DC70" i="36"/>
  <c r="DD70" i="36"/>
  <c r="DE70" i="36"/>
  <c r="DF70" i="36"/>
  <c r="DG70" i="36"/>
  <c r="DH70" i="36"/>
  <c r="DI70" i="36"/>
  <c r="DJ70" i="36"/>
  <c r="DK70" i="36"/>
  <c r="DL70" i="36"/>
  <c r="DM70" i="36"/>
  <c r="DN70" i="36"/>
  <c r="DO70" i="36"/>
  <c r="DP70" i="36"/>
  <c r="DQ70" i="36"/>
  <c r="DR70" i="36"/>
  <c r="DS70" i="36"/>
  <c r="DT70" i="36"/>
  <c r="DU70" i="36"/>
  <c r="DV70" i="36"/>
  <c r="DW70" i="36"/>
  <c r="DX70" i="36"/>
  <c r="DY70" i="36"/>
  <c r="DZ70" i="36"/>
  <c r="EA70" i="36"/>
  <c r="EB70" i="36"/>
  <c r="EC70" i="36"/>
  <c r="ED70" i="36"/>
  <c r="O71" i="36"/>
  <c r="P71" i="36"/>
  <c r="Q71" i="36"/>
  <c r="R71" i="36"/>
  <c r="S71" i="36"/>
  <c r="T71" i="36"/>
  <c r="U71" i="36"/>
  <c r="V71" i="36"/>
  <c r="W71" i="36"/>
  <c r="X71" i="36"/>
  <c r="Y71" i="36"/>
  <c r="Z71" i="36"/>
  <c r="AA71" i="36"/>
  <c r="AB71" i="36"/>
  <c r="AC71" i="36"/>
  <c r="AD71" i="36"/>
  <c r="AE71" i="36"/>
  <c r="AF71" i="36"/>
  <c r="AG71" i="36"/>
  <c r="AH71" i="36"/>
  <c r="AI71" i="36"/>
  <c r="AJ71" i="36"/>
  <c r="AK71" i="36"/>
  <c r="AL71" i="36"/>
  <c r="AM71" i="36"/>
  <c r="AN71" i="36"/>
  <c r="AO71" i="36"/>
  <c r="AP71" i="36"/>
  <c r="AQ71" i="36"/>
  <c r="AR71" i="36"/>
  <c r="AS71" i="36"/>
  <c r="AT71" i="36"/>
  <c r="AU71" i="36"/>
  <c r="AV71" i="36"/>
  <c r="AW71" i="36"/>
  <c r="AX71" i="36"/>
  <c r="AY71" i="36"/>
  <c r="AZ71" i="36"/>
  <c r="BA71" i="36"/>
  <c r="BB71" i="36"/>
  <c r="BC71" i="36"/>
  <c r="BD71" i="36"/>
  <c r="BE71" i="36"/>
  <c r="BF71" i="36"/>
  <c r="BG71" i="36"/>
  <c r="BH71" i="36"/>
  <c r="BI71" i="36"/>
  <c r="BJ71" i="36"/>
  <c r="BK71" i="36"/>
  <c r="BL71" i="36"/>
  <c r="BM71" i="36"/>
  <c r="BN71" i="36"/>
  <c r="BO71" i="36"/>
  <c r="BP71" i="36"/>
  <c r="BQ71" i="36"/>
  <c r="BR71" i="36"/>
  <c r="BS71" i="36"/>
  <c r="BT71" i="36"/>
  <c r="BU71" i="36"/>
  <c r="BV71" i="36"/>
  <c r="BW71" i="36"/>
  <c r="BX71" i="36"/>
  <c r="BY71" i="36"/>
  <c r="BZ71" i="36"/>
  <c r="CA71" i="36"/>
  <c r="CB71" i="36"/>
  <c r="CC71" i="36"/>
  <c r="CD71" i="36"/>
  <c r="CE71" i="36"/>
  <c r="CF71" i="36"/>
  <c r="CG71" i="36"/>
  <c r="CH71" i="36"/>
  <c r="CI71" i="36"/>
  <c r="CJ71" i="36"/>
  <c r="CK71" i="36"/>
  <c r="CL71" i="36"/>
  <c r="CM71" i="36"/>
  <c r="CN71" i="36"/>
  <c r="CO71" i="36"/>
  <c r="CP71" i="36"/>
  <c r="CQ71" i="36"/>
  <c r="CR71" i="36"/>
  <c r="CS71" i="36"/>
  <c r="CT71" i="36"/>
  <c r="CU71" i="36"/>
  <c r="CV71" i="36"/>
  <c r="CW71" i="36"/>
  <c r="CX71" i="36"/>
  <c r="CY71" i="36"/>
  <c r="CZ71" i="36"/>
  <c r="DA71" i="36"/>
  <c r="DB71" i="36"/>
  <c r="DC71" i="36"/>
  <c r="DD71" i="36"/>
  <c r="DE71" i="36"/>
  <c r="DF71" i="36"/>
  <c r="DG71" i="36"/>
  <c r="DH71" i="36"/>
  <c r="DI71" i="36"/>
  <c r="DJ71" i="36"/>
  <c r="DK71" i="36"/>
  <c r="DL71" i="36"/>
  <c r="DM71" i="36"/>
  <c r="DN71" i="36"/>
  <c r="DO71" i="36"/>
  <c r="DP71" i="36"/>
  <c r="DQ71" i="36"/>
  <c r="DR71" i="36"/>
  <c r="DS71" i="36"/>
  <c r="DT71" i="36"/>
  <c r="DU71" i="36"/>
  <c r="DV71" i="36"/>
  <c r="DW71" i="36"/>
  <c r="DX71" i="36"/>
  <c r="DY71" i="36"/>
  <c r="DZ71" i="36"/>
  <c r="EA71" i="36"/>
  <c r="EB71" i="36"/>
  <c r="EC71" i="36"/>
  <c r="ED71" i="36"/>
  <c r="O72" i="36"/>
  <c r="P72" i="36"/>
  <c r="Q72" i="36"/>
  <c r="R72" i="36"/>
  <c r="S72" i="36"/>
  <c r="T72" i="36"/>
  <c r="U72" i="36"/>
  <c r="V72" i="36"/>
  <c r="W72" i="36"/>
  <c r="X72" i="36"/>
  <c r="Y72" i="36"/>
  <c r="Z72" i="36"/>
  <c r="AA72" i="36"/>
  <c r="AB72" i="36"/>
  <c r="AC72" i="36"/>
  <c r="AD72" i="36"/>
  <c r="AE72" i="36"/>
  <c r="AF72" i="36"/>
  <c r="AG72" i="36"/>
  <c r="AH72" i="36"/>
  <c r="AI72" i="36"/>
  <c r="AJ72" i="36"/>
  <c r="AK72" i="36"/>
  <c r="AL72" i="36"/>
  <c r="AM72" i="36"/>
  <c r="AN72" i="36"/>
  <c r="AO72" i="36"/>
  <c r="AP72" i="36"/>
  <c r="AQ72" i="36"/>
  <c r="AR72" i="36"/>
  <c r="AS72" i="36"/>
  <c r="AT72" i="36"/>
  <c r="AU72" i="36"/>
  <c r="AV72" i="36"/>
  <c r="AW72" i="36"/>
  <c r="AX72" i="36"/>
  <c r="AY72" i="36"/>
  <c r="AZ72" i="36"/>
  <c r="BA72" i="36"/>
  <c r="BB72" i="36"/>
  <c r="BC72" i="36"/>
  <c r="BD72" i="36"/>
  <c r="BE72" i="36"/>
  <c r="BF72" i="36"/>
  <c r="BG72" i="36"/>
  <c r="BH72" i="36"/>
  <c r="BI72" i="36"/>
  <c r="BJ72" i="36"/>
  <c r="BK72" i="36"/>
  <c r="BL72" i="36"/>
  <c r="BM72" i="36"/>
  <c r="BN72" i="36"/>
  <c r="BO72" i="36"/>
  <c r="BP72" i="36"/>
  <c r="BQ72" i="36"/>
  <c r="BR72" i="36"/>
  <c r="BS72" i="36"/>
  <c r="BT72" i="36"/>
  <c r="BU72" i="36"/>
  <c r="BV72" i="36"/>
  <c r="BW72" i="36"/>
  <c r="BX72" i="36"/>
  <c r="BY72" i="36"/>
  <c r="BZ72" i="36"/>
  <c r="CA72" i="36"/>
  <c r="CB72" i="36"/>
  <c r="CC72" i="36"/>
  <c r="CD72" i="36"/>
  <c r="CE72" i="36"/>
  <c r="CF72" i="36"/>
  <c r="CG72" i="36"/>
  <c r="CH72" i="36"/>
  <c r="CI72" i="36"/>
  <c r="CJ72" i="36"/>
  <c r="CK72" i="36"/>
  <c r="CL72" i="36"/>
  <c r="CM72" i="36"/>
  <c r="CN72" i="36"/>
  <c r="CO72" i="36"/>
  <c r="CP72" i="36"/>
  <c r="CQ72" i="36"/>
  <c r="CR72" i="36"/>
  <c r="CS72" i="36"/>
  <c r="CT72" i="36"/>
  <c r="CU72" i="36"/>
  <c r="CV72" i="36"/>
  <c r="CW72" i="36"/>
  <c r="CX72" i="36"/>
  <c r="CY72" i="36"/>
  <c r="CZ72" i="36"/>
  <c r="DA72" i="36"/>
  <c r="DB72" i="36"/>
  <c r="DC72" i="36"/>
  <c r="DD72" i="36"/>
  <c r="DE72" i="36"/>
  <c r="DF72" i="36"/>
  <c r="DG72" i="36"/>
  <c r="DH72" i="36"/>
  <c r="DI72" i="36"/>
  <c r="DJ72" i="36"/>
  <c r="DK72" i="36"/>
  <c r="DL72" i="36"/>
  <c r="DM72" i="36"/>
  <c r="DN72" i="36"/>
  <c r="DO72" i="36"/>
  <c r="DP72" i="36"/>
  <c r="DQ72" i="36"/>
  <c r="DR72" i="36"/>
  <c r="DS72" i="36"/>
  <c r="DT72" i="36"/>
  <c r="DU72" i="36"/>
  <c r="DV72" i="36"/>
  <c r="DW72" i="36"/>
  <c r="DX72" i="36"/>
  <c r="DY72" i="36"/>
  <c r="DZ72" i="36"/>
  <c r="EA72" i="36"/>
  <c r="EB72" i="36"/>
  <c r="EC72" i="36"/>
  <c r="ED72" i="36"/>
  <c r="O73" i="36"/>
  <c r="P73" i="36"/>
  <c r="Q73" i="36"/>
  <c r="R73" i="36"/>
  <c r="S73" i="36"/>
  <c r="T73" i="36"/>
  <c r="U73" i="36"/>
  <c r="V73" i="36"/>
  <c r="W73" i="36"/>
  <c r="X73" i="36"/>
  <c r="Y73" i="36"/>
  <c r="Z73" i="36"/>
  <c r="AA73" i="36"/>
  <c r="AB73" i="36"/>
  <c r="AC73" i="36"/>
  <c r="AD73" i="36"/>
  <c r="AE73" i="36"/>
  <c r="AF73" i="36"/>
  <c r="AG73" i="36"/>
  <c r="AH73" i="36"/>
  <c r="AI73" i="36"/>
  <c r="AJ73" i="36"/>
  <c r="AK73" i="36"/>
  <c r="AL73" i="36"/>
  <c r="AM73" i="36"/>
  <c r="AN73" i="36"/>
  <c r="AO73" i="36"/>
  <c r="AP73" i="36"/>
  <c r="AQ73" i="36"/>
  <c r="AR73" i="36"/>
  <c r="AS73" i="36"/>
  <c r="AT73" i="36"/>
  <c r="AU73" i="36"/>
  <c r="AV73" i="36"/>
  <c r="AW73" i="36"/>
  <c r="AX73" i="36"/>
  <c r="AY73" i="36"/>
  <c r="AZ73" i="36"/>
  <c r="BA73" i="36"/>
  <c r="BB73" i="36"/>
  <c r="BC73" i="36"/>
  <c r="BD73" i="36"/>
  <c r="BE73" i="36"/>
  <c r="BF73" i="36"/>
  <c r="BG73" i="36"/>
  <c r="BH73" i="36"/>
  <c r="BI73" i="36"/>
  <c r="BJ73" i="36"/>
  <c r="BK73" i="36"/>
  <c r="BL73" i="36"/>
  <c r="BM73" i="36"/>
  <c r="BN73" i="36"/>
  <c r="BO73" i="36"/>
  <c r="BP73" i="36"/>
  <c r="BQ73" i="36"/>
  <c r="BR73" i="36"/>
  <c r="BS73" i="36"/>
  <c r="BT73" i="36"/>
  <c r="BU73" i="36"/>
  <c r="BV73" i="36"/>
  <c r="BW73" i="36"/>
  <c r="BX73" i="36"/>
  <c r="BY73" i="36"/>
  <c r="BZ73" i="36"/>
  <c r="CA73" i="36"/>
  <c r="CB73" i="36"/>
  <c r="CC73" i="36"/>
  <c r="CD73" i="36"/>
  <c r="CE73" i="36"/>
  <c r="CF73" i="36"/>
  <c r="CG73" i="36"/>
  <c r="CH73" i="36"/>
  <c r="CI73" i="36"/>
  <c r="CJ73" i="36"/>
  <c r="CK73" i="36"/>
  <c r="CL73" i="36"/>
  <c r="CM73" i="36"/>
  <c r="CN73" i="36"/>
  <c r="CO73" i="36"/>
  <c r="CP73" i="36"/>
  <c r="CQ73" i="36"/>
  <c r="CR73" i="36"/>
  <c r="CS73" i="36"/>
  <c r="CT73" i="36"/>
  <c r="CU73" i="36"/>
  <c r="CV73" i="36"/>
  <c r="CW73" i="36"/>
  <c r="CX73" i="36"/>
  <c r="CY73" i="36"/>
  <c r="CZ73" i="36"/>
  <c r="DA73" i="36"/>
  <c r="DB73" i="36"/>
  <c r="DC73" i="36"/>
  <c r="DD73" i="36"/>
  <c r="DE73" i="36"/>
  <c r="DF73" i="36"/>
  <c r="DG73" i="36"/>
  <c r="DH73" i="36"/>
  <c r="DI73" i="36"/>
  <c r="DJ73" i="36"/>
  <c r="DK73" i="36"/>
  <c r="DL73" i="36"/>
  <c r="DM73" i="36"/>
  <c r="DN73" i="36"/>
  <c r="DO73" i="36"/>
  <c r="DP73" i="36"/>
  <c r="DQ73" i="36"/>
  <c r="DR73" i="36"/>
  <c r="DS73" i="36"/>
  <c r="DT73" i="36"/>
  <c r="DU73" i="36"/>
  <c r="DV73" i="36"/>
  <c r="DW73" i="36"/>
  <c r="DX73" i="36"/>
  <c r="DY73" i="36"/>
  <c r="DZ73" i="36"/>
  <c r="EA73" i="36"/>
  <c r="EB73" i="36"/>
  <c r="EC73" i="36"/>
  <c r="ED73" i="36"/>
  <c r="ED62" i="36"/>
  <c r="EC62" i="36"/>
  <c r="EB62" i="36"/>
  <c r="EA62" i="36"/>
  <c r="DZ62" i="36"/>
  <c r="DY62" i="36"/>
  <c r="DX62" i="36"/>
  <c r="DW62" i="36"/>
  <c r="DV62" i="36"/>
  <c r="DU62" i="36"/>
  <c r="DT62" i="36"/>
  <c r="DS62" i="36"/>
  <c r="DR62" i="36"/>
  <c r="DQ62" i="36"/>
  <c r="DP62" i="36"/>
  <c r="DO62" i="36"/>
  <c r="DN62" i="36"/>
  <c r="DM62" i="36"/>
  <c r="DL62" i="36"/>
  <c r="DK62" i="36"/>
  <c r="DJ62" i="36"/>
  <c r="DI62" i="36"/>
  <c r="DH62" i="36"/>
  <c r="DG62" i="36"/>
  <c r="DF62" i="36"/>
  <c r="DE62" i="36"/>
  <c r="DD62" i="36"/>
  <c r="DC62" i="36"/>
  <c r="DB62" i="36"/>
  <c r="DA62" i="36"/>
  <c r="CZ62" i="36"/>
  <c r="CY62" i="36"/>
  <c r="CX62" i="36"/>
  <c r="CW62" i="36"/>
  <c r="CV62" i="36"/>
  <c r="CU62" i="36"/>
  <c r="CT62" i="36"/>
  <c r="CS62" i="36"/>
  <c r="CR62" i="36"/>
  <c r="CQ62" i="36"/>
  <c r="CP62" i="36"/>
  <c r="CO62" i="36"/>
  <c r="CN62" i="36"/>
  <c r="CM62" i="36"/>
  <c r="CL62" i="36"/>
  <c r="CK62" i="36"/>
  <c r="CJ62" i="36"/>
  <c r="CI62" i="36"/>
  <c r="CH62" i="36"/>
  <c r="CG62" i="36"/>
  <c r="CF62" i="36"/>
  <c r="CE62" i="36"/>
  <c r="CD62" i="36"/>
  <c r="CC62" i="36"/>
  <c r="CB62" i="36"/>
  <c r="CA62" i="36"/>
  <c r="BZ62" i="36"/>
  <c r="BY62" i="36"/>
  <c r="BX62" i="36"/>
  <c r="BW62" i="36"/>
  <c r="BV62" i="36"/>
  <c r="BU62" i="36"/>
  <c r="BT62" i="36"/>
  <c r="BS62" i="36"/>
  <c r="BR62" i="36"/>
  <c r="BQ62" i="36"/>
  <c r="BP62" i="36"/>
  <c r="BO62" i="36"/>
  <c r="BN62" i="36"/>
  <c r="BM62" i="36"/>
  <c r="BL62" i="36"/>
  <c r="BK62" i="36"/>
  <c r="BJ62" i="36"/>
  <c r="BI62" i="36"/>
  <c r="BH62" i="36"/>
  <c r="BG62" i="36"/>
  <c r="BF62" i="36"/>
  <c r="BE62" i="36"/>
  <c r="BD62" i="36"/>
  <c r="BC62" i="36"/>
  <c r="BB62" i="36"/>
  <c r="BA62" i="36"/>
  <c r="AZ62" i="36"/>
  <c r="AY62" i="36"/>
  <c r="AX62" i="36"/>
  <c r="AW62" i="36"/>
  <c r="AV62" i="36"/>
  <c r="AU62" i="36"/>
  <c r="AT62" i="36"/>
  <c r="AS62" i="36"/>
  <c r="AR62" i="36"/>
  <c r="AQ62" i="36"/>
  <c r="AP62" i="36"/>
  <c r="AO62" i="36"/>
  <c r="AN62" i="36"/>
  <c r="AM62" i="36"/>
  <c r="AL62" i="36"/>
  <c r="AK62" i="36"/>
  <c r="AJ62" i="36"/>
  <c r="AI62" i="36"/>
  <c r="AH62" i="36"/>
  <c r="AG62" i="36"/>
  <c r="AF62" i="36"/>
  <c r="AE62" i="36"/>
  <c r="AD62" i="36"/>
  <c r="AC62" i="36"/>
  <c r="AB62" i="36"/>
  <c r="AA62" i="36"/>
  <c r="Z62" i="36"/>
  <c r="Y62" i="36"/>
  <c r="X62" i="36"/>
  <c r="W62" i="36"/>
  <c r="V62" i="36"/>
  <c r="U62" i="36"/>
  <c r="T62" i="36"/>
  <c r="S62" i="36"/>
  <c r="R62" i="36"/>
  <c r="Q62" i="36"/>
  <c r="P62" i="36"/>
  <c r="O62" i="36"/>
  <c r="C20" i="46"/>
  <c r="GA18" i="46"/>
  <c r="FZ18" i="46"/>
  <c r="FY18" i="46"/>
  <c r="FX18" i="46"/>
  <c r="FW18" i="46"/>
  <c r="FV18" i="46"/>
  <c r="FU18" i="46"/>
  <c r="FT18" i="46"/>
  <c r="FS18" i="46"/>
  <c r="FR18" i="46"/>
  <c r="FQ18" i="46"/>
  <c r="FP18" i="46"/>
  <c r="FO18" i="46"/>
  <c r="FN18" i="46"/>
  <c r="FM18" i="46"/>
  <c r="FL18" i="46"/>
  <c r="FK18" i="46"/>
  <c r="FJ18" i="46"/>
  <c r="FI18" i="46"/>
  <c r="FH18" i="46"/>
  <c r="FG18" i="46"/>
  <c r="FF18" i="46"/>
  <c r="FE18" i="46"/>
  <c r="FD18" i="46"/>
  <c r="FC18" i="46"/>
  <c r="FB18" i="46"/>
  <c r="FA18" i="46"/>
  <c r="EZ18" i="46"/>
  <c r="EY18" i="46"/>
  <c r="EX18" i="46"/>
  <c r="EW18" i="46"/>
  <c r="EV18" i="46"/>
  <c r="EU18" i="46"/>
  <c r="ET18" i="46"/>
  <c r="ES18" i="46"/>
  <c r="ER18" i="46"/>
  <c r="EQ18" i="46"/>
  <c r="EP18" i="46"/>
  <c r="EO18" i="46"/>
  <c r="EN18" i="46"/>
  <c r="EM18" i="46"/>
  <c r="EL18" i="46"/>
  <c r="EK18" i="46"/>
  <c r="EJ18" i="46"/>
  <c r="EI18" i="46"/>
  <c r="EH18" i="46"/>
  <c r="EG18" i="46"/>
  <c r="EF18" i="46"/>
  <c r="EE18" i="46"/>
  <c r="ED18" i="46"/>
  <c r="EC18" i="46"/>
  <c r="EB18" i="46"/>
  <c r="EA18" i="46"/>
  <c r="DZ18" i="46"/>
  <c r="DY18" i="46"/>
  <c r="DX18" i="46"/>
  <c r="DW18" i="46"/>
  <c r="DV18" i="46"/>
  <c r="DU18" i="46"/>
  <c r="DT18" i="46"/>
  <c r="DS18" i="46"/>
  <c r="DR18" i="46"/>
  <c r="DQ18" i="46"/>
  <c r="DP18" i="46"/>
  <c r="DO18" i="46"/>
  <c r="DN18" i="46"/>
  <c r="DM18" i="46"/>
  <c r="DL18" i="46"/>
  <c r="DK18" i="46"/>
  <c r="DJ18" i="46"/>
  <c r="DI18" i="46"/>
  <c r="DH18" i="46"/>
  <c r="DG18" i="46"/>
  <c r="DF18" i="46"/>
  <c r="DE18" i="46"/>
  <c r="DD18" i="46"/>
  <c r="DC18" i="46"/>
  <c r="DB18" i="46"/>
  <c r="DA18" i="46"/>
  <c r="CZ18" i="46"/>
  <c r="CY18" i="46"/>
  <c r="CX18" i="46"/>
  <c r="CW18" i="46"/>
  <c r="CV18" i="46"/>
  <c r="CU18" i="46"/>
  <c r="CT18" i="46"/>
  <c r="CS18" i="46"/>
  <c r="CR18" i="46"/>
  <c r="CQ18" i="46"/>
  <c r="CP18" i="46"/>
  <c r="CO18" i="46"/>
  <c r="CN18" i="46"/>
  <c r="CM18" i="46"/>
  <c r="CL18" i="46"/>
  <c r="CK18" i="46"/>
  <c r="CJ18" i="46"/>
  <c r="CI18" i="46"/>
  <c r="CH18" i="46"/>
  <c r="CG18" i="46"/>
  <c r="CF18" i="46"/>
  <c r="CE18" i="46"/>
  <c r="CD18" i="46"/>
  <c r="CC18" i="46"/>
  <c r="CB18" i="46"/>
  <c r="CA18" i="46"/>
  <c r="BZ18" i="46"/>
  <c r="BY18" i="46"/>
  <c r="BX18" i="46"/>
  <c r="BW18" i="46"/>
  <c r="BV18" i="46"/>
  <c r="BU18" i="46"/>
  <c r="BT18" i="46"/>
  <c r="BS18" i="46"/>
  <c r="BR18" i="46"/>
  <c r="BQ18" i="46"/>
  <c r="BP18" i="46"/>
  <c r="BO18" i="46"/>
  <c r="BN18" i="46"/>
  <c r="BM18" i="46"/>
  <c r="BL18" i="46"/>
  <c r="BK18" i="46"/>
  <c r="BJ18" i="46"/>
  <c r="BI18" i="46"/>
  <c r="BH18" i="46"/>
  <c r="BG18" i="46"/>
  <c r="BF18" i="46"/>
  <c r="BE18" i="46"/>
  <c r="BD18" i="46"/>
  <c r="BC18" i="46"/>
  <c r="BB18" i="46"/>
  <c r="BA18" i="46"/>
  <c r="AZ18" i="46"/>
  <c r="AY18" i="46"/>
  <c r="AX18" i="46"/>
  <c r="AW18" i="46"/>
  <c r="AV18" i="46"/>
  <c r="AU18" i="46"/>
  <c r="AT18" i="46"/>
  <c r="AS18" i="46"/>
  <c r="AR18" i="46"/>
  <c r="AQ18" i="46"/>
  <c r="AN18" i="46"/>
  <c r="AM18" i="46"/>
  <c r="AL18" i="46"/>
  <c r="AK18" i="46"/>
  <c r="AJ18" i="46"/>
  <c r="AI18" i="46"/>
  <c r="AH18" i="46"/>
  <c r="AG18" i="46"/>
  <c r="AF18" i="46"/>
  <c r="AE18" i="46"/>
  <c r="AD18" i="46"/>
  <c r="Q18" i="46"/>
  <c r="P18" i="46"/>
  <c r="O18" i="46"/>
  <c r="N18" i="46"/>
  <c r="M18" i="46"/>
  <c r="L18" i="46"/>
  <c r="K18" i="46"/>
  <c r="J18" i="46"/>
  <c r="GB18" i="46" s="1"/>
  <c r="I18" i="46"/>
  <c r="H18" i="46"/>
  <c r="G18" i="46"/>
  <c r="F18" i="46"/>
  <c r="E18" i="46"/>
  <c r="D18" i="46"/>
  <c r="C18" i="46"/>
  <c r="GA17" i="46"/>
  <c r="FZ17" i="46"/>
  <c r="FY17" i="46"/>
  <c r="FX17" i="46"/>
  <c r="FW17" i="46"/>
  <c r="FV17" i="46"/>
  <c r="FU17" i="46"/>
  <c r="FT17" i="46"/>
  <c r="FS17" i="46"/>
  <c r="FR17" i="46"/>
  <c r="FQ17" i="46"/>
  <c r="FP17" i="46"/>
  <c r="FO17" i="46"/>
  <c r="FN17" i="46"/>
  <c r="FM17" i="46"/>
  <c r="FL17" i="46"/>
  <c r="FK17" i="46"/>
  <c r="FJ17" i="46"/>
  <c r="FI17" i="46"/>
  <c r="FH17" i="46"/>
  <c r="FG17" i="46"/>
  <c r="FF17" i="46"/>
  <c r="FE17" i="46"/>
  <c r="FD17" i="46"/>
  <c r="FC17" i="46"/>
  <c r="FB17" i="46"/>
  <c r="FA17" i="46"/>
  <c r="EZ17" i="46"/>
  <c r="EY17" i="46"/>
  <c r="EX17" i="46"/>
  <c r="EW17" i="46"/>
  <c r="EV17" i="46"/>
  <c r="EU17" i="46"/>
  <c r="ET17" i="46"/>
  <c r="ES17" i="46"/>
  <c r="ER17" i="46"/>
  <c r="EQ17" i="46"/>
  <c r="EP17" i="46"/>
  <c r="EO17" i="46"/>
  <c r="EN17" i="46"/>
  <c r="EM17" i="46"/>
  <c r="EL17" i="46"/>
  <c r="EK17" i="46"/>
  <c r="EJ17" i="46"/>
  <c r="EI17" i="46"/>
  <c r="EH17" i="46"/>
  <c r="EG17" i="46"/>
  <c r="EF17" i="46"/>
  <c r="EE17" i="46"/>
  <c r="ED17" i="46"/>
  <c r="EC17" i="46"/>
  <c r="EB17" i="46"/>
  <c r="EA17" i="46"/>
  <c r="DZ17" i="46"/>
  <c r="DY17" i="46"/>
  <c r="DX17" i="46"/>
  <c r="DW17" i="46"/>
  <c r="DV17" i="46"/>
  <c r="DU17" i="46"/>
  <c r="DT17" i="46"/>
  <c r="DS17" i="46"/>
  <c r="DR17" i="46"/>
  <c r="DQ17" i="46"/>
  <c r="DP17" i="46"/>
  <c r="DO17" i="46"/>
  <c r="DN17" i="46"/>
  <c r="DM17" i="46"/>
  <c r="DL17" i="46"/>
  <c r="DK17" i="46"/>
  <c r="DJ17" i="46"/>
  <c r="DI17" i="46"/>
  <c r="DH17" i="46"/>
  <c r="DG17" i="46"/>
  <c r="DF17" i="46"/>
  <c r="DE17" i="46"/>
  <c r="DD17" i="46"/>
  <c r="DC17" i="46"/>
  <c r="DB17" i="46"/>
  <c r="DA17" i="46"/>
  <c r="CZ17" i="46"/>
  <c r="CY17" i="46"/>
  <c r="CX17" i="46"/>
  <c r="CW17" i="46"/>
  <c r="CV17" i="46"/>
  <c r="CU17" i="46"/>
  <c r="CT17" i="46"/>
  <c r="CS17" i="46"/>
  <c r="CR17" i="46"/>
  <c r="CQ17" i="46"/>
  <c r="CP17" i="46"/>
  <c r="CO17" i="46"/>
  <c r="CN17" i="46"/>
  <c r="CM17" i="46"/>
  <c r="CL17" i="46"/>
  <c r="CK17" i="46"/>
  <c r="CJ17" i="46"/>
  <c r="CI17" i="46"/>
  <c r="CH17" i="46"/>
  <c r="CG17" i="46"/>
  <c r="CF17" i="46"/>
  <c r="CE17" i="46"/>
  <c r="CD17" i="46"/>
  <c r="CC17" i="46"/>
  <c r="CB17" i="46"/>
  <c r="CA17" i="46"/>
  <c r="BZ17" i="46"/>
  <c r="BY17" i="46"/>
  <c r="BX17" i="46"/>
  <c r="BW17" i="46"/>
  <c r="BV17" i="46"/>
  <c r="BU17" i="46"/>
  <c r="BT17" i="46"/>
  <c r="BS17" i="46"/>
  <c r="BR17" i="46"/>
  <c r="BQ17" i="46"/>
  <c r="BP17" i="46"/>
  <c r="BO17" i="46"/>
  <c r="BN17" i="46"/>
  <c r="BM17" i="46"/>
  <c r="BL17" i="46"/>
  <c r="BK17" i="46"/>
  <c r="BJ17" i="46"/>
  <c r="BI17" i="46"/>
  <c r="BH17" i="46"/>
  <c r="BG17" i="46"/>
  <c r="BF17" i="46"/>
  <c r="BE17" i="46"/>
  <c r="BD17" i="46"/>
  <c r="BC17" i="46"/>
  <c r="BB17" i="46"/>
  <c r="BA17" i="46"/>
  <c r="AZ17" i="46"/>
  <c r="AY17" i="46"/>
  <c r="AX17" i="46"/>
  <c r="AW17" i="46"/>
  <c r="AV17" i="46"/>
  <c r="AU17" i="46"/>
  <c r="AT17" i="46"/>
  <c r="AS17" i="46"/>
  <c r="AR17" i="46"/>
  <c r="AQ17" i="46"/>
  <c r="AN17" i="46"/>
  <c r="AM17" i="46"/>
  <c r="AL17" i="46"/>
  <c r="AK17" i="46"/>
  <c r="AJ17" i="46"/>
  <c r="AI17" i="46"/>
  <c r="AH17" i="46"/>
  <c r="AG17" i="46"/>
  <c r="AF17" i="46"/>
  <c r="AE17" i="46"/>
  <c r="AD17" i="46"/>
  <c r="Q17" i="46"/>
  <c r="P17" i="46"/>
  <c r="O17" i="46"/>
  <c r="N17" i="46"/>
  <c r="M17" i="46"/>
  <c r="L17" i="46"/>
  <c r="K17" i="46"/>
  <c r="J17" i="46"/>
  <c r="I17" i="46"/>
  <c r="H17" i="46"/>
  <c r="G17" i="46"/>
  <c r="F17" i="46"/>
  <c r="E17" i="46"/>
  <c r="D17" i="46"/>
  <c r="C17" i="46"/>
  <c r="GA16" i="46"/>
  <c r="FZ16" i="46"/>
  <c r="FY16" i="46"/>
  <c r="FX16" i="46"/>
  <c r="FW16" i="46"/>
  <c r="FV16" i="46"/>
  <c r="FU16" i="46"/>
  <c r="FT16" i="46"/>
  <c r="FS16" i="46"/>
  <c r="FR16" i="46"/>
  <c r="FQ16" i="46"/>
  <c r="FP16" i="46"/>
  <c r="FO16" i="46"/>
  <c r="FN16" i="46"/>
  <c r="FM16" i="46"/>
  <c r="FL16" i="46"/>
  <c r="FK16" i="46"/>
  <c r="FJ16" i="46"/>
  <c r="FI16" i="46"/>
  <c r="FH16" i="46"/>
  <c r="FG16" i="46"/>
  <c r="FF16" i="46"/>
  <c r="FE16" i="46"/>
  <c r="FD16" i="46"/>
  <c r="FC16" i="46"/>
  <c r="FB16" i="46"/>
  <c r="FA16" i="46"/>
  <c r="EZ16" i="46"/>
  <c r="EY16" i="46"/>
  <c r="EX16" i="46"/>
  <c r="EW16" i="46"/>
  <c r="EV16" i="46"/>
  <c r="EU16" i="46"/>
  <c r="ET16" i="46"/>
  <c r="ES16" i="46"/>
  <c r="ER16" i="46"/>
  <c r="EQ16" i="46"/>
  <c r="EP16" i="46"/>
  <c r="EO16" i="46"/>
  <c r="EN16" i="46"/>
  <c r="EM16" i="46"/>
  <c r="EL16" i="46"/>
  <c r="EK16" i="46"/>
  <c r="EJ16" i="46"/>
  <c r="EI16" i="46"/>
  <c r="EH16" i="46"/>
  <c r="EG16" i="46"/>
  <c r="EF16" i="46"/>
  <c r="EE16" i="46"/>
  <c r="ED16" i="46"/>
  <c r="EC16" i="46"/>
  <c r="EB16" i="46"/>
  <c r="EA16" i="46"/>
  <c r="DZ16" i="46"/>
  <c r="DY16" i="46"/>
  <c r="DX16" i="46"/>
  <c r="DW16" i="46"/>
  <c r="DV16" i="46"/>
  <c r="DU16" i="46"/>
  <c r="DT16" i="46"/>
  <c r="DS16" i="46"/>
  <c r="DR16" i="46"/>
  <c r="DQ16" i="46"/>
  <c r="DP16" i="46"/>
  <c r="DO16" i="46"/>
  <c r="DN16" i="46"/>
  <c r="DM16" i="46"/>
  <c r="DL16" i="46"/>
  <c r="DK16" i="46"/>
  <c r="DJ16" i="46"/>
  <c r="DI16" i="46"/>
  <c r="DH16" i="46"/>
  <c r="DG16" i="46"/>
  <c r="DF16" i="46"/>
  <c r="DE16" i="46"/>
  <c r="DD16" i="46"/>
  <c r="DC16" i="46"/>
  <c r="DB16" i="46"/>
  <c r="DA16" i="46"/>
  <c r="CZ16" i="46"/>
  <c r="CY16" i="46"/>
  <c r="CX16" i="46"/>
  <c r="CW16" i="46"/>
  <c r="CV16" i="46"/>
  <c r="CU16" i="46"/>
  <c r="CT16" i="46"/>
  <c r="CS16" i="46"/>
  <c r="CR16" i="46"/>
  <c r="CQ16" i="46"/>
  <c r="CP16" i="46"/>
  <c r="CO16" i="46"/>
  <c r="CN16" i="46"/>
  <c r="CM16" i="46"/>
  <c r="CL16" i="46"/>
  <c r="CK16" i="46"/>
  <c r="CJ16" i="46"/>
  <c r="CI16" i="46"/>
  <c r="CH16" i="46"/>
  <c r="CG16" i="46"/>
  <c r="CF16" i="46"/>
  <c r="CE16" i="46"/>
  <c r="CD16" i="46"/>
  <c r="CC16" i="46"/>
  <c r="CB16" i="46"/>
  <c r="CA16" i="46"/>
  <c r="BZ16" i="46"/>
  <c r="BY16" i="46"/>
  <c r="BX16" i="46"/>
  <c r="BW16" i="46"/>
  <c r="BV16" i="46"/>
  <c r="BU16" i="46"/>
  <c r="BT16" i="46"/>
  <c r="BS16" i="46"/>
  <c r="BR16" i="46"/>
  <c r="BQ16" i="46"/>
  <c r="BP16" i="46"/>
  <c r="BO16" i="46"/>
  <c r="BN16" i="46"/>
  <c r="BM16" i="46"/>
  <c r="BL16" i="46"/>
  <c r="BK16" i="46"/>
  <c r="BJ16" i="46"/>
  <c r="BI16" i="46"/>
  <c r="BH16" i="46"/>
  <c r="BG16" i="46"/>
  <c r="BF16" i="46"/>
  <c r="BE16" i="46"/>
  <c r="BD16" i="46"/>
  <c r="BC16" i="46"/>
  <c r="BB16" i="46"/>
  <c r="BA16" i="46"/>
  <c r="AZ16" i="46"/>
  <c r="AY16" i="46"/>
  <c r="AX16" i="46"/>
  <c r="AW16" i="46"/>
  <c r="AV16" i="46"/>
  <c r="AU16" i="46"/>
  <c r="AT16" i="46"/>
  <c r="AS16" i="46"/>
  <c r="AR16" i="46"/>
  <c r="AQ16" i="46"/>
  <c r="AN16" i="46"/>
  <c r="AM16" i="46"/>
  <c r="AL16" i="46"/>
  <c r="AK16" i="46"/>
  <c r="AJ16" i="46"/>
  <c r="AI16" i="46"/>
  <c r="AH16" i="46"/>
  <c r="AG16" i="46"/>
  <c r="AF16" i="46"/>
  <c r="AE16" i="46"/>
  <c r="AD16" i="46"/>
  <c r="Q16" i="46"/>
  <c r="P16" i="46"/>
  <c r="O16" i="46"/>
  <c r="N16" i="46"/>
  <c r="M16" i="46"/>
  <c r="L16" i="46"/>
  <c r="K16" i="46"/>
  <c r="J16" i="46"/>
  <c r="I16" i="46"/>
  <c r="H16" i="46"/>
  <c r="G16" i="46"/>
  <c r="F16" i="46"/>
  <c r="E16" i="46"/>
  <c r="D16" i="46"/>
  <c r="C16" i="46"/>
  <c r="GA15" i="46"/>
  <c r="FZ15" i="46"/>
  <c r="FY15" i="46"/>
  <c r="FX15" i="46"/>
  <c r="FW15" i="46"/>
  <c r="FV15" i="46"/>
  <c r="FU15" i="46"/>
  <c r="FT15" i="46"/>
  <c r="FS15" i="46"/>
  <c r="FR15" i="46"/>
  <c r="FQ15" i="46"/>
  <c r="FP15" i="46"/>
  <c r="FO15" i="46"/>
  <c r="FN15" i="46"/>
  <c r="FM15" i="46"/>
  <c r="FL15" i="46"/>
  <c r="FK15" i="46"/>
  <c r="FJ15" i="46"/>
  <c r="FI15" i="46"/>
  <c r="FH15" i="46"/>
  <c r="FG15" i="46"/>
  <c r="FF15" i="46"/>
  <c r="FE15" i="46"/>
  <c r="FD15" i="46"/>
  <c r="FC15" i="46"/>
  <c r="FB15" i="46"/>
  <c r="FA15" i="46"/>
  <c r="EZ15" i="46"/>
  <c r="EY15" i="46"/>
  <c r="EX15" i="46"/>
  <c r="EW15" i="46"/>
  <c r="EV15" i="46"/>
  <c r="EU15" i="46"/>
  <c r="ET15" i="46"/>
  <c r="ES15" i="46"/>
  <c r="ER15" i="46"/>
  <c r="EQ15" i="46"/>
  <c r="EP15" i="46"/>
  <c r="EO15" i="46"/>
  <c r="EN15" i="46"/>
  <c r="EM15" i="46"/>
  <c r="EL15" i="46"/>
  <c r="EK15" i="46"/>
  <c r="EJ15" i="46"/>
  <c r="EI15" i="46"/>
  <c r="EH15" i="46"/>
  <c r="EG15" i="46"/>
  <c r="EF15" i="46"/>
  <c r="EE15" i="46"/>
  <c r="ED15" i="46"/>
  <c r="EC15" i="46"/>
  <c r="EB15" i="46"/>
  <c r="EA15" i="46"/>
  <c r="DZ15" i="46"/>
  <c r="DY15" i="46"/>
  <c r="DX15" i="46"/>
  <c r="DW15" i="46"/>
  <c r="DV15" i="46"/>
  <c r="DU15" i="46"/>
  <c r="DT15" i="46"/>
  <c r="DS15" i="46"/>
  <c r="DR15" i="46"/>
  <c r="DQ15" i="46"/>
  <c r="DP15" i="46"/>
  <c r="DO15" i="46"/>
  <c r="DN15" i="46"/>
  <c r="DM15" i="46"/>
  <c r="DL15" i="46"/>
  <c r="DK15" i="46"/>
  <c r="DJ15" i="46"/>
  <c r="DI15" i="46"/>
  <c r="DH15" i="46"/>
  <c r="DG15" i="46"/>
  <c r="DF15" i="46"/>
  <c r="DE15" i="46"/>
  <c r="DD15" i="46"/>
  <c r="DC15" i="46"/>
  <c r="DB15" i="46"/>
  <c r="DA15" i="46"/>
  <c r="CZ15" i="46"/>
  <c r="CY15" i="46"/>
  <c r="CX15" i="46"/>
  <c r="CW15" i="46"/>
  <c r="CV15" i="46"/>
  <c r="CU15" i="46"/>
  <c r="CT15" i="46"/>
  <c r="CS15" i="46"/>
  <c r="CR15" i="46"/>
  <c r="CQ15" i="46"/>
  <c r="CP15" i="46"/>
  <c r="CO15" i="46"/>
  <c r="CN15" i="46"/>
  <c r="CM15" i="46"/>
  <c r="CL15" i="46"/>
  <c r="CK15" i="46"/>
  <c r="CJ15" i="46"/>
  <c r="CI15" i="46"/>
  <c r="CH15" i="46"/>
  <c r="CG15" i="46"/>
  <c r="CF15" i="46"/>
  <c r="CE15" i="46"/>
  <c r="CD15" i="46"/>
  <c r="CC15" i="46"/>
  <c r="CB15" i="46"/>
  <c r="CA15" i="46"/>
  <c r="BZ15" i="46"/>
  <c r="BY15" i="46"/>
  <c r="BX15" i="46"/>
  <c r="BW15" i="46"/>
  <c r="BV15" i="46"/>
  <c r="BU15" i="46"/>
  <c r="BT15" i="46"/>
  <c r="BS15" i="46"/>
  <c r="BR15" i="46"/>
  <c r="BQ15" i="46"/>
  <c r="BP15" i="46"/>
  <c r="BO15" i="46"/>
  <c r="BN15" i="46"/>
  <c r="BM15" i="46"/>
  <c r="BL15" i="46"/>
  <c r="BK15" i="46"/>
  <c r="BJ15" i="46"/>
  <c r="BI15" i="46"/>
  <c r="BH15" i="46"/>
  <c r="BG15" i="46"/>
  <c r="BF15" i="46"/>
  <c r="BE15" i="46"/>
  <c r="BD15" i="46"/>
  <c r="BC15" i="46"/>
  <c r="BB15" i="46"/>
  <c r="BA15" i="46"/>
  <c r="AZ15" i="46"/>
  <c r="AY15" i="46"/>
  <c r="AX15" i="46"/>
  <c r="AW15" i="46"/>
  <c r="AV15" i="46"/>
  <c r="AU15" i="46"/>
  <c r="AT15" i="46"/>
  <c r="AS15" i="46"/>
  <c r="AR15" i="46"/>
  <c r="AQ15" i="46"/>
  <c r="AN15" i="46"/>
  <c r="AM15" i="46"/>
  <c r="AL15" i="46"/>
  <c r="AK15" i="46"/>
  <c r="AJ15" i="46"/>
  <c r="AI15" i="46"/>
  <c r="AH15" i="46"/>
  <c r="AG15" i="46"/>
  <c r="AF15" i="46"/>
  <c r="AE15" i="46"/>
  <c r="AD15" i="46"/>
  <c r="Q15" i="46"/>
  <c r="P15" i="46"/>
  <c r="O15" i="46"/>
  <c r="N15" i="46"/>
  <c r="M15" i="46"/>
  <c r="L15" i="46"/>
  <c r="K15" i="46"/>
  <c r="J15" i="46"/>
  <c r="I15" i="46"/>
  <c r="H15" i="46"/>
  <c r="G15" i="46"/>
  <c r="F15" i="46"/>
  <c r="E15" i="46"/>
  <c r="D15" i="46"/>
  <c r="C15" i="46"/>
  <c r="GA14" i="46"/>
  <c r="FZ14" i="46"/>
  <c r="FY14" i="46"/>
  <c r="FX14" i="46"/>
  <c r="FW14" i="46"/>
  <c r="FV14" i="46"/>
  <c r="FU14" i="46"/>
  <c r="FT14" i="46"/>
  <c r="FS14" i="46"/>
  <c r="FR14" i="46"/>
  <c r="FQ14" i="46"/>
  <c r="FP14" i="46"/>
  <c r="FO14" i="46"/>
  <c r="FN14" i="46"/>
  <c r="FM14" i="46"/>
  <c r="FL14" i="46"/>
  <c r="FK14" i="46"/>
  <c r="FJ14" i="46"/>
  <c r="FI14" i="46"/>
  <c r="FH14" i="46"/>
  <c r="FG14" i="46"/>
  <c r="FF14" i="46"/>
  <c r="FE14" i="46"/>
  <c r="FD14" i="46"/>
  <c r="FC14" i="46"/>
  <c r="FB14" i="46"/>
  <c r="FA14" i="46"/>
  <c r="EZ14" i="46"/>
  <c r="EY14" i="46"/>
  <c r="EX14" i="46"/>
  <c r="EW14" i="46"/>
  <c r="EV14" i="46"/>
  <c r="EU14" i="46"/>
  <c r="ET14" i="46"/>
  <c r="ES14" i="46"/>
  <c r="ER14" i="46"/>
  <c r="EQ14" i="46"/>
  <c r="EP14" i="46"/>
  <c r="EO14" i="46"/>
  <c r="EN14" i="46"/>
  <c r="EM14" i="46"/>
  <c r="EL14" i="46"/>
  <c r="EK14" i="46"/>
  <c r="EJ14" i="46"/>
  <c r="EI14" i="46"/>
  <c r="EH14" i="46"/>
  <c r="EG14" i="46"/>
  <c r="EF14" i="46"/>
  <c r="EE14" i="46"/>
  <c r="ED14" i="46"/>
  <c r="EC14" i="46"/>
  <c r="EB14" i="46"/>
  <c r="EA14" i="46"/>
  <c r="DZ14" i="46"/>
  <c r="DY14" i="46"/>
  <c r="DX14" i="46"/>
  <c r="DW14" i="46"/>
  <c r="DV14" i="46"/>
  <c r="DU14" i="46"/>
  <c r="DT14" i="46"/>
  <c r="DS14" i="46"/>
  <c r="DR14" i="46"/>
  <c r="DQ14" i="46"/>
  <c r="DP14" i="46"/>
  <c r="DO14" i="46"/>
  <c r="DN14" i="46"/>
  <c r="DM14" i="46"/>
  <c r="DL14" i="46"/>
  <c r="DK14" i="46"/>
  <c r="DJ14" i="46"/>
  <c r="DI14" i="46"/>
  <c r="DH14" i="46"/>
  <c r="DG14" i="46"/>
  <c r="DF14" i="46"/>
  <c r="DE14" i="46"/>
  <c r="DD14" i="46"/>
  <c r="DC14" i="46"/>
  <c r="DB14" i="46"/>
  <c r="DA14" i="46"/>
  <c r="CZ14" i="46"/>
  <c r="CY14" i="46"/>
  <c r="CX14" i="46"/>
  <c r="CW14" i="46"/>
  <c r="CV14" i="46"/>
  <c r="CU14" i="46"/>
  <c r="CT14" i="46"/>
  <c r="CS14" i="46"/>
  <c r="CR14" i="46"/>
  <c r="CQ14" i="46"/>
  <c r="CP14" i="46"/>
  <c r="CO14" i="46"/>
  <c r="CN14" i="46"/>
  <c r="CM14" i="46"/>
  <c r="CL14" i="46"/>
  <c r="CK14" i="46"/>
  <c r="CJ14" i="46"/>
  <c r="CI14" i="46"/>
  <c r="CH14" i="46"/>
  <c r="CG14" i="46"/>
  <c r="CF14" i="46"/>
  <c r="CE14" i="46"/>
  <c r="CD14" i="46"/>
  <c r="CC14" i="46"/>
  <c r="CB14" i="46"/>
  <c r="CA14" i="46"/>
  <c r="BZ14" i="46"/>
  <c r="BY14" i="46"/>
  <c r="BX14" i="46"/>
  <c r="BW14" i="46"/>
  <c r="BV14" i="46"/>
  <c r="BU14" i="46"/>
  <c r="BT14" i="46"/>
  <c r="BS14" i="46"/>
  <c r="BR14" i="46"/>
  <c r="BQ14" i="46"/>
  <c r="BP14" i="46"/>
  <c r="BO14" i="46"/>
  <c r="BN14" i="46"/>
  <c r="BM14" i="46"/>
  <c r="BL14" i="46"/>
  <c r="BK14" i="46"/>
  <c r="BJ14" i="46"/>
  <c r="BI14" i="46"/>
  <c r="BH14" i="46"/>
  <c r="BG14" i="46"/>
  <c r="BF14" i="46"/>
  <c r="BE14" i="46"/>
  <c r="BD14" i="46"/>
  <c r="BC14" i="46"/>
  <c r="BB14" i="46"/>
  <c r="BA14" i="46"/>
  <c r="AZ14" i="46"/>
  <c r="AY14" i="46"/>
  <c r="AX14" i="46"/>
  <c r="AW14" i="46"/>
  <c r="AV14" i="46"/>
  <c r="AU14" i="46"/>
  <c r="AT14" i="46"/>
  <c r="AS14" i="46"/>
  <c r="AR14" i="46"/>
  <c r="AQ14" i="46"/>
  <c r="AN14" i="46"/>
  <c r="AM14" i="46"/>
  <c r="AL14" i="46"/>
  <c r="AK14" i="46"/>
  <c r="AJ14" i="46"/>
  <c r="AI14" i="46"/>
  <c r="AH14" i="46"/>
  <c r="AG14" i="46"/>
  <c r="AF14" i="46"/>
  <c r="AE14" i="46"/>
  <c r="AD14" i="46"/>
  <c r="Q14" i="46"/>
  <c r="P14" i="46"/>
  <c r="O14" i="46"/>
  <c r="N14" i="46"/>
  <c r="GC14" i="46" s="1"/>
  <c r="M14" i="46"/>
  <c r="L14" i="46"/>
  <c r="K14" i="46"/>
  <c r="J14" i="46"/>
  <c r="I14" i="46"/>
  <c r="H14" i="46"/>
  <c r="G14" i="46"/>
  <c r="F14" i="46"/>
  <c r="E14" i="46"/>
  <c r="D14" i="46"/>
  <c r="C14" i="46"/>
  <c r="GA13" i="46"/>
  <c r="FZ13" i="46"/>
  <c r="FY13" i="46"/>
  <c r="FX13" i="46"/>
  <c r="FW13" i="46"/>
  <c r="FV13" i="46"/>
  <c r="FU13" i="46"/>
  <c r="FT13" i="46"/>
  <c r="FS13" i="46"/>
  <c r="FR13" i="46"/>
  <c r="FQ13" i="46"/>
  <c r="FP13" i="46"/>
  <c r="FO13" i="46"/>
  <c r="FN13" i="46"/>
  <c r="FM13" i="46"/>
  <c r="FL13" i="46"/>
  <c r="FK13" i="46"/>
  <c r="FJ13" i="46"/>
  <c r="FI13" i="46"/>
  <c r="FH13" i="46"/>
  <c r="FG13" i="46"/>
  <c r="FF13" i="46"/>
  <c r="FE13" i="46"/>
  <c r="FD13" i="46"/>
  <c r="FC13" i="46"/>
  <c r="FB13" i="46"/>
  <c r="FA13" i="46"/>
  <c r="EZ13" i="46"/>
  <c r="EY13" i="46"/>
  <c r="EX13" i="46"/>
  <c r="EW13" i="46"/>
  <c r="EV13" i="46"/>
  <c r="EU13" i="46"/>
  <c r="ET13" i="46"/>
  <c r="ES13" i="46"/>
  <c r="ER13" i="46"/>
  <c r="EQ13" i="46"/>
  <c r="EP13" i="46"/>
  <c r="EO13" i="46"/>
  <c r="EN13" i="46"/>
  <c r="EM13" i="46"/>
  <c r="EL13" i="46"/>
  <c r="EK13" i="46"/>
  <c r="EJ13" i="46"/>
  <c r="EI13" i="46"/>
  <c r="EH13" i="46"/>
  <c r="EG13" i="46"/>
  <c r="EF13" i="46"/>
  <c r="EE13" i="46"/>
  <c r="ED13" i="46"/>
  <c r="EC13" i="46"/>
  <c r="EB13" i="46"/>
  <c r="EA13" i="46"/>
  <c r="DZ13" i="46"/>
  <c r="DY13" i="46"/>
  <c r="DX13" i="46"/>
  <c r="DW13" i="46"/>
  <c r="DV13" i="46"/>
  <c r="DU13" i="46"/>
  <c r="DT13" i="46"/>
  <c r="DS13" i="46"/>
  <c r="DR13" i="46"/>
  <c r="DQ13" i="46"/>
  <c r="DP13" i="46"/>
  <c r="DO13" i="46"/>
  <c r="DN13" i="46"/>
  <c r="DM13" i="46"/>
  <c r="DL13" i="46"/>
  <c r="DK13" i="46"/>
  <c r="DJ13" i="46"/>
  <c r="DI13" i="46"/>
  <c r="DH13" i="46"/>
  <c r="DG13" i="46"/>
  <c r="DF13" i="46"/>
  <c r="DE13" i="46"/>
  <c r="DD13" i="46"/>
  <c r="DC13" i="46"/>
  <c r="DB13" i="46"/>
  <c r="DA13" i="46"/>
  <c r="CZ13" i="46"/>
  <c r="CY13" i="46"/>
  <c r="CX13" i="46"/>
  <c r="CW13" i="46"/>
  <c r="CV13" i="46"/>
  <c r="CU13" i="46"/>
  <c r="CT13" i="46"/>
  <c r="CS13" i="46"/>
  <c r="CR13" i="46"/>
  <c r="CQ13" i="46"/>
  <c r="CP13" i="46"/>
  <c r="CO13" i="46"/>
  <c r="CN13" i="46"/>
  <c r="CM13" i="46"/>
  <c r="CL13" i="46"/>
  <c r="CK13" i="46"/>
  <c r="CJ13" i="46"/>
  <c r="CI13" i="46"/>
  <c r="CH13" i="46"/>
  <c r="CG13" i="46"/>
  <c r="CF13" i="46"/>
  <c r="CE13" i="46"/>
  <c r="CD13" i="46"/>
  <c r="CC13" i="46"/>
  <c r="CB13" i="46"/>
  <c r="CA13" i="46"/>
  <c r="BZ13" i="46"/>
  <c r="BY13" i="46"/>
  <c r="BX13" i="46"/>
  <c r="BW13" i="46"/>
  <c r="BV13" i="46"/>
  <c r="BU13" i="46"/>
  <c r="BT13" i="46"/>
  <c r="BS13" i="46"/>
  <c r="BR13" i="46"/>
  <c r="BQ13" i="46"/>
  <c r="BP13" i="46"/>
  <c r="BO13" i="46"/>
  <c r="BN13" i="46"/>
  <c r="BM13" i="46"/>
  <c r="BL13" i="46"/>
  <c r="BK13" i="46"/>
  <c r="BJ13" i="46"/>
  <c r="BI13" i="46"/>
  <c r="BH13" i="46"/>
  <c r="BG13" i="46"/>
  <c r="BF13" i="46"/>
  <c r="BE13" i="46"/>
  <c r="BD13" i="46"/>
  <c r="BC13" i="46"/>
  <c r="BB13" i="46"/>
  <c r="BA13" i="46"/>
  <c r="AZ13" i="46"/>
  <c r="AY13" i="46"/>
  <c r="AX13" i="46"/>
  <c r="AW13" i="46"/>
  <c r="AV13" i="46"/>
  <c r="AU13" i="46"/>
  <c r="AT13" i="46"/>
  <c r="AS13" i="46"/>
  <c r="AR13" i="46"/>
  <c r="AQ13" i="46"/>
  <c r="AN13" i="46"/>
  <c r="AM13" i="46"/>
  <c r="AL13" i="46"/>
  <c r="AK13" i="46"/>
  <c r="AJ13" i="46"/>
  <c r="AI13" i="46"/>
  <c r="AH13" i="46"/>
  <c r="AG13" i="46"/>
  <c r="AF13" i="46"/>
  <c r="AE13" i="46"/>
  <c r="AD13" i="46"/>
  <c r="Q13" i="46"/>
  <c r="P13" i="46"/>
  <c r="O13" i="46"/>
  <c r="N13" i="46"/>
  <c r="M13" i="46"/>
  <c r="L13" i="46"/>
  <c r="K13" i="46"/>
  <c r="J13" i="46"/>
  <c r="I13" i="46"/>
  <c r="H13" i="46"/>
  <c r="G13" i="46"/>
  <c r="F13" i="46"/>
  <c r="E13" i="46"/>
  <c r="D13" i="46"/>
  <c r="C13" i="46"/>
  <c r="GA12" i="46"/>
  <c r="FZ12" i="46"/>
  <c r="FY12" i="46"/>
  <c r="FX12" i="46"/>
  <c r="FW12" i="46"/>
  <c r="FV12" i="46"/>
  <c r="FU12" i="46"/>
  <c r="FT12" i="46"/>
  <c r="FS12" i="46"/>
  <c r="FR12" i="46"/>
  <c r="FQ12" i="46"/>
  <c r="FP12" i="46"/>
  <c r="FO12" i="46"/>
  <c r="FN12" i="46"/>
  <c r="FM12" i="46"/>
  <c r="FL12" i="46"/>
  <c r="FK12" i="46"/>
  <c r="FJ12" i="46"/>
  <c r="FI12" i="46"/>
  <c r="FH12" i="46"/>
  <c r="FG12" i="46"/>
  <c r="FF12" i="46"/>
  <c r="FE12" i="46"/>
  <c r="FD12" i="46"/>
  <c r="FC12" i="46"/>
  <c r="FB12" i="46"/>
  <c r="FA12" i="46"/>
  <c r="EZ12" i="46"/>
  <c r="EY12" i="46"/>
  <c r="EX12" i="46"/>
  <c r="EW12" i="46"/>
  <c r="EV12" i="46"/>
  <c r="EU12" i="46"/>
  <c r="ET12" i="46"/>
  <c r="ES12" i="46"/>
  <c r="ER12" i="46"/>
  <c r="EQ12" i="46"/>
  <c r="EP12" i="46"/>
  <c r="EO12" i="46"/>
  <c r="EN12" i="46"/>
  <c r="EM12" i="46"/>
  <c r="EL12" i="46"/>
  <c r="EK12" i="46"/>
  <c r="EJ12" i="46"/>
  <c r="EI12" i="46"/>
  <c r="EH12" i="46"/>
  <c r="EG12" i="46"/>
  <c r="EF12" i="46"/>
  <c r="EE12" i="46"/>
  <c r="ED12" i="46"/>
  <c r="EC12" i="46"/>
  <c r="EB12" i="46"/>
  <c r="EA12" i="46"/>
  <c r="DZ12" i="46"/>
  <c r="DY12" i="46"/>
  <c r="DX12" i="46"/>
  <c r="DW12" i="46"/>
  <c r="DV12" i="46"/>
  <c r="DU12" i="46"/>
  <c r="DT12" i="46"/>
  <c r="DS12" i="46"/>
  <c r="DR12" i="46"/>
  <c r="DQ12" i="46"/>
  <c r="DP12" i="46"/>
  <c r="DO12" i="46"/>
  <c r="DN12" i="46"/>
  <c r="DM12" i="46"/>
  <c r="DL12" i="46"/>
  <c r="DK12" i="46"/>
  <c r="DJ12" i="46"/>
  <c r="DI12" i="46"/>
  <c r="DH12" i="46"/>
  <c r="DG12" i="46"/>
  <c r="DF12" i="46"/>
  <c r="DE12" i="46"/>
  <c r="DD12" i="46"/>
  <c r="DC12" i="46"/>
  <c r="DB12" i="46"/>
  <c r="DA12" i="46"/>
  <c r="CZ12" i="46"/>
  <c r="CY12" i="46"/>
  <c r="CX12" i="46"/>
  <c r="CW12" i="46"/>
  <c r="CV12" i="46"/>
  <c r="CU12" i="46"/>
  <c r="CT12" i="46"/>
  <c r="CS12" i="46"/>
  <c r="CR12" i="46"/>
  <c r="CQ12" i="46"/>
  <c r="CP12" i="46"/>
  <c r="CO12" i="46"/>
  <c r="CN12" i="46"/>
  <c r="CM12" i="46"/>
  <c r="CL12" i="46"/>
  <c r="CK12" i="46"/>
  <c r="CJ12" i="46"/>
  <c r="CI12" i="46"/>
  <c r="CH12" i="46"/>
  <c r="CG12" i="46"/>
  <c r="CF12" i="46"/>
  <c r="CE12" i="46"/>
  <c r="CD12" i="46"/>
  <c r="CC12" i="46"/>
  <c r="CB12" i="46"/>
  <c r="CA12" i="46"/>
  <c r="BZ12" i="46"/>
  <c r="BY12" i="46"/>
  <c r="BX12" i="46"/>
  <c r="BW12" i="46"/>
  <c r="BV12" i="46"/>
  <c r="BU12" i="46"/>
  <c r="BT12" i="46"/>
  <c r="BS12" i="46"/>
  <c r="BR12" i="46"/>
  <c r="BQ12" i="46"/>
  <c r="BP12" i="46"/>
  <c r="BO12" i="46"/>
  <c r="BN12" i="46"/>
  <c r="BM12" i="46"/>
  <c r="BL12" i="46"/>
  <c r="BK12" i="46"/>
  <c r="BJ12" i="46"/>
  <c r="BI12" i="46"/>
  <c r="BH12" i="46"/>
  <c r="BG12" i="46"/>
  <c r="BF12" i="46"/>
  <c r="BE12" i="46"/>
  <c r="BD12" i="46"/>
  <c r="BC12" i="46"/>
  <c r="BB12" i="46"/>
  <c r="BA12" i="46"/>
  <c r="AZ12" i="46"/>
  <c r="AY12" i="46"/>
  <c r="AX12" i="46"/>
  <c r="AW12" i="46"/>
  <c r="AV12" i="46"/>
  <c r="AU12" i="46"/>
  <c r="AT12" i="46"/>
  <c r="AS12" i="46"/>
  <c r="AR12" i="46"/>
  <c r="AQ12" i="46"/>
  <c r="AN12" i="46"/>
  <c r="AM12" i="46"/>
  <c r="AL12" i="46"/>
  <c r="AK12" i="46"/>
  <c r="AJ12" i="46"/>
  <c r="AI12" i="46"/>
  <c r="AH12" i="46"/>
  <c r="AG12" i="46"/>
  <c r="AF12" i="46"/>
  <c r="AE12" i="46"/>
  <c r="AD12" i="46"/>
  <c r="Q12" i="46"/>
  <c r="P12" i="46"/>
  <c r="O12" i="46"/>
  <c r="N12" i="46"/>
  <c r="M12" i="46"/>
  <c r="L12" i="46"/>
  <c r="K12" i="46"/>
  <c r="J12" i="46"/>
  <c r="I12" i="46"/>
  <c r="H12" i="46"/>
  <c r="G12" i="46"/>
  <c r="F12" i="46"/>
  <c r="E12" i="46"/>
  <c r="D12" i="46"/>
  <c r="D20" i="46" s="1"/>
  <c r="C12" i="46"/>
  <c r="GA11" i="46"/>
  <c r="FZ11" i="46"/>
  <c r="FY11" i="46"/>
  <c r="FX11" i="46"/>
  <c r="FW11" i="46"/>
  <c r="FV11" i="46"/>
  <c r="FU11" i="46"/>
  <c r="FT11" i="46"/>
  <c r="FS11" i="46"/>
  <c r="FR11" i="46"/>
  <c r="FQ11" i="46"/>
  <c r="FP11" i="46"/>
  <c r="FO11" i="46"/>
  <c r="FN11" i="46"/>
  <c r="FM11" i="46"/>
  <c r="FL11" i="46"/>
  <c r="FK11" i="46"/>
  <c r="FJ11" i="46"/>
  <c r="FI11" i="46"/>
  <c r="FH11" i="46"/>
  <c r="FG11" i="46"/>
  <c r="FF11" i="46"/>
  <c r="FE11" i="46"/>
  <c r="FD11" i="46"/>
  <c r="FC11" i="46"/>
  <c r="FB11" i="46"/>
  <c r="FA11" i="46"/>
  <c r="EZ11" i="46"/>
  <c r="EY11" i="46"/>
  <c r="EX11" i="46"/>
  <c r="EW11" i="46"/>
  <c r="EV11" i="46"/>
  <c r="EU11" i="46"/>
  <c r="ET11" i="46"/>
  <c r="ES11" i="46"/>
  <c r="ER11" i="46"/>
  <c r="EQ11" i="46"/>
  <c r="EP11" i="46"/>
  <c r="EO11" i="46"/>
  <c r="EN11" i="46"/>
  <c r="EM11" i="46"/>
  <c r="EL11" i="46"/>
  <c r="EK11" i="46"/>
  <c r="EJ11" i="46"/>
  <c r="EI11" i="46"/>
  <c r="EH11" i="46"/>
  <c r="EG11" i="46"/>
  <c r="EF11" i="46"/>
  <c r="EE11" i="46"/>
  <c r="ED11" i="46"/>
  <c r="EC11" i="46"/>
  <c r="EB11" i="46"/>
  <c r="EA11" i="46"/>
  <c r="DZ11" i="46"/>
  <c r="DY11" i="46"/>
  <c r="DX11" i="46"/>
  <c r="DW11" i="46"/>
  <c r="DV11" i="46"/>
  <c r="DU11" i="46"/>
  <c r="DT11" i="46"/>
  <c r="DS11" i="46"/>
  <c r="DR11" i="46"/>
  <c r="DQ11" i="46"/>
  <c r="DP11" i="46"/>
  <c r="DO11" i="46"/>
  <c r="DN11" i="46"/>
  <c r="DM11" i="46"/>
  <c r="DL11" i="46"/>
  <c r="DK11" i="46"/>
  <c r="DJ11" i="46"/>
  <c r="DI11" i="46"/>
  <c r="DH11" i="46"/>
  <c r="DG11" i="46"/>
  <c r="DF11" i="46"/>
  <c r="DE11" i="46"/>
  <c r="DD11" i="46"/>
  <c r="DC11" i="46"/>
  <c r="DB11" i="46"/>
  <c r="DA11" i="46"/>
  <c r="CZ11" i="46"/>
  <c r="CY11" i="46"/>
  <c r="CX11" i="46"/>
  <c r="CW11" i="46"/>
  <c r="CV11" i="46"/>
  <c r="CU11" i="46"/>
  <c r="CT11" i="46"/>
  <c r="CS11" i="46"/>
  <c r="CR11" i="46"/>
  <c r="CQ11" i="46"/>
  <c r="CP11" i="46"/>
  <c r="CO11" i="46"/>
  <c r="CN11" i="46"/>
  <c r="CM11" i="46"/>
  <c r="CL11" i="46"/>
  <c r="CK11" i="46"/>
  <c r="CJ11" i="46"/>
  <c r="CI11" i="46"/>
  <c r="CH11" i="46"/>
  <c r="CG11" i="46"/>
  <c r="CF11" i="46"/>
  <c r="CE11" i="46"/>
  <c r="CD11" i="46"/>
  <c r="CC11" i="46"/>
  <c r="CB11" i="46"/>
  <c r="CA11" i="46"/>
  <c r="BZ11" i="46"/>
  <c r="BY11" i="46"/>
  <c r="BX11" i="46"/>
  <c r="BW11" i="46"/>
  <c r="BV11" i="46"/>
  <c r="BU11" i="46"/>
  <c r="BT11" i="46"/>
  <c r="BS11" i="46"/>
  <c r="BR11" i="46"/>
  <c r="BQ11" i="46"/>
  <c r="BP11" i="46"/>
  <c r="BO11" i="46"/>
  <c r="BN11" i="46"/>
  <c r="BM11" i="46"/>
  <c r="BL11" i="46"/>
  <c r="BK11" i="46"/>
  <c r="BJ11" i="46"/>
  <c r="BI11" i="46"/>
  <c r="BH11" i="46"/>
  <c r="BG11" i="46"/>
  <c r="BF11" i="46"/>
  <c r="BE11" i="46"/>
  <c r="BD11" i="46"/>
  <c r="BC11" i="46"/>
  <c r="BB11" i="46"/>
  <c r="BA11" i="46"/>
  <c r="AZ11" i="46"/>
  <c r="AY11" i="46"/>
  <c r="AX11" i="46"/>
  <c r="AW11" i="46"/>
  <c r="AV11" i="46"/>
  <c r="AU11" i="46"/>
  <c r="AT11" i="46"/>
  <c r="AS11" i="46"/>
  <c r="AR11" i="46"/>
  <c r="AQ11" i="46"/>
  <c r="AN11" i="46"/>
  <c r="AM11" i="46"/>
  <c r="AL11" i="46"/>
  <c r="AK11" i="46"/>
  <c r="AJ11" i="46"/>
  <c r="AI11" i="46"/>
  <c r="AH11" i="46"/>
  <c r="AG11" i="46"/>
  <c r="AF11" i="46"/>
  <c r="AE11" i="46"/>
  <c r="AE20" i="46" s="1"/>
  <c r="AD11" i="46"/>
  <c r="Q11" i="46"/>
  <c r="P11" i="46"/>
  <c r="O11" i="46"/>
  <c r="N11" i="46"/>
  <c r="M11" i="46"/>
  <c r="L11" i="46"/>
  <c r="K11" i="46"/>
  <c r="J11" i="46"/>
  <c r="I11" i="46"/>
  <c r="H11" i="46"/>
  <c r="G11" i="46"/>
  <c r="F11" i="46"/>
  <c r="E11" i="46"/>
  <c r="D11" i="46"/>
  <c r="C11" i="46"/>
  <c r="GA10" i="46"/>
  <c r="FZ10" i="46"/>
  <c r="FY10" i="46"/>
  <c r="FX10" i="46"/>
  <c r="FW10" i="46"/>
  <c r="FV10" i="46"/>
  <c r="FU10" i="46"/>
  <c r="FT10" i="46"/>
  <c r="FS10" i="46"/>
  <c r="FR10" i="46"/>
  <c r="FQ10" i="46"/>
  <c r="FP10" i="46"/>
  <c r="FO10" i="46"/>
  <c r="FN10" i="46"/>
  <c r="FM10" i="46"/>
  <c r="FL10" i="46"/>
  <c r="FK10" i="46"/>
  <c r="FJ10" i="46"/>
  <c r="FI10" i="46"/>
  <c r="FH10" i="46"/>
  <c r="FG10" i="46"/>
  <c r="FF10" i="46"/>
  <c r="FE10" i="46"/>
  <c r="FD10" i="46"/>
  <c r="FC10" i="46"/>
  <c r="FB10" i="46"/>
  <c r="FA10" i="46"/>
  <c r="EZ10" i="46"/>
  <c r="EY10" i="46"/>
  <c r="EX10" i="46"/>
  <c r="EW10" i="46"/>
  <c r="EV10" i="46"/>
  <c r="EU10" i="46"/>
  <c r="ET10" i="46"/>
  <c r="ES10" i="46"/>
  <c r="ER10" i="46"/>
  <c r="EQ10" i="46"/>
  <c r="EP10" i="46"/>
  <c r="EO10" i="46"/>
  <c r="EN10" i="46"/>
  <c r="EM10" i="46"/>
  <c r="EL10" i="46"/>
  <c r="EK10" i="46"/>
  <c r="EJ10" i="46"/>
  <c r="EI10" i="46"/>
  <c r="EH10" i="46"/>
  <c r="EG10" i="46"/>
  <c r="EF10" i="46"/>
  <c r="EE10" i="46"/>
  <c r="ED10" i="46"/>
  <c r="EC10" i="46"/>
  <c r="EB10" i="46"/>
  <c r="EA10" i="46"/>
  <c r="DZ10" i="46"/>
  <c r="DY10" i="46"/>
  <c r="DX10" i="46"/>
  <c r="DW10" i="46"/>
  <c r="DV10" i="46"/>
  <c r="DU10" i="46"/>
  <c r="DT10" i="46"/>
  <c r="DS10" i="46"/>
  <c r="DR10" i="46"/>
  <c r="DQ10" i="46"/>
  <c r="DP10" i="46"/>
  <c r="DO10" i="46"/>
  <c r="DN10" i="46"/>
  <c r="DM10" i="46"/>
  <c r="DL10" i="46"/>
  <c r="DK10" i="46"/>
  <c r="DJ10" i="46"/>
  <c r="DI10" i="46"/>
  <c r="DH10" i="46"/>
  <c r="DG10" i="46"/>
  <c r="DF10" i="46"/>
  <c r="DE10" i="46"/>
  <c r="DD10" i="46"/>
  <c r="DC10" i="46"/>
  <c r="DB10" i="46"/>
  <c r="DA10" i="46"/>
  <c r="CZ10" i="46"/>
  <c r="CY10" i="46"/>
  <c r="CX10" i="46"/>
  <c r="CW10" i="46"/>
  <c r="CV10" i="46"/>
  <c r="CU10" i="46"/>
  <c r="CT10" i="46"/>
  <c r="CS10" i="46"/>
  <c r="CR10" i="46"/>
  <c r="CQ10" i="46"/>
  <c r="CP10" i="46"/>
  <c r="CO10" i="46"/>
  <c r="CN10" i="46"/>
  <c r="CM10" i="46"/>
  <c r="CL10" i="46"/>
  <c r="CK10" i="46"/>
  <c r="CJ10" i="46"/>
  <c r="CI10" i="46"/>
  <c r="CH10" i="46"/>
  <c r="CG10" i="46"/>
  <c r="CF10" i="46"/>
  <c r="CE10" i="46"/>
  <c r="CD10" i="46"/>
  <c r="CC10" i="46"/>
  <c r="CB10" i="46"/>
  <c r="CA10" i="46"/>
  <c r="BZ10" i="46"/>
  <c r="BY10" i="46"/>
  <c r="BX10" i="46"/>
  <c r="BW10" i="46"/>
  <c r="BV10" i="46"/>
  <c r="BU10" i="46"/>
  <c r="BT10" i="46"/>
  <c r="BS10" i="46"/>
  <c r="BR10" i="46"/>
  <c r="BQ10" i="46"/>
  <c r="BP10" i="46"/>
  <c r="BO10" i="46"/>
  <c r="BN10" i="46"/>
  <c r="BM10" i="46"/>
  <c r="BL10" i="46"/>
  <c r="BK10" i="46"/>
  <c r="BJ10" i="46"/>
  <c r="BI10" i="46"/>
  <c r="BH10" i="46"/>
  <c r="BG10" i="46"/>
  <c r="BF10" i="46"/>
  <c r="BE10" i="46"/>
  <c r="BD10" i="46"/>
  <c r="BC10" i="46"/>
  <c r="BB10" i="46"/>
  <c r="BA10" i="46"/>
  <c r="AZ10" i="46"/>
  <c r="AY10" i="46"/>
  <c r="AX10" i="46"/>
  <c r="AW10" i="46"/>
  <c r="AV10" i="46"/>
  <c r="AU10" i="46"/>
  <c r="AT10" i="46"/>
  <c r="AS10" i="46"/>
  <c r="AR10" i="46"/>
  <c r="AQ10" i="46"/>
  <c r="AN10" i="46"/>
  <c r="AM10" i="46"/>
  <c r="AL10" i="46"/>
  <c r="AK10" i="46"/>
  <c r="AJ10" i="46"/>
  <c r="AI10" i="46"/>
  <c r="AH10" i="46"/>
  <c r="AG10" i="46"/>
  <c r="AF10" i="46"/>
  <c r="AE10" i="46"/>
  <c r="AD10" i="46"/>
  <c r="Q10" i="46"/>
  <c r="P10" i="46"/>
  <c r="O10" i="46"/>
  <c r="N10" i="46"/>
  <c r="M10" i="46"/>
  <c r="L10" i="46"/>
  <c r="K10" i="46"/>
  <c r="J10" i="46"/>
  <c r="GB10" i="46" s="1"/>
  <c r="I10" i="46"/>
  <c r="H10" i="46"/>
  <c r="G10" i="46"/>
  <c r="F10" i="46"/>
  <c r="E10" i="46"/>
  <c r="D10" i="46"/>
  <c r="C10" i="46"/>
  <c r="GA9" i="46"/>
  <c r="GA20" i="46" s="1"/>
  <c r="FZ9" i="46"/>
  <c r="FY9" i="46"/>
  <c r="FX9" i="46"/>
  <c r="FW9" i="46"/>
  <c r="FV9" i="46"/>
  <c r="FU9" i="46"/>
  <c r="FT9" i="46"/>
  <c r="FS9" i="46"/>
  <c r="FS20" i="46" s="1"/>
  <c r="FR9" i="46"/>
  <c r="FQ9" i="46"/>
  <c r="FP9" i="46"/>
  <c r="FO9" i="46"/>
  <c r="FN9" i="46"/>
  <c r="FM9" i="46"/>
  <c r="FL9" i="46"/>
  <c r="FK9" i="46"/>
  <c r="FK20" i="46" s="1"/>
  <c r="FJ9" i="46"/>
  <c r="FI9" i="46"/>
  <c r="FH9" i="46"/>
  <c r="FG9" i="46"/>
  <c r="FF9" i="46"/>
  <c r="FE9" i="46"/>
  <c r="FD9" i="46"/>
  <c r="FC9" i="46"/>
  <c r="FC20" i="46" s="1"/>
  <c r="FB9" i="46"/>
  <c r="FA9" i="46"/>
  <c r="EZ9" i="46"/>
  <c r="EY9" i="46"/>
  <c r="EX9" i="46"/>
  <c r="EW9" i="46"/>
  <c r="EV9" i="46"/>
  <c r="EU9" i="46"/>
  <c r="ET9" i="46"/>
  <c r="ES9" i="46"/>
  <c r="ER9" i="46"/>
  <c r="EQ9" i="46"/>
  <c r="EP9" i="46"/>
  <c r="EO9" i="46"/>
  <c r="EN9" i="46"/>
  <c r="EM9" i="46"/>
  <c r="EM20" i="46" s="1"/>
  <c r="EL9" i="46"/>
  <c r="EK9" i="46"/>
  <c r="EJ9" i="46"/>
  <c r="EI9" i="46"/>
  <c r="EH9" i="46"/>
  <c r="EG9" i="46"/>
  <c r="EF9" i="46"/>
  <c r="EE9" i="46"/>
  <c r="EE20" i="46" s="1"/>
  <c r="ED9" i="46"/>
  <c r="EC9" i="46"/>
  <c r="EB9" i="46"/>
  <c r="EA9" i="46"/>
  <c r="DZ9" i="46"/>
  <c r="DY9" i="46"/>
  <c r="DX9" i="46"/>
  <c r="DW9" i="46"/>
  <c r="DW20" i="46" s="1"/>
  <c r="DV9" i="46"/>
  <c r="DU9" i="46"/>
  <c r="DT9" i="46"/>
  <c r="DS9" i="46"/>
  <c r="DR9" i="46"/>
  <c r="DQ9" i="46"/>
  <c r="DP9" i="46"/>
  <c r="DO9" i="46"/>
  <c r="DO20" i="46" s="1"/>
  <c r="DN9" i="46"/>
  <c r="DM9" i="46"/>
  <c r="DL9" i="46"/>
  <c r="DK9" i="46"/>
  <c r="DJ9" i="46"/>
  <c r="DI9" i="46"/>
  <c r="DH9" i="46"/>
  <c r="DG9" i="46"/>
  <c r="DG20" i="46" s="1"/>
  <c r="DF9" i="46"/>
  <c r="DE9" i="46"/>
  <c r="DD9" i="46"/>
  <c r="DC9" i="46"/>
  <c r="DB9" i="46"/>
  <c r="DA9" i="46"/>
  <c r="CZ9" i="46"/>
  <c r="CY9" i="46"/>
  <c r="CY20" i="46" s="1"/>
  <c r="CX9" i="46"/>
  <c r="CW9" i="46"/>
  <c r="CV9" i="46"/>
  <c r="CU9" i="46"/>
  <c r="CT9" i="46"/>
  <c r="CS9" i="46"/>
  <c r="CR9" i="46"/>
  <c r="CQ9" i="46"/>
  <c r="CQ20" i="46" s="1"/>
  <c r="CP9" i="46"/>
  <c r="CO9" i="46"/>
  <c r="CN9" i="46"/>
  <c r="CM9" i="46"/>
  <c r="CL9" i="46"/>
  <c r="CK9" i="46"/>
  <c r="CJ9" i="46"/>
  <c r="CI9" i="46"/>
  <c r="CI20" i="46" s="1"/>
  <c r="CH9" i="46"/>
  <c r="CG9" i="46"/>
  <c r="CF9" i="46"/>
  <c r="CE9" i="46"/>
  <c r="CD9" i="46"/>
  <c r="CC9" i="46"/>
  <c r="CB9" i="46"/>
  <c r="CA9" i="46"/>
  <c r="BZ9" i="46"/>
  <c r="BY9" i="46"/>
  <c r="BX9" i="46"/>
  <c r="BW9" i="46"/>
  <c r="BV9" i="46"/>
  <c r="BU9" i="46"/>
  <c r="BT9" i="46"/>
  <c r="BS9" i="46"/>
  <c r="BS20" i="46" s="1"/>
  <c r="BR9" i="46"/>
  <c r="BQ9" i="46"/>
  <c r="BP9" i="46"/>
  <c r="BO9" i="46"/>
  <c r="BN9" i="46"/>
  <c r="BM9" i="46"/>
  <c r="BL9" i="46"/>
  <c r="BK9" i="46"/>
  <c r="BK20" i="46" s="1"/>
  <c r="BJ9" i="46"/>
  <c r="BI9" i="46"/>
  <c r="BH9" i="46"/>
  <c r="BG9" i="46"/>
  <c r="BF9" i="46"/>
  <c r="BE9" i="46"/>
  <c r="BD9" i="46"/>
  <c r="BC9" i="46"/>
  <c r="BC20" i="46" s="1"/>
  <c r="BB9" i="46"/>
  <c r="BA9" i="46"/>
  <c r="AZ9" i="46"/>
  <c r="AY9" i="46"/>
  <c r="AX9" i="46"/>
  <c r="AW9" i="46"/>
  <c r="AV9" i="46"/>
  <c r="AU9" i="46"/>
  <c r="AU20" i="46" s="1"/>
  <c r="AT9" i="46"/>
  <c r="AS9" i="46"/>
  <c r="AR9" i="46"/>
  <c r="AQ9" i="46"/>
  <c r="AN9" i="46"/>
  <c r="AM9" i="46"/>
  <c r="AL9" i="46"/>
  <c r="AK9" i="46"/>
  <c r="AJ9" i="46"/>
  <c r="AI9" i="46"/>
  <c r="AH9" i="46"/>
  <c r="AG9" i="46"/>
  <c r="AF9" i="46"/>
  <c r="AE9" i="46"/>
  <c r="AD9" i="46"/>
  <c r="Q9" i="46"/>
  <c r="P9" i="46"/>
  <c r="O9" i="46"/>
  <c r="N9" i="46"/>
  <c r="M9" i="46"/>
  <c r="L9" i="46"/>
  <c r="K9" i="46"/>
  <c r="J9" i="46"/>
  <c r="I9" i="46"/>
  <c r="H9" i="46"/>
  <c r="G9" i="46"/>
  <c r="F9" i="46"/>
  <c r="E9" i="46"/>
  <c r="D9" i="46"/>
  <c r="C9" i="46"/>
  <c r="GA8" i="46"/>
  <c r="FZ8" i="46"/>
  <c r="FY8" i="46"/>
  <c r="FX8" i="46"/>
  <c r="FW8" i="46"/>
  <c r="FV8" i="46"/>
  <c r="FU8" i="46"/>
  <c r="FT8" i="46"/>
  <c r="FS8" i="46"/>
  <c r="FR8" i="46"/>
  <c r="FQ8" i="46"/>
  <c r="FP8" i="46"/>
  <c r="FO8" i="46"/>
  <c r="FN8" i="46"/>
  <c r="FM8" i="46"/>
  <c r="FL8" i="46"/>
  <c r="FK8" i="46"/>
  <c r="FJ8" i="46"/>
  <c r="FI8" i="46"/>
  <c r="FH8" i="46"/>
  <c r="FG8" i="46"/>
  <c r="FF8" i="46"/>
  <c r="FE8" i="46"/>
  <c r="FD8" i="46"/>
  <c r="FC8" i="46"/>
  <c r="FB8" i="46"/>
  <c r="FA8" i="46"/>
  <c r="EZ8" i="46"/>
  <c r="EY8" i="46"/>
  <c r="EX8" i="46"/>
  <c r="EW8" i="46"/>
  <c r="EV8" i="46"/>
  <c r="EU8" i="46"/>
  <c r="ET8" i="46"/>
  <c r="ES8" i="46"/>
  <c r="ER8" i="46"/>
  <c r="EQ8" i="46"/>
  <c r="EP8" i="46"/>
  <c r="EO8" i="46"/>
  <c r="EN8" i="46"/>
  <c r="EM8" i="46"/>
  <c r="EL8" i="46"/>
  <c r="EK8" i="46"/>
  <c r="EJ8" i="46"/>
  <c r="EI8" i="46"/>
  <c r="EH8" i="46"/>
  <c r="EG8" i="46"/>
  <c r="EF8" i="46"/>
  <c r="EE8" i="46"/>
  <c r="ED8" i="46"/>
  <c r="EC8" i="46"/>
  <c r="EB8" i="46"/>
  <c r="EA8" i="46"/>
  <c r="DZ8" i="46"/>
  <c r="DY8" i="46"/>
  <c r="DX8" i="46"/>
  <c r="DW8" i="46"/>
  <c r="DV8" i="46"/>
  <c r="DU8" i="46"/>
  <c r="DT8" i="46"/>
  <c r="DS8" i="46"/>
  <c r="DR8" i="46"/>
  <c r="DQ8" i="46"/>
  <c r="DP8" i="46"/>
  <c r="DO8" i="46"/>
  <c r="DN8" i="46"/>
  <c r="DM8" i="46"/>
  <c r="DL8" i="46"/>
  <c r="DK8" i="46"/>
  <c r="DJ8" i="46"/>
  <c r="DI8" i="46"/>
  <c r="DH8" i="46"/>
  <c r="DG8" i="46"/>
  <c r="DF8" i="46"/>
  <c r="DE8" i="46"/>
  <c r="DD8" i="46"/>
  <c r="DC8" i="46"/>
  <c r="DB8" i="46"/>
  <c r="DA8" i="46"/>
  <c r="CZ8" i="46"/>
  <c r="CY8" i="46"/>
  <c r="CX8" i="46"/>
  <c r="CW8" i="46"/>
  <c r="CV8" i="46"/>
  <c r="CU8" i="46"/>
  <c r="CT8" i="46"/>
  <c r="CS8" i="46"/>
  <c r="CR8" i="46"/>
  <c r="CQ8" i="46"/>
  <c r="CP8" i="46"/>
  <c r="CO8" i="46"/>
  <c r="CN8" i="46"/>
  <c r="CM8" i="46"/>
  <c r="CL8" i="46"/>
  <c r="CK8" i="46"/>
  <c r="CJ8" i="46"/>
  <c r="CI8" i="46"/>
  <c r="CH8" i="46"/>
  <c r="CG8" i="46"/>
  <c r="CF8" i="46"/>
  <c r="CE8" i="46"/>
  <c r="CD8" i="46"/>
  <c r="CC8" i="46"/>
  <c r="CB8" i="46"/>
  <c r="CA8" i="46"/>
  <c r="BZ8" i="46"/>
  <c r="BY8" i="46"/>
  <c r="BX8" i="46"/>
  <c r="BW8" i="46"/>
  <c r="BV8" i="46"/>
  <c r="BU8" i="46"/>
  <c r="BT8" i="46"/>
  <c r="BS8" i="46"/>
  <c r="BR8" i="46"/>
  <c r="BQ8" i="46"/>
  <c r="BP8" i="46"/>
  <c r="BO8" i="46"/>
  <c r="BN8" i="46"/>
  <c r="BM8" i="46"/>
  <c r="BL8" i="46"/>
  <c r="BK8" i="46"/>
  <c r="BJ8" i="46"/>
  <c r="BI8" i="46"/>
  <c r="BH8" i="46"/>
  <c r="BG8" i="46"/>
  <c r="BF8" i="46"/>
  <c r="BE8" i="46"/>
  <c r="BD8" i="46"/>
  <c r="BC8" i="46"/>
  <c r="BB8" i="46"/>
  <c r="BA8" i="46"/>
  <c r="AZ8" i="46"/>
  <c r="AY8" i="46"/>
  <c r="AX8" i="46"/>
  <c r="AW8" i="46"/>
  <c r="AV8" i="46"/>
  <c r="AU8" i="46"/>
  <c r="AT8" i="46"/>
  <c r="AS8" i="46"/>
  <c r="AR8" i="46"/>
  <c r="AQ8" i="46"/>
  <c r="AN8" i="46"/>
  <c r="AM8" i="46"/>
  <c r="AL8" i="46"/>
  <c r="AK8" i="46"/>
  <c r="AJ8" i="46"/>
  <c r="AK20" i="46" s="1"/>
  <c r="AI8" i="46"/>
  <c r="AH8" i="46"/>
  <c r="AG8" i="46"/>
  <c r="AF8" i="46"/>
  <c r="AE8" i="46"/>
  <c r="AD8" i="46"/>
  <c r="Q8" i="46"/>
  <c r="P8" i="46"/>
  <c r="O8" i="46"/>
  <c r="N8" i="46"/>
  <c r="M8" i="46"/>
  <c r="L8" i="46"/>
  <c r="K8" i="46"/>
  <c r="J8" i="46"/>
  <c r="I8" i="46"/>
  <c r="H8" i="46"/>
  <c r="G8" i="46"/>
  <c r="F8" i="46"/>
  <c r="E8" i="46"/>
  <c r="D8" i="46"/>
  <c r="C8" i="46"/>
  <c r="GA7" i="46"/>
  <c r="FZ7" i="46"/>
  <c r="FY7" i="46"/>
  <c r="FX7" i="46"/>
  <c r="FW7" i="46"/>
  <c r="FV7" i="46"/>
  <c r="FU7" i="46"/>
  <c r="FT7" i="46"/>
  <c r="FS7" i="46"/>
  <c r="FR7" i="46"/>
  <c r="FQ7" i="46"/>
  <c r="FP7" i="46"/>
  <c r="FO7" i="46"/>
  <c r="FN7" i="46"/>
  <c r="FM7" i="46"/>
  <c r="FL7" i="46"/>
  <c r="FK7" i="46"/>
  <c r="FJ7" i="46"/>
  <c r="FI7" i="46"/>
  <c r="FH7" i="46"/>
  <c r="FG7" i="46"/>
  <c r="FF7" i="46"/>
  <c r="FE7" i="46"/>
  <c r="FD7" i="46"/>
  <c r="FC7" i="46"/>
  <c r="FB7" i="46"/>
  <c r="FA7" i="46"/>
  <c r="EZ7" i="46"/>
  <c r="EY7" i="46"/>
  <c r="EX7" i="46"/>
  <c r="EW7" i="46"/>
  <c r="EV7" i="46"/>
  <c r="EU7" i="46"/>
  <c r="ET7" i="46"/>
  <c r="ES7" i="46"/>
  <c r="ER7" i="46"/>
  <c r="EQ7" i="46"/>
  <c r="EP7" i="46"/>
  <c r="EO7" i="46"/>
  <c r="EN7" i="46"/>
  <c r="EM7" i="46"/>
  <c r="EL7" i="46"/>
  <c r="EK7" i="46"/>
  <c r="EJ7" i="46"/>
  <c r="EI7" i="46"/>
  <c r="EH7" i="46"/>
  <c r="EG7" i="46"/>
  <c r="EF7" i="46"/>
  <c r="EE7" i="46"/>
  <c r="ED7" i="46"/>
  <c r="EC7" i="46"/>
  <c r="EB7" i="46"/>
  <c r="EA7" i="46"/>
  <c r="DZ7" i="46"/>
  <c r="DY7" i="46"/>
  <c r="DX7" i="46"/>
  <c r="DW7" i="46"/>
  <c r="DV7" i="46"/>
  <c r="DU7" i="46"/>
  <c r="DT7" i="46"/>
  <c r="DS7" i="46"/>
  <c r="DR7" i="46"/>
  <c r="DQ7" i="46"/>
  <c r="DP7" i="46"/>
  <c r="DO7" i="46"/>
  <c r="DN7" i="46"/>
  <c r="DM7" i="46"/>
  <c r="DL7" i="46"/>
  <c r="DK7" i="46"/>
  <c r="DJ7" i="46"/>
  <c r="DI7" i="46"/>
  <c r="DH7" i="46"/>
  <c r="DG7" i="46"/>
  <c r="DF7" i="46"/>
  <c r="DE7" i="46"/>
  <c r="DD7" i="46"/>
  <c r="DC7" i="46"/>
  <c r="DB7" i="46"/>
  <c r="DA7" i="46"/>
  <c r="CZ7" i="46"/>
  <c r="CY7" i="46"/>
  <c r="CX7" i="46"/>
  <c r="CW7" i="46"/>
  <c r="CV7" i="46"/>
  <c r="CU7" i="46"/>
  <c r="CT7" i="46"/>
  <c r="CS7" i="46"/>
  <c r="CR7" i="46"/>
  <c r="CQ7" i="46"/>
  <c r="CP7" i="46"/>
  <c r="CO7" i="46"/>
  <c r="CN7" i="46"/>
  <c r="CM7" i="46"/>
  <c r="CL7" i="46"/>
  <c r="CK7" i="46"/>
  <c r="CJ7" i="46"/>
  <c r="CI7" i="46"/>
  <c r="CH7" i="46"/>
  <c r="CG7" i="46"/>
  <c r="CF7" i="46"/>
  <c r="CE7" i="46"/>
  <c r="CD7" i="46"/>
  <c r="CC7" i="46"/>
  <c r="CB7" i="46"/>
  <c r="CA7" i="46"/>
  <c r="BZ7" i="46"/>
  <c r="BY7" i="46"/>
  <c r="BX7" i="46"/>
  <c r="BW7" i="46"/>
  <c r="BV7" i="46"/>
  <c r="BU7" i="46"/>
  <c r="BT7" i="46"/>
  <c r="BS7" i="46"/>
  <c r="BR7" i="46"/>
  <c r="BQ7" i="46"/>
  <c r="BP7" i="46"/>
  <c r="BO7" i="46"/>
  <c r="BN7" i="46"/>
  <c r="BM7" i="46"/>
  <c r="BL7" i="46"/>
  <c r="BK7" i="46"/>
  <c r="BJ7" i="46"/>
  <c r="BI7" i="46"/>
  <c r="BH7" i="46"/>
  <c r="BG7" i="46"/>
  <c r="BF7" i="46"/>
  <c r="BE7" i="46"/>
  <c r="BD7" i="46"/>
  <c r="BC7" i="46"/>
  <c r="BB7" i="46"/>
  <c r="BA7" i="46"/>
  <c r="AZ7" i="46"/>
  <c r="AY7" i="46"/>
  <c r="AX7" i="46"/>
  <c r="AW7" i="46"/>
  <c r="AV7" i="46"/>
  <c r="AU7" i="46"/>
  <c r="AT7" i="46"/>
  <c r="AS7" i="46"/>
  <c r="AR7" i="46"/>
  <c r="AQ7" i="46"/>
  <c r="AN7" i="46"/>
  <c r="AM7" i="46"/>
  <c r="AL7" i="46"/>
  <c r="AK7" i="46"/>
  <c r="AJ7" i="46"/>
  <c r="AI7" i="46"/>
  <c r="AH7" i="46"/>
  <c r="AG7" i="46"/>
  <c r="AF7" i="46"/>
  <c r="AE7" i="46"/>
  <c r="AD7" i="46"/>
  <c r="Q7" i="46"/>
  <c r="P7" i="46"/>
  <c r="O7" i="46"/>
  <c r="O20" i="46" s="1"/>
  <c r="N7" i="46"/>
  <c r="M7" i="46"/>
  <c r="L7" i="46"/>
  <c r="K7" i="46"/>
  <c r="J7" i="46"/>
  <c r="I7" i="46"/>
  <c r="H7" i="46"/>
  <c r="G7" i="46"/>
  <c r="G20" i="46" s="1"/>
  <c r="F7" i="46"/>
  <c r="E7" i="46"/>
  <c r="D7" i="46"/>
  <c r="C7" i="46"/>
  <c r="L20" i="46"/>
  <c r="EU20" i="46"/>
  <c r="CA20" i="46"/>
  <c r="AM20" i="46"/>
  <c r="AP18" i="46"/>
  <c r="AO18" i="46"/>
  <c r="AP17" i="46"/>
  <c r="AO17" i="46"/>
  <c r="AP16" i="46"/>
  <c r="AO16" i="46"/>
  <c r="AP15" i="46"/>
  <c r="AO15" i="46"/>
  <c r="AP14" i="46"/>
  <c r="AO14" i="46"/>
  <c r="AP13" i="46"/>
  <c r="AO13" i="46"/>
  <c r="AP12" i="46"/>
  <c r="AO12" i="46"/>
  <c r="AP11" i="46"/>
  <c r="AO11" i="46"/>
  <c r="AP10" i="46"/>
  <c r="AO10" i="46"/>
  <c r="AP9" i="46"/>
  <c r="AO9" i="46"/>
  <c r="AP8" i="46"/>
  <c r="AO8" i="46"/>
  <c r="AP7" i="46"/>
  <c r="AO7" i="46"/>
  <c r="B2" i="46"/>
  <c r="G6" i="33"/>
  <c r="H6" i="33"/>
  <c r="G7" i="33"/>
  <c r="H7" i="33"/>
  <c r="G8" i="33"/>
  <c r="H8" i="33"/>
  <c r="G9" i="33"/>
  <c r="H9" i="33"/>
  <c r="G10" i="33"/>
  <c r="H10" i="33"/>
  <c r="G11" i="33"/>
  <c r="H11" i="33"/>
  <c r="G12" i="33"/>
  <c r="H12" i="33"/>
  <c r="G13" i="33"/>
  <c r="H13" i="33"/>
  <c r="G14" i="33"/>
  <c r="H14" i="33"/>
  <c r="G15" i="33"/>
  <c r="H15" i="33"/>
  <c r="G16" i="33"/>
  <c r="H16" i="33"/>
  <c r="G17" i="33"/>
  <c r="H17" i="33"/>
  <c r="G18" i="33"/>
  <c r="H18" i="33"/>
  <c r="G19" i="33"/>
  <c r="H19" i="33"/>
  <c r="G20" i="33"/>
  <c r="H20" i="33"/>
  <c r="G33" i="33"/>
  <c r="H33" i="33"/>
  <c r="G34" i="33"/>
  <c r="H34" i="33"/>
  <c r="G35" i="33"/>
  <c r="H35" i="33"/>
  <c r="G36" i="33"/>
  <c r="H36" i="33"/>
  <c r="G37" i="33"/>
  <c r="H37" i="33"/>
  <c r="G38" i="33"/>
  <c r="H38" i="33"/>
  <c r="G39" i="33"/>
  <c r="H39" i="33"/>
  <c r="G40" i="33"/>
  <c r="H40" i="33"/>
  <c r="G41" i="33"/>
  <c r="H41" i="33"/>
  <c r="G42" i="33"/>
  <c r="H42" i="33"/>
  <c r="G43" i="33"/>
  <c r="H43" i="33"/>
  <c r="G44" i="33"/>
  <c r="H44" i="33"/>
  <c r="G45" i="33"/>
  <c r="H45" i="33"/>
  <c r="G46" i="33"/>
  <c r="H46" i="33"/>
  <c r="G47" i="33"/>
  <c r="H47" i="33"/>
  <c r="G48" i="33"/>
  <c r="H48" i="33"/>
  <c r="G49" i="33"/>
  <c r="H49" i="33"/>
  <c r="G50" i="33"/>
  <c r="H50" i="33"/>
  <c r="G51" i="33"/>
  <c r="H51" i="33"/>
  <c r="G52" i="33"/>
  <c r="H52" i="33"/>
  <c r="G53" i="33"/>
  <c r="H53" i="33"/>
  <c r="G54" i="33"/>
  <c r="H54" i="33"/>
  <c r="G55" i="33"/>
  <c r="H55" i="33"/>
  <c r="G56" i="33"/>
  <c r="H56" i="33"/>
  <c r="G57" i="33"/>
  <c r="H57" i="33"/>
  <c r="G58" i="33"/>
  <c r="H58" i="33"/>
  <c r="G59" i="33"/>
  <c r="H59" i="33"/>
  <c r="G60" i="33"/>
  <c r="H60" i="33"/>
  <c r="G61" i="33"/>
  <c r="H61" i="33"/>
  <c r="G62" i="33"/>
  <c r="H62" i="33"/>
  <c r="G63" i="33"/>
  <c r="H63" i="33"/>
  <c r="G64" i="33"/>
  <c r="H64" i="33"/>
  <c r="G65" i="33"/>
  <c r="H65" i="33"/>
  <c r="G66" i="33"/>
  <c r="H66" i="33"/>
  <c r="G67" i="33"/>
  <c r="H67" i="33"/>
  <c r="G68" i="33"/>
  <c r="H68" i="33"/>
  <c r="G69" i="33"/>
  <c r="H69" i="33"/>
  <c r="G70" i="33"/>
  <c r="H70" i="33"/>
  <c r="G71" i="33"/>
  <c r="H71" i="33"/>
  <c r="G72" i="33"/>
  <c r="H72" i="33"/>
  <c r="G73" i="33"/>
  <c r="H73" i="33"/>
  <c r="G74" i="33"/>
  <c r="H74" i="33"/>
  <c r="G75" i="33"/>
  <c r="H75" i="33"/>
  <c r="G76" i="33"/>
  <c r="H76" i="33"/>
  <c r="G77" i="33"/>
  <c r="H77" i="33"/>
  <c r="G78" i="33"/>
  <c r="H78" i="33"/>
  <c r="G79" i="33"/>
  <c r="H79" i="33"/>
  <c r="G80" i="33"/>
  <c r="H80" i="33"/>
  <c r="G81" i="33"/>
  <c r="H81" i="33"/>
  <c r="G82" i="33"/>
  <c r="H82" i="33"/>
  <c r="G83" i="33"/>
  <c r="H83" i="33"/>
  <c r="G84" i="33"/>
  <c r="H84" i="33"/>
  <c r="G85" i="33"/>
  <c r="H85" i="33"/>
  <c r="G86" i="33"/>
  <c r="H86" i="33"/>
  <c r="G87" i="33"/>
  <c r="H87" i="33"/>
  <c r="G88" i="33"/>
  <c r="H88" i="33"/>
  <c r="G89" i="33"/>
  <c r="H89" i="33"/>
  <c r="G90" i="33"/>
  <c r="H90" i="33"/>
  <c r="G91" i="33"/>
  <c r="H91" i="33"/>
  <c r="G92" i="33"/>
  <c r="H92" i="33"/>
  <c r="G93" i="33"/>
  <c r="H93" i="33"/>
  <c r="G94" i="33"/>
  <c r="H94" i="33"/>
  <c r="G95" i="33"/>
  <c r="H95" i="33"/>
  <c r="G96" i="33"/>
  <c r="H96" i="33"/>
  <c r="G97" i="33"/>
  <c r="H97" i="33"/>
  <c r="G98" i="33"/>
  <c r="H98" i="33"/>
  <c r="G99" i="33"/>
  <c r="H99" i="33"/>
  <c r="G100" i="33"/>
  <c r="H100" i="33"/>
  <c r="G101" i="33"/>
  <c r="H101" i="33"/>
  <c r="G102" i="33"/>
  <c r="H102" i="33"/>
  <c r="G103" i="33"/>
  <c r="H103" i="33"/>
  <c r="G104" i="33"/>
  <c r="H104" i="33"/>
  <c r="G105" i="33"/>
  <c r="H105" i="33"/>
  <c r="G106" i="33"/>
  <c r="H106" i="33"/>
  <c r="G107" i="33"/>
  <c r="H107" i="33"/>
  <c r="G108" i="33"/>
  <c r="H108" i="33"/>
  <c r="G109" i="33"/>
  <c r="H109" i="33"/>
  <c r="G110" i="33"/>
  <c r="H110" i="33"/>
  <c r="G111" i="33"/>
  <c r="H111" i="33"/>
  <c r="G112" i="33"/>
  <c r="H112" i="33"/>
  <c r="G113" i="33"/>
  <c r="H113" i="33"/>
  <c r="G114" i="33"/>
  <c r="H114" i="33"/>
  <c r="G115" i="33"/>
  <c r="H115" i="33"/>
  <c r="G116" i="33"/>
  <c r="H116" i="33"/>
  <c r="G117" i="33"/>
  <c r="H117" i="33"/>
  <c r="G118" i="33"/>
  <c r="H118" i="33"/>
  <c r="G119" i="33"/>
  <c r="H119" i="33"/>
  <c r="G120" i="33"/>
  <c r="H120" i="33"/>
  <c r="G121" i="33"/>
  <c r="H121" i="33"/>
  <c r="G122" i="33"/>
  <c r="H122" i="33"/>
  <c r="G123" i="33"/>
  <c r="H123" i="33"/>
  <c r="G124" i="33"/>
  <c r="H124" i="33"/>
  <c r="G125" i="33"/>
  <c r="H125" i="33"/>
  <c r="G126" i="33"/>
  <c r="H126" i="33"/>
  <c r="G127" i="33"/>
  <c r="H127" i="33"/>
  <c r="G128" i="33"/>
  <c r="H128" i="33"/>
  <c r="G129" i="33"/>
  <c r="H129" i="33"/>
  <c r="G130" i="33"/>
  <c r="H130" i="33"/>
  <c r="G131" i="33"/>
  <c r="H131" i="33"/>
  <c r="G132" i="33"/>
  <c r="H132" i="33"/>
  <c r="G133" i="33"/>
  <c r="H133" i="33"/>
  <c r="G134" i="33"/>
  <c r="H134" i="33"/>
  <c r="G135" i="33"/>
  <c r="H135" i="33"/>
  <c r="G136" i="33"/>
  <c r="H136" i="33"/>
  <c r="G137" i="33"/>
  <c r="H137" i="33"/>
  <c r="G138" i="33"/>
  <c r="H138" i="33"/>
  <c r="G139" i="33"/>
  <c r="H139" i="33"/>
  <c r="G140" i="33"/>
  <c r="H140" i="33"/>
  <c r="G141" i="33"/>
  <c r="H141" i="33"/>
  <c r="G142" i="33"/>
  <c r="H142" i="33"/>
  <c r="G143" i="33"/>
  <c r="H143" i="33"/>
  <c r="G144" i="33"/>
  <c r="H144" i="33"/>
  <c r="G145" i="33"/>
  <c r="H145" i="33"/>
  <c r="G146" i="33"/>
  <c r="H146" i="33"/>
  <c r="G147" i="33"/>
  <c r="H147" i="33"/>
  <c r="G148" i="33"/>
  <c r="H148" i="33"/>
  <c r="G149" i="33"/>
  <c r="H149" i="33"/>
  <c r="G150" i="33"/>
  <c r="H150" i="33"/>
  <c r="G151" i="33"/>
  <c r="H151" i="33"/>
  <c r="G152" i="33"/>
  <c r="H152" i="33"/>
  <c r="G153" i="33"/>
  <c r="H153" i="33"/>
  <c r="G154" i="33"/>
  <c r="H154" i="33"/>
  <c r="G155" i="33"/>
  <c r="H155" i="33"/>
  <c r="G156" i="33"/>
  <c r="H156" i="33"/>
  <c r="G157" i="33"/>
  <c r="H157" i="33"/>
  <c r="G158" i="33"/>
  <c r="H158" i="33"/>
  <c r="G159" i="33"/>
  <c r="H159" i="33"/>
  <c r="G160" i="33"/>
  <c r="H160" i="33"/>
  <c r="G161" i="33"/>
  <c r="H161" i="33"/>
  <c r="G162" i="33"/>
  <c r="H162" i="33"/>
  <c r="G163" i="33"/>
  <c r="H163" i="33"/>
  <c r="G164" i="33"/>
  <c r="H164" i="33"/>
  <c r="G165" i="33"/>
  <c r="H165" i="33"/>
  <c r="G166" i="33"/>
  <c r="H166" i="33"/>
  <c r="G167" i="33"/>
  <c r="H167" i="33"/>
  <c r="G168" i="33"/>
  <c r="H168" i="33"/>
  <c r="G169" i="33"/>
  <c r="H169" i="33"/>
  <c r="G170" i="33"/>
  <c r="H170" i="33"/>
  <c r="G171" i="33"/>
  <c r="H171" i="33"/>
  <c r="G172" i="33"/>
  <c r="H172" i="33"/>
  <c r="G173" i="33"/>
  <c r="H173" i="33"/>
  <c r="G174" i="33"/>
  <c r="H174" i="33"/>
  <c r="G175" i="33"/>
  <c r="H175" i="33"/>
  <c r="G176" i="33"/>
  <c r="H176" i="33"/>
  <c r="G177" i="33"/>
  <c r="H177" i="33"/>
  <c r="G178" i="33"/>
  <c r="H178" i="33"/>
  <c r="G179" i="33"/>
  <c r="H179" i="33"/>
  <c r="G180" i="33"/>
  <c r="H180" i="33"/>
  <c r="G181" i="33"/>
  <c r="H181" i="33"/>
  <c r="G182" i="33"/>
  <c r="H182" i="33"/>
  <c r="G183" i="33"/>
  <c r="H183" i="33"/>
  <c r="G184" i="33"/>
  <c r="H184" i="33"/>
  <c r="G185" i="33"/>
  <c r="H185" i="33"/>
  <c r="G186" i="33"/>
  <c r="H186" i="33"/>
  <c r="D2" i="36"/>
  <c r="E2" i="36"/>
  <c r="D3" i="36"/>
  <c r="E3" i="36"/>
  <c r="D4" i="36"/>
  <c r="E4" i="36"/>
  <c r="D5" i="36"/>
  <c r="E5" i="36"/>
  <c r="D6" i="36"/>
  <c r="E6" i="36"/>
  <c r="D7" i="36"/>
  <c r="E7" i="36"/>
  <c r="D8" i="36"/>
  <c r="E8" i="36"/>
  <c r="D9" i="36"/>
  <c r="E9" i="36"/>
  <c r="D10" i="36"/>
  <c r="E10" i="36"/>
  <c r="D11" i="36"/>
  <c r="E11" i="36"/>
  <c r="D12" i="36"/>
  <c r="E12" i="36"/>
  <c r="D13" i="36"/>
  <c r="E13" i="36"/>
  <c r="D14" i="36"/>
  <c r="E14" i="36"/>
  <c r="D15" i="36"/>
  <c r="E15" i="36"/>
  <c r="D16" i="36"/>
  <c r="E16" i="36"/>
  <c r="D17" i="36"/>
  <c r="E17" i="36"/>
  <c r="D18" i="36"/>
  <c r="E18" i="36"/>
  <c r="D19" i="36"/>
  <c r="E19" i="36"/>
  <c r="D20" i="36"/>
  <c r="E20" i="36"/>
  <c r="D21" i="36"/>
  <c r="E21" i="36"/>
  <c r="D22" i="36"/>
  <c r="E22" i="36"/>
  <c r="D23" i="36"/>
  <c r="E23" i="36"/>
  <c r="D24" i="36"/>
  <c r="E24" i="36"/>
  <c r="D25" i="36"/>
  <c r="E25" i="36"/>
  <c r="D26" i="36"/>
  <c r="E26" i="36"/>
  <c r="D27" i="36"/>
  <c r="E27" i="36"/>
  <c r="D28" i="36"/>
  <c r="E28" i="36"/>
  <c r="D29" i="36"/>
  <c r="E29" i="36"/>
  <c r="D30" i="36"/>
  <c r="E30" i="36"/>
  <c r="D31" i="36"/>
  <c r="E31" i="36"/>
  <c r="D32" i="36"/>
  <c r="E32" i="36"/>
  <c r="D33" i="36"/>
  <c r="E33" i="36"/>
  <c r="D34" i="36"/>
  <c r="E34" i="36"/>
  <c r="D35" i="36"/>
  <c r="E35" i="36"/>
  <c r="D36" i="36"/>
  <c r="E36" i="36"/>
  <c r="D37" i="36"/>
  <c r="E37" i="36"/>
  <c r="D38" i="36"/>
  <c r="E38" i="36"/>
  <c r="D39" i="36"/>
  <c r="E39" i="36"/>
  <c r="D40" i="36"/>
  <c r="E40" i="36"/>
  <c r="D41" i="36"/>
  <c r="E41" i="36"/>
  <c r="D42" i="36"/>
  <c r="E42" i="36"/>
  <c r="D43" i="36"/>
  <c r="E43" i="36"/>
  <c r="D44" i="36"/>
  <c r="E44" i="36"/>
  <c r="D45" i="36"/>
  <c r="E45" i="36"/>
  <c r="D46" i="36"/>
  <c r="E46" i="36"/>
  <c r="D47" i="36"/>
  <c r="E47" i="36"/>
  <c r="D48" i="36"/>
  <c r="E48" i="36"/>
  <c r="D49" i="36"/>
  <c r="E49" i="36"/>
  <c r="D50" i="36"/>
  <c r="E50" i="36"/>
  <c r="D51" i="36"/>
  <c r="E51" i="36"/>
  <c r="D52" i="36"/>
  <c r="E52" i="36"/>
  <c r="D53" i="36"/>
  <c r="E53" i="36"/>
  <c r="D54" i="36"/>
  <c r="E54" i="36"/>
  <c r="D55" i="36"/>
  <c r="E55" i="36"/>
  <c r="D56" i="36"/>
  <c r="E56" i="36"/>
  <c r="D57" i="36"/>
  <c r="E57" i="36"/>
  <c r="D58" i="36"/>
  <c r="E58" i="36"/>
  <c r="D59" i="36"/>
  <c r="E59" i="36"/>
  <c r="D60" i="36"/>
  <c r="E60" i="36"/>
  <c r="D61" i="36"/>
  <c r="E61" i="36"/>
  <c r="D62" i="36"/>
  <c r="E62" i="36"/>
  <c r="D63" i="36"/>
  <c r="E63" i="36"/>
  <c r="D64" i="36"/>
  <c r="E64" i="36"/>
  <c r="D65" i="36"/>
  <c r="E65" i="36"/>
  <c r="D66" i="36"/>
  <c r="E66" i="36"/>
  <c r="D67" i="36"/>
  <c r="E67" i="36"/>
  <c r="D68" i="36"/>
  <c r="E68" i="36"/>
  <c r="D69" i="36"/>
  <c r="E69" i="36"/>
  <c r="D70" i="36"/>
  <c r="E70" i="36"/>
  <c r="D71" i="36"/>
  <c r="E71" i="36"/>
  <c r="D72" i="36"/>
  <c r="E72" i="36"/>
  <c r="D73" i="36"/>
  <c r="E73" i="36"/>
  <c r="D74" i="36"/>
  <c r="E74" i="36"/>
  <c r="D75" i="36"/>
  <c r="E75" i="36"/>
  <c r="D76" i="36"/>
  <c r="E76" i="36"/>
  <c r="D77" i="36"/>
  <c r="E77" i="36"/>
  <c r="D78" i="36"/>
  <c r="E78" i="36"/>
  <c r="D79" i="36"/>
  <c r="E79" i="36"/>
  <c r="D80" i="36"/>
  <c r="E80" i="36"/>
  <c r="D81" i="36"/>
  <c r="E81" i="36"/>
  <c r="D82" i="36"/>
  <c r="E82" i="36"/>
  <c r="D83" i="36"/>
  <c r="E83" i="36"/>
  <c r="D84" i="36"/>
  <c r="E84" i="36"/>
  <c r="D85" i="36"/>
  <c r="E85" i="36"/>
  <c r="D86" i="36"/>
  <c r="E86" i="36"/>
  <c r="D87" i="36"/>
  <c r="E87" i="36"/>
  <c r="D88" i="36"/>
  <c r="E88" i="36"/>
  <c r="D89" i="36"/>
  <c r="E89" i="36"/>
  <c r="D90" i="36"/>
  <c r="E90" i="36"/>
  <c r="D91" i="36"/>
  <c r="E91" i="36"/>
  <c r="D92" i="36"/>
  <c r="E92" i="36"/>
  <c r="D93" i="36"/>
  <c r="E93" i="36"/>
  <c r="D94" i="36"/>
  <c r="E94" i="36"/>
  <c r="D95" i="36"/>
  <c r="E95" i="36"/>
  <c r="D96" i="36"/>
  <c r="E96" i="36"/>
  <c r="D97" i="36"/>
  <c r="E97" i="36"/>
  <c r="D98" i="36"/>
  <c r="E98" i="36"/>
  <c r="D99" i="36"/>
  <c r="E99" i="36"/>
  <c r="D100" i="36"/>
  <c r="E100" i="36"/>
  <c r="D101" i="36"/>
  <c r="E101" i="36"/>
  <c r="D102" i="36"/>
  <c r="E102" i="36"/>
  <c r="D103" i="36"/>
  <c r="E103" i="36"/>
  <c r="D104" i="36"/>
  <c r="E104" i="36"/>
  <c r="D105" i="36"/>
  <c r="E105" i="36"/>
  <c r="D106" i="36"/>
  <c r="E106" i="36"/>
  <c r="D107" i="36"/>
  <c r="E107" i="36"/>
  <c r="D108" i="36"/>
  <c r="E108" i="36"/>
  <c r="D109" i="36"/>
  <c r="E109" i="36"/>
  <c r="D110" i="36"/>
  <c r="E110" i="36"/>
  <c r="D111" i="36"/>
  <c r="E111" i="36"/>
  <c r="D112" i="36"/>
  <c r="E112" i="36"/>
  <c r="D113" i="36"/>
  <c r="E113" i="36"/>
  <c r="D114" i="36"/>
  <c r="E114" i="36"/>
  <c r="D115" i="36"/>
  <c r="E115" i="36"/>
  <c r="D116" i="36"/>
  <c r="E116" i="36"/>
  <c r="D117" i="36"/>
  <c r="E117" i="36"/>
  <c r="D118" i="36"/>
  <c r="E118" i="36"/>
  <c r="D119" i="36"/>
  <c r="E119" i="36"/>
  <c r="D120" i="36"/>
  <c r="E120" i="36"/>
  <c r="D121" i="36"/>
  <c r="E121" i="36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4" i="45"/>
  <c r="L25" i="45"/>
  <c r="L26" i="45"/>
  <c r="L27" i="45"/>
  <c r="L28" i="45"/>
  <c r="L29" i="45"/>
  <c r="L30" i="45"/>
  <c r="L31" i="45"/>
  <c r="L32" i="45"/>
  <c r="L33" i="45"/>
  <c r="L34" i="45"/>
  <c r="L35" i="45"/>
  <c r="L36" i="45"/>
  <c r="L37" i="45"/>
  <c r="L7" i="45"/>
  <c r="FP37" i="45"/>
  <c r="FP36" i="45"/>
  <c r="FP35" i="45"/>
  <c r="FP34" i="45"/>
  <c r="FP33" i="45"/>
  <c r="FP32" i="45"/>
  <c r="FP31" i="45"/>
  <c r="FP30" i="45"/>
  <c r="FP29" i="45"/>
  <c r="FP28" i="45"/>
  <c r="FP27" i="45"/>
  <c r="FP26" i="45"/>
  <c r="FP25" i="45"/>
  <c r="FP24" i="45"/>
  <c r="FP23" i="45"/>
  <c r="FP22" i="45"/>
  <c r="FP21" i="45"/>
  <c r="FP20" i="45"/>
  <c r="FP19" i="45"/>
  <c r="FP18" i="45"/>
  <c r="FP17" i="45"/>
  <c r="FP16" i="45"/>
  <c r="FP15" i="45"/>
  <c r="FP14" i="45"/>
  <c r="FP13" i="45"/>
  <c r="FP12" i="45"/>
  <c r="FP11" i="45"/>
  <c r="FP10" i="45"/>
  <c r="FP9" i="45"/>
  <c r="FP8" i="45"/>
  <c r="FP7" i="45"/>
  <c r="AK37" i="45"/>
  <c r="AK36" i="45"/>
  <c r="AK35" i="45"/>
  <c r="AK34" i="45"/>
  <c r="AK33" i="45"/>
  <c r="AK32" i="45"/>
  <c r="AK31" i="45"/>
  <c r="AK30" i="45"/>
  <c r="AK29" i="45"/>
  <c r="AK28" i="45"/>
  <c r="AK27" i="45"/>
  <c r="AK26" i="45"/>
  <c r="AK25" i="45"/>
  <c r="AK24" i="45"/>
  <c r="AK23" i="45"/>
  <c r="AK22" i="45"/>
  <c r="AK21" i="45"/>
  <c r="AK20" i="45"/>
  <c r="AK19" i="45"/>
  <c r="AK18" i="45"/>
  <c r="AK17" i="45"/>
  <c r="AK16" i="45"/>
  <c r="AK15" i="45"/>
  <c r="AK14" i="45"/>
  <c r="AK13" i="45"/>
  <c r="AK12" i="45"/>
  <c r="AK11" i="45"/>
  <c r="AK10" i="45"/>
  <c r="AK9" i="45"/>
  <c r="AK8" i="45"/>
  <c r="AK7" i="45"/>
  <c r="FP30" i="39"/>
  <c r="FP29" i="39"/>
  <c r="FP28" i="39"/>
  <c r="FP27" i="39"/>
  <c r="FP26" i="39"/>
  <c r="FP25" i="39"/>
  <c r="FP24" i="39"/>
  <c r="FP23" i="39"/>
  <c r="FP22" i="39"/>
  <c r="FP21" i="39"/>
  <c r="FP20" i="39"/>
  <c r="FP19" i="39"/>
  <c r="FP18" i="39"/>
  <c r="FP17" i="39"/>
  <c r="FP16" i="39"/>
  <c r="FP15" i="39"/>
  <c r="FP14" i="39"/>
  <c r="FP13" i="39"/>
  <c r="FP12" i="39"/>
  <c r="FP11" i="39"/>
  <c r="FP10" i="39"/>
  <c r="FP9" i="39"/>
  <c r="FP8" i="39"/>
  <c r="FP7" i="39"/>
  <c r="AK30" i="39"/>
  <c r="AK29" i="39"/>
  <c r="AK28" i="39"/>
  <c r="AK27" i="39"/>
  <c r="AK26" i="39"/>
  <c r="AK25" i="39"/>
  <c r="AK24" i="39"/>
  <c r="AK23" i="39"/>
  <c r="AK22" i="39"/>
  <c r="AK21" i="39"/>
  <c r="AK20" i="39"/>
  <c r="AK19" i="39"/>
  <c r="AK18" i="39"/>
  <c r="AK17" i="39"/>
  <c r="AK16" i="39"/>
  <c r="AK15" i="39"/>
  <c r="AK14" i="39"/>
  <c r="AK13" i="39"/>
  <c r="AK12" i="39"/>
  <c r="AK11" i="39"/>
  <c r="AK10" i="39"/>
  <c r="AK9" i="39"/>
  <c r="AK8" i="39"/>
  <c r="AK7" i="39"/>
  <c r="J175" i="37"/>
  <c r="I175" i="37"/>
  <c r="H175" i="37"/>
  <c r="J40" i="37"/>
  <c r="I40" i="37"/>
  <c r="H40" i="37"/>
  <c r="J39" i="37"/>
  <c r="I39" i="37"/>
  <c r="H39" i="37"/>
  <c r="A2" i="27"/>
  <c r="K1" i="33"/>
  <c r="I40" i="33"/>
  <c r="I175" i="33"/>
  <c r="ES6" i="19"/>
  <c r="ET6" i="19"/>
  <c r="EU6" i="19"/>
  <c r="EV6" i="19"/>
  <c r="EW6" i="19"/>
  <c r="ER6" i="19"/>
  <c r="ER40" i="19"/>
  <c r="ES40" i="19"/>
  <c r="D2" i="44" s="1"/>
  <c r="F35" i="28" s="1"/>
  <c r="ET40" i="19"/>
  <c r="EU40" i="19"/>
  <c r="J151" i="1"/>
  <c r="O31" i="36"/>
  <c r="P31" i="36"/>
  <c r="Q31" i="36"/>
  <c r="R31" i="36"/>
  <c r="S31" i="36"/>
  <c r="T31" i="36"/>
  <c r="U31" i="36"/>
  <c r="V31" i="36"/>
  <c r="W31" i="36"/>
  <c r="X31" i="36"/>
  <c r="Y31" i="36"/>
  <c r="Z31" i="36"/>
  <c r="AA31" i="36"/>
  <c r="AB31" i="36"/>
  <c r="AC31" i="36"/>
  <c r="AD31" i="36"/>
  <c r="AE31" i="36"/>
  <c r="AF31" i="36"/>
  <c r="AG31" i="36"/>
  <c r="AH31" i="36"/>
  <c r="AI31" i="36"/>
  <c r="AJ31" i="36"/>
  <c r="AK31" i="36"/>
  <c r="AL31" i="36"/>
  <c r="AM31" i="36"/>
  <c r="AN31" i="36"/>
  <c r="AO31" i="36"/>
  <c r="AP31" i="36"/>
  <c r="AQ31" i="36"/>
  <c r="AR31" i="36"/>
  <c r="AS31" i="36"/>
  <c r="AT31" i="36"/>
  <c r="AU31" i="36"/>
  <c r="AV31" i="36"/>
  <c r="AW31" i="36"/>
  <c r="AX31" i="36"/>
  <c r="AY31" i="36"/>
  <c r="AZ31" i="36"/>
  <c r="BA31" i="36"/>
  <c r="BB31" i="36"/>
  <c r="BC31" i="36"/>
  <c r="BD31" i="36"/>
  <c r="BE31" i="36"/>
  <c r="BF31" i="36"/>
  <c r="BG31" i="36"/>
  <c r="BH31" i="36"/>
  <c r="BI31" i="36"/>
  <c r="BJ31" i="36"/>
  <c r="BK31" i="36"/>
  <c r="BL31" i="36"/>
  <c r="BM31" i="36"/>
  <c r="BN31" i="36"/>
  <c r="BO31" i="36"/>
  <c r="BP31" i="36"/>
  <c r="BQ31" i="36"/>
  <c r="BR31" i="36"/>
  <c r="BS31" i="36"/>
  <c r="BT31" i="36"/>
  <c r="BU31" i="36"/>
  <c r="BV31" i="36"/>
  <c r="BW31" i="36"/>
  <c r="BX31" i="36"/>
  <c r="BY31" i="36"/>
  <c r="BZ31" i="36"/>
  <c r="CA31" i="36"/>
  <c r="CB31" i="36"/>
  <c r="CC31" i="36"/>
  <c r="CD31" i="36"/>
  <c r="CE31" i="36"/>
  <c r="CF31" i="36"/>
  <c r="CG31" i="36"/>
  <c r="CH31" i="36"/>
  <c r="CI31" i="36"/>
  <c r="CJ31" i="36"/>
  <c r="CK31" i="36"/>
  <c r="CL31" i="36"/>
  <c r="CM31" i="36"/>
  <c r="CN31" i="36"/>
  <c r="CO31" i="36"/>
  <c r="CP31" i="36"/>
  <c r="CQ31" i="36"/>
  <c r="CR31" i="36"/>
  <c r="CS31" i="36"/>
  <c r="CT31" i="36"/>
  <c r="CU31" i="36"/>
  <c r="CV31" i="36"/>
  <c r="CW31" i="36"/>
  <c r="CX31" i="36"/>
  <c r="CY31" i="36"/>
  <c r="CZ31" i="36"/>
  <c r="DA31" i="36"/>
  <c r="DB31" i="36"/>
  <c r="DC31" i="36"/>
  <c r="DD31" i="36"/>
  <c r="DE31" i="36"/>
  <c r="DF31" i="36"/>
  <c r="DG31" i="36"/>
  <c r="DH31" i="36"/>
  <c r="DI31" i="36"/>
  <c r="DJ31" i="36"/>
  <c r="DK31" i="36"/>
  <c r="DL31" i="36"/>
  <c r="DM31" i="36"/>
  <c r="DN31" i="36"/>
  <c r="DO31" i="36"/>
  <c r="DP31" i="36"/>
  <c r="DQ31" i="36"/>
  <c r="DR31" i="36"/>
  <c r="DS31" i="36"/>
  <c r="DT31" i="36"/>
  <c r="DU31" i="36"/>
  <c r="DV31" i="36"/>
  <c r="DW31" i="36"/>
  <c r="DX31" i="36"/>
  <c r="DY31" i="36"/>
  <c r="DZ31" i="36"/>
  <c r="EA31" i="36"/>
  <c r="EB31" i="36"/>
  <c r="EC31" i="36"/>
  <c r="ED31" i="36"/>
  <c r="O32" i="36"/>
  <c r="P32" i="36"/>
  <c r="Q32" i="36"/>
  <c r="R32" i="36"/>
  <c r="S32" i="36"/>
  <c r="T32" i="36"/>
  <c r="U32" i="36"/>
  <c r="V32" i="36"/>
  <c r="W32" i="36"/>
  <c r="X32" i="36"/>
  <c r="Y32" i="36"/>
  <c r="Z32" i="36"/>
  <c r="AA32" i="36"/>
  <c r="AB32" i="36"/>
  <c r="AC32" i="36"/>
  <c r="AD32" i="36"/>
  <c r="AE32" i="36"/>
  <c r="AF32" i="36"/>
  <c r="AG32" i="36"/>
  <c r="AH32" i="36"/>
  <c r="AI32" i="36"/>
  <c r="AJ32" i="36"/>
  <c r="AK32" i="36"/>
  <c r="AL32" i="36"/>
  <c r="AM32" i="36"/>
  <c r="AN32" i="36"/>
  <c r="AO32" i="36"/>
  <c r="AP32" i="36"/>
  <c r="AQ32" i="36"/>
  <c r="AR32" i="36"/>
  <c r="AS32" i="36"/>
  <c r="AT32" i="36"/>
  <c r="AU32" i="36"/>
  <c r="AV32" i="36"/>
  <c r="AW32" i="36"/>
  <c r="AX32" i="36"/>
  <c r="AY32" i="36"/>
  <c r="AZ32" i="36"/>
  <c r="BA32" i="36"/>
  <c r="BB32" i="36"/>
  <c r="BC32" i="36"/>
  <c r="BD32" i="36"/>
  <c r="BE32" i="36"/>
  <c r="BF32" i="36"/>
  <c r="BG32" i="36"/>
  <c r="BH32" i="36"/>
  <c r="BI32" i="36"/>
  <c r="BJ32" i="36"/>
  <c r="BK32" i="36"/>
  <c r="BL32" i="36"/>
  <c r="BM32" i="36"/>
  <c r="BN32" i="36"/>
  <c r="BO32" i="36"/>
  <c r="BP32" i="36"/>
  <c r="BQ32" i="36"/>
  <c r="BR32" i="36"/>
  <c r="BS32" i="36"/>
  <c r="BT32" i="36"/>
  <c r="BU32" i="36"/>
  <c r="BV32" i="36"/>
  <c r="BW32" i="36"/>
  <c r="BX32" i="36"/>
  <c r="BY32" i="36"/>
  <c r="BZ32" i="36"/>
  <c r="CA32" i="36"/>
  <c r="CB32" i="36"/>
  <c r="CC32" i="36"/>
  <c r="CD32" i="36"/>
  <c r="CE32" i="36"/>
  <c r="CF32" i="36"/>
  <c r="CG32" i="36"/>
  <c r="CH32" i="36"/>
  <c r="CI32" i="36"/>
  <c r="CJ32" i="36"/>
  <c r="CK32" i="36"/>
  <c r="CL32" i="36"/>
  <c r="CM32" i="36"/>
  <c r="CN32" i="36"/>
  <c r="CO32" i="36"/>
  <c r="CP32" i="36"/>
  <c r="CQ32" i="36"/>
  <c r="CR32" i="36"/>
  <c r="CS32" i="36"/>
  <c r="CT32" i="36"/>
  <c r="CU32" i="36"/>
  <c r="CV32" i="36"/>
  <c r="CW32" i="36"/>
  <c r="CX32" i="36"/>
  <c r="CY32" i="36"/>
  <c r="CZ32" i="36"/>
  <c r="DA32" i="36"/>
  <c r="DB32" i="36"/>
  <c r="DC32" i="36"/>
  <c r="DD32" i="36"/>
  <c r="DE32" i="36"/>
  <c r="DF32" i="36"/>
  <c r="DG32" i="36"/>
  <c r="DH32" i="36"/>
  <c r="DI32" i="36"/>
  <c r="DJ32" i="36"/>
  <c r="DK32" i="36"/>
  <c r="DL32" i="36"/>
  <c r="DM32" i="36"/>
  <c r="DN32" i="36"/>
  <c r="DO32" i="36"/>
  <c r="DP32" i="36"/>
  <c r="DQ32" i="36"/>
  <c r="DR32" i="36"/>
  <c r="DS32" i="36"/>
  <c r="DT32" i="36"/>
  <c r="DU32" i="36"/>
  <c r="DV32" i="36"/>
  <c r="DW32" i="36"/>
  <c r="DX32" i="36"/>
  <c r="DY32" i="36"/>
  <c r="DZ32" i="36"/>
  <c r="EA32" i="36"/>
  <c r="EB32" i="36"/>
  <c r="EC32" i="36"/>
  <c r="ED32" i="36"/>
  <c r="O33" i="36"/>
  <c r="P33" i="36"/>
  <c r="Q33" i="36"/>
  <c r="R33" i="36"/>
  <c r="S33" i="36"/>
  <c r="T33" i="36"/>
  <c r="U33" i="36"/>
  <c r="V33" i="36"/>
  <c r="W33" i="36"/>
  <c r="X33" i="36"/>
  <c r="Y33" i="36"/>
  <c r="Z33" i="36"/>
  <c r="AA33" i="36"/>
  <c r="AB33" i="36"/>
  <c r="AC33" i="36"/>
  <c r="AD33" i="36"/>
  <c r="AE33" i="36"/>
  <c r="AF33" i="36"/>
  <c r="AG33" i="36"/>
  <c r="AH33" i="36"/>
  <c r="AI33" i="36"/>
  <c r="AJ33" i="36"/>
  <c r="AK33" i="36"/>
  <c r="AL33" i="36"/>
  <c r="AM33" i="36"/>
  <c r="AN33" i="36"/>
  <c r="AO33" i="36"/>
  <c r="AP33" i="36"/>
  <c r="AQ33" i="36"/>
  <c r="AR33" i="36"/>
  <c r="AS33" i="36"/>
  <c r="AT33" i="36"/>
  <c r="AU33" i="36"/>
  <c r="AV33" i="36"/>
  <c r="AW33" i="36"/>
  <c r="AX33" i="36"/>
  <c r="AY33" i="36"/>
  <c r="AZ33" i="36"/>
  <c r="BA33" i="36"/>
  <c r="BB33" i="36"/>
  <c r="BC33" i="36"/>
  <c r="BD33" i="36"/>
  <c r="BE33" i="36"/>
  <c r="BF33" i="36"/>
  <c r="BG33" i="36"/>
  <c r="BH33" i="36"/>
  <c r="BI33" i="36"/>
  <c r="BJ33" i="36"/>
  <c r="BK33" i="36"/>
  <c r="BL33" i="36"/>
  <c r="BM33" i="36"/>
  <c r="BN33" i="36"/>
  <c r="BO33" i="36"/>
  <c r="BP33" i="36"/>
  <c r="BQ33" i="36"/>
  <c r="BR33" i="36"/>
  <c r="BS33" i="36"/>
  <c r="BT33" i="36"/>
  <c r="BU33" i="36"/>
  <c r="BV33" i="36"/>
  <c r="BW33" i="36"/>
  <c r="BX33" i="36"/>
  <c r="BY33" i="36"/>
  <c r="BZ33" i="36"/>
  <c r="CA33" i="36"/>
  <c r="CB33" i="36"/>
  <c r="CC33" i="36"/>
  <c r="CD33" i="36"/>
  <c r="CE33" i="36"/>
  <c r="CF33" i="36"/>
  <c r="CG33" i="36"/>
  <c r="CH33" i="36"/>
  <c r="CI33" i="36"/>
  <c r="CJ33" i="36"/>
  <c r="CK33" i="36"/>
  <c r="CL33" i="36"/>
  <c r="CM33" i="36"/>
  <c r="CN33" i="36"/>
  <c r="CO33" i="36"/>
  <c r="CP33" i="36"/>
  <c r="CQ33" i="36"/>
  <c r="CR33" i="36"/>
  <c r="CS33" i="36"/>
  <c r="CT33" i="36"/>
  <c r="CU33" i="36"/>
  <c r="CV33" i="36"/>
  <c r="CW33" i="36"/>
  <c r="CX33" i="36"/>
  <c r="CY33" i="36"/>
  <c r="CZ33" i="36"/>
  <c r="DA33" i="36"/>
  <c r="DB33" i="36"/>
  <c r="DC33" i="36"/>
  <c r="DD33" i="36"/>
  <c r="DE33" i="36"/>
  <c r="DF33" i="36"/>
  <c r="DG33" i="36"/>
  <c r="DH33" i="36"/>
  <c r="DI33" i="36"/>
  <c r="DJ33" i="36"/>
  <c r="DK33" i="36"/>
  <c r="DL33" i="36"/>
  <c r="DM33" i="36"/>
  <c r="DN33" i="36"/>
  <c r="DO33" i="36"/>
  <c r="DP33" i="36"/>
  <c r="DQ33" i="36"/>
  <c r="DR33" i="36"/>
  <c r="DS33" i="36"/>
  <c r="DT33" i="36"/>
  <c r="DU33" i="36"/>
  <c r="DV33" i="36"/>
  <c r="DW33" i="36"/>
  <c r="DX33" i="36"/>
  <c r="DY33" i="36"/>
  <c r="DZ33" i="36"/>
  <c r="EA33" i="36"/>
  <c r="EB33" i="36"/>
  <c r="EC33" i="36"/>
  <c r="ED33" i="36"/>
  <c r="O34" i="36"/>
  <c r="P34" i="36"/>
  <c r="Q34" i="36"/>
  <c r="R34" i="36"/>
  <c r="S34" i="36"/>
  <c r="T34" i="36"/>
  <c r="U34" i="36"/>
  <c r="V34" i="36"/>
  <c r="W34" i="36"/>
  <c r="X34" i="36"/>
  <c r="Y34" i="36"/>
  <c r="Z34" i="36"/>
  <c r="AA34" i="36"/>
  <c r="AB34" i="36"/>
  <c r="AC34" i="36"/>
  <c r="AD34" i="36"/>
  <c r="AE34" i="36"/>
  <c r="AF34" i="36"/>
  <c r="AG34" i="36"/>
  <c r="AH34" i="36"/>
  <c r="AI34" i="36"/>
  <c r="AJ34" i="36"/>
  <c r="AK34" i="36"/>
  <c r="AL34" i="36"/>
  <c r="AM34" i="36"/>
  <c r="AN34" i="36"/>
  <c r="AO34" i="36"/>
  <c r="AP34" i="36"/>
  <c r="AQ34" i="36"/>
  <c r="AR34" i="36"/>
  <c r="AS34" i="36"/>
  <c r="AT34" i="36"/>
  <c r="AU34" i="36"/>
  <c r="AV34" i="36"/>
  <c r="AW34" i="36"/>
  <c r="AX34" i="36"/>
  <c r="AY34" i="36"/>
  <c r="AZ34" i="36"/>
  <c r="BA34" i="36"/>
  <c r="BB34" i="36"/>
  <c r="BC34" i="36"/>
  <c r="BD34" i="36"/>
  <c r="BE34" i="36"/>
  <c r="BF34" i="36"/>
  <c r="BG34" i="36"/>
  <c r="BH34" i="36"/>
  <c r="BI34" i="36"/>
  <c r="BJ34" i="36"/>
  <c r="BK34" i="36"/>
  <c r="BL34" i="36"/>
  <c r="BM34" i="36"/>
  <c r="BN34" i="36"/>
  <c r="BO34" i="36"/>
  <c r="BP34" i="36"/>
  <c r="BQ34" i="36"/>
  <c r="BR34" i="36"/>
  <c r="BS34" i="36"/>
  <c r="BT34" i="36"/>
  <c r="BU34" i="36"/>
  <c r="BV34" i="36"/>
  <c r="BW34" i="36"/>
  <c r="BX34" i="36"/>
  <c r="BY34" i="36"/>
  <c r="BZ34" i="36"/>
  <c r="CA34" i="36"/>
  <c r="CB34" i="36"/>
  <c r="CC34" i="36"/>
  <c r="CD34" i="36"/>
  <c r="CE34" i="36"/>
  <c r="CF34" i="36"/>
  <c r="CG34" i="36"/>
  <c r="CH34" i="36"/>
  <c r="CI34" i="36"/>
  <c r="CJ34" i="36"/>
  <c r="CK34" i="36"/>
  <c r="CL34" i="36"/>
  <c r="CM34" i="36"/>
  <c r="CN34" i="36"/>
  <c r="CO34" i="36"/>
  <c r="CP34" i="36"/>
  <c r="CQ34" i="36"/>
  <c r="CR34" i="36"/>
  <c r="CS34" i="36"/>
  <c r="CT34" i="36"/>
  <c r="CU34" i="36"/>
  <c r="CV34" i="36"/>
  <c r="CW34" i="36"/>
  <c r="CX34" i="36"/>
  <c r="CY34" i="36"/>
  <c r="CZ34" i="36"/>
  <c r="DA34" i="36"/>
  <c r="DB34" i="36"/>
  <c r="DC34" i="36"/>
  <c r="DD34" i="36"/>
  <c r="DE34" i="36"/>
  <c r="DF34" i="36"/>
  <c r="DG34" i="36"/>
  <c r="DH34" i="36"/>
  <c r="DI34" i="36"/>
  <c r="DJ34" i="36"/>
  <c r="DK34" i="36"/>
  <c r="DL34" i="36"/>
  <c r="DM34" i="36"/>
  <c r="DN34" i="36"/>
  <c r="DO34" i="36"/>
  <c r="DP34" i="36"/>
  <c r="DQ34" i="36"/>
  <c r="DR34" i="36"/>
  <c r="DS34" i="36"/>
  <c r="DT34" i="36"/>
  <c r="DU34" i="36"/>
  <c r="DV34" i="36"/>
  <c r="DW34" i="36"/>
  <c r="DX34" i="36"/>
  <c r="DY34" i="36"/>
  <c r="DZ34" i="36"/>
  <c r="EA34" i="36"/>
  <c r="EB34" i="36"/>
  <c r="EC34" i="36"/>
  <c r="ED34" i="36"/>
  <c r="O35" i="36"/>
  <c r="P35" i="36"/>
  <c r="Q35" i="36"/>
  <c r="R35" i="36"/>
  <c r="S35" i="36"/>
  <c r="T35" i="36"/>
  <c r="U35" i="36"/>
  <c r="V35" i="36"/>
  <c r="W35" i="36"/>
  <c r="X35" i="36"/>
  <c r="Y35" i="36"/>
  <c r="Z35" i="36"/>
  <c r="AA35" i="36"/>
  <c r="AB35" i="36"/>
  <c r="AC35" i="36"/>
  <c r="AD35" i="36"/>
  <c r="AE35" i="36"/>
  <c r="AF35" i="36"/>
  <c r="AG35" i="36"/>
  <c r="AH35" i="36"/>
  <c r="AI35" i="36"/>
  <c r="AJ35" i="36"/>
  <c r="AK35" i="36"/>
  <c r="AL35" i="36"/>
  <c r="AM35" i="36"/>
  <c r="AN35" i="36"/>
  <c r="AO35" i="36"/>
  <c r="AP35" i="36"/>
  <c r="AQ35" i="36"/>
  <c r="AR35" i="36"/>
  <c r="AS35" i="36"/>
  <c r="AT35" i="36"/>
  <c r="AU35" i="36"/>
  <c r="AV35" i="36"/>
  <c r="AW35" i="36"/>
  <c r="AX35" i="36"/>
  <c r="AY35" i="36"/>
  <c r="AZ35" i="36"/>
  <c r="BA35" i="36"/>
  <c r="BB35" i="36"/>
  <c r="BC35" i="36"/>
  <c r="BD35" i="36"/>
  <c r="BE35" i="36"/>
  <c r="BF35" i="36"/>
  <c r="BG35" i="36"/>
  <c r="BH35" i="36"/>
  <c r="BI35" i="36"/>
  <c r="BJ35" i="36"/>
  <c r="BK35" i="36"/>
  <c r="BL35" i="36"/>
  <c r="BM35" i="36"/>
  <c r="BN35" i="36"/>
  <c r="BO35" i="36"/>
  <c r="BP35" i="36"/>
  <c r="BQ35" i="36"/>
  <c r="BR35" i="36"/>
  <c r="BS35" i="36"/>
  <c r="BT35" i="36"/>
  <c r="BU35" i="36"/>
  <c r="BV35" i="36"/>
  <c r="BW35" i="36"/>
  <c r="BX35" i="36"/>
  <c r="BY35" i="36"/>
  <c r="BZ35" i="36"/>
  <c r="CA35" i="36"/>
  <c r="CB35" i="36"/>
  <c r="CC35" i="36"/>
  <c r="CD35" i="36"/>
  <c r="CE35" i="36"/>
  <c r="CF35" i="36"/>
  <c r="CG35" i="36"/>
  <c r="CH35" i="36"/>
  <c r="CI35" i="36"/>
  <c r="CJ35" i="36"/>
  <c r="CK35" i="36"/>
  <c r="CL35" i="36"/>
  <c r="CM35" i="36"/>
  <c r="CN35" i="36"/>
  <c r="CO35" i="36"/>
  <c r="CP35" i="36"/>
  <c r="CQ35" i="36"/>
  <c r="CR35" i="36"/>
  <c r="CS35" i="36"/>
  <c r="CT35" i="36"/>
  <c r="CU35" i="36"/>
  <c r="CV35" i="36"/>
  <c r="CW35" i="36"/>
  <c r="CX35" i="36"/>
  <c r="CY35" i="36"/>
  <c r="CZ35" i="36"/>
  <c r="DA35" i="36"/>
  <c r="DB35" i="36"/>
  <c r="DC35" i="36"/>
  <c r="DD35" i="36"/>
  <c r="DE35" i="36"/>
  <c r="DF35" i="36"/>
  <c r="DG35" i="36"/>
  <c r="DH35" i="36"/>
  <c r="DI35" i="36"/>
  <c r="DJ35" i="36"/>
  <c r="DK35" i="36"/>
  <c r="DL35" i="36"/>
  <c r="DM35" i="36"/>
  <c r="DN35" i="36"/>
  <c r="DO35" i="36"/>
  <c r="DP35" i="36"/>
  <c r="DQ35" i="36"/>
  <c r="DR35" i="36"/>
  <c r="DS35" i="36"/>
  <c r="DT35" i="36"/>
  <c r="DU35" i="36"/>
  <c r="DV35" i="36"/>
  <c r="DW35" i="36"/>
  <c r="DX35" i="36"/>
  <c r="DY35" i="36"/>
  <c r="DZ35" i="36"/>
  <c r="EA35" i="36"/>
  <c r="EB35" i="36"/>
  <c r="EC35" i="36"/>
  <c r="ED35" i="36"/>
  <c r="O36" i="36"/>
  <c r="P36" i="36"/>
  <c r="Q36" i="36"/>
  <c r="R36" i="36"/>
  <c r="S36" i="36"/>
  <c r="T36" i="36"/>
  <c r="U36" i="36"/>
  <c r="V36" i="36"/>
  <c r="W36" i="36"/>
  <c r="X36" i="36"/>
  <c r="Y36" i="36"/>
  <c r="Z36" i="36"/>
  <c r="AA36" i="36"/>
  <c r="AB36" i="36"/>
  <c r="AC36" i="36"/>
  <c r="AD36" i="36"/>
  <c r="AE36" i="36"/>
  <c r="AF36" i="36"/>
  <c r="AG36" i="36"/>
  <c r="AH36" i="36"/>
  <c r="AI36" i="36"/>
  <c r="AJ36" i="36"/>
  <c r="AK36" i="36"/>
  <c r="AL36" i="36"/>
  <c r="AM36" i="36"/>
  <c r="AN36" i="36"/>
  <c r="AO36" i="36"/>
  <c r="AP36" i="36"/>
  <c r="AQ36" i="36"/>
  <c r="AR36" i="36"/>
  <c r="AS36" i="36"/>
  <c r="AT36" i="36"/>
  <c r="AU36" i="36"/>
  <c r="AV36" i="36"/>
  <c r="AW36" i="36"/>
  <c r="AX36" i="36"/>
  <c r="AY36" i="36"/>
  <c r="AZ36" i="36"/>
  <c r="BA36" i="36"/>
  <c r="BB36" i="36"/>
  <c r="BC36" i="36"/>
  <c r="BD36" i="36"/>
  <c r="BE36" i="36"/>
  <c r="BF36" i="36"/>
  <c r="BG36" i="36"/>
  <c r="BH36" i="36"/>
  <c r="BI36" i="36"/>
  <c r="BJ36" i="36"/>
  <c r="BK36" i="36"/>
  <c r="BL36" i="36"/>
  <c r="BM36" i="36"/>
  <c r="BN36" i="36"/>
  <c r="BO36" i="36"/>
  <c r="BP36" i="36"/>
  <c r="BQ36" i="36"/>
  <c r="BR36" i="36"/>
  <c r="BS36" i="36"/>
  <c r="BT36" i="36"/>
  <c r="BU36" i="36"/>
  <c r="BV36" i="36"/>
  <c r="BW36" i="36"/>
  <c r="BX36" i="36"/>
  <c r="BY36" i="36"/>
  <c r="BZ36" i="36"/>
  <c r="CA36" i="36"/>
  <c r="CB36" i="36"/>
  <c r="CC36" i="36"/>
  <c r="CD36" i="36"/>
  <c r="CE36" i="36"/>
  <c r="CF36" i="36"/>
  <c r="CG36" i="36"/>
  <c r="CH36" i="36"/>
  <c r="CI36" i="36"/>
  <c r="CJ36" i="36"/>
  <c r="CK36" i="36"/>
  <c r="CL36" i="36"/>
  <c r="CM36" i="36"/>
  <c r="CN36" i="36"/>
  <c r="CO36" i="36"/>
  <c r="CP36" i="36"/>
  <c r="CQ36" i="36"/>
  <c r="CR36" i="36"/>
  <c r="CS36" i="36"/>
  <c r="CT36" i="36"/>
  <c r="CU36" i="36"/>
  <c r="CV36" i="36"/>
  <c r="CW36" i="36"/>
  <c r="CX36" i="36"/>
  <c r="CY36" i="36"/>
  <c r="CZ36" i="36"/>
  <c r="DA36" i="36"/>
  <c r="DB36" i="36"/>
  <c r="DC36" i="36"/>
  <c r="DD36" i="36"/>
  <c r="DE36" i="36"/>
  <c r="DF36" i="36"/>
  <c r="DG36" i="36"/>
  <c r="DH36" i="36"/>
  <c r="DI36" i="36"/>
  <c r="DJ36" i="36"/>
  <c r="DK36" i="36"/>
  <c r="DL36" i="36"/>
  <c r="DM36" i="36"/>
  <c r="DN36" i="36"/>
  <c r="DO36" i="36"/>
  <c r="DP36" i="36"/>
  <c r="DQ36" i="36"/>
  <c r="DR36" i="36"/>
  <c r="DS36" i="36"/>
  <c r="DT36" i="36"/>
  <c r="DU36" i="36"/>
  <c r="DV36" i="36"/>
  <c r="DW36" i="36"/>
  <c r="DX36" i="36"/>
  <c r="DY36" i="36"/>
  <c r="DZ36" i="36"/>
  <c r="EA36" i="36"/>
  <c r="EB36" i="36"/>
  <c r="EC36" i="36"/>
  <c r="ED36" i="36"/>
  <c r="O37" i="36"/>
  <c r="P37" i="36"/>
  <c r="Q37" i="36"/>
  <c r="R37" i="36"/>
  <c r="S37" i="36"/>
  <c r="T37" i="36"/>
  <c r="U37" i="36"/>
  <c r="V37" i="36"/>
  <c r="W37" i="36"/>
  <c r="X37" i="36"/>
  <c r="Y37" i="36"/>
  <c r="Z37" i="36"/>
  <c r="AA37" i="36"/>
  <c r="AB37" i="36"/>
  <c r="AC37" i="36"/>
  <c r="AD37" i="36"/>
  <c r="AE37" i="36"/>
  <c r="AF37" i="36"/>
  <c r="AG37" i="36"/>
  <c r="AH37" i="36"/>
  <c r="AI37" i="36"/>
  <c r="AJ37" i="36"/>
  <c r="AK37" i="36"/>
  <c r="AL37" i="36"/>
  <c r="AM37" i="36"/>
  <c r="AN37" i="36"/>
  <c r="AO37" i="36"/>
  <c r="AP37" i="36"/>
  <c r="AQ37" i="36"/>
  <c r="AR37" i="36"/>
  <c r="AS37" i="36"/>
  <c r="AT37" i="36"/>
  <c r="AU37" i="36"/>
  <c r="AV37" i="36"/>
  <c r="AW37" i="36"/>
  <c r="AX37" i="36"/>
  <c r="AY37" i="36"/>
  <c r="AZ37" i="36"/>
  <c r="BA37" i="36"/>
  <c r="BB37" i="36"/>
  <c r="BC37" i="36"/>
  <c r="BD37" i="36"/>
  <c r="BE37" i="36"/>
  <c r="BF37" i="36"/>
  <c r="BG37" i="36"/>
  <c r="BH37" i="36"/>
  <c r="BI37" i="36"/>
  <c r="BJ37" i="36"/>
  <c r="BK37" i="36"/>
  <c r="BL37" i="36"/>
  <c r="BM37" i="36"/>
  <c r="BN37" i="36"/>
  <c r="BO37" i="36"/>
  <c r="BP37" i="36"/>
  <c r="BQ37" i="36"/>
  <c r="BR37" i="36"/>
  <c r="BS37" i="36"/>
  <c r="BT37" i="36"/>
  <c r="BU37" i="36"/>
  <c r="BV37" i="36"/>
  <c r="BW37" i="36"/>
  <c r="BX37" i="36"/>
  <c r="BY37" i="36"/>
  <c r="BZ37" i="36"/>
  <c r="CA37" i="36"/>
  <c r="CB37" i="36"/>
  <c r="CC37" i="36"/>
  <c r="CD37" i="36"/>
  <c r="CE37" i="36"/>
  <c r="CF37" i="36"/>
  <c r="CG37" i="36"/>
  <c r="CH37" i="36"/>
  <c r="CI37" i="36"/>
  <c r="CJ37" i="36"/>
  <c r="CK37" i="36"/>
  <c r="CL37" i="36"/>
  <c r="CM37" i="36"/>
  <c r="CN37" i="36"/>
  <c r="CO37" i="36"/>
  <c r="CP37" i="36"/>
  <c r="CQ37" i="36"/>
  <c r="CR37" i="36"/>
  <c r="CS37" i="36"/>
  <c r="CT37" i="36"/>
  <c r="CU37" i="36"/>
  <c r="CV37" i="36"/>
  <c r="CW37" i="36"/>
  <c r="CX37" i="36"/>
  <c r="CY37" i="36"/>
  <c r="CZ37" i="36"/>
  <c r="DA37" i="36"/>
  <c r="DB37" i="36"/>
  <c r="DC37" i="36"/>
  <c r="DD37" i="36"/>
  <c r="DE37" i="36"/>
  <c r="DF37" i="36"/>
  <c r="DG37" i="36"/>
  <c r="DH37" i="36"/>
  <c r="DI37" i="36"/>
  <c r="DJ37" i="36"/>
  <c r="DK37" i="36"/>
  <c r="DL37" i="36"/>
  <c r="DM37" i="36"/>
  <c r="DN37" i="36"/>
  <c r="DO37" i="36"/>
  <c r="DP37" i="36"/>
  <c r="DQ37" i="36"/>
  <c r="DR37" i="36"/>
  <c r="DS37" i="36"/>
  <c r="DT37" i="36"/>
  <c r="DU37" i="36"/>
  <c r="DV37" i="36"/>
  <c r="DW37" i="36"/>
  <c r="DX37" i="36"/>
  <c r="DY37" i="36"/>
  <c r="DZ37" i="36"/>
  <c r="EA37" i="36"/>
  <c r="EB37" i="36"/>
  <c r="EC37" i="36"/>
  <c r="ED37" i="36"/>
  <c r="O38" i="36"/>
  <c r="P38" i="36"/>
  <c r="Q38" i="36"/>
  <c r="R38" i="36"/>
  <c r="S38" i="36"/>
  <c r="T38" i="36"/>
  <c r="U38" i="36"/>
  <c r="V38" i="36"/>
  <c r="W38" i="36"/>
  <c r="X38" i="36"/>
  <c r="Y38" i="36"/>
  <c r="Z38" i="36"/>
  <c r="AA38" i="36"/>
  <c r="AB38" i="36"/>
  <c r="AC38" i="36"/>
  <c r="AD38" i="36"/>
  <c r="AE38" i="36"/>
  <c r="AF38" i="36"/>
  <c r="AG38" i="36"/>
  <c r="AH38" i="36"/>
  <c r="AI38" i="36"/>
  <c r="AJ38" i="36"/>
  <c r="AK38" i="36"/>
  <c r="AL38" i="36"/>
  <c r="AM38" i="36"/>
  <c r="AN38" i="36"/>
  <c r="AO38" i="36"/>
  <c r="AP38" i="36"/>
  <c r="AQ38" i="36"/>
  <c r="AR38" i="36"/>
  <c r="AS38" i="36"/>
  <c r="AT38" i="36"/>
  <c r="AU38" i="36"/>
  <c r="AV38" i="36"/>
  <c r="AW38" i="36"/>
  <c r="AX38" i="36"/>
  <c r="AY38" i="36"/>
  <c r="AZ38" i="36"/>
  <c r="BA38" i="36"/>
  <c r="BB38" i="36"/>
  <c r="BC38" i="36"/>
  <c r="BD38" i="36"/>
  <c r="BE38" i="36"/>
  <c r="BF38" i="36"/>
  <c r="BG38" i="36"/>
  <c r="BH38" i="36"/>
  <c r="BI38" i="36"/>
  <c r="BJ38" i="36"/>
  <c r="BK38" i="36"/>
  <c r="BL38" i="36"/>
  <c r="BM38" i="36"/>
  <c r="BN38" i="36"/>
  <c r="BO38" i="36"/>
  <c r="BP38" i="36"/>
  <c r="BQ38" i="36"/>
  <c r="BR38" i="36"/>
  <c r="BS38" i="36"/>
  <c r="BT38" i="36"/>
  <c r="BU38" i="36"/>
  <c r="BV38" i="36"/>
  <c r="BW38" i="36"/>
  <c r="BX38" i="36"/>
  <c r="BY38" i="36"/>
  <c r="BZ38" i="36"/>
  <c r="CA38" i="36"/>
  <c r="CB38" i="36"/>
  <c r="CC38" i="36"/>
  <c r="CD38" i="36"/>
  <c r="CE38" i="36"/>
  <c r="CF38" i="36"/>
  <c r="CG38" i="36"/>
  <c r="CH38" i="36"/>
  <c r="CI38" i="36"/>
  <c r="CJ38" i="36"/>
  <c r="CK38" i="36"/>
  <c r="CL38" i="36"/>
  <c r="CM38" i="36"/>
  <c r="CN38" i="36"/>
  <c r="CO38" i="36"/>
  <c r="CP38" i="36"/>
  <c r="CQ38" i="36"/>
  <c r="CR38" i="36"/>
  <c r="CS38" i="36"/>
  <c r="CT38" i="36"/>
  <c r="CU38" i="36"/>
  <c r="CV38" i="36"/>
  <c r="CW38" i="36"/>
  <c r="CX38" i="36"/>
  <c r="CY38" i="36"/>
  <c r="CZ38" i="36"/>
  <c r="DA38" i="36"/>
  <c r="DB38" i="36"/>
  <c r="DC38" i="36"/>
  <c r="DD38" i="36"/>
  <c r="DE38" i="36"/>
  <c r="DF38" i="36"/>
  <c r="DG38" i="36"/>
  <c r="DH38" i="36"/>
  <c r="DI38" i="36"/>
  <c r="DJ38" i="36"/>
  <c r="DK38" i="36"/>
  <c r="DL38" i="36"/>
  <c r="DM38" i="36"/>
  <c r="DN38" i="36"/>
  <c r="DO38" i="36"/>
  <c r="DP38" i="36"/>
  <c r="DQ38" i="36"/>
  <c r="DR38" i="36"/>
  <c r="DS38" i="36"/>
  <c r="DT38" i="36"/>
  <c r="DU38" i="36"/>
  <c r="DV38" i="36"/>
  <c r="DW38" i="36"/>
  <c r="DX38" i="36"/>
  <c r="DY38" i="36"/>
  <c r="DZ38" i="36"/>
  <c r="EA38" i="36"/>
  <c r="EB38" i="36"/>
  <c r="EC38" i="36"/>
  <c r="ED38" i="36"/>
  <c r="O39" i="36"/>
  <c r="P39" i="36"/>
  <c r="Q39" i="36"/>
  <c r="R39" i="36"/>
  <c r="S39" i="36"/>
  <c r="T39" i="36"/>
  <c r="U39" i="36"/>
  <c r="V39" i="36"/>
  <c r="W39" i="36"/>
  <c r="X39" i="36"/>
  <c r="Y39" i="36"/>
  <c r="Z39" i="36"/>
  <c r="AA39" i="36"/>
  <c r="AB39" i="36"/>
  <c r="AC39" i="36"/>
  <c r="AD39" i="36"/>
  <c r="AE39" i="36"/>
  <c r="AF39" i="36"/>
  <c r="AG39" i="36"/>
  <c r="AH39" i="36"/>
  <c r="AI39" i="36"/>
  <c r="AJ39" i="36"/>
  <c r="AK39" i="36"/>
  <c r="AL39" i="36"/>
  <c r="AM39" i="36"/>
  <c r="AN39" i="36"/>
  <c r="AO39" i="36"/>
  <c r="AP39" i="36"/>
  <c r="AQ39" i="36"/>
  <c r="AR39" i="36"/>
  <c r="AS39" i="36"/>
  <c r="AT39" i="36"/>
  <c r="AU39" i="36"/>
  <c r="AV39" i="36"/>
  <c r="AW39" i="36"/>
  <c r="AX39" i="36"/>
  <c r="AY39" i="36"/>
  <c r="AZ39" i="36"/>
  <c r="BA39" i="36"/>
  <c r="BB39" i="36"/>
  <c r="BC39" i="36"/>
  <c r="BD39" i="36"/>
  <c r="BE39" i="36"/>
  <c r="BF39" i="36"/>
  <c r="BG39" i="36"/>
  <c r="BH39" i="36"/>
  <c r="BI39" i="36"/>
  <c r="BJ39" i="36"/>
  <c r="BK39" i="36"/>
  <c r="BL39" i="36"/>
  <c r="BM39" i="36"/>
  <c r="BN39" i="36"/>
  <c r="BO39" i="36"/>
  <c r="BP39" i="36"/>
  <c r="BQ39" i="36"/>
  <c r="BR39" i="36"/>
  <c r="BS39" i="36"/>
  <c r="BT39" i="36"/>
  <c r="BU39" i="36"/>
  <c r="BV39" i="36"/>
  <c r="BW39" i="36"/>
  <c r="BX39" i="36"/>
  <c r="BY39" i="36"/>
  <c r="BZ39" i="36"/>
  <c r="CA39" i="36"/>
  <c r="CB39" i="36"/>
  <c r="CC39" i="36"/>
  <c r="CD39" i="36"/>
  <c r="CE39" i="36"/>
  <c r="CF39" i="36"/>
  <c r="CG39" i="36"/>
  <c r="CH39" i="36"/>
  <c r="CI39" i="36"/>
  <c r="CJ39" i="36"/>
  <c r="CK39" i="36"/>
  <c r="CL39" i="36"/>
  <c r="CM39" i="36"/>
  <c r="CN39" i="36"/>
  <c r="CO39" i="36"/>
  <c r="CP39" i="36"/>
  <c r="CQ39" i="36"/>
  <c r="CR39" i="36"/>
  <c r="CS39" i="36"/>
  <c r="CT39" i="36"/>
  <c r="CU39" i="36"/>
  <c r="CV39" i="36"/>
  <c r="CW39" i="36"/>
  <c r="CX39" i="36"/>
  <c r="CY39" i="36"/>
  <c r="CZ39" i="36"/>
  <c r="DA39" i="36"/>
  <c r="DB39" i="36"/>
  <c r="DC39" i="36"/>
  <c r="DD39" i="36"/>
  <c r="DE39" i="36"/>
  <c r="DF39" i="36"/>
  <c r="DG39" i="36"/>
  <c r="DH39" i="36"/>
  <c r="DI39" i="36"/>
  <c r="DJ39" i="36"/>
  <c r="DK39" i="36"/>
  <c r="DL39" i="36"/>
  <c r="DM39" i="36"/>
  <c r="DN39" i="36"/>
  <c r="DO39" i="36"/>
  <c r="DP39" i="36"/>
  <c r="DQ39" i="36"/>
  <c r="DR39" i="36"/>
  <c r="DS39" i="36"/>
  <c r="DT39" i="36"/>
  <c r="DU39" i="36"/>
  <c r="DV39" i="36"/>
  <c r="DW39" i="36"/>
  <c r="DX39" i="36"/>
  <c r="DY39" i="36"/>
  <c r="DZ39" i="36"/>
  <c r="EA39" i="36"/>
  <c r="EB39" i="36"/>
  <c r="EC39" i="36"/>
  <c r="ED39" i="36"/>
  <c r="O40" i="36"/>
  <c r="P40" i="36"/>
  <c r="Q40" i="36"/>
  <c r="R40" i="36"/>
  <c r="S40" i="36"/>
  <c r="T40" i="36"/>
  <c r="U40" i="36"/>
  <c r="V40" i="36"/>
  <c r="W40" i="36"/>
  <c r="X40" i="36"/>
  <c r="Y40" i="36"/>
  <c r="Z40" i="36"/>
  <c r="AA40" i="36"/>
  <c r="AB40" i="36"/>
  <c r="AC40" i="36"/>
  <c r="AD40" i="36"/>
  <c r="AE40" i="36"/>
  <c r="AF40" i="36"/>
  <c r="AG40" i="36"/>
  <c r="AH40" i="36"/>
  <c r="AI40" i="36"/>
  <c r="AJ40" i="36"/>
  <c r="AK40" i="36"/>
  <c r="AL40" i="36"/>
  <c r="AM40" i="36"/>
  <c r="AN40" i="36"/>
  <c r="AO40" i="36"/>
  <c r="AP40" i="36"/>
  <c r="AQ40" i="36"/>
  <c r="AR40" i="36"/>
  <c r="AS40" i="36"/>
  <c r="AT40" i="36"/>
  <c r="AU40" i="36"/>
  <c r="AV40" i="36"/>
  <c r="AW40" i="36"/>
  <c r="AX40" i="36"/>
  <c r="AY40" i="36"/>
  <c r="AZ40" i="36"/>
  <c r="BA40" i="36"/>
  <c r="BB40" i="36"/>
  <c r="BC40" i="36"/>
  <c r="BD40" i="36"/>
  <c r="BE40" i="36"/>
  <c r="BF40" i="36"/>
  <c r="BG40" i="36"/>
  <c r="BH40" i="36"/>
  <c r="BI40" i="36"/>
  <c r="BJ40" i="36"/>
  <c r="BK40" i="36"/>
  <c r="BL40" i="36"/>
  <c r="BM40" i="36"/>
  <c r="BN40" i="36"/>
  <c r="BO40" i="36"/>
  <c r="BP40" i="36"/>
  <c r="BQ40" i="36"/>
  <c r="BR40" i="36"/>
  <c r="BS40" i="36"/>
  <c r="BT40" i="36"/>
  <c r="BU40" i="36"/>
  <c r="BV40" i="36"/>
  <c r="BW40" i="36"/>
  <c r="BX40" i="36"/>
  <c r="BY40" i="36"/>
  <c r="BZ40" i="36"/>
  <c r="CA40" i="36"/>
  <c r="CB40" i="36"/>
  <c r="CC40" i="36"/>
  <c r="CD40" i="36"/>
  <c r="CE40" i="36"/>
  <c r="CF40" i="36"/>
  <c r="CG40" i="36"/>
  <c r="CH40" i="36"/>
  <c r="CI40" i="36"/>
  <c r="CJ40" i="36"/>
  <c r="CK40" i="36"/>
  <c r="CL40" i="36"/>
  <c r="CM40" i="36"/>
  <c r="CN40" i="36"/>
  <c r="CO40" i="36"/>
  <c r="CP40" i="36"/>
  <c r="CQ40" i="36"/>
  <c r="CR40" i="36"/>
  <c r="CS40" i="36"/>
  <c r="CT40" i="36"/>
  <c r="CU40" i="36"/>
  <c r="CV40" i="36"/>
  <c r="CW40" i="36"/>
  <c r="CX40" i="36"/>
  <c r="CY40" i="36"/>
  <c r="CZ40" i="36"/>
  <c r="DA40" i="36"/>
  <c r="DB40" i="36"/>
  <c r="DC40" i="36"/>
  <c r="DD40" i="36"/>
  <c r="DE40" i="36"/>
  <c r="DF40" i="36"/>
  <c r="DG40" i="36"/>
  <c r="DH40" i="36"/>
  <c r="DI40" i="36"/>
  <c r="DJ40" i="36"/>
  <c r="DK40" i="36"/>
  <c r="DL40" i="36"/>
  <c r="DM40" i="36"/>
  <c r="DN40" i="36"/>
  <c r="DO40" i="36"/>
  <c r="DP40" i="36"/>
  <c r="DQ40" i="36"/>
  <c r="DR40" i="36"/>
  <c r="DS40" i="36"/>
  <c r="DT40" i="36"/>
  <c r="DU40" i="36"/>
  <c r="DV40" i="36"/>
  <c r="DW40" i="36"/>
  <c r="DX40" i="36"/>
  <c r="DY40" i="36"/>
  <c r="DZ40" i="36"/>
  <c r="EA40" i="36"/>
  <c r="EB40" i="36"/>
  <c r="EC40" i="36"/>
  <c r="ED40" i="36"/>
  <c r="O41" i="36"/>
  <c r="P41" i="36"/>
  <c r="Q41" i="36"/>
  <c r="R41" i="36"/>
  <c r="S41" i="36"/>
  <c r="T41" i="36"/>
  <c r="U41" i="36"/>
  <c r="V41" i="36"/>
  <c r="W41" i="36"/>
  <c r="X41" i="36"/>
  <c r="Y41" i="36"/>
  <c r="Z41" i="36"/>
  <c r="AA41" i="36"/>
  <c r="AB41" i="36"/>
  <c r="AC41" i="36"/>
  <c r="AD41" i="36"/>
  <c r="AE41" i="36"/>
  <c r="AF41" i="36"/>
  <c r="AG41" i="36"/>
  <c r="AH41" i="36"/>
  <c r="AI41" i="36"/>
  <c r="AJ41" i="36"/>
  <c r="AK41" i="36"/>
  <c r="AL41" i="36"/>
  <c r="AM41" i="36"/>
  <c r="AN41" i="36"/>
  <c r="AO41" i="36"/>
  <c r="AP41" i="36"/>
  <c r="AQ41" i="36"/>
  <c r="AR41" i="36"/>
  <c r="AS41" i="36"/>
  <c r="AT41" i="36"/>
  <c r="AU41" i="36"/>
  <c r="AV41" i="36"/>
  <c r="AW41" i="36"/>
  <c r="AX41" i="36"/>
  <c r="AY41" i="36"/>
  <c r="AZ41" i="36"/>
  <c r="BA41" i="36"/>
  <c r="BB41" i="36"/>
  <c r="BC41" i="36"/>
  <c r="BD41" i="36"/>
  <c r="BE41" i="36"/>
  <c r="BF41" i="36"/>
  <c r="BG41" i="36"/>
  <c r="BH41" i="36"/>
  <c r="BI41" i="36"/>
  <c r="BJ41" i="36"/>
  <c r="BK41" i="36"/>
  <c r="BL41" i="36"/>
  <c r="BM41" i="36"/>
  <c r="BN41" i="36"/>
  <c r="BO41" i="36"/>
  <c r="BP41" i="36"/>
  <c r="BQ41" i="36"/>
  <c r="BR41" i="36"/>
  <c r="BS41" i="36"/>
  <c r="BT41" i="36"/>
  <c r="BU41" i="36"/>
  <c r="BV41" i="36"/>
  <c r="BW41" i="36"/>
  <c r="BX41" i="36"/>
  <c r="BY41" i="36"/>
  <c r="BZ41" i="36"/>
  <c r="CA41" i="36"/>
  <c r="CB41" i="36"/>
  <c r="CC41" i="36"/>
  <c r="CD41" i="36"/>
  <c r="CE41" i="36"/>
  <c r="CF41" i="36"/>
  <c r="CG41" i="36"/>
  <c r="CH41" i="36"/>
  <c r="CI41" i="36"/>
  <c r="CJ41" i="36"/>
  <c r="CK41" i="36"/>
  <c r="CL41" i="36"/>
  <c r="CM41" i="36"/>
  <c r="CN41" i="36"/>
  <c r="CO41" i="36"/>
  <c r="CP41" i="36"/>
  <c r="CQ41" i="36"/>
  <c r="CR41" i="36"/>
  <c r="CS41" i="36"/>
  <c r="CT41" i="36"/>
  <c r="CU41" i="36"/>
  <c r="CV41" i="36"/>
  <c r="CW41" i="36"/>
  <c r="CX41" i="36"/>
  <c r="CY41" i="36"/>
  <c r="CZ41" i="36"/>
  <c r="DA41" i="36"/>
  <c r="DB41" i="36"/>
  <c r="DC41" i="36"/>
  <c r="DD41" i="36"/>
  <c r="DE41" i="36"/>
  <c r="DF41" i="36"/>
  <c r="DG41" i="36"/>
  <c r="DH41" i="36"/>
  <c r="DI41" i="36"/>
  <c r="DJ41" i="36"/>
  <c r="DK41" i="36"/>
  <c r="DL41" i="36"/>
  <c r="DM41" i="36"/>
  <c r="DN41" i="36"/>
  <c r="DO41" i="36"/>
  <c r="DP41" i="36"/>
  <c r="DQ41" i="36"/>
  <c r="DR41" i="36"/>
  <c r="DS41" i="36"/>
  <c r="DT41" i="36"/>
  <c r="DU41" i="36"/>
  <c r="DV41" i="36"/>
  <c r="DW41" i="36"/>
  <c r="DX41" i="36"/>
  <c r="DY41" i="36"/>
  <c r="DZ41" i="36"/>
  <c r="EA41" i="36"/>
  <c r="EB41" i="36"/>
  <c r="EC41" i="36"/>
  <c r="ED41" i="36"/>
  <c r="O42" i="36"/>
  <c r="P42" i="36"/>
  <c r="Q42" i="36"/>
  <c r="R42" i="36"/>
  <c r="S42" i="36"/>
  <c r="T42" i="36"/>
  <c r="U42" i="36"/>
  <c r="V42" i="36"/>
  <c r="W42" i="36"/>
  <c r="X42" i="36"/>
  <c r="Y42" i="36"/>
  <c r="Z42" i="36"/>
  <c r="AA42" i="36"/>
  <c r="AB42" i="36"/>
  <c r="AC42" i="36"/>
  <c r="AD42" i="36"/>
  <c r="AE42" i="36"/>
  <c r="AF42" i="36"/>
  <c r="AG42" i="36"/>
  <c r="AH42" i="36"/>
  <c r="AI42" i="36"/>
  <c r="AJ42" i="36"/>
  <c r="AK42" i="36"/>
  <c r="AL42" i="36"/>
  <c r="AM42" i="36"/>
  <c r="AN42" i="36"/>
  <c r="AO42" i="36"/>
  <c r="AP42" i="36"/>
  <c r="AQ42" i="36"/>
  <c r="AR42" i="36"/>
  <c r="AS42" i="36"/>
  <c r="AT42" i="36"/>
  <c r="AU42" i="36"/>
  <c r="AV42" i="36"/>
  <c r="AW42" i="36"/>
  <c r="AX42" i="36"/>
  <c r="AY42" i="36"/>
  <c r="AZ42" i="36"/>
  <c r="BA42" i="36"/>
  <c r="BB42" i="36"/>
  <c r="BC42" i="36"/>
  <c r="BD42" i="36"/>
  <c r="BE42" i="36"/>
  <c r="BF42" i="36"/>
  <c r="BG42" i="36"/>
  <c r="BH42" i="36"/>
  <c r="BI42" i="36"/>
  <c r="BJ42" i="36"/>
  <c r="BK42" i="36"/>
  <c r="BL42" i="36"/>
  <c r="BM42" i="36"/>
  <c r="BN42" i="36"/>
  <c r="BO42" i="36"/>
  <c r="BP42" i="36"/>
  <c r="BQ42" i="36"/>
  <c r="BR42" i="36"/>
  <c r="BS42" i="36"/>
  <c r="BT42" i="36"/>
  <c r="BU42" i="36"/>
  <c r="BV42" i="36"/>
  <c r="BW42" i="36"/>
  <c r="BX42" i="36"/>
  <c r="BY42" i="36"/>
  <c r="BZ42" i="36"/>
  <c r="CA42" i="36"/>
  <c r="CB42" i="36"/>
  <c r="CC42" i="36"/>
  <c r="CD42" i="36"/>
  <c r="CE42" i="36"/>
  <c r="CF42" i="36"/>
  <c r="CG42" i="36"/>
  <c r="CH42" i="36"/>
  <c r="CI42" i="36"/>
  <c r="CJ42" i="36"/>
  <c r="CK42" i="36"/>
  <c r="CL42" i="36"/>
  <c r="CM42" i="36"/>
  <c r="CN42" i="36"/>
  <c r="CO42" i="36"/>
  <c r="CP42" i="36"/>
  <c r="CQ42" i="36"/>
  <c r="CR42" i="36"/>
  <c r="CS42" i="36"/>
  <c r="CT42" i="36"/>
  <c r="CU42" i="36"/>
  <c r="CV42" i="36"/>
  <c r="CW42" i="36"/>
  <c r="CX42" i="36"/>
  <c r="CY42" i="36"/>
  <c r="CZ42" i="36"/>
  <c r="DA42" i="36"/>
  <c r="DB42" i="36"/>
  <c r="DC42" i="36"/>
  <c r="DD42" i="36"/>
  <c r="DE42" i="36"/>
  <c r="DF42" i="36"/>
  <c r="DG42" i="36"/>
  <c r="DH42" i="36"/>
  <c r="DI42" i="36"/>
  <c r="DJ42" i="36"/>
  <c r="DK42" i="36"/>
  <c r="DL42" i="36"/>
  <c r="DM42" i="36"/>
  <c r="DN42" i="36"/>
  <c r="DO42" i="36"/>
  <c r="DP42" i="36"/>
  <c r="DQ42" i="36"/>
  <c r="DR42" i="36"/>
  <c r="DS42" i="36"/>
  <c r="DT42" i="36"/>
  <c r="DU42" i="36"/>
  <c r="DV42" i="36"/>
  <c r="DW42" i="36"/>
  <c r="DX42" i="36"/>
  <c r="DY42" i="36"/>
  <c r="DZ42" i="36"/>
  <c r="EA42" i="36"/>
  <c r="EB42" i="36"/>
  <c r="EC42" i="36"/>
  <c r="ED42" i="36"/>
  <c r="O43" i="36"/>
  <c r="P43" i="36"/>
  <c r="Q43" i="36"/>
  <c r="R43" i="36"/>
  <c r="S43" i="36"/>
  <c r="T43" i="36"/>
  <c r="U43" i="36"/>
  <c r="V43" i="36"/>
  <c r="W43" i="36"/>
  <c r="X43" i="36"/>
  <c r="Y43" i="36"/>
  <c r="Z43" i="36"/>
  <c r="AA43" i="36"/>
  <c r="AB43" i="36"/>
  <c r="AC43" i="36"/>
  <c r="AD43" i="36"/>
  <c r="AE43" i="36"/>
  <c r="AF43" i="36"/>
  <c r="AG43" i="36"/>
  <c r="AH43" i="36"/>
  <c r="AI43" i="36"/>
  <c r="AJ43" i="36"/>
  <c r="AK43" i="36"/>
  <c r="AL43" i="36"/>
  <c r="AM43" i="36"/>
  <c r="AN43" i="36"/>
  <c r="AO43" i="36"/>
  <c r="AP43" i="36"/>
  <c r="AQ43" i="36"/>
  <c r="AR43" i="36"/>
  <c r="AS43" i="36"/>
  <c r="AT43" i="36"/>
  <c r="AU43" i="36"/>
  <c r="AV43" i="36"/>
  <c r="AW43" i="36"/>
  <c r="AX43" i="36"/>
  <c r="AY43" i="36"/>
  <c r="AZ43" i="36"/>
  <c r="BA43" i="36"/>
  <c r="BB43" i="36"/>
  <c r="BC43" i="36"/>
  <c r="BD43" i="36"/>
  <c r="BE43" i="36"/>
  <c r="BF43" i="36"/>
  <c r="BG43" i="36"/>
  <c r="BH43" i="36"/>
  <c r="BI43" i="36"/>
  <c r="BJ43" i="36"/>
  <c r="BK43" i="36"/>
  <c r="BL43" i="36"/>
  <c r="BM43" i="36"/>
  <c r="BN43" i="36"/>
  <c r="BO43" i="36"/>
  <c r="BP43" i="36"/>
  <c r="BQ43" i="36"/>
  <c r="BR43" i="36"/>
  <c r="BS43" i="36"/>
  <c r="BT43" i="36"/>
  <c r="BU43" i="36"/>
  <c r="BV43" i="36"/>
  <c r="BW43" i="36"/>
  <c r="BX43" i="36"/>
  <c r="BY43" i="36"/>
  <c r="BZ43" i="36"/>
  <c r="CA43" i="36"/>
  <c r="CB43" i="36"/>
  <c r="CC43" i="36"/>
  <c r="CD43" i="36"/>
  <c r="CE43" i="36"/>
  <c r="CF43" i="36"/>
  <c r="CG43" i="36"/>
  <c r="CH43" i="36"/>
  <c r="CI43" i="36"/>
  <c r="CJ43" i="36"/>
  <c r="CK43" i="36"/>
  <c r="CL43" i="36"/>
  <c r="CM43" i="36"/>
  <c r="CN43" i="36"/>
  <c r="CO43" i="36"/>
  <c r="CP43" i="36"/>
  <c r="CQ43" i="36"/>
  <c r="CR43" i="36"/>
  <c r="CS43" i="36"/>
  <c r="CT43" i="36"/>
  <c r="CU43" i="36"/>
  <c r="CV43" i="36"/>
  <c r="CW43" i="36"/>
  <c r="CX43" i="36"/>
  <c r="CY43" i="36"/>
  <c r="CZ43" i="36"/>
  <c r="DA43" i="36"/>
  <c r="DB43" i="36"/>
  <c r="DC43" i="36"/>
  <c r="DD43" i="36"/>
  <c r="DE43" i="36"/>
  <c r="DF43" i="36"/>
  <c r="DG43" i="36"/>
  <c r="DH43" i="36"/>
  <c r="DI43" i="36"/>
  <c r="DJ43" i="36"/>
  <c r="DK43" i="36"/>
  <c r="DL43" i="36"/>
  <c r="DM43" i="36"/>
  <c r="DN43" i="36"/>
  <c r="DO43" i="36"/>
  <c r="DP43" i="36"/>
  <c r="DQ43" i="36"/>
  <c r="DR43" i="36"/>
  <c r="DS43" i="36"/>
  <c r="DT43" i="36"/>
  <c r="DU43" i="36"/>
  <c r="DV43" i="36"/>
  <c r="DW43" i="36"/>
  <c r="DX43" i="36"/>
  <c r="DY43" i="36"/>
  <c r="DZ43" i="36"/>
  <c r="EA43" i="36"/>
  <c r="EB43" i="36"/>
  <c r="EC43" i="36"/>
  <c r="ED43" i="36"/>
  <c r="O44" i="36"/>
  <c r="P44" i="36"/>
  <c r="Q44" i="36"/>
  <c r="R44" i="36"/>
  <c r="S44" i="36"/>
  <c r="T44" i="36"/>
  <c r="U44" i="36"/>
  <c r="V44" i="36"/>
  <c r="W44" i="36"/>
  <c r="X44" i="36"/>
  <c r="Y44" i="36"/>
  <c r="Z44" i="36"/>
  <c r="AA44" i="36"/>
  <c r="AB44" i="36"/>
  <c r="AC44" i="36"/>
  <c r="AD44" i="36"/>
  <c r="AE44" i="36"/>
  <c r="AF44" i="36"/>
  <c r="AG44" i="36"/>
  <c r="AH44" i="36"/>
  <c r="AI44" i="36"/>
  <c r="AJ44" i="36"/>
  <c r="AK44" i="36"/>
  <c r="AL44" i="36"/>
  <c r="AM44" i="36"/>
  <c r="AN44" i="36"/>
  <c r="AO44" i="36"/>
  <c r="AP44" i="36"/>
  <c r="AQ44" i="36"/>
  <c r="AR44" i="36"/>
  <c r="AS44" i="36"/>
  <c r="AT44" i="36"/>
  <c r="AU44" i="36"/>
  <c r="AV44" i="36"/>
  <c r="AW44" i="36"/>
  <c r="AX44" i="36"/>
  <c r="AY44" i="36"/>
  <c r="AZ44" i="36"/>
  <c r="BA44" i="36"/>
  <c r="BB44" i="36"/>
  <c r="BC44" i="36"/>
  <c r="BD44" i="36"/>
  <c r="BE44" i="36"/>
  <c r="BF44" i="36"/>
  <c r="BG44" i="36"/>
  <c r="BH44" i="36"/>
  <c r="BI44" i="36"/>
  <c r="BJ44" i="36"/>
  <c r="BK44" i="36"/>
  <c r="BL44" i="36"/>
  <c r="BM44" i="36"/>
  <c r="BN44" i="36"/>
  <c r="BO44" i="36"/>
  <c r="BP44" i="36"/>
  <c r="BQ44" i="36"/>
  <c r="BR44" i="36"/>
  <c r="BS44" i="36"/>
  <c r="BT44" i="36"/>
  <c r="BU44" i="36"/>
  <c r="BV44" i="36"/>
  <c r="BW44" i="36"/>
  <c r="BX44" i="36"/>
  <c r="BY44" i="36"/>
  <c r="BZ44" i="36"/>
  <c r="CA44" i="36"/>
  <c r="CB44" i="36"/>
  <c r="CC44" i="36"/>
  <c r="CD44" i="36"/>
  <c r="CE44" i="36"/>
  <c r="CF44" i="36"/>
  <c r="CG44" i="36"/>
  <c r="CH44" i="36"/>
  <c r="CI44" i="36"/>
  <c r="CJ44" i="36"/>
  <c r="CK44" i="36"/>
  <c r="CL44" i="36"/>
  <c r="CM44" i="36"/>
  <c r="CN44" i="36"/>
  <c r="CO44" i="36"/>
  <c r="CP44" i="36"/>
  <c r="CQ44" i="36"/>
  <c r="CR44" i="36"/>
  <c r="CS44" i="36"/>
  <c r="CT44" i="36"/>
  <c r="CU44" i="36"/>
  <c r="CV44" i="36"/>
  <c r="CW44" i="36"/>
  <c r="CX44" i="36"/>
  <c r="CY44" i="36"/>
  <c r="CZ44" i="36"/>
  <c r="DA44" i="36"/>
  <c r="DB44" i="36"/>
  <c r="DC44" i="36"/>
  <c r="DD44" i="36"/>
  <c r="DE44" i="36"/>
  <c r="DF44" i="36"/>
  <c r="DG44" i="36"/>
  <c r="DH44" i="36"/>
  <c r="DI44" i="36"/>
  <c r="DJ44" i="36"/>
  <c r="DK44" i="36"/>
  <c r="DL44" i="36"/>
  <c r="DM44" i="36"/>
  <c r="DN44" i="36"/>
  <c r="DO44" i="36"/>
  <c r="DP44" i="36"/>
  <c r="DQ44" i="36"/>
  <c r="DR44" i="36"/>
  <c r="DS44" i="36"/>
  <c r="DT44" i="36"/>
  <c r="DU44" i="36"/>
  <c r="DV44" i="36"/>
  <c r="DW44" i="36"/>
  <c r="DX44" i="36"/>
  <c r="DY44" i="36"/>
  <c r="DZ44" i="36"/>
  <c r="EA44" i="36"/>
  <c r="EB44" i="36"/>
  <c r="EC44" i="36"/>
  <c r="ED44" i="36"/>
  <c r="O45" i="36"/>
  <c r="P45" i="36"/>
  <c r="Q45" i="36"/>
  <c r="R45" i="36"/>
  <c r="S45" i="36"/>
  <c r="T45" i="36"/>
  <c r="U45" i="36"/>
  <c r="V45" i="36"/>
  <c r="W45" i="36"/>
  <c r="X45" i="36"/>
  <c r="Y45" i="36"/>
  <c r="Z45" i="36"/>
  <c r="AA45" i="36"/>
  <c r="AB45" i="36"/>
  <c r="AC45" i="36"/>
  <c r="AD45" i="36"/>
  <c r="AE45" i="36"/>
  <c r="AF45" i="36"/>
  <c r="AG45" i="36"/>
  <c r="AH45" i="36"/>
  <c r="AI45" i="36"/>
  <c r="AJ45" i="36"/>
  <c r="AK45" i="36"/>
  <c r="AL45" i="36"/>
  <c r="AM45" i="36"/>
  <c r="AN45" i="36"/>
  <c r="AO45" i="36"/>
  <c r="AP45" i="36"/>
  <c r="AQ45" i="36"/>
  <c r="AR45" i="36"/>
  <c r="AS45" i="36"/>
  <c r="AT45" i="36"/>
  <c r="AU45" i="36"/>
  <c r="AV45" i="36"/>
  <c r="AW45" i="36"/>
  <c r="AX45" i="36"/>
  <c r="AY45" i="36"/>
  <c r="AZ45" i="36"/>
  <c r="BA45" i="36"/>
  <c r="BB45" i="36"/>
  <c r="BC45" i="36"/>
  <c r="BD45" i="36"/>
  <c r="BE45" i="36"/>
  <c r="BF45" i="36"/>
  <c r="BG45" i="36"/>
  <c r="BH45" i="36"/>
  <c r="BI45" i="36"/>
  <c r="BJ45" i="36"/>
  <c r="BK45" i="36"/>
  <c r="BL45" i="36"/>
  <c r="BM45" i="36"/>
  <c r="BN45" i="36"/>
  <c r="BO45" i="36"/>
  <c r="BP45" i="36"/>
  <c r="BQ45" i="36"/>
  <c r="BR45" i="36"/>
  <c r="BS45" i="36"/>
  <c r="BT45" i="36"/>
  <c r="BU45" i="36"/>
  <c r="BV45" i="36"/>
  <c r="BW45" i="36"/>
  <c r="BX45" i="36"/>
  <c r="BY45" i="36"/>
  <c r="BZ45" i="36"/>
  <c r="CA45" i="36"/>
  <c r="CB45" i="36"/>
  <c r="CC45" i="36"/>
  <c r="CD45" i="36"/>
  <c r="CE45" i="36"/>
  <c r="CF45" i="36"/>
  <c r="CG45" i="36"/>
  <c r="CH45" i="36"/>
  <c r="CI45" i="36"/>
  <c r="CJ45" i="36"/>
  <c r="CK45" i="36"/>
  <c r="CL45" i="36"/>
  <c r="CM45" i="36"/>
  <c r="CN45" i="36"/>
  <c r="CO45" i="36"/>
  <c r="CP45" i="36"/>
  <c r="CQ45" i="36"/>
  <c r="CR45" i="36"/>
  <c r="CS45" i="36"/>
  <c r="CT45" i="36"/>
  <c r="CU45" i="36"/>
  <c r="CV45" i="36"/>
  <c r="CW45" i="36"/>
  <c r="CX45" i="36"/>
  <c r="CY45" i="36"/>
  <c r="CZ45" i="36"/>
  <c r="DA45" i="36"/>
  <c r="DB45" i="36"/>
  <c r="DC45" i="36"/>
  <c r="DD45" i="36"/>
  <c r="DE45" i="36"/>
  <c r="DF45" i="36"/>
  <c r="DG45" i="36"/>
  <c r="DH45" i="36"/>
  <c r="DI45" i="36"/>
  <c r="DJ45" i="36"/>
  <c r="DK45" i="36"/>
  <c r="DL45" i="36"/>
  <c r="DM45" i="36"/>
  <c r="DN45" i="36"/>
  <c r="DO45" i="36"/>
  <c r="DP45" i="36"/>
  <c r="DQ45" i="36"/>
  <c r="DR45" i="36"/>
  <c r="DS45" i="36"/>
  <c r="DT45" i="36"/>
  <c r="DU45" i="36"/>
  <c r="DV45" i="36"/>
  <c r="DW45" i="36"/>
  <c r="DX45" i="36"/>
  <c r="DY45" i="36"/>
  <c r="DZ45" i="36"/>
  <c r="EA45" i="36"/>
  <c r="EB45" i="36"/>
  <c r="EC45" i="36"/>
  <c r="ED45" i="36"/>
  <c r="O46" i="36"/>
  <c r="P46" i="36"/>
  <c r="Q46" i="36"/>
  <c r="R46" i="36"/>
  <c r="S46" i="36"/>
  <c r="T46" i="36"/>
  <c r="U46" i="36"/>
  <c r="V46" i="36"/>
  <c r="W46" i="36"/>
  <c r="X46" i="36"/>
  <c r="Y46" i="36"/>
  <c r="Z46" i="36"/>
  <c r="AA46" i="36"/>
  <c r="AB46" i="36"/>
  <c r="AC46" i="36"/>
  <c r="AD46" i="36"/>
  <c r="AE46" i="36"/>
  <c r="AF46" i="36"/>
  <c r="AG46" i="36"/>
  <c r="AH46" i="36"/>
  <c r="AI46" i="36"/>
  <c r="AJ46" i="36"/>
  <c r="AK46" i="36"/>
  <c r="AL46" i="36"/>
  <c r="AM46" i="36"/>
  <c r="AN46" i="36"/>
  <c r="AO46" i="36"/>
  <c r="AP46" i="36"/>
  <c r="AQ46" i="36"/>
  <c r="AR46" i="36"/>
  <c r="AS46" i="36"/>
  <c r="AT46" i="36"/>
  <c r="AU46" i="36"/>
  <c r="AV46" i="36"/>
  <c r="AW46" i="36"/>
  <c r="AX46" i="36"/>
  <c r="AY46" i="36"/>
  <c r="AZ46" i="36"/>
  <c r="BA46" i="36"/>
  <c r="BB46" i="36"/>
  <c r="BC46" i="36"/>
  <c r="BD46" i="36"/>
  <c r="BE46" i="36"/>
  <c r="BF46" i="36"/>
  <c r="BG46" i="36"/>
  <c r="BH46" i="36"/>
  <c r="BI46" i="36"/>
  <c r="BJ46" i="36"/>
  <c r="BK46" i="36"/>
  <c r="BL46" i="36"/>
  <c r="BM46" i="36"/>
  <c r="BN46" i="36"/>
  <c r="BO46" i="36"/>
  <c r="BP46" i="36"/>
  <c r="BQ46" i="36"/>
  <c r="BR46" i="36"/>
  <c r="BS46" i="36"/>
  <c r="BT46" i="36"/>
  <c r="BU46" i="36"/>
  <c r="BV46" i="36"/>
  <c r="BW46" i="36"/>
  <c r="BX46" i="36"/>
  <c r="BY46" i="36"/>
  <c r="BZ46" i="36"/>
  <c r="CA46" i="36"/>
  <c r="CB46" i="36"/>
  <c r="CC46" i="36"/>
  <c r="CD46" i="36"/>
  <c r="CE46" i="36"/>
  <c r="CF46" i="36"/>
  <c r="CG46" i="36"/>
  <c r="CH46" i="36"/>
  <c r="CI46" i="36"/>
  <c r="CJ46" i="36"/>
  <c r="CK46" i="36"/>
  <c r="CL46" i="36"/>
  <c r="CM46" i="36"/>
  <c r="CN46" i="36"/>
  <c r="CO46" i="36"/>
  <c r="CP46" i="36"/>
  <c r="CQ46" i="36"/>
  <c r="CR46" i="36"/>
  <c r="CS46" i="36"/>
  <c r="CT46" i="36"/>
  <c r="CU46" i="36"/>
  <c r="CV46" i="36"/>
  <c r="CW46" i="36"/>
  <c r="CX46" i="36"/>
  <c r="CY46" i="36"/>
  <c r="CZ46" i="36"/>
  <c r="DA46" i="36"/>
  <c r="DB46" i="36"/>
  <c r="DC46" i="36"/>
  <c r="DD46" i="36"/>
  <c r="DE46" i="36"/>
  <c r="DF46" i="36"/>
  <c r="DG46" i="36"/>
  <c r="DH46" i="36"/>
  <c r="DI46" i="36"/>
  <c r="DJ46" i="36"/>
  <c r="DK46" i="36"/>
  <c r="DL46" i="36"/>
  <c r="DM46" i="36"/>
  <c r="DN46" i="36"/>
  <c r="DO46" i="36"/>
  <c r="DP46" i="36"/>
  <c r="DQ46" i="36"/>
  <c r="DR46" i="36"/>
  <c r="DS46" i="36"/>
  <c r="DT46" i="36"/>
  <c r="DU46" i="36"/>
  <c r="DV46" i="36"/>
  <c r="DW46" i="36"/>
  <c r="DX46" i="36"/>
  <c r="DY46" i="36"/>
  <c r="DZ46" i="36"/>
  <c r="EA46" i="36"/>
  <c r="EB46" i="36"/>
  <c r="EC46" i="36"/>
  <c r="ED46" i="36"/>
  <c r="O47" i="36"/>
  <c r="P47" i="36"/>
  <c r="Q47" i="36"/>
  <c r="R47" i="36"/>
  <c r="S47" i="36"/>
  <c r="T47" i="36"/>
  <c r="U47" i="36"/>
  <c r="V47" i="36"/>
  <c r="W47" i="36"/>
  <c r="X47" i="36"/>
  <c r="Y47" i="36"/>
  <c r="Z47" i="36"/>
  <c r="AA47" i="36"/>
  <c r="AB47" i="36"/>
  <c r="AC47" i="36"/>
  <c r="AD47" i="36"/>
  <c r="AE47" i="36"/>
  <c r="AF47" i="36"/>
  <c r="AG47" i="36"/>
  <c r="AH47" i="36"/>
  <c r="AI47" i="36"/>
  <c r="AJ47" i="36"/>
  <c r="AK47" i="36"/>
  <c r="AL47" i="36"/>
  <c r="AM47" i="36"/>
  <c r="AN47" i="36"/>
  <c r="AO47" i="36"/>
  <c r="AP47" i="36"/>
  <c r="AQ47" i="36"/>
  <c r="AR47" i="36"/>
  <c r="AS47" i="36"/>
  <c r="AT47" i="36"/>
  <c r="AU47" i="36"/>
  <c r="AV47" i="36"/>
  <c r="AW47" i="36"/>
  <c r="AX47" i="36"/>
  <c r="AY47" i="36"/>
  <c r="AZ47" i="36"/>
  <c r="BA47" i="36"/>
  <c r="BB47" i="36"/>
  <c r="BC47" i="36"/>
  <c r="BD47" i="36"/>
  <c r="BE47" i="36"/>
  <c r="BF47" i="36"/>
  <c r="BG47" i="36"/>
  <c r="BH47" i="36"/>
  <c r="BI47" i="36"/>
  <c r="BJ47" i="36"/>
  <c r="BK47" i="36"/>
  <c r="BL47" i="36"/>
  <c r="BM47" i="36"/>
  <c r="BN47" i="36"/>
  <c r="BO47" i="36"/>
  <c r="BP47" i="36"/>
  <c r="BQ47" i="36"/>
  <c r="BR47" i="36"/>
  <c r="BS47" i="36"/>
  <c r="BT47" i="36"/>
  <c r="BU47" i="36"/>
  <c r="BV47" i="36"/>
  <c r="BW47" i="36"/>
  <c r="BX47" i="36"/>
  <c r="BY47" i="36"/>
  <c r="BZ47" i="36"/>
  <c r="CA47" i="36"/>
  <c r="CB47" i="36"/>
  <c r="CC47" i="36"/>
  <c r="CD47" i="36"/>
  <c r="CE47" i="36"/>
  <c r="CF47" i="36"/>
  <c r="CG47" i="36"/>
  <c r="CH47" i="36"/>
  <c r="CI47" i="36"/>
  <c r="CJ47" i="36"/>
  <c r="CK47" i="36"/>
  <c r="CL47" i="36"/>
  <c r="CM47" i="36"/>
  <c r="CN47" i="36"/>
  <c r="CO47" i="36"/>
  <c r="CP47" i="36"/>
  <c r="CQ47" i="36"/>
  <c r="CR47" i="36"/>
  <c r="CS47" i="36"/>
  <c r="CT47" i="36"/>
  <c r="CU47" i="36"/>
  <c r="CV47" i="36"/>
  <c r="CW47" i="36"/>
  <c r="CX47" i="36"/>
  <c r="CY47" i="36"/>
  <c r="CZ47" i="36"/>
  <c r="DA47" i="36"/>
  <c r="DB47" i="36"/>
  <c r="DC47" i="36"/>
  <c r="DD47" i="36"/>
  <c r="DE47" i="36"/>
  <c r="DF47" i="36"/>
  <c r="DG47" i="36"/>
  <c r="DH47" i="36"/>
  <c r="DI47" i="36"/>
  <c r="DJ47" i="36"/>
  <c r="DK47" i="36"/>
  <c r="DL47" i="36"/>
  <c r="DM47" i="36"/>
  <c r="DN47" i="36"/>
  <c r="DO47" i="36"/>
  <c r="DP47" i="36"/>
  <c r="DQ47" i="36"/>
  <c r="DR47" i="36"/>
  <c r="DS47" i="36"/>
  <c r="DT47" i="36"/>
  <c r="DU47" i="36"/>
  <c r="DV47" i="36"/>
  <c r="DW47" i="36"/>
  <c r="DX47" i="36"/>
  <c r="DY47" i="36"/>
  <c r="DZ47" i="36"/>
  <c r="EA47" i="36"/>
  <c r="EB47" i="36"/>
  <c r="EC47" i="36"/>
  <c r="ED47" i="36"/>
  <c r="O48" i="36"/>
  <c r="P48" i="36"/>
  <c r="Q48" i="36"/>
  <c r="R48" i="36"/>
  <c r="S48" i="36"/>
  <c r="T48" i="36"/>
  <c r="U48" i="36"/>
  <c r="V48" i="36"/>
  <c r="W48" i="36"/>
  <c r="X48" i="36"/>
  <c r="Y48" i="36"/>
  <c r="Z48" i="36"/>
  <c r="AA48" i="36"/>
  <c r="AB48" i="36"/>
  <c r="AC48" i="36"/>
  <c r="AD48" i="36"/>
  <c r="AE48" i="36"/>
  <c r="AF48" i="36"/>
  <c r="AG48" i="36"/>
  <c r="AH48" i="36"/>
  <c r="AI48" i="36"/>
  <c r="AJ48" i="36"/>
  <c r="AK48" i="36"/>
  <c r="AL48" i="36"/>
  <c r="AM48" i="36"/>
  <c r="AN48" i="36"/>
  <c r="AO48" i="36"/>
  <c r="AP48" i="36"/>
  <c r="AQ48" i="36"/>
  <c r="AR48" i="36"/>
  <c r="AS48" i="36"/>
  <c r="AT48" i="36"/>
  <c r="AU48" i="36"/>
  <c r="AV48" i="36"/>
  <c r="AW48" i="36"/>
  <c r="AX48" i="36"/>
  <c r="AY48" i="36"/>
  <c r="AZ48" i="36"/>
  <c r="BA48" i="36"/>
  <c r="BB48" i="36"/>
  <c r="BC48" i="36"/>
  <c r="BD48" i="36"/>
  <c r="BE48" i="36"/>
  <c r="BF48" i="36"/>
  <c r="BG48" i="36"/>
  <c r="BH48" i="36"/>
  <c r="BI48" i="36"/>
  <c r="BJ48" i="36"/>
  <c r="BK48" i="36"/>
  <c r="BL48" i="36"/>
  <c r="BM48" i="36"/>
  <c r="BN48" i="36"/>
  <c r="BO48" i="36"/>
  <c r="BP48" i="36"/>
  <c r="BQ48" i="36"/>
  <c r="BR48" i="36"/>
  <c r="BS48" i="36"/>
  <c r="BT48" i="36"/>
  <c r="BU48" i="36"/>
  <c r="BV48" i="36"/>
  <c r="BW48" i="36"/>
  <c r="BX48" i="36"/>
  <c r="BY48" i="36"/>
  <c r="BZ48" i="36"/>
  <c r="CA48" i="36"/>
  <c r="CB48" i="36"/>
  <c r="CC48" i="36"/>
  <c r="CD48" i="36"/>
  <c r="CE48" i="36"/>
  <c r="CF48" i="36"/>
  <c r="CG48" i="36"/>
  <c r="CH48" i="36"/>
  <c r="CI48" i="36"/>
  <c r="CJ48" i="36"/>
  <c r="CK48" i="36"/>
  <c r="CL48" i="36"/>
  <c r="CM48" i="36"/>
  <c r="CN48" i="36"/>
  <c r="CO48" i="36"/>
  <c r="CP48" i="36"/>
  <c r="CQ48" i="36"/>
  <c r="CR48" i="36"/>
  <c r="CS48" i="36"/>
  <c r="CT48" i="36"/>
  <c r="CU48" i="36"/>
  <c r="CV48" i="36"/>
  <c r="CW48" i="36"/>
  <c r="CX48" i="36"/>
  <c r="CY48" i="36"/>
  <c r="CZ48" i="36"/>
  <c r="DA48" i="36"/>
  <c r="DB48" i="36"/>
  <c r="DC48" i="36"/>
  <c r="DD48" i="36"/>
  <c r="DE48" i="36"/>
  <c r="DF48" i="36"/>
  <c r="DG48" i="36"/>
  <c r="DH48" i="36"/>
  <c r="DI48" i="36"/>
  <c r="DJ48" i="36"/>
  <c r="DK48" i="36"/>
  <c r="DL48" i="36"/>
  <c r="DM48" i="36"/>
  <c r="DN48" i="36"/>
  <c r="DO48" i="36"/>
  <c r="DP48" i="36"/>
  <c r="DQ48" i="36"/>
  <c r="DR48" i="36"/>
  <c r="DS48" i="36"/>
  <c r="DT48" i="36"/>
  <c r="DU48" i="36"/>
  <c r="DV48" i="36"/>
  <c r="DW48" i="36"/>
  <c r="DX48" i="36"/>
  <c r="DY48" i="36"/>
  <c r="DZ48" i="36"/>
  <c r="EA48" i="36"/>
  <c r="EB48" i="36"/>
  <c r="EC48" i="36"/>
  <c r="ED48" i="36"/>
  <c r="O49" i="36"/>
  <c r="P49" i="36"/>
  <c r="Q49" i="36"/>
  <c r="R49" i="36"/>
  <c r="S49" i="36"/>
  <c r="T49" i="36"/>
  <c r="U49" i="36"/>
  <c r="V49" i="36"/>
  <c r="W49" i="36"/>
  <c r="X49" i="36"/>
  <c r="Y49" i="36"/>
  <c r="Z49" i="36"/>
  <c r="AA49" i="36"/>
  <c r="AB49" i="36"/>
  <c r="AC49" i="36"/>
  <c r="AD49" i="36"/>
  <c r="AE49" i="36"/>
  <c r="AF49" i="36"/>
  <c r="AG49" i="36"/>
  <c r="AH49" i="36"/>
  <c r="AI49" i="36"/>
  <c r="AJ49" i="36"/>
  <c r="AK49" i="36"/>
  <c r="AL49" i="36"/>
  <c r="AM49" i="36"/>
  <c r="AN49" i="36"/>
  <c r="AO49" i="36"/>
  <c r="AP49" i="36"/>
  <c r="AQ49" i="36"/>
  <c r="AR49" i="36"/>
  <c r="AS49" i="36"/>
  <c r="AT49" i="36"/>
  <c r="AU49" i="36"/>
  <c r="AV49" i="36"/>
  <c r="AW49" i="36"/>
  <c r="AX49" i="36"/>
  <c r="AY49" i="36"/>
  <c r="AZ49" i="36"/>
  <c r="BA49" i="36"/>
  <c r="BB49" i="36"/>
  <c r="BC49" i="36"/>
  <c r="BD49" i="36"/>
  <c r="BE49" i="36"/>
  <c r="BF49" i="36"/>
  <c r="BG49" i="36"/>
  <c r="BH49" i="36"/>
  <c r="BI49" i="36"/>
  <c r="BJ49" i="36"/>
  <c r="BK49" i="36"/>
  <c r="BL49" i="36"/>
  <c r="BM49" i="36"/>
  <c r="BN49" i="36"/>
  <c r="BO49" i="36"/>
  <c r="BP49" i="36"/>
  <c r="BQ49" i="36"/>
  <c r="BR49" i="36"/>
  <c r="BS49" i="36"/>
  <c r="BT49" i="36"/>
  <c r="BU49" i="36"/>
  <c r="BV49" i="36"/>
  <c r="BW49" i="36"/>
  <c r="BX49" i="36"/>
  <c r="BY49" i="36"/>
  <c r="BZ49" i="36"/>
  <c r="CA49" i="36"/>
  <c r="CB49" i="36"/>
  <c r="CC49" i="36"/>
  <c r="CD49" i="36"/>
  <c r="CE49" i="36"/>
  <c r="CF49" i="36"/>
  <c r="CG49" i="36"/>
  <c r="CH49" i="36"/>
  <c r="CI49" i="36"/>
  <c r="CJ49" i="36"/>
  <c r="CK49" i="36"/>
  <c r="CL49" i="36"/>
  <c r="CM49" i="36"/>
  <c r="CN49" i="36"/>
  <c r="CO49" i="36"/>
  <c r="CP49" i="36"/>
  <c r="CQ49" i="36"/>
  <c r="CR49" i="36"/>
  <c r="CS49" i="36"/>
  <c r="CT49" i="36"/>
  <c r="CU49" i="36"/>
  <c r="CV49" i="36"/>
  <c r="CW49" i="36"/>
  <c r="CX49" i="36"/>
  <c r="CY49" i="36"/>
  <c r="CZ49" i="36"/>
  <c r="DA49" i="36"/>
  <c r="DB49" i="36"/>
  <c r="DC49" i="36"/>
  <c r="DD49" i="36"/>
  <c r="DE49" i="36"/>
  <c r="DF49" i="36"/>
  <c r="DG49" i="36"/>
  <c r="DH49" i="36"/>
  <c r="DI49" i="36"/>
  <c r="DJ49" i="36"/>
  <c r="DK49" i="36"/>
  <c r="DL49" i="36"/>
  <c r="DM49" i="36"/>
  <c r="DN49" i="36"/>
  <c r="DO49" i="36"/>
  <c r="DP49" i="36"/>
  <c r="DQ49" i="36"/>
  <c r="DR49" i="36"/>
  <c r="DS49" i="36"/>
  <c r="DT49" i="36"/>
  <c r="DU49" i="36"/>
  <c r="DV49" i="36"/>
  <c r="DW49" i="36"/>
  <c r="DX49" i="36"/>
  <c r="DY49" i="36"/>
  <c r="DZ49" i="36"/>
  <c r="EA49" i="36"/>
  <c r="EB49" i="36"/>
  <c r="EC49" i="36"/>
  <c r="ED49" i="36"/>
  <c r="O50" i="36"/>
  <c r="P50" i="36"/>
  <c r="Q50" i="36"/>
  <c r="R50" i="36"/>
  <c r="S50" i="36"/>
  <c r="T50" i="36"/>
  <c r="U50" i="36"/>
  <c r="V50" i="36"/>
  <c r="W50" i="36"/>
  <c r="X50" i="36"/>
  <c r="Y50" i="36"/>
  <c r="Z50" i="36"/>
  <c r="AA50" i="36"/>
  <c r="AB50" i="36"/>
  <c r="AC50" i="36"/>
  <c r="AD50" i="36"/>
  <c r="AE50" i="36"/>
  <c r="AF50" i="36"/>
  <c r="AG50" i="36"/>
  <c r="AH50" i="36"/>
  <c r="AI50" i="36"/>
  <c r="AJ50" i="36"/>
  <c r="AK50" i="36"/>
  <c r="AL50" i="36"/>
  <c r="AM50" i="36"/>
  <c r="AN50" i="36"/>
  <c r="AO50" i="36"/>
  <c r="AP50" i="36"/>
  <c r="AQ50" i="36"/>
  <c r="AR50" i="36"/>
  <c r="AS50" i="36"/>
  <c r="AT50" i="36"/>
  <c r="AU50" i="36"/>
  <c r="AV50" i="36"/>
  <c r="AW50" i="36"/>
  <c r="AX50" i="36"/>
  <c r="AY50" i="36"/>
  <c r="AZ50" i="36"/>
  <c r="BA50" i="36"/>
  <c r="BB50" i="36"/>
  <c r="BC50" i="36"/>
  <c r="BD50" i="36"/>
  <c r="BE50" i="36"/>
  <c r="BF50" i="36"/>
  <c r="BG50" i="36"/>
  <c r="BH50" i="36"/>
  <c r="BI50" i="36"/>
  <c r="BJ50" i="36"/>
  <c r="BK50" i="36"/>
  <c r="BL50" i="36"/>
  <c r="BM50" i="36"/>
  <c r="BN50" i="36"/>
  <c r="BO50" i="36"/>
  <c r="BP50" i="36"/>
  <c r="BQ50" i="36"/>
  <c r="BR50" i="36"/>
  <c r="BS50" i="36"/>
  <c r="BT50" i="36"/>
  <c r="BU50" i="36"/>
  <c r="BV50" i="36"/>
  <c r="BW50" i="36"/>
  <c r="BX50" i="36"/>
  <c r="BY50" i="36"/>
  <c r="BZ50" i="36"/>
  <c r="CA50" i="36"/>
  <c r="CB50" i="36"/>
  <c r="CC50" i="36"/>
  <c r="CD50" i="36"/>
  <c r="CE50" i="36"/>
  <c r="CF50" i="36"/>
  <c r="CG50" i="36"/>
  <c r="CH50" i="36"/>
  <c r="CI50" i="36"/>
  <c r="CJ50" i="36"/>
  <c r="CK50" i="36"/>
  <c r="CL50" i="36"/>
  <c r="CM50" i="36"/>
  <c r="CN50" i="36"/>
  <c r="CO50" i="36"/>
  <c r="CP50" i="36"/>
  <c r="CQ50" i="36"/>
  <c r="CR50" i="36"/>
  <c r="CS50" i="36"/>
  <c r="CT50" i="36"/>
  <c r="CU50" i="36"/>
  <c r="CV50" i="36"/>
  <c r="CW50" i="36"/>
  <c r="CX50" i="36"/>
  <c r="CY50" i="36"/>
  <c r="CZ50" i="36"/>
  <c r="DA50" i="36"/>
  <c r="DB50" i="36"/>
  <c r="DC50" i="36"/>
  <c r="DD50" i="36"/>
  <c r="DE50" i="36"/>
  <c r="DF50" i="36"/>
  <c r="DG50" i="36"/>
  <c r="DH50" i="36"/>
  <c r="DI50" i="36"/>
  <c r="DJ50" i="36"/>
  <c r="DK50" i="36"/>
  <c r="DL50" i="36"/>
  <c r="DM50" i="36"/>
  <c r="DN50" i="36"/>
  <c r="DO50" i="36"/>
  <c r="DP50" i="36"/>
  <c r="DQ50" i="36"/>
  <c r="DR50" i="36"/>
  <c r="DS50" i="36"/>
  <c r="DT50" i="36"/>
  <c r="DU50" i="36"/>
  <c r="DV50" i="36"/>
  <c r="DW50" i="36"/>
  <c r="DX50" i="36"/>
  <c r="DY50" i="36"/>
  <c r="DZ50" i="36"/>
  <c r="EA50" i="36"/>
  <c r="EB50" i="36"/>
  <c r="EC50" i="36"/>
  <c r="ED50" i="36"/>
  <c r="O51" i="36"/>
  <c r="P51" i="36"/>
  <c r="Q51" i="36"/>
  <c r="R51" i="36"/>
  <c r="S51" i="36"/>
  <c r="T51" i="36"/>
  <c r="U51" i="36"/>
  <c r="V51" i="36"/>
  <c r="W51" i="36"/>
  <c r="X51" i="36"/>
  <c r="Y51" i="36"/>
  <c r="Z51" i="36"/>
  <c r="AA51" i="36"/>
  <c r="AB51" i="36"/>
  <c r="AC51" i="36"/>
  <c r="AD51" i="36"/>
  <c r="AE51" i="36"/>
  <c r="AF51" i="36"/>
  <c r="AG51" i="36"/>
  <c r="AH51" i="36"/>
  <c r="AI51" i="36"/>
  <c r="AJ51" i="36"/>
  <c r="AK51" i="36"/>
  <c r="AL51" i="36"/>
  <c r="AM51" i="36"/>
  <c r="AN51" i="36"/>
  <c r="AO51" i="36"/>
  <c r="AP51" i="36"/>
  <c r="AQ51" i="36"/>
  <c r="AR51" i="36"/>
  <c r="AS51" i="36"/>
  <c r="AT51" i="36"/>
  <c r="AU51" i="36"/>
  <c r="AV51" i="36"/>
  <c r="AW51" i="36"/>
  <c r="AX51" i="36"/>
  <c r="AY51" i="36"/>
  <c r="AZ51" i="36"/>
  <c r="BA51" i="36"/>
  <c r="BB51" i="36"/>
  <c r="BC51" i="36"/>
  <c r="BD51" i="36"/>
  <c r="BE51" i="36"/>
  <c r="BF51" i="36"/>
  <c r="BG51" i="36"/>
  <c r="BH51" i="36"/>
  <c r="BI51" i="36"/>
  <c r="BJ51" i="36"/>
  <c r="BK51" i="36"/>
  <c r="BL51" i="36"/>
  <c r="BM51" i="36"/>
  <c r="BN51" i="36"/>
  <c r="BO51" i="36"/>
  <c r="BP51" i="36"/>
  <c r="BQ51" i="36"/>
  <c r="BR51" i="36"/>
  <c r="BS51" i="36"/>
  <c r="BT51" i="36"/>
  <c r="BU51" i="36"/>
  <c r="BV51" i="36"/>
  <c r="BW51" i="36"/>
  <c r="BX51" i="36"/>
  <c r="BY51" i="36"/>
  <c r="BZ51" i="36"/>
  <c r="CA51" i="36"/>
  <c r="CB51" i="36"/>
  <c r="CC51" i="36"/>
  <c r="CD51" i="36"/>
  <c r="CE51" i="36"/>
  <c r="CF51" i="36"/>
  <c r="CG51" i="36"/>
  <c r="CH51" i="36"/>
  <c r="CI51" i="36"/>
  <c r="CJ51" i="36"/>
  <c r="CK51" i="36"/>
  <c r="CL51" i="36"/>
  <c r="CM51" i="36"/>
  <c r="CN51" i="36"/>
  <c r="CO51" i="36"/>
  <c r="CP51" i="36"/>
  <c r="CQ51" i="36"/>
  <c r="CR51" i="36"/>
  <c r="CS51" i="36"/>
  <c r="CT51" i="36"/>
  <c r="CU51" i="36"/>
  <c r="CV51" i="36"/>
  <c r="CW51" i="36"/>
  <c r="CX51" i="36"/>
  <c r="CY51" i="36"/>
  <c r="CZ51" i="36"/>
  <c r="DA51" i="36"/>
  <c r="DB51" i="36"/>
  <c r="DC51" i="36"/>
  <c r="DD51" i="36"/>
  <c r="DE51" i="36"/>
  <c r="DF51" i="36"/>
  <c r="DG51" i="36"/>
  <c r="DH51" i="36"/>
  <c r="DI51" i="36"/>
  <c r="DJ51" i="36"/>
  <c r="DK51" i="36"/>
  <c r="DL51" i="36"/>
  <c r="DM51" i="36"/>
  <c r="DN51" i="36"/>
  <c r="DO51" i="36"/>
  <c r="DP51" i="36"/>
  <c r="DQ51" i="36"/>
  <c r="DR51" i="36"/>
  <c r="DS51" i="36"/>
  <c r="DT51" i="36"/>
  <c r="DU51" i="36"/>
  <c r="DV51" i="36"/>
  <c r="DW51" i="36"/>
  <c r="DX51" i="36"/>
  <c r="DY51" i="36"/>
  <c r="DZ51" i="36"/>
  <c r="EA51" i="36"/>
  <c r="EB51" i="36"/>
  <c r="EC51" i="36"/>
  <c r="ED51" i="36"/>
  <c r="O52" i="36"/>
  <c r="P52" i="36"/>
  <c r="Q52" i="36"/>
  <c r="R52" i="36"/>
  <c r="S52" i="36"/>
  <c r="T52" i="36"/>
  <c r="U52" i="36"/>
  <c r="V52" i="36"/>
  <c r="W52" i="36"/>
  <c r="X52" i="36"/>
  <c r="Y52" i="36"/>
  <c r="Z52" i="36"/>
  <c r="AA52" i="36"/>
  <c r="AB52" i="36"/>
  <c r="AC52" i="36"/>
  <c r="AD52" i="36"/>
  <c r="AE52" i="36"/>
  <c r="AF52" i="36"/>
  <c r="AG52" i="36"/>
  <c r="AH52" i="36"/>
  <c r="AI52" i="36"/>
  <c r="AJ52" i="36"/>
  <c r="AK52" i="36"/>
  <c r="AL52" i="36"/>
  <c r="AM52" i="36"/>
  <c r="AN52" i="36"/>
  <c r="AO52" i="36"/>
  <c r="AP52" i="36"/>
  <c r="AQ52" i="36"/>
  <c r="AR52" i="36"/>
  <c r="AS52" i="36"/>
  <c r="AT52" i="36"/>
  <c r="AU52" i="36"/>
  <c r="AV52" i="36"/>
  <c r="AW52" i="36"/>
  <c r="AX52" i="36"/>
  <c r="AY52" i="36"/>
  <c r="AZ52" i="36"/>
  <c r="BA52" i="36"/>
  <c r="BB52" i="36"/>
  <c r="BC52" i="36"/>
  <c r="BD52" i="36"/>
  <c r="BE52" i="36"/>
  <c r="BF52" i="36"/>
  <c r="BG52" i="36"/>
  <c r="BH52" i="36"/>
  <c r="BI52" i="36"/>
  <c r="BJ52" i="36"/>
  <c r="BK52" i="36"/>
  <c r="BL52" i="36"/>
  <c r="BM52" i="36"/>
  <c r="BN52" i="36"/>
  <c r="BO52" i="36"/>
  <c r="BP52" i="36"/>
  <c r="BQ52" i="36"/>
  <c r="BR52" i="36"/>
  <c r="BS52" i="36"/>
  <c r="BT52" i="36"/>
  <c r="BU52" i="36"/>
  <c r="BV52" i="36"/>
  <c r="BW52" i="36"/>
  <c r="BX52" i="36"/>
  <c r="BY52" i="36"/>
  <c r="BZ52" i="36"/>
  <c r="CA52" i="36"/>
  <c r="CB52" i="36"/>
  <c r="CC52" i="36"/>
  <c r="CD52" i="36"/>
  <c r="CE52" i="36"/>
  <c r="CF52" i="36"/>
  <c r="CG52" i="36"/>
  <c r="CH52" i="36"/>
  <c r="CI52" i="36"/>
  <c r="CJ52" i="36"/>
  <c r="CK52" i="36"/>
  <c r="CL52" i="36"/>
  <c r="CM52" i="36"/>
  <c r="CN52" i="36"/>
  <c r="CO52" i="36"/>
  <c r="CP52" i="36"/>
  <c r="CQ52" i="36"/>
  <c r="CR52" i="36"/>
  <c r="CS52" i="36"/>
  <c r="CT52" i="36"/>
  <c r="CU52" i="36"/>
  <c r="CV52" i="36"/>
  <c r="CW52" i="36"/>
  <c r="CX52" i="36"/>
  <c r="CY52" i="36"/>
  <c r="CZ52" i="36"/>
  <c r="DA52" i="36"/>
  <c r="DB52" i="36"/>
  <c r="DC52" i="36"/>
  <c r="DD52" i="36"/>
  <c r="DE52" i="36"/>
  <c r="DF52" i="36"/>
  <c r="DG52" i="36"/>
  <c r="DH52" i="36"/>
  <c r="DI52" i="36"/>
  <c r="DJ52" i="36"/>
  <c r="DK52" i="36"/>
  <c r="DL52" i="36"/>
  <c r="DM52" i="36"/>
  <c r="DN52" i="36"/>
  <c r="DO52" i="36"/>
  <c r="DP52" i="36"/>
  <c r="DQ52" i="36"/>
  <c r="DR52" i="36"/>
  <c r="DS52" i="36"/>
  <c r="DT52" i="36"/>
  <c r="DU52" i="36"/>
  <c r="DV52" i="36"/>
  <c r="DW52" i="36"/>
  <c r="DX52" i="36"/>
  <c r="DY52" i="36"/>
  <c r="DZ52" i="36"/>
  <c r="EA52" i="36"/>
  <c r="EB52" i="36"/>
  <c r="EC52" i="36"/>
  <c r="ED52" i="36"/>
  <c r="O53" i="36"/>
  <c r="P53" i="36"/>
  <c r="Q53" i="36"/>
  <c r="R53" i="36"/>
  <c r="S53" i="36"/>
  <c r="T53" i="36"/>
  <c r="U53" i="36"/>
  <c r="V53" i="36"/>
  <c r="W53" i="36"/>
  <c r="X53" i="36"/>
  <c r="Y53" i="36"/>
  <c r="Z53" i="36"/>
  <c r="AA53" i="36"/>
  <c r="AB53" i="36"/>
  <c r="AC53" i="36"/>
  <c r="AD53" i="36"/>
  <c r="AE53" i="36"/>
  <c r="AF53" i="36"/>
  <c r="AG53" i="36"/>
  <c r="AH53" i="36"/>
  <c r="AI53" i="36"/>
  <c r="AJ53" i="36"/>
  <c r="AK53" i="36"/>
  <c r="AL53" i="36"/>
  <c r="AM53" i="36"/>
  <c r="AN53" i="36"/>
  <c r="AO53" i="36"/>
  <c r="AP53" i="36"/>
  <c r="AQ53" i="36"/>
  <c r="AR53" i="36"/>
  <c r="AS53" i="36"/>
  <c r="AT53" i="36"/>
  <c r="AU53" i="36"/>
  <c r="AV53" i="36"/>
  <c r="AW53" i="36"/>
  <c r="AX53" i="36"/>
  <c r="AY53" i="36"/>
  <c r="AZ53" i="36"/>
  <c r="BA53" i="36"/>
  <c r="BB53" i="36"/>
  <c r="BC53" i="36"/>
  <c r="BD53" i="36"/>
  <c r="BE53" i="36"/>
  <c r="BF53" i="36"/>
  <c r="BG53" i="36"/>
  <c r="BH53" i="36"/>
  <c r="BI53" i="36"/>
  <c r="BJ53" i="36"/>
  <c r="BK53" i="36"/>
  <c r="BL53" i="36"/>
  <c r="BM53" i="36"/>
  <c r="BN53" i="36"/>
  <c r="BO53" i="36"/>
  <c r="BP53" i="36"/>
  <c r="BQ53" i="36"/>
  <c r="BR53" i="36"/>
  <c r="BS53" i="36"/>
  <c r="BT53" i="36"/>
  <c r="BU53" i="36"/>
  <c r="BV53" i="36"/>
  <c r="BW53" i="36"/>
  <c r="BX53" i="36"/>
  <c r="BY53" i="36"/>
  <c r="BZ53" i="36"/>
  <c r="CA53" i="36"/>
  <c r="CB53" i="36"/>
  <c r="CC53" i="36"/>
  <c r="CD53" i="36"/>
  <c r="CE53" i="36"/>
  <c r="CF53" i="36"/>
  <c r="CG53" i="36"/>
  <c r="CH53" i="36"/>
  <c r="CI53" i="36"/>
  <c r="CJ53" i="36"/>
  <c r="CK53" i="36"/>
  <c r="CL53" i="36"/>
  <c r="CM53" i="36"/>
  <c r="CN53" i="36"/>
  <c r="CO53" i="36"/>
  <c r="CP53" i="36"/>
  <c r="CQ53" i="36"/>
  <c r="CR53" i="36"/>
  <c r="CS53" i="36"/>
  <c r="CT53" i="36"/>
  <c r="CU53" i="36"/>
  <c r="CV53" i="36"/>
  <c r="CW53" i="36"/>
  <c r="CX53" i="36"/>
  <c r="CY53" i="36"/>
  <c r="CZ53" i="36"/>
  <c r="DA53" i="36"/>
  <c r="DB53" i="36"/>
  <c r="DC53" i="36"/>
  <c r="DD53" i="36"/>
  <c r="DE53" i="36"/>
  <c r="DF53" i="36"/>
  <c r="DG53" i="36"/>
  <c r="DH53" i="36"/>
  <c r="DI53" i="36"/>
  <c r="DJ53" i="36"/>
  <c r="DK53" i="36"/>
  <c r="DL53" i="36"/>
  <c r="DM53" i="36"/>
  <c r="DN53" i="36"/>
  <c r="DO53" i="36"/>
  <c r="DP53" i="36"/>
  <c r="DQ53" i="36"/>
  <c r="DR53" i="36"/>
  <c r="DS53" i="36"/>
  <c r="DT53" i="36"/>
  <c r="DU53" i="36"/>
  <c r="DV53" i="36"/>
  <c r="DW53" i="36"/>
  <c r="DX53" i="36"/>
  <c r="DY53" i="36"/>
  <c r="DZ53" i="36"/>
  <c r="EA53" i="36"/>
  <c r="EB53" i="36"/>
  <c r="EC53" i="36"/>
  <c r="ED53" i="36"/>
  <c r="O54" i="36"/>
  <c r="P54" i="36"/>
  <c r="Q54" i="36"/>
  <c r="R54" i="36"/>
  <c r="S54" i="36"/>
  <c r="T54" i="36"/>
  <c r="U54" i="36"/>
  <c r="V54" i="36"/>
  <c r="W54" i="36"/>
  <c r="X54" i="36"/>
  <c r="Y54" i="36"/>
  <c r="Z54" i="36"/>
  <c r="AA54" i="36"/>
  <c r="AB54" i="36"/>
  <c r="AC54" i="36"/>
  <c r="AD54" i="36"/>
  <c r="AE54" i="36"/>
  <c r="AF54" i="36"/>
  <c r="AG54" i="36"/>
  <c r="AH54" i="36"/>
  <c r="AI54" i="36"/>
  <c r="AJ54" i="36"/>
  <c r="AK54" i="36"/>
  <c r="AL54" i="36"/>
  <c r="AM54" i="36"/>
  <c r="AN54" i="36"/>
  <c r="AO54" i="36"/>
  <c r="AP54" i="36"/>
  <c r="AQ54" i="36"/>
  <c r="AR54" i="36"/>
  <c r="AS54" i="36"/>
  <c r="AT54" i="36"/>
  <c r="AU54" i="36"/>
  <c r="AV54" i="36"/>
  <c r="AW54" i="36"/>
  <c r="AX54" i="36"/>
  <c r="AY54" i="36"/>
  <c r="AZ54" i="36"/>
  <c r="BA54" i="36"/>
  <c r="BB54" i="36"/>
  <c r="BC54" i="36"/>
  <c r="BD54" i="36"/>
  <c r="BE54" i="36"/>
  <c r="BF54" i="36"/>
  <c r="BG54" i="36"/>
  <c r="BH54" i="36"/>
  <c r="BI54" i="36"/>
  <c r="BJ54" i="36"/>
  <c r="BK54" i="36"/>
  <c r="BL54" i="36"/>
  <c r="BM54" i="36"/>
  <c r="BN54" i="36"/>
  <c r="BO54" i="36"/>
  <c r="BP54" i="36"/>
  <c r="BQ54" i="36"/>
  <c r="BR54" i="36"/>
  <c r="BS54" i="36"/>
  <c r="BT54" i="36"/>
  <c r="BU54" i="36"/>
  <c r="BV54" i="36"/>
  <c r="BW54" i="36"/>
  <c r="BX54" i="36"/>
  <c r="BY54" i="36"/>
  <c r="BZ54" i="36"/>
  <c r="CA54" i="36"/>
  <c r="CB54" i="36"/>
  <c r="CC54" i="36"/>
  <c r="CD54" i="36"/>
  <c r="CE54" i="36"/>
  <c r="CF54" i="36"/>
  <c r="CG54" i="36"/>
  <c r="CH54" i="36"/>
  <c r="CI54" i="36"/>
  <c r="CJ54" i="36"/>
  <c r="CK54" i="36"/>
  <c r="CL54" i="36"/>
  <c r="CM54" i="36"/>
  <c r="CN54" i="36"/>
  <c r="CO54" i="36"/>
  <c r="CP54" i="36"/>
  <c r="CQ54" i="36"/>
  <c r="CR54" i="36"/>
  <c r="CS54" i="36"/>
  <c r="CT54" i="36"/>
  <c r="CU54" i="36"/>
  <c r="CV54" i="36"/>
  <c r="CW54" i="36"/>
  <c r="CX54" i="36"/>
  <c r="CY54" i="36"/>
  <c r="CZ54" i="36"/>
  <c r="DA54" i="36"/>
  <c r="DB54" i="36"/>
  <c r="DC54" i="36"/>
  <c r="DD54" i="36"/>
  <c r="DE54" i="36"/>
  <c r="DF54" i="36"/>
  <c r="DG54" i="36"/>
  <c r="DH54" i="36"/>
  <c r="DI54" i="36"/>
  <c r="DJ54" i="36"/>
  <c r="DK54" i="36"/>
  <c r="DL54" i="36"/>
  <c r="DM54" i="36"/>
  <c r="DN54" i="36"/>
  <c r="DO54" i="36"/>
  <c r="DP54" i="36"/>
  <c r="DQ54" i="36"/>
  <c r="DR54" i="36"/>
  <c r="DS54" i="36"/>
  <c r="DT54" i="36"/>
  <c r="DU54" i="36"/>
  <c r="DV54" i="36"/>
  <c r="DW54" i="36"/>
  <c r="DX54" i="36"/>
  <c r="DY54" i="36"/>
  <c r="DZ54" i="36"/>
  <c r="EA54" i="36"/>
  <c r="EB54" i="36"/>
  <c r="EC54" i="36"/>
  <c r="ED54" i="36"/>
  <c r="O55" i="36"/>
  <c r="P55" i="36"/>
  <c r="Q55" i="36"/>
  <c r="R55" i="36"/>
  <c r="S55" i="36"/>
  <c r="T55" i="36"/>
  <c r="U55" i="36"/>
  <c r="V55" i="36"/>
  <c r="W55" i="36"/>
  <c r="X55" i="36"/>
  <c r="Y55" i="36"/>
  <c r="Z55" i="36"/>
  <c r="AA55" i="36"/>
  <c r="AB55" i="36"/>
  <c r="AC55" i="36"/>
  <c r="AD55" i="36"/>
  <c r="AE55" i="36"/>
  <c r="AF55" i="36"/>
  <c r="AG55" i="36"/>
  <c r="AH55" i="36"/>
  <c r="AI55" i="36"/>
  <c r="AJ55" i="36"/>
  <c r="AK55" i="36"/>
  <c r="AL55" i="36"/>
  <c r="AM55" i="36"/>
  <c r="AN55" i="36"/>
  <c r="AO55" i="36"/>
  <c r="AP55" i="36"/>
  <c r="AQ55" i="36"/>
  <c r="AR55" i="36"/>
  <c r="AS55" i="36"/>
  <c r="AT55" i="36"/>
  <c r="AU55" i="36"/>
  <c r="AV55" i="36"/>
  <c r="AW55" i="36"/>
  <c r="AX55" i="36"/>
  <c r="AY55" i="36"/>
  <c r="AZ55" i="36"/>
  <c r="BA55" i="36"/>
  <c r="BB55" i="36"/>
  <c r="BC55" i="36"/>
  <c r="BD55" i="36"/>
  <c r="BE55" i="36"/>
  <c r="BF55" i="36"/>
  <c r="BG55" i="36"/>
  <c r="BH55" i="36"/>
  <c r="BI55" i="36"/>
  <c r="BJ55" i="36"/>
  <c r="BK55" i="36"/>
  <c r="BL55" i="36"/>
  <c r="BM55" i="36"/>
  <c r="BN55" i="36"/>
  <c r="BO55" i="36"/>
  <c r="BP55" i="36"/>
  <c r="BQ55" i="36"/>
  <c r="BR55" i="36"/>
  <c r="BS55" i="36"/>
  <c r="BT55" i="36"/>
  <c r="BU55" i="36"/>
  <c r="BV55" i="36"/>
  <c r="BW55" i="36"/>
  <c r="BX55" i="36"/>
  <c r="BY55" i="36"/>
  <c r="BZ55" i="36"/>
  <c r="CA55" i="36"/>
  <c r="CB55" i="36"/>
  <c r="CC55" i="36"/>
  <c r="CD55" i="36"/>
  <c r="CE55" i="36"/>
  <c r="CF55" i="36"/>
  <c r="CG55" i="36"/>
  <c r="CH55" i="36"/>
  <c r="CI55" i="36"/>
  <c r="CJ55" i="36"/>
  <c r="CK55" i="36"/>
  <c r="CL55" i="36"/>
  <c r="CM55" i="36"/>
  <c r="CN55" i="36"/>
  <c r="CO55" i="36"/>
  <c r="CP55" i="36"/>
  <c r="CQ55" i="36"/>
  <c r="CR55" i="36"/>
  <c r="CS55" i="36"/>
  <c r="CT55" i="36"/>
  <c r="CU55" i="36"/>
  <c r="CV55" i="36"/>
  <c r="CW55" i="36"/>
  <c r="CX55" i="36"/>
  <c r="CY55" i="36"/>
  <c r="CZ55" i="36"/>
  <c r="DA55" i="36"/>
  <c r="DB55" i="36"/>
  <c r="DC55" i="36"/>
  <c r="DD55" i="36"/>
  <c r="DE55" i="36"/>
  <c r="DF55" i="36"/>
  <c r="DG55" i="36"/>
  <c r="DH55" i="36"/>
  <c r="DI55" i="36"/>
  <c r="DJ55" i="36"/>
  <c r="DK55" i="36"/>
  <c r="DL55" i="36"/>
  <c r="DM55" i="36"/>
  <c r="DN55" i="36"/>
  <c r="DO55" i="36"/>
  <c r="DP55" i="36"/>
  <c r="DQ55" i="36"/>
  <c r="DR55" i="36"/>
  <c r="DS55" i="36"/>
  <c r="DT55" i="36"/>
  <c r="DU55" i="36"/>
  <c r="DV55" i="36"/>
  <c r="DW55" i="36"/>
  <c r="DX55" i="36"/>
  <c r="DY55" i="36"/>
  <c r="DZ55" i="36"/>
  <c r="EA55" i="36"/>
  <c r="EB55" i="36"/>
  <c r="EC55" i="36"/>
  <c r="ED55" i="36"/>
  <c r="O56" i="36"/>
  <c r="P56" i="36"/>
  <c r="Q56" i="36"/>
  <c r="R56" i="36"/>
  <c r="S56" i="36"/>
  <c r="T56" i="36"/>
  <c r="U56" i="36"/>
  <c r="V56" i="36"/>
  <c r="W56" i="36"/>
  <c r="X56" i="36"/>
  <c r="Y56" i="36"/>
  <c r="Z56" i="36"/>
  <c r="AA56" i="36"/>
  <c r="AB56" i="36"/>
  <c r="AC56" i="36"/>
  <c r="AD56" i="36"/>
  <c r="AE56" i="36"/>
  <c r="AF56" i="36"/>
  <c r="AG56" i="36"/>
  <c r="AH56" i="36"/>
  <c r="AI56" i="36"/>
  <c r="AJ56" i="36"/>
  <c r="AK56" i="36"/>
  <c r="AL56" i="36"/>
  <c r="AM56" i="36"/>
  <c r="AN56" i="36"/>
  <c r="AO56" i="36"/>
  <c r="AP56" i="36"/>
  <c r="AQ56" i="36"/>
  <c r="AR56" i="36"/>
  <c r="AS56" i="36"/>
  <c r="AT56" i="36"/>
  <c r="AU56" i="36"/>
  <c r="AV56" i="36"/>
  <c r="AW56" i="36"/>
  <c r="AX56" i="36"/>
  <c r="AY56" i="36"/>
  <c r="AZ56" i="36"/>
  <c r="BA56" i="36"/>
  <c r="BB56" i="36"/>
  <c r="BC56" i="36"/>
  <c r="BD56" i="36"/>
  <c r="BE56" i="36"/>
  <c r="BF56" i="36"/>
  <c r="BG56" i="36"/>
  <c r="BH56" i="36"/>
  <c r="BI56" i="36"/>
  <c r="BJ56" i="36"/>
  <c r="BK56" i="36"/>
  <c r="BL56" i="36"/>
  <c r="BM56" i="36"/>
  <c r="BN56" i="36"/>
  <c r="BO56" i="36"/>
  <c r="BP56" i="36"/>
  <c r="BQ56" i="36"/>
  <c r="BR56" i="36"/>
  <c r="BS56" i="36"/>
  <c r="BT56" i="36"/>
  <c r="BU56" i="36"/>
  <c r="BV56" i="36"/>
  <c r="BW56" i="36"/>
  <c r="BX56" i="36"/>
  <c r="BY56" i="36"/>
  <c r="BZ56" i="36"/>
  <c r="CA56" i="36"/>
  <c r="CB56" i="36"/>
  <c r="CC56" i="36"/>
  <c r="CD56" i="36"/>
  <c r="CE56" i="36"/>
  <c r="CF56" i="36"/>
  <c r="CG56" i="36"/>
  <c r="CH56" i="36"/>
  <c r="CI56" i="36"/>
  <c r="CJ56" i="36"/>
  <c r="CK56" i="36"/>
  <c r="CL56" i="36"/>
  <c r="CM56" i="36"/>
  <c r="CN56" i="36"/>
  <c r="CO56" i="36"/>
  <c r="CP56" i="36"/>
  <c r="CQ56" i="36"/>
  <c r="CR56" i="36"/>
  <c r="CS56" i="36"/>
  <c r="CT56" i="36"/>
  <c r="CU56" i="36"/>
  <c r="CV56" i="36"/>
  <c r="CW56" i="36"/>
  <c r="CX56" i="36"/>
  <c r="CY56" i="36"/>
  <c r="CZ56" i="36"/>
  <c r="DA56" i="36"/>
  <c r="DB56" i="36"/>
  <c r="DC56" i="36"/>
  <c r="DD56" i="36"/>
  <c r="DE56" i="36"/>
  <c r="DF56" i="36"/>
  <c r="DG56" i="36"/>
  <c r="DH56" i="36"/>
  <c r="DI56" i="36"/>
  <c r="DJ56" i="36"/>
  <c r="DK56" i="36"/>
  <c r="DL56" i="36"/>
  <c r="DM56" i="36"/>
  <c r="DN56" i="36"/>
  <c r="DO56" i="36"/>
  <c r="DP56" i="36"/>
  <c r="DQ56" i="36"/>
  <c r="DR56" i="36"/>
  <c r="DS56" i="36"/>
  <c r="DT56" i="36"/>
  <c r="DU56" i="36"/>
  <c r="DV56" i="36"/>
  <c r="DW56" i="36"/>
  <c r="DX56" i="36"/>
  <c r="DY56" i="36"/>
  <c r="DZ56" i="36"/>
  <c r="EA56" i="36"/>
  <c r="EB56" i="36"/>
  <c r="EC56" i="36"/>
  <c r="ED56" i="36"/>
  <c r="O57" i="36"/>
  <c r="P57" i="36"/>
  <c r="Q57" i="36"/>
  <c r="R57" i="36"/>
  <c r="S57" i="36"/>
  <c r="T57" i="36"/>
  <c r="U57" i="36"/>
  <c r="V57" i="36"/>
  <c r="W57" i="36"/>
  <c r="X57" i="36"/>
  <c r="Y57" i="36"/>
  <c r="Z57" i="36"/>
  <c r="AA57" i="36"/>
  <c r="AB57" i="36"/>
  <c r="AC57" i="36"/>
  <c r="AD57" i="36"/>
  <c r="AE57" i="36"/>
  <c r="AF57" i="36"/>
  <c r="AG57" i="36"/>
  <c r="AH57" i="36"/>
  <c r="AI57" i="36"/>
  <c r="AJ57" i="36"/>
  <c r="AK57" i="36"/>
  <c r="AL57" i="36"/>
  <c r="AM57" i="36"/>
  <c r="AN57" i="36"/>
  <c r="AO57" i="36"/>
  <c r="AP57" i="36"/>
  <c r="AQ57" i="36"/>
  <c r="AR57" i="36"/>
  <c r="AS57" i="36"/>
  <c r="AT57" i="36"/>
  <c r="AU57" i="36"/>
  <c r="AV57" i="36"/>
  <c r="AW57" i="36"/>
  <c r="AX57" i="36"/>
  <c r="AY57" i="36"/>
  <c r="AZ57" i="36"/>
  <c r="BA57" i="36"/>
  <c r="BB57" i="36"/>
  <c r="BC57" i="36"/>
  <c r="BD57" i="36"/>
  <c r="BE57" i="36"/>
  <c r="BF57" i="36"/>
  <c r="BG57" i="36"/>
  <c r="BH57" i="36"/>
  <c r="BI57" i="36"/>
  <c r="BJ57" i="36"/>
  <c r="BK57" i="36"/>
  <c r="BL57" i="36"/>
  <c r="BM57" i="36"/>
  <c r="BN57" i="36"/>
  <c r="BO57" i="36"/>
  <c r="BP57" i="36"/>
  <c r="BQ57" i="36"/>
  <c r="BR57" i="36"/>
  <c r="BS57" i="36"/>
  <c r="BT57" i="36"/>
  <c r="BU57" i="36"/>
  <c r="BV57" i="36"/>
  <c r="BW57" i="36"/>
  <c r="BX57" i="36"/>
  <c r="BY57" i="36"/>
  <c r="BZ57" i="36"/>
  <c r="CA57" i="36"/>
  <c r="CB57" i="36"/>
  <c r="CC57" i="36"/>
  <c r="CD57" i="36"/>
  <c r="CE57" i="36"/>
  <c r="CF57" i="36"/>
  <c r="CG57" i="36"/>
  <c r="CH57" i="36"/>
  <c r="CI57" i="36"/>
  <c r="CJ57" i="36"/>
  <c r="CK57" i="36"/>
  <c r="CL57" i="36"/>
  <c r="CM57" i="36"/>
  <c r="CN57" i="36"/>
  <c r="CO57" i="36"/>
  <c r="CP57" i="36"/>
  <c r="CQ57" i="36"/>
  <c r="CR57" i="36"/>
  <c r="CS57" i="36"/>
  <c r="CT57" i="36"/>
  <c r="CU57" i="36"/>
  <c r="CV57" i="36"/>
  <c r="CW57" i="36"/>
  <c r="CX57" i="36"/>
  <c r="CY57" i="36"/>
  <c r="CZ57" i="36"/>
  <c r="DA57" i="36"/>
  <c r="DB57" i="36"/>
  <c r="DC57" i="36"/>
  <c r="DD57" i="36"/>
  <c r="DE57" i="36"/>
  <c r="DF57" i="36"/>
  <c r="DG57" i="36"/>
  <c r="DH57" i="36"/>
  <c r="DI57" i="36"/>
  <c r="DJ57" i="36"/>
  <c r="DK57" i="36"/>
  <c r="DL57" i="36"/>
  <c r="DM57" i="36"/>
  <c r="DN57" i="36"/>
  <c r="DO57" i="36"/>
  <c r="DP57" i="36"/>
  <c r="DQ57" i="36"/>
  <c r="DR57" i="36"/>
  <c r="DS57" i="36"/>
  <c r="DT57" i="36"/>
  <c r="DU57" i="36"/>
  <c r="DV57" i="36"/>
  <c r="DW57" i="36"/>
  <c r="DX57" i="36"/>
  <c r="DY57" i="36"/>
  <c r="DZ57" i="36"/>
  <c r="EA57" i="36"/>
  <c r="EB57" i="36"/>
  <c r="EC57" i="36"/>
  <c r="ED57" i="36"/>
  <c r="O58" i="36"/>
  <c r="P58" i="36"/>
  <c r="Q58" i="36"/>
  <c r="R58" i="36"/>
  <c r="S58" i="36"/>
  <c r="T58" i="36"/>
  <c r="U58" i="36"/>
  <c r="V58" i="36"/>
  <c r="W58" i="36"/>
  <c r="X58" i="36"/>
  <c r="Y58" i="36"/>
  <c r="Z58" i="36"/>
  <c r="AA58" i="36"/>
  <c r="AB58" i="36"/>
  <c r="AC58" i="36"/>
  <c r="AD58" i="36"/>
  <c r="AE58" i="36"/>
  <c r="AF58" i="36"/>
  <c r="AG58" i="36"/>
  <c r="AH58" i="36"/>
  <c r="AI58" i="36"/>
  <c r="AJ58" i="36"/>
  <c r="AK58" i="36"/>
  <c r="AL58" i="36"/>
  <c r="AM58" i="36"/>
  <c r="AN58" i="36"/>
  <c r="AO58" i="36"/>
  <c r="AP58" i="36"/>
  <c r="AQ58" i="36"/>
  <c r="AR58" i="36"/>
  <c r="AS58" i="36"/>
  <c r="AT58" i="36"/>
  <c r="AU58" i="36"/>
  <c r="AV58" i="36"/>
  <c r="AW58" i="36"/>
  <c r="AX58" i="36"/>
  <c r="AY58" i="36"/>
  <c r="AZ58" i="36"/>
  <c r="BA58" i="36"/>
  <c r="BB58" i="36"/>
  <c r="BC58" i="36"/>
  <c r="BD58" i="36"/>
  <c r="BE58" i="36"/>
  <c r="BF58" i="36"/>
  <c r="BG58" i="36"/>
  <c r="BH58" i="36"/>
  <c r="BI58" i="36"/>
  <c r="BJ58" i="36"/>
  <c r="BK58" i="36"/>
  <c r="BL58" i="36"/>
  <c r="BM58" i="36"/>
  <c r="BN58" i="36"/>
  <c r="BO58" i="36"/>
  <c r="BP58" i="36"/>
  <c r="BQ58" i="36"/>
  <c r="BR58" i="36"/>
  <c r="BS58" i="36"/>
  <c r="BT58" i="36"/>
  <c r="BU58" i="36"/>
  <c r="BV58" i="36"/>
  <c r="BW58" i="36"/>
  <c r="BX58" i="36"/>
  <c r="BY58" i="36"/>
  <c r="BZ58" i="36"/>
  <c r="CA58" i="36"/>
  <c r="CB58" i="36"/>
  <c r="CC58" i="36"/>
  <c r="CD58" i="36"/>
  <c r="CE58" i="36"/>
  <c r="CF58" i="36"/>
  <c r="CG58" i="36"/>
  <c r="CH58" i="36"/>
  <c r="CI58" i="36"/>
  <c r="CJ58" i="36"/>
  <c r="CK58" i="36"/>
  <c r="CL58" i="36"/>
  <c r="CM58" i="36"/>
  <c r="CN58" i="36"/>
  <c r="CO58" i="36"/>
  <c r="CP58" i="36"/>
  <c r="CQ58" i="36"/>
  <c r="CR58" i="36"/>
  <c r="CS58" i="36"/>
  <c r="CT58" i="36"/>
  <c r="CU58" i="36"/>
  <c r="CV58" i="36"/>
  <c r="CW58" i="36"/>
  <c r="CX58" i="36"/>
  <c r="CY58" i="36"/>
  <c r="CZ58" i="36"/>
  <c r="DA58" i="36"/>
  <c r="DB58" i="36"/>
  <c r="DC58" i="36"/>
  <c r="DD58" i="36"/>
  <c r="DE58" i="36"/>
  <c r="DF58" i="36"/>
  <c r="DG58" i="36"/>
  <c r="DH58" i="36"/>
  <c r="DI58" i="36"/>
  <c r="DJ58" i="36"/>
  <c r="DK58" i="36"/>
  <c r="DL58" i="36"/>
  <c r="DM58" i="36"/>
  <c r="DN58" i="36"/>
  <c r="DO58" i="36"/>
  <c r="DP58" i="36"/>
  <c r="DQ58" i="36"/>
  <c r="DR58" i="36"/>
  <c r="DS58" i="36"/>
  <c r="DT58" i="36"/>
  <c r="DU58" i="36"/>
  <c r="DV58" i="36"/>
  <c r="DW58" i="36"/>
  <c r="DX58" i="36"/>
  <c r="DY58" i="36"/>
  <c r="DZ58" i="36"/>
  <c r="EA58" i="36"/>
  <c r="EB58" i="36"/>
  <c r="EC58" i="36"/>
  <c r="ED58" i="36"/>
  <c r="O59" i="36"/>
  <c r="P59" i="36"/>
  <c r="Q59" i="36"/>
  <c r="R59" i="36"/>
  <c r="S59" i="36"/>
  <c r="T59" i="36"/>
  <c r="U59" i="36"/>
  <c r="V59" i="36"/>
  <c r="W59" i="36"/>
  <c r="X59" i="36"/>
  <c r="Y59" i="36"/>
  <c r="Z59" i="36"/>
  <c r="AA59" i="36"/>
  <c r="AB59" i="36"/>
  <c r="AC59" i="36"/>
  <c r="AD59" i="36"/>
  <c r="AE59" i="36"/>
  <c r="AF59" i="36"/>
  <c r="AG59" i="36"/>
  <c r="AH59" i="36"/>
  <c r="AI59" i="36"/>
  <c r="AJ59" i="36"/>
  <c r="AK59" i="36"/>
  <c r="AL59" i="36"/>
  <c r="AM59" i="36"/>
  <c r="AN59" i="36"/>
  <c r="AO59" i="36"/>
  <c r="AP59" i="36"/>
  <c r="AQ59" i="36"/>
  <c r="AR59" i="36"/>
  <c r="AS59" i="36"/>
  <c r="AT59" i="36"/>
  <c r="AU59" i="36"/>
  <c r="AV59" i="36"/>
  <c r="AW59" i="36"/>
  <c r="AX59" i="36"/>
  <c r="AY59" i="36"/>
  <c r="AZ59" i="36"/>
  <c r="BA59" i="36"/>
  <c r="BB59" i="36"/>
  <c r="BC59" i="36"/>
  <c r="BD59" i="36"/>
  <c r="BE59" i="36"/>
  <c r="BF59" i="36"/>
  <c r="BG59" i="36"/>
  <c r="BH59" i="36"/>
  <c r="BI59" i="36"/>
  <c r="BJ59" i="36"/>
  <c r="BK59" i="36"/>
  <c r="BL59" i="36"/>
  <c r="BM59" i="36"/>
  <c r="BN59" i="36"/>
  <c r="BO59" i="36"/>
  <c r="BP59" i="36"/>
  <c r="BQ59" i="36"/>
  <c r="BR59" i="36"/>
  <c r="BS59" i="36"/>
  <c r="BT59" i="36"/>
  <c r="BU59" i="36"/>
  <c r="BV59" i="36"/>
  <c r="BW59" i="36"/>
  <c r="BX59" i="36"/>
  <c r="BY59" i="36"/>
  <c r="BZ59" i="36"/>
  <c r="CA59" i="36"/>
  <c r="CB59" i="36"/>
  <c r="CC59" i="36"/>
  <c r="CD59" i="36"/>
  <c r="CE59" i="36"/>
  <c r="CF59" i="36"/>
  <c r="CG59" i="36"/>
  <c r="CH59" i="36"/>
  <c r="CI59" i="36"/>
  <c r="CJ59" i="36"/>
  <c r="CK59" i="36"/>
  <c r="CL59" i="36"/>
  <c r="CM59" i="36"/>
  <c r="CN59" i="36"/>
  <c r="CO59" i="36"/>
  <c r="CP59" i="36"/>
  <c r="CQ59" i="36"/>
  <c r="CR59" i="36"/>
  <c r="CS59" i="36"/>
  <c r="CT59" i="36"/>
  <c r="CU59" i="36"/>
  <c r="CV59" i="36"/>
  <c r="CW59" i="36"/>
  <c r="CX59" i="36"/>
  <c r="CY59" i="36"/>
  <c r="CZ59" i="36"/>
  <c r="DA59" i="36"/>
  <c r="DB59" i="36"/>
  <c r="DC59" i="36"/>
  <c r="DD59" i="36"/>
  <c r="DE59" i="36"/>
  <c r="DF59" i="36"/>
  <c r="DG59" i="36"/>
  <c r="DH59" i="36"/>
  <c r="DI59" i="36"/>
  <c r="DJ59" i="36"/>
  <c r="DK59" i="36"/>
  <c r="DL59" i="36"/>
  <c r="DM59" i="36"/>
  <c r="DN59" i="36"/>
  <c r="DO59" i="36"/>
  <c r="DP59" i="36"/>
  <c r="DQ59" i="36"/>
  <c r="DR59" i="36"/>
  <c r="DS59" i="36"/>
  <c r="DT59" i="36"/>
  <c r="DU59" i="36"/>
  <c r="DV59" i="36"/>
  <c r="DW59" i="36"/>
  <c r="DX59" i="36"/>
  <c r="DY59" i="36"/>
  <c r="DZ59" i="36"/>
  <c r="EA59" i="36"/>
  <c r="EB59" i="36"/>
  <c r="EC59" i="36"/>
  <c r="ED59" i="36"/>
  <c r="O60" i="36"/>
  <c r="P60" i="36"/>
  <c r="Q60" i="36"/>
  <c r="R60" i="36"/>
  <c r="S60" i="36"/>
  <c r="T60" i="36"/>
  <c r="U60" i="36"/>
  <c r="V60" i="36"/>
  <c r="W60" i="36"/>
  <c r="X60" i="36"/>
  <c r="Y60" i="36"/>
  <c r="Z60" i="36"/>
  <c r="AA60" i="36"/>
  <c r="AB60" i="36"/>
  <c r="AC60" i="36"/>
  <c r="AD60" i="36"/>
  <c r="AE60" i="36"/>
  <c r="AF60" i="36"/>
  <c r="AG60" i="36"/>
  <c r="AH60" i="36"/>
  <c r="AI60" i="36"/>
  <c r="AJ60" i="36"/>
  <c r="AK60" i="36"/>
  <c r="AL60" i="36"/>
  <c r="AM60" i="36"/>
  <c r="AN60" i="36"/>
  <c r="AO60" i="36"/>
  <c r="AP60" i="36"/>
  <c r="AQ60" i="36"/>
  <c r="AR60" i="36"/>
  <c r="AS60" i="36"/>
  <c r="AT60" i="36"/>
  <c r="AU60" i="36"/>
  <c r="AV60" i="36"/>
  <c r="AW60" i="36"/>
  <c r="AX60" i="36"/>
  <c r="AY60" i="36"/>
  <c r="AZ60" i="36"/>
  <c r="BA60" i="36"/>
  <c r="BB60" i="36"/>
  <c r="BC60" i="36"/>
  <c r="BD60" i="36"/>
  <c r="BE60" i="36"/>
  <c r="BF60" i="36"/>
  <c r="BG60" i="36"/>
  <c r="BH60" i="36"/>
  <c r="BI60" i="36"/>
  <c r="BJ60" i="36"/>
  <c r="BK60" i="36"/>
  <c r="BL60" i="36"/>
  <c r="BM60" i="36"/>
  <c r="BN60" i="36"/>
  <c r="BO60" i="36"/>
  <c r="BP60" i="36"/>
  <c r="BQ60" i="36"/>
  <c r="BR60" i="36"/>
  <c r="BS60" i="36"/>
  <c r="BT60" i="36"/>
  <c r="BU60" i="36"/>
  <c r="BV60" i="36"/>
  <c r="BW60" i="36"/>
  <c r="BX60" i="36"/>
  <c r="BY60" i="36"/>
  <c r="BZ60" i="36"/>
  <c r="CA60" i="36"/>
  <c r="CB60" i="36"/>
  <c r="CC60" i="36"/>
  <c r="CD60" i="36"/>
  <c r="CE60" i="36"/>
  <c r="CF60" i="36"/>
  <c r="CG60" i="36"/>
  <c r="CH60" i="36"/>
  <c r="CI60" i="36"/>
  <c r="CJ60" i="36"/>
  <c r="CK60" i="36"/>
  <c r="CL60" i="36"/>
  <c r="CM60" i="36"/>
  <c r="CN60" i="36"/>
  <c r="CO60" i="36"/>
  <c r="CP60" i="36"/>
  <c r="CQ60" i="36"/>
  <c r="CR60" i="36"/>
  <c r="CS60" i="36"/>
  <c r="CT60" i="36"/>
  <c r="CU60" i="36"/>
  <c r="CV60" i="36"/>
  <c r="CW60" i="36"/>
  <c r="CX60" i="36"/>
  <c r="CY60" i="36"/>
  <c r="CZ60" i="36"/>
  <c r="DA60" i="36"/>
  <c r="DB60" i="36"/>
  <c r="DC60" i="36"/>
  <c r="DD60" i="36"/>
  <c r="DE60" i="36"/>
  <c r="DF60" i="36"/>
  <c r="DG60" i="36"/>
  <c r="DH60" i="36"/>
  <c r="DI60" i="36"/>
  <c r="DJ60" i="36"/>
  <c r="DK60" i="36"/>
  <c r="DL60" i="36"/>
  <c r="DM60" i="36"/>
  <c r="DN60" i="36"/>
  <c r="DO60" i="36"/>
  <c r="DP60" i="36"/>
  <c r="DQ60" i="36"/>
  <c r="DR60" i="36"/>
  <c r="DS60" i="36"/>
  <c r="DT60" i="36"/>
  <c r="DU60" i="36"/>
  <c r="DV60" i="36"/>
  <c r="DW60" i="36"/>
  <c r="DX60" i="36"/>
  <c r="DY60" i="36"/>
  <c r="DZ60" i="36"/>
  <c r="EA60" i="36"/>
  <c r="EB60" i="36"/>
  <c r="EC60" i="36"/>
  <c r="ED60" i="36"/>
  <c r="ED30" i="36"/>
  <c r="EC30" i="36"/>
  <c r="EB30" i="36"/>
  <c r="EA30" i="36"/>
  <c r="DZ30" i="36"/>
  <c r="DY30" i="36"/>
  <c r="DX30" i="36"/>
  <c r="DW30" i="36"/>
  <c r="DV30" i="36"/>
  <c r="DU30" i="36"/>
  <c r="DT30" i="36"/>
  <c r="DS30" i="36"/>
  <c r="DR30" i="36"/>
  <c r="DQ30" i="36"/>
  <c r="DP30" i="36"/>
  <c r="DO30" i="36"/>
  <c r="DN30" i="36"/>
  <c r="DM30" i="36"/>
  <c r="DL30" i="36"/>
  <c r="DK30" i="36"/>
  <c r="DJ30" i="36"/>
  <c r="DI30" i="36"/>
  <c r="DH30" i="36"/>
  <c r="DG30" i="36"/>
  <c r="DF30" i="36"/>
  <c r="DE30" i="36"/>
  <c r="DD30" i="36"/>
  <c r="DC30" i="36"/>
  <c r="DB30" i="36"/>
  <c r="DA30" i="36"/>
  <c r="CZ30" i="36"/>
  <c r="CY30" i="36"/>
  <c r="CX30" i="36"/>
  <c r="CW30" i="36"/>
  <c r="CV30" i="36"/>
  <c r="CU30" i="36"/>
  <c r="CT30" i="36"/>
  <c r="CS30" i="36"/>
  <c r="CR30" i="36"/>
  <c r="CQ30" i="36"/>
  <c r="CP30" i="36"/>
  <c r="CO30" i="36"/>
  <c r="CN30" i="36"/>
  <c r="CM30" i="36"/>
  <c r="CL30" i="36"/>
  <c r="CK30" i="36"/>
  <c r="CJ30" i="36"/>
  <c r="CI30" i="36"/>
  <c r="CH30" i="36"/>
  <c r="CG30" i="36"/>
  <c r="CF30" i="36"/>
  <c r="CE30" i="36"/>
  <c r="CD30" i="36"/>
  <c r="CC30" i="36"/>
  <c r="CB30" i="36"/>
  <c r="CA30" i="36"/>
  <c r="BZ30" i="36"/>
  <c r="BY30" i="36"/>
  <c r="BX30" i="36"/>
  <c r="BW30" i="36"/>
  <c r="BV30" i="36"/>
  <c r="BU30" i="36"/>
  <c r="BT30" i="36"/>
  <c r="BS30" i="36"/>
  <c r="BR30" i="36"/>
  <c r="BQ30" i="36"/>
  <c r="BP30" i="36"/>
  <c r="BO30" i="36"/>
  <c r="BN30" i="36"/>
  <c r="BM30" i="36"/>
  <c r="BL30" i="36"/>
  <c r="BK30" i="36"/>
  <c r="BJ30" i="36"/>
  <c r="BI30" i="36"/>
  <c r="BH30" i="36"/>
  <c r="BG30" i="36"/>
  <c r="BF30" i="36"/>
  <c r="BE30" i="36"/>
  <c r="BD30" i="36"/>
  <c r="BC30" i="36"/>
  <c r="BB30" i="36"/>
  <c r="BA30" i="36"/>
  <c r="AZ30" i="36"/>
  <c r="AY30" i="36"/>
  <c r="AX30" i="36"/>
  <c r="AW30" i="36"/>
  <c r="AV30" i="36"/>
  <c r="AU30" i="36"/>
  <c r="AT30" i="36"/>
  <c r="AS30" i="36"/>
  <c r="AR30" i="36"/>
  <c r="AQ30" i="36"/>
  <c r="AP30" i="36"/>
  <c r="AO30" i="36"/>
  <c r="AN30" i="36"/>
  <c r="AM30" i="36"/>
  <c r="AL30" i="36"/>
  <c r="AK30" i="36"/>
  <c r="AJ30" i="36"/>
  <c r="AI30" i="36"/>
  <c r="AH30" i="36"/>
  <c r="AG30" i="36"/>
  <c r="AF30" i="36"/>
  <c r="AE30" i="36"/>
  <c r="AD30" i="36"/>
  <c r="AC30" i="36"/>
  <c r="AB30" i="36"/>
  <c r="AA30" i="36"/>
  <c r="Z30" i="36"/>
  <c r="Y30" i="36"/>
  <c r="X30" i="36"/>
  <c r="W30" i="36"/>
  <c r="V30" i="36"/>
  <c r="U30" i="36"/>
  <c r="T30" i="36"/>
  <c r="S30" i="36"/>
  <c r="R30" i="36"/>
  <c r="Q30" i="36"/>
  <c r="P30" i="36"/>
  <c r="O30" i="36"/>
  <c r="O5" i="36"/>
  <c r="P5" i="36"/>
  <c r="Q5" i="36"/>
  <c r="R5" i="36"/>
  <c r="S5" i="36"/>
  <c r="T5" i="36"/>
  <c r="U5" i="36"/>
  <c r="V5" i="36"/>
  <c r="W5" i="36"/>
  <c r="X5" i="36"/>
  <c r="Y5" i="36"/>
  <c r="Z5" i="36"/>
  <c r="AA5" i="36"/>
  <c r="AB5" i="36"/>
  <c r="AC5" i="36"/>
  <c r="AD5" i="36"/>
  <c r="AE5" i="36"/>
  <c r="AF5" i="36"/>
  <c r="AG5" i="36"/>
  <c r="AH5" i="36"/>
  <c r="AI5" i="36"/>
  <c r="AJ5" i="36"/>
  <c r="AK5" i="36"/>
  <c r="AL5" i="36"/>
  <c r="AM5" i="36"/>
  <c r="AN5" i="36"/>
  <c r="AO5" i="36"/>
  <c r="AP5" i="36"/>
  <c r="AQ5" i="36"/>
  <c r="AR5" i="36"/>
  <c r="AS5" i="36"/>
  <c r="AT5" i="36"/>
  <c r="AU5" i="36"/>
  <c r="AV5" i="36"/>
  <c r="AW5" i="36"/>
  <c r="AX5" i="36"/>
  <c r="AY5" i="36"/>
  <c r="AZ5" i="36"/>
  <c r="BA5" i="36"/>
  <c r="BB5" i="36"/>
  <c r="BC5" i="36"/>
  <c r="BD5" i="36"/>
  <c r="BE5" i="36"/>
  <c r="BF5" i="36"/>
  <c r="BG5" i="36"/>
  <c r="BH5" i="36"/>
  <c r="BI5" i="36"/>
  <c r="BJ5" i="36"/>
  <c r="BK5" i="36"/>
  <c r="BL5" i="36"/>
  <c r="BM5" i="36"/>
  <c r="BN5" i="36"/>
  <c r="BO5" i="36"/>
  <c r="BP5" i="36"/>
  <c r="BQ5" i="36"/>
  <c r="BR5" i="36"/>
  <c r="BS5" i="36"/>
  <c r="BT5" i="36"/>
  <c r="BU5" i="36"/>
  <c r="BV5" i="36"/>
  <c r="BW5" i="36"/>
  <c r="BX5" i="36"/>
  <c r="BY5" i="36"/>
  <c r="BZ5" i="36"/>
  <c r="CA5" i="36"/>
  <c r="CB5" i="36"/>
  <c r="CC5" i="36"/>
  <c r="CD5" i="36"/>
  <c r="CE5" i="36"/>
  <c r="CF5" i="36"/>
  <c r="CG5" i="36"/>
  <c r="CH5" i="36"/>
  <c r="CI5" i="36"/>
  <c r="CJ5" i="36"/>
  <c r="CK5" i="36"/>
  <c r="CL5" i="36"/>
  <c r="CM5" i="36"/>
  <c r="CN5" i="36"/>
  <c r="CO5" i="36"/>
  <c r="CP5" i="36"/>
  <c r="CQ5" i="36"/>
  <c r="CR5" i="36"/>
  <c r="CS5" i="36"/>
  <c r="CT5" i="36"/>
  <c r="CU5" i="36"/>
  <c r="CV5" i="36"/>
  <c r="CW5" i="36"/>
  <c r="CX5" i="36"/>
  <c r="CY5" i="36"/>
  <c r="CZ5" i="36"/>
  <c r="DA5" i="36"/>
  <c r="DB5" i="36"/>
  <c r="DC5" i="36"/>
  <c r="DD5" i="36"/>
  <c r="DE5" i="36"/>
  <c r="DF5" i="36"/>
  <c r="DG5" i="36"/>
  <c r="DH5" i="36"/>
  <c r="DI5" i="36"/>
  <c r="DJ5" i="36"/>
  <c r="DK5" i="36"/>
  <c r="DL5" i="36"/>
  <c r="DM5" i="36"/>
  <c r="DN5" i="36"/>
  <c r="DO5" i="36"/>
  <c r="DP5" i="36"/>
  <c r="DQ5" i="36"/>
  <c r="DR5" i="36"/>
  <c r="DS5" i="36"/>
  <c r="DT5" i="36"/>
  <c r="DU5" i="36"/>
  <c r="DV5" i="36"/>
  <c r="DW5" i="36"/>
  <c r="DX5" i="36"/>
  <c r="DY5" i="36"/>
  <c r="DZ5" i="36"/>
  <c r="EA5" i="36"/>
  <c r="EB5" i="36"/>
  <c r="EC5" i="36"/>
  <c r="ED5" i="36"/>
  <c r="O6" i="36"/>
  <c r="P6" i="36"/>
  <c r="Q6" i="36"/>
  <c r="R6" i="36"/>
  <c r="S6" i="36"/>
  <c r="T6" i="36"/>
  <c r="U6" i="36"/>
  <c r="V6" i="36"/>
  <c r="W6" i="36"/>
  <c r="X6" i="36"/>
  <c r="Y6" i="36"/>
  <c r="Z6" i="36"/>
  <c r="AA6" i="36"/>
  <c r="AB6" i="36"/>
  <c r="AC6" i="36"/>
  <c r="AD6" i="36"/>
  <c r="AE6" i="36"/>
  <c r="AF6" i="36"/>
  <c r="AG6" i="36"/>
  <c r="AH6" i="36"/>
  <c r="AI6" i="36"/>
  <c r="AJ6" i="36"/>
  <c r="AK6" i="36"/>
  <c r="AL6" i="36"/>
  <c r="AM6" i="36"/>
  <c r="AN6" i="36"/>
  <c r="AO6" i="36"/>
  <c r="AP6" i="36"/>
  <c r="AQ6" i="36"/>
  <c r="AR6" i="36"/>
  <c r="AS6" i="36"/>
  <c r="AT6" i="36"/>
  <c r="AU6" i="36"/>
  <c r="AV6" i="36"/>
  <c r="AW6" i="36"/>
  <c r="AX6" i="36"/>
  <c r="AY6" i="36"/>
  <c r="AZ6" i="36"/>
  <c r="BA6" i="36"/>
  <c r="BB6" i="36"/>
  <c r="BC6" i="36"/>
  <c r="BD6" i="36"/>
  <c r="BE6" i="36"/>
  <c r="BF6" i="36"/>
  <c r="BG6" i="36"/>
  <c r="BH6" i="36"/>
  <c r="BI6" i="36"/>
  <c r="BJ6" i="36"/>
  <c r="BK6" i="36"/>
  <c r="BL6" i="36"/>
  <c r="BM6" i="36"/>
  <c r="BN6" i="36"/>
  <c r="BO6" i="36"/>
  <c r="BP6" i="36"/>
  <c r="BQ6" i="36"/>
  <c r="BR6" i="36"/>
  <c r="BS6" i="36"/>
  <c r="BT6" i="36"/>
  <c r="BU6" i="36"/>
  <c r="BV6" i="36"/>
  <c r="BW6" i="36"/>
  <c r="BX6" i="36"/>
  <c r="BY6" i="36"/>
  <c r="BZ6" i="36"/>
  <c r="CA6" i="36"/>
  <c r="CB6" i="36"/>
  <c r="CC6" i="36"/>
  <c r="CD6" i="36"/>
  <c r="CE6" i="36"/>
  <c r="CF6" i="36"/>
  <c r="CG6" i="36"/>
  <c r="CH6" i="36"/>
  <c r="CI6" i="36"/>
  <c r="CJ6" i="36"/>
  <c r="CK6" i="36"/>
  <c r="CL6" i="36"/>
  <c r="CM6" i="36"/>
  <c r="CN6" i="36"/>
  <c r="CO6" i="36"/>
  <c r="CP6" i="36"/>
  <c r="CQ6" i="36"/>
  <c r="CR6" i="36"/>
  <c r="CS6" i="36"/>
  <c r="CT6" i="36"/>
  <c r="CU6" i="36"/>
  <c r="CV6" i="36"/>
  <c r="CW6" i="36"/>
  <c r="CX6" i="36"/>
  <c r="CY6" i="36"/>
  <c r="CZ6" i="36"/>
  <c r="DA6" i="36"/>
  <c r="DB6" i="36"/>
  <c r="DC6" i="36"/>
  <c r="DD6" i="36"/>
  <c r="DE6" i="36"/>
  <c r="DF6" i="36"/>
  <c r="DG6" i="36"/>
  <c r="DH6" i="36"/>
  <c r="DI6" i="36"/>
  <c r="DJ6" i="36"/>
  <c r="DK6" i="36"/>
  <c r="DL6" i="36"/>
  <c r="DM6" i="36"/>
  <c r="DN6" i="36"/>
  <c r="DO6" i="36"/>
  <c r="DP6" i="36"/>
  <c r="DQ6" i="36"/>
  <c r="DR6" i="36"/>
  <c r="DS6" i="36"/>
  <c r="DT6" i="36"/>
  <c r="DU6" i="36"/>
  <c r="DV6" i="36"/>
  <c r="DW6" i="36"/>
  <c r="DX6" i="36"/>
  <c r="DY6" i="36"/>
  <c r="DZ6" i="36"/>
  <c r="EA6" i="36"/>
  <c r="EB6" i="36"/>
  <c r="EC6" i="36"/>
  <c r="ED6" i="36"/>
  <c r="O7" i="36"/>
  <c r="P7" i="36"/>
  <c r="Q7" i="36"/>
  <c r="R7" i="36"/>
  <c r="S7" i="36"/>
  <c r="T7" i="36"/>
  <c r="U7" i="36"/>
  <c r="V7" i="36"/>
  <c r="W7" i="36"/>
  <c r="X7" i="36"/>
  <c r="Y7" i="36"/>
  <c r="Z7" i="36"/>
  <c r="AA7" i="36"/>
  <c r="AB7" i="36"/>
  <c r="AC7" i="36"/>
  <c r="AD7" i="36"/>
  <c r="AE7" i="36"/>
  <c r="AF7" i="36"/>
  <c r="AG7" i="36"/>
  <c r="AH7" i="36"/>
  <c r="AI7" i="36"/>
  <c r="AJ7" i="36"/>
  <c r="AK7" i="36"/>
  <c r="AL7" i="36"/>
  <c r="AM7" i="36"/>
  <c r="AN7" i="36"/>
  <c r="AO7" i="36"/>
  <c r="AP7" i="36"/>
  <c r="AQ7" i="36"/>
  <c r="AR7" i="36"/>
  <c r="AS7" i="36"/>
  <c r="AT7" i="36"/>
  <c r="AU7" i="36"/>
  <c r="AV7" i="36"/>
  <c r="AW7" i="36"/>
  <c r="AX7" i="36"/>
  <c r="AY7" i="36"/>
  <c r="AZ7" i="36"/>
  <c r="BA7" i="36"/>
  <c r="BB7" i="36"/>
  <c r="BC7" i="36"/>
  <c r="BD7" i="36"/>
  <c r="BE7" i="36"/>
  <c r="BF7" i="36"/>
  <c r="BG7" i="36"/>
  <c r="BH7" i="36"/>
  <c r="BI7" i="36"/>
  <c r="BJ7" i="36"/>
  <c r="BK7" i="36"/>
  <c r="BL7" i="36"/>
  <c r="BM7" i="36"/>
  <c r="BN7" i="36"/>
  <c r="BO7" i="36"/>
  <c r="BP7" i="36"/>
  <c r="BQ7" i="36"/>
  <c r="BR7" i="36"/>
  <c r="BS7" i="36"/>
  <c r="BT7" i="36"/>
  <c r="BU7" i="36"/>
  <c r="BV7" i="36"/>
  <c r="BW7" i="36"/>
  <c r="BX7" i="36"/>
  <c r="BY7" i="36"/>
  <c r="BZ7" i="36"/>
  <c r="CA7" i="36"/>
  <c r="CB7" i="36"/>
  <c r="CC7" i="36"/>
  <c r="CD7" i="36"/>
  <c r="CE7" i="36"/>
  <c r="CF7" i="36"/>
  <c r="CG7" i="36"/>
  <c r="CH7" i="36"/>
  <c r="CI7" i="36"/>
  <c r="CJ7" i="36"/>
  <c r="CK7" i="36"/>
  <c r="CL7" i="36"/>
  <c r="CM7" i="36"/>
  <c r="CN7" i="36"/>
  <c r="CO7" i="36"/>
  <c r="CP7" i="36"/>
  <c r="CQ7" i="36"/>
  <c r="CR7" i="36"/>
  <c r="CS7" i="36"/>
  <c r="CT7" i="36"/>
  <c r="CU7" i="36"/>
  <c r="CV7" i="36"/>
  <c r="CW7" i="36"/>
  <c r="CX7" i="36"/>
  <c r="CY7" i="36"/>
  <c r="CZ7" i="36"/>
  <c r="DA7" i="36"/>
  <c r="DB7" i="36"/>
  <c r="DC7" i="36"/>
  <c r="DD7" i="36"/>
  <c r="DE7" i="36"/>
  <c r="DF7" i="36"/>
  <c r="DG7" i="36"/>
  <c r="DH7" i="36"/>
  <c r="DI7" i="36"/>
  <c r="DJ7" i="36"/>
  <c r="DK7" i="36"/>
  <c r="DL7" i="36"/>
  <c r="DM7" i="36"/>
  <c r="DN7" i="36"/>
  <c r="DO7" i="36"/>
  <c r="DP7" i="36"/>
  <c r="DQ7" i="36"/>
  <c r="DR7" i="36"/>
  <c r="DS7" i="36"/>
  <c r="DT7" i="36"/>
  <c r="DU7" i="36"/>
  <c r="DV7" i="36"/>
  <c r="DW7" i="36"/>
  <c r="DX7" i="36"/>
  <c r="DY7" i="36"/>
  <c r="DZ7" i="36"/>
  <c r="EA7" i="36"/>
  <c r="EB7" i="36"/>
  <c r="EC7" i="36"/>
  <c r="ED7" i="36"/>
  <c r="O8" i="36"/>
  <c r="P8" i="36"/>
  <c r="Q8" i="36"/>
  <c r="R8" i="36"/>
  <c r="S8" i="36"/>
  <c r="T8" i="36"/>
  <c r="U8" i="36"/>
  <c r="V8" i="36"/>
  <c r="W8" i="36"/>
  <c r="X8" i="36"/>
  <c r="Y8" i="36"/>
  <c r="Z8" i="36"/>
  <c r="AA8" i="36"/>
  <c r="AB8" i="36"/>
  <c r="AC8" i="36"/>
  <c r="AD8" i="36"/>
  <c r="AE8" i="36"/>
  <c r="AF8" i="36"/>
  <c r="AG8" i="36"/>
  <c r="AH8" i="36"/>
  <c r="AI8" i="36"/>
  <c r="AJ8" i="36"/>
  <c r="AK8" i="36"/>
  <c r="AL8" i="36"/>
  <c r="AM8" i="36"/>
  <c r="AN8" i="36"/>
  <c r="AO8" i="36"/>
  <c r="AP8" i="36"/>
  <c r="AQ8" i="36"/>
  <c r="AR8" i="36"/>
  <c r="AS8" i="36"/>
  <c r="AT8" i="36"/>
  <c r="AU8" i="36"/>
  <c r="AV8" i="36"/>
  <c r="AW8" i="36"/>
  <c r="AX8" i="36"/>
  <c r="AY8" i="36"/>
  <c r="AZ8" i="36"/>
  <c r="BA8" i="36"/>
  <c r="BB8" i="36"/>
  <c r="BC8" i="36"/>
  <c r="BD8" i="36"/>
  <c r="BE8" i="36"/>
  <c r="BF8" i="36"/>
  <c r="BG8" i="36"/>
  <c r="BH8" i="36"/>
  <c r="BI8" i="36"/>
  <c r="BJ8" i="36"/>
  <c r="BK8" i="36"/>
  <c r="BL8" i="36"/>
  <c r="BM8" i="36"/>
  <c r="BN8" i="36"/>
  <c r="BO8" i="36"/>
  <c r="BP8" i="36"/>
  <c r="BQ8" i="36"/>
  <c r="BR8" i="36"/>
  <c r="BS8" i="36"/>
  <c r="BT8" i="36"/>
  <c r="BU8" i="36"/>
  <c r="BV8" i="36"/>
  <c r="BW8" i="36"/>
  <c r="BX8" i="36"/>
  <c r="BY8" i="36"/>
  <c r="BZ8" i="36"/>
  <c r="CA8" i="36"/>
  <c r="CB8" i="36"/>
  <c r="CC8" i="36"/>
  <c r="CD8" i="36"/>
  <c r="CE8" i="36"/>
  <c r="CF8" i="36"/>
  <c r="CG8" i="36"/>
  <c r="CH8" i="36"/>
  <c r="CI8" i="36"/>
  <c r="CJ8" i="36"/>
  <c r="CK8" i="36"/>
  <c r="CL8" i="36"/>
  <c r="CM8" i="36"/>
  <c r="CN8" i="36"/>
  <c r="CO8" i="36"/>
  <c r="CP8" i="36"/>
  <c r="CQ8" i="36"/>
  <c r="CR8" i="36"/>
  <c r="CS8" i="36"/>
  <c r="CT8" i="36"/>
  <c r="CU8" i="36"/>
  <c r="CV8" i="36"/>
  <c r="CW8" i="36"/>
  <c r="CX8" i="36"/>
  <c r="CY8" i="36"/>
  <c r="CZ8" i="36"/>
  <c r="DA8" i="36"/>
  <c r="DB8" i="36"/>
  <c r="DC8" i="36"/>
  <c r="DD8" i="36"/>
  <c r="DE8" i="36"/>
  <c r="DF8" i="36"/>
  <c r="DG8" i="36"/>
  <c r="DH8" i="36"/>
  <c r="DI8" i="36"/>
  <c r="DJ8" i="36"/>
  <c r="DK8" i="36"/>
  <c r="DL8" i="36"/>
  <c r="DM8" i="36"/>
  <c r="DN8" i="36"/>
  <c r="DO8" i="36"/>
  <c r="DP8" i="36"/>
  <c r="DQ8" i="36"/>
  <c r="DR8" i="36"/>
  <c r="DS8" i="36"/>
  <c r="DT8" i="36"/>
  <c r="DU8" i="36"/>
  <c r="DV8" i="36"/>
  <c r="DW8" i="36"/>
  <c r="DX8" i="36"/>
  <c r="DY8" i="36"/>
  <c r="DZ8" i="36"/>
  <c r="EA8" i="36"/>
  <c r="EB8" i="36"/>
  <c r="EC8" i="36"/>
  <c r="ED8" i="36"/>
  <c r="O9" i="36"/>
  <c r="P9" i="36"/>
  <c r="Q9" i="36"/>
  <c r="R9" i="36"/>
  <c r="S9" i="36"/>
  <c r="T9" i="36"/>
  <c r="U9" i="36"/>
  <c r="V9" i="36"/>
  <c r="W9" i="36"/>
  <c r="X9" i="36"/>
  <c r="Y9" i="36"/>
  <c r="Z9" i="36"/>
  <c r="AA9" i="36"/>
  <c r="AB9" i="36"/>
  <c r="AC9" i="36"/>
  <c r="AD9" i="36"/>
  <c r="AE9" i="36"/>
  <c r="AF9" i="36"/>
  <c r="AG9" i="36"/>
  <c r="AH9" i="36"/>
  <c r="AI9" i="36"/>
  <c r="AJ9" i="36"/>
  <c r="AK9" i="36"/>
  <c r="AL9" i="36"/>
  <c r="AM9" i="36"/>
  <c r="AN9" i="36"/>
  <c r="AO9" i="36"/>
  <c r="AP9" i="36"/>
  <c r="AQ9" i="36"/>
  <c r="AR9" i="36"/>
  <c r="AS9" i="36"/>
  <c r="AT9" i="36"/>
  <c r="AU9" i="36"/>
  <c r="AV9" i="36"/>
  <c r="AW9" i="36"/>
  <c r="AX9" i="36"/>
  <c r="AY9" i="36"/>
  <c r="AZ9" i="36"/>
  <c r="BA9" i="36"/>
  <c r="BB9" i="36"/>
  <c r="BC9" i="36"/>
  <c r="BD9" i="36"/>
  <c r="BE9" i="36"/>
  <c r="BF9" i="36"/>
  <c r="BG9" i="36"/>
  <c r="BH9" i="36"/>
  <c r="BI9" i="36"/>
  <c r="BJ9" i="36"/>
  <c r="BK9" i="36"/>
  <c r="BL9" i="36"/>
  <c r="BM9" i="36"/>
  <c r="BN9" i="36"/>
  <c r="BO9" i="36"/>
  <c r="BP9" i="36"/>
  <c r="BQ9" i="36"/>
  <c r="BR9" i="36"/>
  <c r="BS9" i="36"/>
  <c r="BT9" i="36"/>
  <c r="BU9" i="36"/>
  <c r="BV9" i="36"/>
  <c r="BW9" i="36"/>
  <c r="BX9" i="36"/>
  <c r="BY9" i="36"/>
  <c r="BZ9" i="36"/>
  <c r="CA9" i="36"/>
  <c r="CB9" i="36"/>
  <c r="CC9" i="36"/>
  <c r="CD9" i="36"/>
  <c r="CE9" i="36"/>
  <c r="CF9" i="36"/>
  <c r="CG9" i="36"/>
  <c r="CH9" i="36"/>
  <c r="CI9" i="36"/>
  <c r="CJ9" i="36"/>
  <c r="CK9" i="36"/>
  <c r="CL9" i="36"/>
  <c r="CM9" i="36"/>
  <c r="CN9" i="36"/>
  <c r="CO9" i="36"/>
  <c r="CP9" i="36"/>
  <c r="CQ9" i="36"/>
  <c r="CR9" i="36"/>
  <c r="CS9" i="36"/>
  <c r="CT9" i="36"/>
  <c r="CU9" i="36"/>
  <c r="CV9" i="36"/>
  <c r="CW9" i="36"/>
  <c r="CX9" i="36"/>
  <c r="CY9" i="36"/>
  <c r="CZ9" i="36"/>
  <c r="DA9" i="36"/>
  <c r="DB9" i="36"/>
  <c r="DC9" i="36"/>
  <c r="DD9" i="36"/>
  <c r="DE9" i="36"/>
  <c r="DF9" i="36"/>
  <c r="DG9" i="36"/>
  <c r="DH9" i="36"/>
  <c r="DI9" i="36"/>
  <c r="DJ9" i="36"/>
  <c r="DK9" i="36"/>
  <c r="DL9" i="36"/>
  <c r="DM9" i="36"/>
  <c r="DN9" i="36"/>
  <c r="DO9" i="36"/>
  <c r="DP9" i="36"/>
  <c r="DQ9" i="36"/>
  <c r="DR9" i="36"/>
  <c r="DS9" i="36"/>
  <c r="DT9" i="36"/>
  <c r="DU9" i="36"/>
  <c r="DV9" i="36"/>
  <c r="DW9" i="36"/>
  <c r="DX9" i="36"/>
  <c r="DY9" i="36"/>
  <c r="DZ9" i="36"/>
  <c r="EA9" i="36"/>
  <c r="EB9" i="36"/>
  <c r="EC9" i="36"/>
  <c r="ED9" i="36"/>
  <c r="O10" i="36"/>
  <c r="P10" i="36"/>
  <c r="Q10" i="36"/>
  <c r="R10" i="36"/>
  <c r="S10" i="36"/>
  <c r="T10" i="36"/>
  <c r="U10" i="36"/>
  <c r="V10" i="36"/>
  <c r="W10" i="36"/>
  <c r="X10" i="36"/>
  <c r="Y10" i="36"/>
  <c r="Z10" i="36"/>
  <c r="AA10" i="36"/>
  <c r="AB10" i="36"/>
  <c r="AC10" i="36"/>
  <c r="AD10" i="36"/>
  <c r="AE10" i="36"/>
  <c r="AF10" i="36"/>
  <c r="AG10" i="36"/>
  <c r="AH10" i="36"/>
  <c r="AI10" i="36"/>
  <c r="AJ10" i="36"/>
  <c r="AK10" i="36"/>
  <c r="AL10" i="36"/>
  <c r="AM10" i="36"/>
  <c r="AN10" i="36"/>
  <c r="AO10" i="36"/>
  <c r="AP10" i="36"/>
  <c r="AQ10" i="36"/>
  <c r="AR10" i="36"/>
  <c r="AS10" i="36"/>
  <c r="AT10" i="36"/>
  <c r="AU10" i="36"/>
  <c r="AV10" i="36"/>
  <c r="AW10" i="36"/>
  <c r="AX10" i="36"/>
  <c r="AY10" i="36"/>
  <c r="AZ10" i="36"/>
  <c r="BA10" i="36"/>
  <c r="BB10" i="36"/>
  <c r="BC10" i="36"/>
  <c r="BD10" i="36"/>
  <c r="BE10" i="36"/>
  <c r="BF10" i="36"/>
  <c r="BG10" i="36"/>
  <c r="BH10" i="36"/>
  <c r="BI10" i="36"/>
  <c r="BJ10" i="36"/>
  <c r="BK10" i="36"/>
  <c r="BL10" i="36"/>
  <c r="BM10" i="36"/>
  <c r="BN10" i="36"/>
  <c r="BO10" i="36"/>
  <c r="BP10" i="36"/>
  <c r="BQ10" i="36"/>
  <c r="BR10" i="36"/>
  <c r="BS10" i="36"/>
  <c r="BT10" i="36"/>
  <c r="BU10" i="36"/>
  <c r="BV10" i="36"/>
  <c r="BW10" i="36"/>
  <c r="BX10" i="36"/>
  <c r="BY10" i="36"/>
  <c r="BZ10" i="36"/>
  <c r="CA10" i="36"/>
  <c r="CB10" i="36"/>
  <c r="CC10" i="36"/>
  <c r="CD10" i="36"/>
  <c r="CE10" i="36"/>
  <c r="CF10" i="36"/>
  <c r="CG10" i="36"/>
  <c r="CH10" i="36"/>
  <c r="CI10" i="36"/>
  <c r="CJ10" i="36"/>
  <c r="CK10" i="36"/>
  <c r="CL10" i="36"/>
  <c r="CM10" i="36"/>
  <c r="CN10" i="36"/>
  <c r="CO10" i="36"/>
  <c r="CP10" i="36"/>
  <c r="CQ10" i="36"/>
  <c r="CR10" i="36"/>
  <c r="CS10" i="36"/>
  <c r="CT10" i="36"/>
  <c r="CU10" i="36"/>
  <c r="CV10" i="36"/>
  <c r="CW10" i="36"/>
  <c r="CX10" i="36"/>
  <c r="CY10" i="36"/>
  <c r="CZ10" i="36"/>
  <c r="DA10" i="36"/>
  <c r="DB10" i="36"/>
  <c r="DC10" i="36"/>
  <c r="DD10" i="36"/>
  <c r="DE10" i="36"/>
  <c r="DF10" i="36"/>
  <c r="DG10" i="36"/>
  <c r="DH10" i="36"/>
  <c r="DI10" i="36"/>
  <c r="DJ10" i="36"/>
  <c r="DK10" i="36"/>
  <c r="DL10" i="36"/>
  <c r="DM10" i="36"/>
  <c r="DN10" i="36"/>
  <c r="DO10" i="36"/>
  <c r="DP10" i="36"/>
  <c r="DQ10" i="36"/>
  <c r="DR10" i="36"/>
  <c r="DS10" i="36"/>
  <c r="DT10" i="36"/>
  <c r="DU10" i="36"/>
  <c r="DV10" i="36"/>
  <c r="DW10" i="36"/>
  <c r="DX10" i="36"/>
  <c r="DY10" i="36"/>
  <c r="DZ10" i="36"/>
  <c r="EA10" i="36"/>
  <c r="EB10" i="36"/>
  <c r="EC10" i="36"/>
  <c r="ED10" i="36"/>
  <c r="O11" i="36"/>
  <c r="P11" i="36"/>
  <c r="Q11" i="36"/>
  <c r="R11" i="36"/>
  <c r="S11" i="36"/>
  <c r="T11" i="36"/>
  <c r="U11" i="36"/>
  <c r="V11" i="36"/>
  <c r="W11" i="36"/>
  <c r="X11" i="36"/>
  <c r="Y11" i="36"/>
  <c r="Z11" i="36"/>
  <c r="AA11" i="36"/>
  <c r="AB11" i="36"/>
  <c r="AC11" i="36"/>
  <c r="AD11" i="36"/>
  <c r="AE11" i="36"/>
  <c r="AF11" i="36"/>
  <c r="AG11" i="36"/>
  <c r="AH11" i="36"/>
  <c r="AI11" i="36"/>
  <c r="AJ11" i="36"/>
  <c r="AK11" i="36"/>
  <c r="AL11" i="36"/>
  <c r="AM11" i="36"/>
  <c r="AN11" i="36"/>
  <c r="AO11" i="36"/>
  <c r="AP11" i="36"/>
  <c r="AQ11" i="36"/>
  <c r="AR11" i="36"/>
  <c r="AS11" i="36"/>
  <c r="AT11" i="36"/>
  <c r="AU11" i="36"/>
  <c r="AV11" i="36"/>
  <c r="AW11" i="36"/>
  <c r="AX11" i="36"/>
  <c r="AY11" i="36"/>
  <c r="AZ11" i="36"/>
  <c r="BA11" i="36"/>
  <c r="BB11" i="36"/>
  <c r="BC11" i="36"/>
  <c r="BD11" i="36"/>
  <c r="BE11" i="36"/>
  <c r="BF11" i="36"/>
  <c r="BG11" i="36"/>
  <c r="BH11" i="36"/>
  <c r="BI11" i="36"/>
  <c r="BJ11" i="36"/>
  <c r="BK11" i="36"/>
  <c r="BL11" i="36"/>
  <c r="BM11" i="36"/>
  <c r="BN11" i="36"/>
  <c r="BO11" i="36"/>
  <c r="BP11" i="36"/>
  <c r="BQ11" i="36"/>
  <c r="BR11" i="36"/>
  <c r="BS11" i="36"/>
  <c r="BT11" i="36"/>
  <c r="BU11" i="36"/>
  <c r="BV11" i="36"/>
  <c r="BW11" i="36"/>
  <c r="BX11" i="36"/>
  <c r="BY11" i="36"/>
  <c r="BZ11" i="36"/>
  <c r="CA11" i="36"/>
  <c r="CB11" i="36"/>
  <c r="CC11" i="36"/>
  <c r="CD11" i="36"/>
  <c r="CE11" i="36"/>
  <c r="CF11" i="36"/>
  <c r="CG11" i="36"/>
  <c r="CH11" i="36"/>
  <c r="CI11" i="36"/>
  <c r="CJ11" i="36"/>
  <c r="CK11" i="36"/>
  <c r="CL11" i="36"/>
  <c r="CM11" i="36"/>
  <c r="CN11" i="36"/>
  <c r="CO11" i="36"/>
  <c r="CP11" i="36"/>
  <c r="CQ11" i="36"/>
  <c r="CR11" i="36"/>
  <c r="CS11" i="36"/>
  <c r="CT11" i="36"/>
  <c r="CU11" i="36"/>
  <c r="CV11" i="36"/>
  <c r="CW11" i="36"/>
  <c r="CX11" i="36"/>
  <c r="CY11" i="36"/>
  <c r="CZ11" i="36"/>
  <c r="DA11" i="36"/>
  <c r="DB11" i="36"/>
  <c r="DC11" i="36"/>
  <c r="DD11" i="36"/>
  <c r="DE11" i="36"/>
  <c r="DF11" i="36"/>
  <c r="DG11" i="36"/>
  <c r="DH11" i="36"/>
  <c r="DI11" i="36"/>
  <c r="DJ11" i="36"/>
  <c r="DK11" i="36"/>
  <c r="DL11" i="36"/>
  <c r="DM11" i="36"/>
  <c r="DN11" i="36"/>
  <c r="DO11" i="36"/>
  <c r="DP11" i="36"/>
  <c r="DQ11" i="36"/>
  <c r="DR11" i="36"/>
  <c r="DS11" i="36"/>
  <c r="DT11" i="36"/>
  <c r="DU11" i="36"/>
  <c r="DV11" i="36"/>
  <c r="DW11" i="36"/>
  <c r="DX11" i="36"/>
  <c r="DY11" i="36"/>
  <c r="DZ11" i="36"/>
  <c r="EA11" i="36"/>
  <c r="EB11" i="36"/>
  <c r="EC11" i="36"/>
  <c r="ED11" i="36"/>
  <c r="O12" i="36"/>
  <c r="P12" i="36"/>
  <c r="Q12" i="36"/>
  <c r="R12" i="36"/>
  <c r="S12" i="36"/>
  <c r="T12" i="36"/>
  <c r="U12" i="36"/>
  <c r="V12" i="36"/>
  <c r="W12" i="36"/>
  <c r="X12" i="36"/>
  <c r="Y12" i="36"/>
  <c r="Z12" i="36"/>
  <c r="AA12" i="36"/>
  <c r="AB12" i="36"/>
  <c r="AC12" i="36"/>
  <c r="AD12" i="36"/>
  <c r="AE12" i="36"/>
  <c r="AF12" i="36"/>
  <c r="AG12" i="36"/>
  <c r="AH12" i="36"/>
  <c r="AI12" i="36"/>
  <c r="AJ12" i="36"/>
  <c r="AK12" i="36"/>
  <c r="AL12" i="36"/>
  <c r="AM12" i="36"/>
  <c r="AN12" i="36"/>
  <c r="AO12" i="36"/>
  <c r="AP12" i="36"/>
  <c r="AQ12" i="36"/>
  <c r="AR12" i="36"/>
  <c r="AS12" i="36"/>
  <c r="AT12" i="36"/>
  <c r="AU12" i="36"/>
  <c r="AV12" i="36"/>
  <c r="AW12" i="36"/>
  <c r="AX12" i="36"/>
  <c r="AY12" i="36"/>
  <c r="AZ12" i="36"/>
  <c r="BA12" i="36"/>
  <c r="BB12" i="36"/>
  <c r="BC12" i="36"/>
  <c r="BD12" i="36"/>
  <c r="BE12" i="36"/>
  <c r="BF12" i="36"/>
  <c r="BG12" i="36"/>
  <c r="BH12" i="36"/>
  <c r="BI12" i="36"/>
  <c r="BJ12" i="36"/>
  <c r="BK12" i="36"/>
  <c r="BL12" i="36"/>
  <c r="BM12" i="36"/>
  <c r="BN12" i="36"/>
  <c r="BO12" i="36"/>
  <c r="BP12" i="36"/>
  <c r="BQ12" i="36"/>
  <c r="BR12" i="36"/>
  <c r="BS12" i="36"/>
  <c r="BT12" i="36"/>
  <c r="BU12" i="36"/>
  <c r="BV12" i="36"/>
  <c r="BW12" i="36"/>
  <c r="BX12" i="36"/>
  <c r="BY12" i="36"/>
  <c r="BZ12" i="36"/>
  <c r="CA12" i="36"/>
  <c r="CB12" i="36"/>
  <c r="CC12" i="36"/>
  <c r="CD12" i="36"/>
  <c r="CE12" i="36"/>
  <c r="CF12" i="36"/>
  <c r="CG12" i="36"/>
  <c r="CH12" i="36"/>
  <c r="CI12" i="36"/>
  <c r="CJ12" i="36"/>
  <c r="CK12" i="36"/>
  <c r="CL12" i="36"/>
  <c r="CM12" i="36"/>
  <c r="CN12" i="36"/>
  <c r="CO12" i="36"/>
  <c r="CP12" i="36"/>
  <c r="CQ12" i="36"/>
  <c r="CR12" i="36"/>
  <c r="CS12" i="36"/>
  <c r="CT12" i="36"/>
  <c r="CU12" i="36"/>
  <c r="CV12" i="36"/>
  <c r="CW12" i="36"/>
  <c r="CX12" i="36"/>
  <c r="CY12" i="36"/>
  <c r="CZ12" i="36"/>
  <c r="DA12" i="36"/>
  <c r="DB12" i="36"/>
  <c r="DC12" i="36"/>
  <c r="DD12" i="36"/>
  <c r="DE12" i="36"/>
  <c r="DF12" i="36"/>
  <c r="DG12" i="36"/>
  <c r="DH12" i="36"/>
  <c r="DI12" i="36"/>
  <c r="DJ12" i="36"/>
  <c r="DK12" i="36"/>
  <c r="DL12" i="36"/>
  <c r="DM12" i="36"/>
  <c r="DN12" i="36"/>
  <c r="DO12" i="36"/>
  <c r="DP12" i="36"/>
  <c r="DQ12" i="36"/>
  <c r="DR12" i="36"/>
  <c r="DS12" i="36"/>
  <c r="DT12" i="36"/>
  <c r="DU12" i="36"/>
  <c r="DV12" i="36"/>
  <c r="DW12" i="36"/>
  <c r="DX12" i="36"/>
  <c r="DY12" i="36"/>
  <c r="DZ12" i="36"/>
  <c r="EA12" i="36"/>
  <c r="EB12" i="36"/>
  <c r="EC12" i="36"/>
  <c r="ED12" i="36"/>
  <c r="O13" i="36"/>
  <c r="P13" i="36"/>
  <c r="Q13" i="36"/>
  <c r="R13" i="36"/>
  <c r="S13" i="36"/>
  <c r="T13" i="36"/>
  <c r="U13" i="36"/>
  <c r="V13" i="36"/>
  <c r="W13" i="36"/>
  <c r="X13" i="36"/>
  <c r="Y13" i="36"/>
  <c r="Z13" i="36"/>
  <c r="AA13" i="36"/>
  <c r="AB13" i="36"/>
  <c r="AC13" i="36"/>
  <c r="AD13" i="36"/>
  <c r="AE13" i="36"/>
  <c r="AF13" i="36"/>
  <c r="AG13" i="36"/>
  <c r="AH13" i="36"/>
  <c r="AI13" i="36"/>
  <c r="AJ13" i="36"/>
  <c r="AK13" i="36"/>
  <c r="AL13" i="36"/>
  <c r="AM13" i="36"/>
  <c r="AN13" i="36"/>
  <c r="AO13" i="36"/>
  <c r="AP13" i="36"/>
  <c r="AQ13" i="36"/>
  <c r="AR13" i="36"/>
  <c r="AS13" i="36"/>
  <c r="AT13" i="36"/>
  <c r="AU13" i="36"/>
  <c r="AV13" i="36"/>
  <c r="AW13" i="36"/>
  <c r="AX13" i="36"/>
  <c r="AY13" i="36"/>
  <c r="AZ13" i="36"/>
  <c r="BA13" i="36"/>
  <c r="BB13" i="36"/>
  <c r="BC13" i="36"/>
  <c r="BD13" i="36"/>
  <c r="BE13" i="36"/>
  <c r="BF13" i="36"/>
  <c r="BG13" i="36"/>
  <c r="BH13" i="36"/>
  <c r="BI13" i="36"/>
  <c r="BJ13" i="36"/>
  <c r="BK13" i="36"/>
  <c r="BL13" i="36"/>
  <c r="BM13" i="36"/>
  <c r="BN13" i="36"/>
  <c r="BO13" i="36"/>
  <c r="BP13" i="36"/>
  <c r="BQ13" i="36"/>
  <c r="BR13" i="36"/>
  <c r="BS13" i="36"/>
  <c r="BT13" i="36"/>
  <c r="BU13" i="36"/>
  <c r="BV13" i="36"/>
  <c r="BW13" i="36"/>
  <c r="BX13" i="36"/>
  <c r="BY13" i="36"/>
  <c r="BZ13" i="36"/>
  <c r="CA13" i="36"/>
  <c r="CB13" i="36"/>
  <c r="CC13" i="36"/>
  <c r="CD13" i="36"/>
  <c r="CE13" i="36"/>
  <c r="CF13" i="36"/>
  <c r="CG13" i="36"/>
  <c r="CH13" i="36"/>
  <c r="CI13" i="36"/>
  <c r="CJ13" i="36"/>
  <c r="CK13" i="36"/>
  <c r="CL13" i="36"/>
  <c r="CM13" i="36"/>
  <c r="CN13" i="36"/>
  <c r="CO13" i="36"/>
  <c r="CP13" i="36"/>
  <c r="CQ13" i="36"/>
  <c r="CR13" i="36"/>
  <c r="CS13" i="36"/>
  <c r="CT13" i="36"/>
  <c r="CU13" i="36"/>
  <c r="CV13" i="36"/>
  <c r="CW13" i="36"/>
  <c r="CX13" i="36"/>
  <c r="CY13" i="36"/>
  <c r="CZ13" i="36"/>
  <c r="DA13" i="36"/>
  <c r="DB13" i="36"/>
  <c r="DC13" i="36"/>
  <c r="DD13" i="36"/>
  <c r="DE13" i="36"/>
  <c r="DF13" i="36"/>
  <c r="DG13" i="36"/>
  <c r="DH13" i="36"/>
  <c r="DI13" i="36"/>
  <c r="DJ13" i="36"/>
  <c r="DK13" i="36"/>
  <c r="DL13" i="36"/>
  <c r="DM13" i="36"/>
  <c r="DN13" i="36"/>
  <c r="DO13" i="36"/>
  <c r="DP13" i="36"/>
  <c r="DQ13" i="36"/>
  <c r="DR13" i="36"/>
  <c r="DS13" i="36"/>
  <c r="DT13" i="36"/>
  <c r="DU13" i="36"/>
  <c r="DV13" i="36"/>
  <c r="DW13" i="36"/>
  <c r="DX13" i="36"/>
  <c r="DY13" i="36"/>
  <c r="DZ13" i="36"/>
  <c r="EA13" i="36"/>
  <c r="EB13" i="36"/>
  <c r="EC13" i="36"/>
  <c r="ED13" i="36"/>
  <c r="O14" i="36"/>
  <c r="P14" i="36"/>
  <c r="Q14" i="36"/>
  <c r="R14" i="36"/>
  <c r="S14" i="36"/>
  <c r="T14" i="36"/>
  <c r="U14" i="36"/>
  <c r="V14" i="36"/>
  <c r="W14" i="36"/>
  <c r="X14" i="36"/>
  <c r="Y14" i="36"/>
  <c r="Z14" i="36"/>
  <c r="AA14" i="36"/>
  <c r="AB14" i="36"/>
  <c r="AC14" i="36"/>
  <c r="AD14" i="36"/>
  <c r="AE14" i="36"/>
  <c r="AF14" i="36"/>
  <c r="AG14" i="36"/>
  <c r="AH14" i="36"/>
  <c r="AI14" i="36"/>
  <c r="AJ14" i="36"/>
  <c r="AK14" i="36"/>
  <c r="AL14" i="36"/>
  <c r="AM14" i="36"/>
  <c r="AN14" i="36"/>
  <c r="AO14" i="36"/>
  <c r="AP14" i="36"/>
  <c r="AQ14" i="36"/>
  <c r="AR14" i="36"/>
  <c r="AS14" i="36"/>
  <c r="AT14" i="36"/>
  <c r="AU14" i="36"/>
  <c r="AV14" i="36"/>
  <c r="AW14" i="36"/>
  <c r="AX14" i="36"/>
  <c r="AY14" i="36"/>
  <c r="AZ14" i="36"/>
  <c r="BA14" i="36"/>
  <c r="BB14" i="36"/>
  <c r="BC14" i="36"/>
  <c r="BD14" i="36"/>
  <c r="BE14" i="36"/>
  <c r="BF14" i="36"/>
  <c r="BG14" i="36"/>
  <c r="BH14" i="36"/>
  <c r="BI14" i="36"/>
  <c r="BJ14" i="36"/>
  <c r="BK14" i="36"/>
  <c r="BL14" i="36"/>
  <c r="BM14" i="36"/>
  <c r="BN14" i="36"/>
  <c r="BO14" i="36"/>
  <c r="BP14" i="36"/>
  <c r="BQ14" i="36"/>
  <c r="BR14" i="36"/>
  <c r="BS14" i="36"/>
  <c r="BT14" i="36"/>
  <c r="BU14" i="36"/>
  <c r="BV14" i="36"/>
  <c r="BW14" i="36"/>
  <c r="BX14" i="36"/>
  <c r="BY14" i="36"/>
  <c r="BZ14" i="36"/>
  <c r="CA14" i="36"/>
  <c r="CB14" i="36"/>
  <c r="CC14" i="36"/>
  <c r="CD14" i="36"/>
  <c r="CE14" i="36"/>
  <c r="CF14" i="36"/>
  <c r="CG14" i="36"/>
  <c r="CH14" i="36"/>
  <c r="CI14" i="36"/>
  <c r="CJ14" i="36"/>
  <c r="CK14" i="36"/>
  <c r="CL14" i="36"/>
  <c r="CM14" i="36"/>
  <c r="CN14" i="36"/>
  <c r="CO14" i="36"/>
  <c r="CP14" i="36"/>
  <c r="CQ14" i="36"/>
  <c r="CR14" i="36"/>
  <c r="CS14" i="36"/>
  <c r="CT14" i="36"/>
  <c r="CU14" i="36"/>
  <c r="CV14" i="36"/>
  <c r="CW14" i="36"/>
  <c r="CX14" i="36"/>
  <c r="CY14" i="36"/>
  <c r="CZ14" i="36"/>
  <c r="DA14" i="36"/>
  <c r="DB14" i="36"/>
  <c r="DC14" i="36"/>
  <c r="DD14" i="36"/>
  <c r="DE14" i="36"/>
  <c r="DF14" i="36"/>
  <c r="DG14" i="36"/>
  <c r="DH14" i="36"/>
  <c r="DI14" i="36"/>
  <c r="DJ14" i="36"/>
  <c r="DK14" i="36"/>
  <c r="DL14" i="36"/>
  <c r="DM14" i="36"/>
  <c r="DN14" i="36"/>
  <c r="DO14" i="36"/>
  <c r="DP14" i="36"/>
  <c r="DQ14" i="36"/>
  <c r="DR14" i="36"/>
  <c r="DS14" i="36"/>
  <c r="DT14" i="36"/>
  <c r="DU14" i="36"/>
  <c r="DV14" i="36"/>
  <c r="DW14" i="36"/>
  <c r="DX14" i="36"/>
  <c r="DY14" i="36"/>
  <c r="DZ14" i="36"/>
  <c r="EA14" i="36"/>
  <c r="EB14" i="36"/>
  <c r="EC14" i="36"/>
  <c r="ED14" i="36"/>
  <c r="O15" i="36"/>
  <c r="P15" i="36"/>
  <c r="Q15" i="36"/>
  <c r="R15" i="36"/>
  <c r="S15" i="36"/>
  <c r="T15" i="36"/>
  <c r="U15" i="36"/>
  <c r="V15" i="36"/>
  <c r="W15" i="36"/>
  <c r="X15" i="36"/>
  <c r="Y15" i="36"/>
  <c r="Z15" i="36"/>
  <c r="AA15" i="36"/>
  <c r="AB15" i="36"/>
  <c r="AC15" i="36"/>
  <c r="AD15" i="36"/>
  <c r="AE15" i="36"/>
  <c r="AF15" i="36"/>
  <c r="AG15" i="36"/>
  <c r="AH15" i="36"/>
  <c r="AI15" i="36"/>
  <c r="AJ15" i="36"/>
  <c r="AK15" i="36"/>
  <c r="AL15" i="36"/>
  <c r="AM15" i="36"/>
  <c r="AN15" i="36"/>
  <c r="AO15" i="36"/>
  <c r="AP15" i="36"/>
  <c r="AQ15" i="36"/>
  <c r="AR15" i="36"/>
  <c r="AS15" i="36"/>
  <c r="AT15" i="36"/>
  <c r="AU15" i="36"/>
  <c r="AV15" i="36"/>
  <c r="AW15" i="36"/>
  <c r="AX15" i="36"/>
  <c r="AY15" i="36"/>
  <c r="AZ15" i="36"/>
  <c r="BA15" i="36"/>
  <c r="BB15" i="36"/>
  <c r="BC15" i="36"/>
  <c r="BD15" i="36"/>
  <c r="BE15" i="36"/>
  <c r="BF15" i="36"/>
  <c r="BG15" i="36"/>
  <c r="BH15" i="36"/>
  <c r="BI15" i="36"/>
  <c r="BJ15" i="36"/>
  <c r="BK15" i="36"/>
  <c r="BL15" i="36"/>
  <c r="BM15" i="36"/>
  <c r="BN15" i="36"/>
  <c r="BO15" i="36"/>
  <c r="BP15" i="36"/>
  <c r="BQ15" i="36"/>
  <c r="BR15" i="36"/>
  <c r="BS15" i="36"/>
  <c r="BT15" i="36"/>
  <c r="BU15" i="36"/>
  <c r="BV15" i="36"/>
  <c r="BW15" i="36"/>
  <c r="BX15" i="36"/>
  <c r="BY15" i="36"/>
  <c r="BZ15" i="36"/>
  <c r="CA15" i="36"/>
  <c r="CB15" i="36"/>
  <c r="CC15" i="36"/>
  <c r="CD15" i="36"/>
  <c r="CE15" i="36"/>
  <c r="CF15" i="36"/>
  <c r="CG15" i="36"/>
  <c r="CH15" i="36"/>
  <c r="CI15" i="36"/>
  <c r="CJ15" i="36"/>
  <c r="CK15" i="36"/>
  <c r="CL15" i="36"/>
  <c r="CM15" i="36"/>
  <c r="CN15" i="36"/>
  <c r="CO15" i="36"/>
  <c r="CP15" i="36"/>
  <c r="CQ15" i="36"/>
  <c r="CR15" i="36"/>
  <c r="CS15" i="36"/>
  <c r="CT15" i="36"/>
  <c r="CU15" i="36"/>
  <c r="CV15" i="36"/>
  <c r="CW15" i="36"/>
  <c r="CX15" i="36"/>
  <c r="CY15" i="36"/>
  <c r="CZ15" i="36"/>
  <c r="DA15" i="36"/>
  <c r="DB15" i="36"/>
  <c r="DC15" i="36"/>
  <c r="DD15" i="36"/>
  <c r="DE15" i="36"/>
  <c r="DF15" i="36"/>
  <c r="DG15" i="36"/>
  <c r="DH15" i="36"/>
  <c r="DI15" i="36"/>
  <c r="DJ15" i="36"/>
  <c r="DK15" i="36"/>
  <c r="DL15" i="36"/>
  <c r="DM15" i="36"/>
  <c r="DN15" i="36"/>
  <c r="DO15" i="36"/>
  <c r="DP15" i="36"/>
  <c r="DQ15" i="36"/>
  <c r="DR15" i="36"/>
  <c r="DS15" i="36"/>
  <c r="DT15" i="36"/>
  <c r="DU15" i="36"/>
  <c r="DV15" i="36"/>
  <c r="DW15" i="36"/>
  <c r="DX15" i="36"/>
  <c r="DY15" i="36"/>
  <c r="DZ15" i="36"/>
  <c r="EA15" i="36"/>
  <c r="EB15" i="36"/>
  <c r="EC15" i="36"/>
  <c r="ED15" i="36"/>
  <c r="O16" i="36"/>
  <c r="P16" i="36"/>
  <c r="Q16" i="36"/>
  <c r="R16" i="36"/>
  <c r="S16" i="36"/>
  <c r="T16" i="36"/>
  <c r="U16" i="36"/>
  <c r="V16" i="36"/>
  <c r="W16" i="36"/>
  <c r="X16" i="36"/>
  <c r="Y16" i="36"/>
  <c r="Z16" i="36"/>
  <c r="AA16" i="36"/>
  <c r="AB16" i="36"/>
  <c r="AC16" i="36"/>
  <c r="AD16" i="36"/>
  <c r="AE16" i="36"/>
  <c r="AF16" i="36"/>
  <c r="AG16" i="36"/>
  <c r="AH16" i="36"/>
  <c r="AI16" i="36"/>
  <c r="AJ16" i="36"/>
  <c r="AK16" i="36"/>
  <c r="AL16" i="36"/>
  <c r="AM16" i="36"/>
  <c r="AN16" i="36"/>
  <c r="AO16" i="36"/>
  <c r="AP16" i="36"/>
  <c r="AQ16" i="36"/>
  <c r="AR16" i="36"/>
  <c r="AS16" i="36"/>
  <c r="AT16" i="36"/>
  <c r="AU16" i="36"/>
  <c r="AV16" i="36"/>
  <c r="AW16" i="36"/>
  <c r="AX16" i="36"/>
  <c r="AY16" i="36"/>
  <c r="AZ16" i="36"/>
  <c r="BA16" i="36"/>
  <c r="BB16" i="36"/>
  <c r="BC16" i="36"/>
  <c r="BD16" i="36"/>
  <c r="BE16" i="36"/>
  <c r="BF16" i="36"/>
  <c r="BG16" i="36"/>
  <c r="BH16" i="36"/>
  <c r="BI16" i="36"/>
  <c r="BJ16" i="36"/>
  <c r="BK16" i="36"/>
  <c r="BL16" i="36"/>
  <c r="BM16" i="36"/>
  <c r="BN16" i="36"/>
  <c r="BO16" i="36"/>
  <c r="BP16" i="36"/>
  <c r="BQ16" i="36"/>
  <c r="BR16" i="36"/>
  <c r="BS16" i="36"/>
  <c r="BT16" i="36"/>
  <c r="BU16" i="36"/>
  <c r="BV16" i="36"/>
  <c r="BW16" i="36"/>
  <c r="BX16" i="36"/>
  <c r="BY16" i="36"/>
  <c r="BZ16" i="36"/>
  <c r="CA16" i="36"/>
  <c r="CB16" i="36"/>
  <c r="CC16" i="36"/>
  <c r="CD16" i="36"/>
  <c r="CE16" i="36"/>
  <c r="CF16" i="36"/>
  <c r="CG16" i="36"/>
  <c r="CH16" i="36"/>
  <c r="CI16" i="36"/>
  <c r="CJ16" i="36"/>
  <c r="CK16" i="36"/>
  <c r="CL16" i="36"/>
  <c r="CM16" i="36"/>
  <c r="CN16" i="36"/>
  <c r="CO16" i="36"/>
  <c r="CP16" i="36"/>
  <c r="CQ16" i="36"/>
  <c r="CR16" i="36"/>
  <c r="CS16" i="36"/>
  <c r="CT16" i="36"/>
  <c r="CU16" i="36"/>
  <c r="CV16" i="36"/>
  <c r="CW16" i="36"/>
  <c r="CX16" i="36"/>
  <c r="CY16" i="36"/>
  <c r="CZ16" i="36"/>
  <c r="DA16" i="36"/>
  <c r="DB16" i="36"/>
  <c r="DC16" i="36"/>
  <c r="DD16" i="36"/>
  <c r="DE16" i="36"/>
  <c r="DF16" i="36"/>
  <c r="DG16" i="36"/>
  <c r="DH16" i="36"/>
  <c r="DI16" i="36"/>
  <c r="DJ16" i="36"/>
  <c r="DK16" i="36"/>
  <c r="DL16" i="36"/>
  <c r="DM16" i="36"/>
  <c r="DN16" i="36"/>
  <c r="DO16" i="36"/>
  <c r="DP16" i="36"/>
  <c r="DQ16" i="36"/>
  <c r="DR16" i="36"/>
  <c r="DS16" i="36"/>
  <c r="DT16" i="36"/>
  <c r="DU16" i="36"/>
  <c r="DV16" i="36"/>
  <c r="DW16" i="36"/>
  <c r="DX16" i="36"/>
  <c r="DY16" i="36"/>
  <c r="DZ16" i="36"/>
  <c r="EA16" i="36"/>
  <c r="EB16" i="36"/>
  <c r="EC16" i="36"/>
  <c r="ED16" i="36"/>
  <c r="O17" i="36"/>
  <c r="P17" i="36"/>
  <c r="Q17" i="36"/>
  <c r="R17" i="36"/>
  <c r="S17" i="36"/>
  <c r="T17" i="36"/>
  <c r="U17" i="36"/>
  <c r="V17" i="36"/>
  <c r="W17" i="36"/>
  <c r="X17" i="36"/>
  <c r="Y17" i="36"/>
  <c r="Z17" i="36"/>
  <c r="AA17" i="36"/>
  <c r="AB17" i="36"/>
  <c r="AC17" i="36"/>
  <c r="AD17" i="36"/>
  <c r="AE17" i="36"/>
  <c r="AF17" i="36"/>
  <c r="AG17" i="36"/>
  <c r="AH17" i="36"/>
  <c r="AI17" i="36"/>
  <c r="AJ17" i="36"/>
  <c r="AK17" i="36"/>
  <c r="AL17" i="36"/>
  <c r="AM17" i="36"/>
  <c r="AN17" i="36"/>
  <c r="AO17" i="36"/>
  <c r="AP17" i="36"/>
  <c r="AQ17" i="36"/>
  <c r="AR17" i="36"/>
  <c r="AS17" i="36"/>
  <c r="AT17" i="36"/>
  <c r="AU17" i="36"/>
  <c r="AV17" i="36"/>
  <c r="AW17" i="36"/>
  <c r="AX17" i="36"/>
  <c r="AY17" i="36"/>
  <c r="AZ17" i="36"/>
  <c r="BA17" i="36"/>
  <c r="BB17" i="36"/>
  <c r="BC17" i="36"/>
  <c r="BD17" i="36"/>
  <c r="BE17" i="36"/>
  <c r="BF17" i="36"/>
  <c r="BG17" i="36"/>
  <c r="BH17" i="36"/>
  <c r="BI17" i="36"/>
  <c r="BJ17" i="36"/>
  <c r="BK17" i="36"/>
  <c r="BL17" i="36"/>
  <c r="BM17" i="36"/>
  <c r="BN17" i="36"/>
  <c r="BO17" i="36"/>
  <c r="BP17" i="36"/>
  <c r="BQ17" i="36"/>
  <c r="BR17" i="36"/>
  <c r="BS17" i="36"/>
  <c r="BT17" i="36"/>
  <c r="BU17" i="36"/>
  <c r="BV17" i="36"/>
  <c r="BW17" i="36"/>
  <c r="BX17" i="36"/>
  <c r="BY17" i="36"/>
  <c r="BZ17" i="36"/>
  <c r="CA17" i="36"/>
  <c r="CB17" i="36"/>
  <c r="CC17" i="36"/>
  <c r="CD17" i="36"/>
  <c r="CE17" i="36"/>
  <c r="CF17" i="36"/>
  <c r="CG17" i="36"/>
  <c r="CH17" i="36"/>
  <c r="CI17" i="36"/>
  <c r="CJ17" i="36"/>
  <c r="CK17" i="36"/>
  <c r="CL17" i="36"/>
  <c r="CM17" i="36"/>
  <c r="CN17" i="36"/>
  <c r="CO17" i="36"/>
  <c r="CP17" i="36"/>
  <c r="CQ17" i="36"/>
  <c r="CR17" i="36"/>
  <c r="CS17" i="36"/>
  <c r="CT17" i="36"/>
  <c r="CU17" i="36"/>
  <c r="CV17" i="36"/>
  <c r="CW17" i="36"/>
  <c r="CX17" i="36"/>
  <c r="CY17" i="36"/>
  <c r="CZ17" i="36"/>
  <c r="DA17" i="36"/>
  <c r="DB17" i="36"/>
  <c r="DC17" i="36"/>
  <c r="DD17" i="36"/>
  <c r="DE17" i="36"/>
  <c r="DF17" i="36"/>
  <c r="DG17" i="36"/>
  <c r="DH17" i="36"/>
  <c r="DI17" i="36"/>
  <c r="DJ17" i="36"/>
  <c r="DK17" i="36"/>
  <c r="DL17" i="36"/>
  <c r="DM17" i="36"/>
  <c r="DN17" i="36"/>
  <c r="DO17" i="36"/>
  <c r="DP17" i="36"/>
  <c r="DQ17" i="36"/>
  <c r="DR17" i="36"/>
  <c r="DS17" i="36"/>
  <c r="DT17" i="36"/>
  <c r="DU17" i="36"/>
  <c r="DV17" i="36"/>
  <c r="DW17" i="36"/>
  <c r="DX17" i="36"/>
  <c r="DY17" i="36"/>
  <c r="DZ17" i="36"/>
  <c r="EA17" i="36"/>
  <c r="EB17" i="36"/>
  <c r="EC17" i="36"/>
  <c r="ED17" i="36"/>
  <c r="O18" i="36"/>
  <c r="P18" i="36"/>
  <c r="Q18" i="36"/>
  <c r="R18" i="36"/>
  <c r="S18" i="36"/>
  <c r="T18" i="36"/>
  <c r="U18" i="36"/>
  <c r="V18" i="36"/>
  <c r="W18" i="36"/>
  <c r="X18" i="36"/>
  <c r="Y18" i="36"/>
  <c r="Z18" i="36"/>
  <c r="AA18" i="36"/>
  <c r="AB18" i="36"/>
  <c r="AC18" i="36"/>
  <c r="AD18" i="36"/>
  <c r="AE18" i="36"/>
  <c r="AF18" i="36"/>
  <c r="AG18" i="36"/>
  <c r="AH18" i="36"/>
  <c r="AI18" i="36"/>
  <c r="AJ18" i="36"/>
  <c r="AK18" i="36"/>
  <c r="AL18" i="36"/>
  <c r="AM18" i="36"/>
  <c r="AN18" i="36"/>
  <c r="AO18" i="36"/>
  <c r="AP18" i="36"/>
  <c r="AQ18" i="36"/>
  <c r="AR18" i="36"/>
  <c r="AS18" i="36"/>
  <c r="AT18" i="36"/>
  <c r="AU18" i="36"/>
  <c r="AV18" i="36"/>
  <c r="AW18" i="36"/>
  <c r="AX18" i="36"/>
  <c r="AY18" i="36"/>
  <c r="AZ18" i="36"/>
  <c r="BA18" i="36"/>
  <c r="BB18" i="36"/>
  <c r="BC18" i="36"/>
  <c r="BD18" i="36"/>
  <c r="BE18" i="36"/>
  <c r="BF18" i="36"/>
  <c r="BG18" i="36"/>
  <c r="BH18" i="36"/>
  <c r="BI18" i="36"/>
  <c r="BJ18" i="36"/>
  <c r="BK18" i="36"/>
  <c r="BL18" i="36"/>
  <c r="BM18" i="36"/>
  <c r="BN18" i="36"/>
  <c r="BO18" i="36"/>
  <c r="BP18" i="36"/>
  <c r="BQ18" i="36"/>
  <c r="BR18" i="36"/>
  <c r="BS18" i="36"/>
  <c r="BT18" i="36"/>
  <c r="BU18" i="36"/>
  <c r="BV18" i="36"/>
  <c r="BW18" i="36"/>
  <c r="BX18" i="36"/>
  <c r="BY18" i="36"/>
  <c r="BZ18" i="36"/>
  <c r="CA18" i="36"/>
  <c r="CB18" i="36"/>
  <c r="CC18" i="36"/>
  <c r="CD18" i="36"/>
  <c r="CE18" i="36"/>
  <c r="CF18" i="36"/>
  <c r="CG18" i="36"/>
  <c r="CH18" i="36"/>
  <c r="CI18" i="36"/>
  <c r="CJ18" i="36"/>
  <c r="CK18" i="36"/>
  <c r="CL18" i="36"/>
  <c r="CM18" i="36"/>
  <c r="CN18" i="36"/>
  <c r="CO18" i="36"/>
  <c r="CP18" i="36"/>
  <c r="CQ18" i="36"/>
  <c r="CR18" i="36"/>
  <c r="CS18" i="36"/>
  <c r="CT18" i="36"/>
  <c r="CU18" i="36"/>
  <c r="CV18" i="36"/>
  <c r="CW18" i="36"/>
  <c r="CX18" i="36"/>
  <c r="CY18" i="36"/>
  <c r="CZ18" i="36"/>
  <c r="DA18" i="36"/>
  <c r="DB18" i="36"/>
  <c r="DC18" i="36"/>
  <c r="DD18" i="36"/>
  <c r="DE18" i="36"/>
  <c r="DF18" i="36"/>
  <c r="DG18" i="36"/>
  <c r="DH18" i="36"/>
  <c r="DI18" i="36"/>
  <c r="DJ18" i="36"/>
  <c r="DK18" i="36"/>
  <c r="DL18" i="36"/>
  <c r="DM18" i="36"/>
  <c r="DN18" i="36"/>
  <c r="DO18" i="36"/>
  <c r="DP18" i="36"/>
  <c r="DQ18" i="36"/>
  <c r="DR18" i="36"/>
  <c r="DS18" i="36"/>
  <c r="DT18" i="36"/>
  <c r="DU18" i="36"/>
  <c r="DV18" i="36"/>
  <c r="DW18" i="36"/>
  <c r="DX18" i="36"/>
  <c r="DY18" i="36"/>
  <c r="DZ18" i="36"/>
  <c r="EA18" i="36"/>
  <c r="EB18" i="36"/>
  <c r="EC18" i="36"/>
  <c r="ED18" i="36"/>
  <c r="O19" i="36"/>
  <c r="P19" i="36"/>
  <c r="Q19" i="36"/>
  <c r="R19" i="36"/>
  <c r="S19" i="36"/>
  <c r="T19" i="36"/>
  <c r="U19" i="36"/>
  <c r="V19" i="36"/>
  <c r="W19" i="36"/>
  <c r="X19" i="36"/>
  <c r="Y19" i="36"/>
  <c r="Z19" i="36"/>
  <c r="AA19" i="36"/>
  <c r="AB19" i="36"/>
  <c r="AC19" i="36"/>
  <c r="AD19" i="36"/>
  <c r="AE19" i="36"/>
  <c r="AF19" i="36"/>
  <c r="AG19" i="36"/>
  <c r="AH19" i="36"/>
  <c r="AI19" i="36"/>
  <c r="AJ19" i="36"/>
  <c r="AK19" i="36"/>
  <c r="AL19" i="36"/>
  <c r="AM19" i="36"/>
  <c r="AN19" i="36"/>
  <c r="AO19" i="36"/>
  <c r="AP19" i="36"/>
  <c r="AQ19" i="36"/>
  <c r="AR19" i="36"/>
  <c r="AS19" i="36"/>
  <c r="AT19" i="36"/>
  <c r="AU19" i="36"/>
  <c r="AV19" i="36"/>
  <c r="AW19" i="36"/>
  <c r="AX19" i="36"/>
  <c r="AY19" i="36"/>
  <c r="AZ19" i="36"/>
  <c r="BA19" i="36"/>
  <c r="BB19" i="36"/>
  <c r="BC19" i="36"/>
  <c r="BD19" i="36"/>
  <c r="BE19" i="36"/>
  <c r="BF19" i="36"/>
  <c r="BG19" i="36"/>
  <c r="BH19" i="36"/>
  <c r="BI19" i="36"/>
  <c r="BJ19" i="36"/>
  <c r="BK19" i="36"/>
  <c r="BL19" i="36"/>
  <c r="BM19" i="36"/>
  <c r="BN19" i="36"/>
  <c r="BO19" i="36"/>
  <c r="BP19" i="36"/>
  <c r="BQ19" i="36"/>
  <c r="BR19" i="36"/>
  <c r="BS19" i="36"/>
  <c r="BT19" i="36"/>
  <c r="BU19" i="36"/>
  <c r="BV19" i="36"/>
  <c r="BW19" i="36"/>
  <c r="BX19" i="36"/>
  <c r="BY19" i="36"/>
  <c r="BZ19" i="36"/>
  <c r="CA19" i="36"/>
  <c r="CB19" i="36"/>
  <c r="CC19" i="36"/>
  <c r="CD19" i="36"/>
  <c r="CE19" i="36"/>
  <c r="CF19" i="36"/>
  <c r="CG19" i="36"/>
  <c r="CH19" i="36"/>
  <c r="CI19" i="36"/>
  <c r="CJ19" i="36"/>
  <c r="CK19" i="36"/>
  <c r="CL19" i="36"/>
  <c r="CM19" i="36"/>
  <c r="CN19" i="36"/>
  <c r="CO19" i="36"/>
  <c r="CP19" i="36"/>
  <c r="CQ19" i="36"/>
  <c r="CR19" i="36"/>
  <c r="CS19" i="36"/>
  <c r="CT19" i="36"/>
  <c r="CU19" i="36"/>
  <c r="CV19" i="36"/>
  <c r="CW19" i="36"/>
  <c r="CX19" i="36"/>
  <c r="CY19" i="36"/>
  <c r="CZ19" i="36"/>
  <c r="DA19" i="36"/>
  <c r="DB19" i="36"/>
  <c r="DC19" i="36"/>
  <c r="DD19" i="36"/>
  <c r="DE19" i="36"/>
  <c r="DF19" i="36"/>
  <c r="DG19" i="36"/>
  <c r="DH19" i="36"/>
  <c r="DI19" i="36"/>
  <c r="DJ19" i="36"/>
  <c r="DK19" i="36"/>
  <c r="DL19" i="36"/>
  <c r="DM19" i="36"/>
  <c r="DN19" i="36"/>
  <c r="DO19" i="36"/>
  <c r="DP19" i="36"/>
  <c r="DQ19" i="36"/>
  <c r="DR19" i="36"/>
  <c r="DS19" i="36"/>
  <c r="DT19" i="36"/>
  <c r="DU19" i="36"/>
  <c r="DV19" i="36"/>
  <c r="DW19" i="36"/>
  <c r="DX19" i="36"/>
  <c r="DY19" i="36"/>
  <c r="DZ19" i="36"/>
  <c r="EA19" i="36"/>
  <c r="EB19" i="36"/>
  <c r="EC19" i="36"/>
  <c r="ED19" i="36"/>
  <c r="O20" i="36"/>
  <c r="P20" i="36"/>
  <c r="Q20" i="36"/>
  <c r="R20" i="36"/>
  <c r="S20" i="36"/>
  <c r="T20" i="36"/>
  <c r="U20" i="36"/>
  <c r="V20" i="36"/>
  <c r="W20" i="36"/>
  <c r="X20" i="36"/>
  <c r="Y20" i="36"/>
  <c r="Z20" i="36"/>
  <c r="AA20" i="36"/>
  <c r="AB20" i="36"/>
  <c r="AC20" i="36"/>
  <c r="AD20" i="36"/>
  <c r="AE20" i="36"/>
  <c r="AF20" i="36"/>
  <c r="AG20" i="36"/>
  <c r="AH20" i="36"/>
  <c r="AI20" i="36"/>
  <c r="AJ20" i="36"/>
  <c r="AK20" i="36"/>
  <c r="AL20" i="36"/>
  <c r="AM20" i="36"/>
  <c r="AN20" i="36"/>
  <c r="AO20" i="36"/>
  <c r="AP20" i="36"/>
  <c r="AQ20" i="36"/>
  <c r="AR20" i="36"/>
  <c r="AS20" i="36"/>
  <c r="AT20" i="36"/>
  <c r="AU20" i="36"/>
  <c r="AV20" i="36"/>
  <c r="AW20" i="36"/>
  <c r="AX20" i="36"/>
  <c r="AY20" i="36"/>
  <c r="AZ20" i="36"/>
  <c r="BA20" i="36"/>
  <c r="BB20" i="36"/>
  <c r="BC20" i="36"/>
  <c r="BD20" i="36"/>
  <c r="BE20" i="36"/>
  <c r="BF20" i="36"/>
  <c r="BG20" i="36"/>
  <c r="BH20" i="36"/>
  <c r="BI20" i="36"/>
  <c r="BJ20" i="36"/>
  <c r="BK20" i="36"/>
  <c r="BL20" i="36"/>
  <c r="BM20" i="36"/>
  <c r="BN20" i="36"/>
  <c r="BO20" i="36"/>
  <c r="BP20" i="36"/>
  <c r="BQ20" i="36"/>
  <c r="BR20" i="36"/>
  <c r="BS20" i="36"/>
  <c r="BT20" i="36"/>
  <c r="BU20" i="36"/>
  <c r="BV20" i="36"/>
  <c r="BW20" i="36"/>
  <c r="BX20" i="36"/>
  <c r="BY20" i="36"/>
  <c r="BZ20" i="36"/>
  <c r="CA20" i="36"/>
  <c r="CB20" i="36"/>
  <c r="CC20" i="36"/>
  <c r="CD20" i="36"/>
  <c r="CE20" i="36"/>
  <c r="CF20" i="36"/>
  <c r="CG20" i="36"/>
  <c r="CH20" i="36"/>
  <c r="CI20" i="36"/>
  <c r="CJ20" i="36"/>
  <c r="CK20" i="36"/>
  <c r="CL20" i="36"/>
  <c r="CM20" i="36"/>
  <c r="CN20" i="36"/>
  <c r="CO20" i="36"/>
  <c r="CP20" i="36"/>
  <c r="CQ20" i="36"/>
  <c r="CR20" i="36"/>
  <c r="CS20" i="36"/>
  <c r="CT20" i="36"/>
  <c r="CU20" i="36"/>
  <c r="CV20" i="36"/>
  <c r="CW20" i="36"/>
  <c r="CX20" i="36"/>
  <c r="CY20" i="36"/>
  <c r="CZ20" i="36"/>
  <c r="DA20" i="36"/>
  <c r="DB20" i="36"/>
  <c r="DC20" i="36"/>
  <c r="DD20" i="36"/>
  <c r="DE20" i="36"/>
  <c r="DF20" i="36"/>
  <c r="DG20" i="36"/>
  <c r="DH20" i="36"/>
  <c r="DI20" i="36"/>
  <c r="DJ20" i="36"/>
  <c r="DK20" i="36"/>
  <c r="DL20" i="36"/>
  <c r="DM20" i="36"/>
  <c r="DN20" i="36"/>
  <c r="DO20" i="36"/>
  <c r="DP20" i="36"/>
  <c r="DQ20" i="36"/>
  <c r="DR20" i="36"/>
  <c r="DS20" i="36"/>
  <c r="DT20" i="36"/>
  <c r="DU20" i="36"/>
  <c r="DV20" i="36"/>
  <c r="DW20" i="36"/>
  <c r="DX20" i="36"/>
  <c r="DY20" i="36"/>
  <c r="DZ20" i="36"/>
  <c r="EA20" i="36"/>
  <c r="EB20" i="36"/>
  <c r="EC20" i="36"/>
  <c r="ED20" i="36"/>
  <c r="O21" i="36"/>
  <c r="P21" i="36"/>
  <c r="Q21" i="36"/>
  <c r="R21" i="36"/>
  <c r="S21" i="36"/>
  <c r="T21" i="36"/>
  <c r="U21" i="36"/>
  <c r="V21" i="36"/>
  <c r="W21" i="36"/>
  <c r="X21" i="36"/>
  <c r="Y21" i="36"/>
  <c r="Z21" i="36"/>
  <c r="AA21" i="36"/>
  <c r="AB21" i="36"/>
  <c r="AC21" i="36"/>
  <c r="AD21" i="36"/>
  <c r="AE21" i="36"/>
  <c r="AF21" i="36"/>
  <c r="AG21" i="36"/>
  <c r="AH21" i="36"/>
  <c r="AI21" i="36"/>
  <c r="AJ21" i="36"/>
  <c r="AK21" i="36"/>
  <c r="AL21" i="36"/>
  <c r="AM21" i="36"/>
  <c r="AN21" i="36"/>
  <c r="AO21" i="36"/>
  <c r="AP21" i="36"/>
  <c r="AQ21" i="36"/>
  <c r="AR21" i="36"/>
  <c r="AS21" i="36"/>
  <c r="AT21" i="36"/>
  <c r="AU21" i="36"/>
  <c r="AV21" i="36"/>
  <c r="AW21" i="36"/>
  <c r="AX21" i="36"/>
  <c r="AY21" i="36"/>
  <c r="AZ21" i="36"/>
  <c r="BA21" i="36"/>
  <c r="BB21" i="36"/>
  <c r="BC21" i="36"/>
  <c r="BD21" i="36"/>
  <c r="BE21" i="36"/>
  <c r="BF21" i="36"/>
  <c r="BG21" i="36"/>
  <c r="BH21" i="36"/>
  <c r="BI21" i="36"/>
  <c r="BJ21" i="36"/>
  <c r="BK21" i="36"/>
  <c r="BL21" i="36"/>
  <c r="BM21" i="36"/>
  <c r="BN21" i="36"/>
  <c r="BO21" i="36"/>
  <c r="BP21" i="36"/>
  <c r="BQ21" i="36"/>
  <c r="BR21" i="36"/>
  <c r="BS21" i="36"/>
  <c r="BT21" i="36"/>
  <c r="BU21" i="36"/>
  <c r="BV21" i="36"/>
  <c r="BW21" i="36"/>
  <c r="BX21" i="36"/>
  <c r="BY21" i="36"/>
  <c r="BZ21" i="36"/>
  <c r="CA21" i="36"/>
  <c r="CB21" i="36"/>
  <c r="CC21" i="36"/>
  <c r="CD21" i="36"/>
  <c r="CE21" i="36"/>
  <c r="CF21" i="36"/>
  <c r="CG21" i="36"/>
  <c r="CH21" i="36"/>
  <c r="CI21" i="36"/>
  <c r="CJ21" i="36"/>
  <c r="CK21" i="36"/>
  <c r="CL21" i="36"/>
  <c r="CM21" i="36"/>
  <c r="CN21" i="36"/>
  <c r="CO21" i="36"/>
  <c r="CP21" i="36"/>
  <c r="CQ21" i="36"/>
  <c r="CR21" i="36"/>
  <c r="CS21" i="36"/>
  <c r="CT21" i="36"/>
  <c r="CU21" i="36"/>
  <c r="CV21" i="36"/>
  <c r="CW21" i="36"/>
  <c r="CX21" i="36"/>
  <c r="CY21" i="36"/>
  <c r="CZ21" i="36"/>
  <c r="DA21" i="36"/>
  <c r="DB21" i="36"/>
  <c r="DC21" i="36"/>
  <c r="DD21" i="36"/>
  <c r="DE21" i="36"/>
  <c r="DF21" i="36"/>
  <c r="DG21" i="36"/>
  <c r="DH21" i="36"/>
  <c r="DI21" i="36"/>
  <c r="DJ21" i="36"/>
  <c r="DK21" i="36"/>
  <c r="DL21" i="36"/>
  <c r="DM21" i="36"/>
  <c r="DN21" i="36"/>
  <c r="DO21" i="36"/>
  <c r="DP21" i="36"/>
  <c r="DQ21" i="36"/>
  <c r="DR21" i="36"/>
  <c r="DS21" i="36"/>
  <c r="DT21" i="36"/>
  <c r="DU21" i="36"/>
  <c r="DV21" i="36"/>
  <c r="DW21" i="36"/>
  <c r="DX21" i="36"/>
  <c r="DY21" i="36"/>
  <c r="DZ21" i="36"/>
  <c r="EA21" i="36"/>
  <c r="EB21" i="36"/>
  <c r="EC21" i="36"/>
  <c r="ED21" i="36"/>
  <c r="O22" i="36"/>
  <c r="P22" i="36"/>
  <c r="Q22" i="36"/>
  <c r="R22" i="36"/>
  <c r="S22" i="36"/>
  <c r="T22" i="36"/>
  <c r="U22" i="36"/>
  <c r="V22" i="36"/>
  <c r="W22" i="36"/>
  <c r="X22" i="36"/>
  <c r="Y22" i="36"/>
  <c r="Z22" i="36"/>
  <c r="AA22" i="36"/>
  <c r="AB22" i="36"/>
  <c r="AC22" i="36"/>
  <c r="AD22" i="36"/>
  <c r="AE22" i="36"/>
  <c r="AF22" i="36"/>
  <c r="AG22" i="36"/>
  <c r="AH22" i="36"/>
  <c r="AI22" i="36"/>
  <c r="AJ22" i="36"/>
  <c r="AK22" i="36"/>
  <c r="AL22" i="36"/>
  <c r="AM22" i="36"/>
  <c r="AN22" i="36"/>
  <c r="AO22" i="36"/>
  <c r="AP22" i="36"/>
  <c r="AQ22" i="36"/>
  <c r="AR22" i="36"/>
  <c r="AS22" i="36"/>
  <c r="AT22" i="36"/>
  <c r="AU22" i="36"/>
  <c r="AV22" i="36"/>
  <c r="AW22" i="36"/>
  <c r="AX22" i="36"/>
  <c r="AY22" i="36"/>
  <c r="AZ22" i="36"/>
  <c r="BA22" i="36"/>
  <c r="BB22" i="36"/>
  <c r="BC22" i="36"/>
  <c r="BD22" i="36"/>
  <c r="BE22" i="36"/>
  <c r="BF22" i="36"/>
  <c r="BG22" i="36"/>
  <c r="BH22" i="36"/>
  <c r="BI22" i="36"/>
  <c r="BJ22" i="36"/>
  <c r="BK22" i="36"/>
  <c r="BL22" i="36"/>
  <c r="BM22" i="36"/>
  <c r="BN22" i="36"/>
  <c r="BO22" i="36"/>
  <c r="BP22" i="36"/>
  <c r="BQ22" i="36"/>
  <c r="BR22" i="36"/>
  <c r="BS22" i="36"/>
  <c r="BT22" i="36"/>
  <c r="BU22" i="36"/>
  <c r="BV22" i="36"/>
  <c r="BW22" i="36"/>
  <c r="BX22" i="36"/>
  <c r="BY22" i="36"/>
  <c r="BZ22" i="36"/>
  <c r="CA22" i="36"/>
  <c r="CB22" i="36"/>
  <c r="CC22" i="36"/>
  <c r="CD22" i="36"/>
  <c r="CE22" i="36"/>
  <c r="CF22" i="36"/>
  <c r="CG22" i="36"/>
  <c r="CH22" i="36"/>
  <c r="CI22" i="36"/>
  <c r="CJ22" i="36"/>
  <c r="CK22" i="36"/>
  <c r="CL22" i="36"/>
  <c r="CM22" i="36"/>
  <c r="CN22" i="36"/>
  <c r="CO22" i="36"/>
  <c r="CP22" i="36"/>
  <c r="CQ22" i="36"/>
  <c r="CR22" i="36"/>
  <c r="CS22" i="36"/>
  <c r="CT22" i="36"/>
  <c r="CU22" i="36"/>
  <c r="CV22" i="36"/>
  <c r="CW22" i="36"/>
  <c r="CX22" i="36"/>
  <c r="CY22" i="36"/>
  <c r="CZ22" i="36"/>
  <c r="DA22" i="36"/>
  <c r="DB22" i="36"/>
  <c r="DC22" i="36"/>
  <c r="DD22" i="36"/>
  <c r="DE22" i="36"/>
  <c r="DF22" i="36"/>
  <c r="DG22" i="36"/>
  <c r="DH22" i="36"/>
  <c r="DI22" i="36"/>
  <c r="DJ22" i="36"/>
  <c r="DK22" i="36"/>
  <c r="DL22" i="36"/>
  <c r="DM22" i="36"/>
  <c r="DN22" i="36"/>
  <c r="DO22" i="36"/>
  <c r="DP22" i="36"/>
  <c r="DQ22" i="36"/>
  <c r="DR22" i="36"/>
  <c r="DS22" i="36"/>
  <c r="DT22" i="36"/>
  <c r="DU22" i="36"/>
  <c r="DV22" i="36"/>
  <c r="DW22" i="36"/>
  <c r="DX22" i="36"/>
  <c r="DY22" i="36"/>
  <c r="DZ22" i="36"/>
  <c r="EA22" i="36"/>
  <c r="EB22" i="36"/>
  <c r="EC22" i="36"/>
  <c r="ED22" i="36"/>
  <c r="O23" i="36"/>
  <c r="P23" i="36"/>
  <c r="Q23" i="36"/>
  <c r="R23" i="36"/>
  <c r="S23" i="36"/>
  <c r="T23" i="36"/>
  <c r="U23" i="36"/>
  <c r="V23" i="36"/>
  <c r="W23" i="36"/>
  <c r="X23" i="36"/>
  <c r="Y23" i="36"/>
  <c r="Z23" i="36"/>
  <c r="AA23" i="36"/>
  <c r="AB23" i="36"/>
  <c r="AC23" i="36"/>
  <c r="AD23" i="36"/>
  <c r="AE23" i="36"/>
  <c r="AF23" i="36"/>
  <c r="AG23" i="36"/>
  <c r="AH23" i="36"/>
  <c r="AI23" i="36"/>
  <c r="AJ23" i="36"/>
  <c r="AK23" i="36"/>
  <c r="AL23" i="36"/>
  <c r="AM23" i="36"/>
  <c r="AN23" i="36"/>
  <c r="AO23" i="36"/>
  <c r="AP23" i="36"/>
  <c r="AQ23" i="36"/>
  <c r="AR23" i="36"/>
  <c r="AS23" i="36"/>
  <c r="AT23" i="36"/>
  <c r="AU23" i="36"/>
  <c r="AV23" i="36"/>
  <c r="AW23" i="36"/>
  <c r="AX23" i="36"/>
  <c r="AY23" i="36"/>
  <c r="AZ23" i="36"/>
  <c r="BA23" i="36"/>
  <c r="BB23" i="36"/>
  <c r="BC23" i="36"/>
  <c r="BD23" i="36"/>
  <c r="BE23" i="36"/>
  <c r="BF23" i="36"/>
  <c r="BG23" i="36"/>
  <c r="BH23" i="36"/>
  <c r="BI23" i="36"/>
  <c r="BJ23" i="36"/>
  <c r="BK23" i="36"/>
  <c r="BL23" i="36"/>
  <c r="BM23" i="36"/>
  <c r="BN23" i="36"/>
  <c r="BO23" i="36"/>
  <c r="BP23" i="36"/>
  <c r="BQ23" i="36"/>
  <c r="BR23" i="36"/>
  <c r="BS23" i="36"/>
  <c r="BT23" i="36"/>
  <c r="BU23" i="36"/>
  <c r="BV23" i="36"/>
  <c r="BW23" i="36"/>
  <c r="BX23" i="36"/>
  <c r="BY23" i="36"/>
  <c r="BZ23" i="36"/>
  <c r="CA23" i="36"/>
  <c r="CB23" i="36"/>
  <c r="CC23" i="36"/>
  <c r="CD23" i="36"/>
  <c r="CE23" i="36"/>
  <c r="CF23" i="36"/>
  <c r="CG23" i="36"/>
  <c r="CH23" i="36"/>
  <c r="CI23" i="36"/>
  <c r="CJ23" i="36"/>
  <c r="CK23" i="36"/>
  <c r="CL23" i="36"/>
  <c r="CM23" i="36"/>
  <c r="CN23" i="36"/>
  <c r="CO23" i="36"/>
  <c r="CP23" i="36"/>
  <c r="CQ23" i="36"/>
  <c r="CR23" i="36"/>
  <c r="CS23" i="36"/>
  <c r="CT23" i="36"/>
  <c r="CU23" i="36"/>
  <c r="CV23" i="36"/>
  <c r="CW23" i="36"/>
  <c r="CX23" i="36"/>
  <c r="CY23" i="36"/>
  <c r="CZ23" i="36"/>
  <c r="DA23" i="36"/>
  <c r="DB23" i="36"/>
  <c r="DC23" i="36"/>
  <c r="DD23" i="36"/>
  <c r="DE23" i="36"/>
  <c r="DF23" i="36"/>
  <c r="DG23" i="36"/>
  <c r="DH23" i="36"/>
  <c r="DI23" i="36"/>
  <c r="DJ23" i="36"/>
  <c r="DK23" i="36"/>
  <c r="DL23" i="36"/>
  <c r="DM23" i="36"/>
  <c r="DN23" i="36"/>
  <c r="DO23" i="36"/>
  <c r="DP23" i="36"/>
  <c r="DQ23" i="36"/>
  <c r="DR23" i="36"/>
  <c r="DS23" i="36"/>
  <c r="DT23" i="36"/>
  <c r="DU23" i="36"/>
  <c r="DV23" i="36"/>
  <c r="DW23" i="36"/>
  <c r="DX23" i="36"/>
  <c r="DY23" i="36"/>
  <c r="DZ23" i="36"/>
  <c r="EA23" i="36"/>
  <c r="EB23" i="36"/>
  <c r="EC23" i="36"/>
  <c r="ED23" i="36"/>
  <c r="O24" i="36"/>
  <c r="P24" i="36"/>
  <c r="Q24" i="36"/>
  <c r="R24" i="36"/>
  <c r="S24" i="36"/>
  <c r="T24" i="36"/>
  <c r="U24" i="36"/>
  <c r="V24" i="36"/>
  <c r="W24" i="36"/>
  <c r="X24" i="36"/>
  <c r="Y24" i="36"/>
  <c r="Z24" i="36"/>
  <c r="AA24" i="36"/>
  <c r="AB24" i="36"/>
  <c r="AC24" i="36"/>
  <c r="AD24" i="36"/>
  <c r="AE24" i="36"/>
  <c r="AF24" i="36"/>
  <c r="AG24" i="36"/>
  <c r="AH24" i="36"/>
  <c r="AI24" i="36"/>
  <c r="AJ24" i="36"/>
  <c r="AK24" i="36"/>
  <c r="AL24" i="36"/>
  <c r="AM24" i="36"/>
  <c r="AN24" i="36"/>
  <c r="AO24" i="36"/>
  <c r="AP24" i="36"/>
  <c r="AQ24" i="36"/>
  <c r="AR24" i="36"/>
  <c r="AS24" i="36"/>
  <c r="AT24" i="36"/>
  <c r="AU24" i="36"/>
  <c r="AV24" i="36"/>
  <c r="AW24" i="36"/>
  <c r="AX24" i="36"/>
  <c r="AY24" i="36"/>
  <c r="AZ24" i="36"/>
  <c r="BA24" i="36"/>
  <c r="BB24" i="36"/>
  <c r="BC24" i="36"/>
  <c r="BD24" i="36"/>
  <c r="BE24" i="36"/>
  <c r="BF24" i="36"/>
  <c r="BG24" i="36"/>
  <c r="BH24" i="36"/>
  <c r="BI24" i="36"/>
  <c r="BJ24" i="36"/>
  <c r="BK24" i="36"/>
  <c r="BL24" i="36"/>
  <c r="BM24" i="36"/>
  <c r="BN24" i="36"/>
  <c r="BO24" i="36"/>
  <c r="BP24" i="36"/>
  <c r="BQ24" i="36"/>
  <c r="BR24" i="36"/>
  <c r="BS24" i="36"/>
  <c r="BT24" i="36"/>
  <c r="BU24" i="36"/>
  <c r="BV24" i="36"/>
  <c r="BW24" i="36"/>
  <c r="BX24" i="36"/>
  <c r="BY24" i="36"/>
  <c r="BZ24" i="36"/>
  <c r="CA24" i="36"/>
  <c r="CB24" i="36"/>
  <c r="CC24" i="36"/>
  <c r="CD24" i="36"/>
  <c r="CE24" i="36"/>
  <c r="CF24" i="36"/>
  <c r="CG24" i="36"/>
  <c r="CH24" i="36"/>
  <c r="CI24" i="36"/>
  <c r="CJ24" i="36"/>
  <c r="CK24" i="36"/>
  <c r="CL24" i="36"/>
  <c r="CM24" i="36"/>
  <c r="CN24" i="36"/>
  <c r="CO24" i="36"/>
  <c r="CP24" i="36"/>
  <c r="CQ24" i="36"/>
  <c r="CR24" i="36"/>
  <c r="CS24" i="36"/>
  <c r="CT24" i="36"/>
  <c r="CU24" i="36"/>
  <c r="CV24" i="36"/>
  <c r="CW24" i="36"/>
  <c r="CX24" i="36"/>
  <c r="CY24" i="36"/>
  <c r="CZ24" i="36"/>
  <c r="DA24" i="36"/>
  <c r="DB24" i="36"/>
  <c r="DC24" i="36"/>
  <c r="DD24" i="36"/>
  <c r="DE24" i="36"/>
  <c r="DF24" i="36"/>
  <c r="DG24" i="36"/>
  <c r="DH24" i="36"/>
  <c r="DI24" i="36"/>
  <c r="DJ24" i="36"/>
  <c r="DK24" i="36"/>
  <c r="DL24" i="36"/>
  <c r="DM24" i="36"/>
  <c r="DN24" i="36"/>
  <c r="DO24" i="36"/>
  <c r="DP24" i="36"/>
  <c r="DQ24" i="36"/>
  <c r="DR24" i="36"/>
  <c r="DS24" i="36"/>
  <c r="DT24" i="36"/>
  <c r="DU24" i="36"/>
  <c r="DV24" i="36"/>
  <c r="DW24" i="36"/>
  <c r="DX24" i="36"/>
  <c r="DY24" i="36"/>
  <c r="DZ24" i="36"/>
  <c r="EA24" i="36"/>
  <c r="EB24" i="36"/>
  <c r="EC24" i="36"/>
  <c r="ED24" i="36"/>
  <c r="O25" i="36"/>
  <c r="P25" i="36"/>
  <c r="Q25" i="36"/>
  <c r="R25" i="36"/>
  <c r="S25" i="36"/>
  <c r="T25" i="36"/>
  <c r="U25" i="36"/>
  <c r="V25" i="36"/>
  <c r="W25" i="36"/>
  <c r="X25" i="36"/>
  <c r="Y25" i="36"/>
  <c r="Z25" i="36"/>
  <c r="AA25" i="36"/>
  <c r="AB25" i="36"/>
  <c r="AC25" i="36"/>
  <c r="AD25" i="36"/>
  <c r="AE25" i="36"/>
  <c r="AF25" i="36"/>
  <c r="AG25" i="36"/>
  <c r="AH25" i="36"/>
  <c r="AI25" i="36"/>
  <c r="AJ25" i="36"/>
  <c r="AK25" i="36"/>
  <c r="AL25" i="36"/>
  <c r="AM25" i="36"/>
  <c r="AN25" i="36"/>
  <c r="AO25" i="36"/>
  <c r="AP25" i="36"/>
  <c r="AQ25" i="36"/>
  <c r="AR25" i="36"/>
  <c r="AS25" i="36"/>
  <c r="AT25" i="36"/>
  <c r="AU25" i="36"/>
  <c r="AV25" i="36"/>
  <c r="AW25" i="36"/>
  <c r="AX25" i="36"/>
  <c r="AY25" i="36"/>
  <c r="AZ25" i="36"/>
  <c r="BA25" i="36"/>
  <c r="BB25" i="36"/>
  <c r="BC25" i="36"/>
  <c r="BD25" i="36"/>
  <c r="BE25" i="36"/>
  <c r="BF25" i="36"/>
  <c r="BG25" i="36"/>
  <c r="BH25" i="36"/>
  <c r="BI25" i="36"/>
  <c r="BJ25" i="36"/>
  <c r="BK25" i="36"/>
  <c r="BL25" i="36"/>
  <c r="BM25" i="36"/>
  <c r="BN25" i="36"/>
  <c r="BO25" i="36"/>
  <c r="BP25" i="36"/>
  <c r="BQ25" i="36"/>
  <c r="BR25" i="36"/>
  <c r="BS25" i="36"/>
  <c r="BT25" i="36"/>
  <c r="BU25" i="36"/>
  <c r="BV25" i="36"/>
  <c r="BW25" i="36"/>
  <c r="BX25" i="36"/>
  <c r="BY25" i="36"/>
  <c r="BZ25" i="36"/>
  <c r="CA25" i="36"/>
  <c r="CB25" i="36"/>
  <c r="CC25" i="36"/>
  <c r="CD25" i="36"/>
  <c r="CE25" i="36"/>
  <c r="CF25" i="36"/>
  <c r="CG25" i="36"/>
  <c r="CH25" i="36"/>
  <c r="CI25" i="36"/>
  <c r="CJ25" i="36"/>
  <c r="CK25" i="36"/>
  <c r="CL25" i="36"/>
  <c r="CM25" i="36"/>
  <c r="CN25" i="36"/>
  <c r="CO25" i="36"/>
  <c r="CP25" i="36"/>
  <c r="CQ25" i="36"/>
  <c r="CR25" i="36"/>
  <c r="CS25" i="36"/>
  <c r="CT25" i="36"/>
  <c r="CU25" i="36"/>
  <c r="CV25" i="36"/>
  <c r="CW25" i="36"/>
  <c r="CX25" i="36"/>
  <c r="CY25" i="36"/>
  <c r="CZ25" i="36"/>
  <c r="DA25" i="36"/>
  <c r="DB25" i="36"/>
  <c r="DC25" i="36"/>
  <c r="DD25" i="36"/>
  <c r="DE25" i="36"/>
  <c r="DF25" i="36"/>
  <c r="DG25" i="36"/>
  <c r="DH25" i="36"/>
  <c r="DI25" i="36"/>
  <c r="DJ25" i="36"/>
  <c r="DK25" i="36"/>
  <c r="DL25" i="36"/>
  <c r="DM25" i="36"/>
  <c r="DN25" i="36"/>
  <c r="DO25" i="36"/>
  <c r="DP25" i="36"/>
  <c r="DQ25" i="36"/>
  <c r="DR25" i="36"/>
  <c r="DS25" i="36"/>
  <c r="DT25" i="36"/>
  <c r="DU25" i="36"/>
  <c r="DV25" i="36"/>
  <c r="DW25" i="36"/>
  <c r="DX25" i="36"/>
  <c r="DY25" i="36"/>
  <c r="DZ25" i="36"/>
  <c r="EA25" i="36"/>
  <c r="EB25" i="36"/>
  <c r="EC25" i="36"/>
  <c r="ED25" i="36"/>
  <c r="O26" i="36"/>
  <c r="P26" i="36"/>
  <c r="Q26" i="36"/>
  <c r="R26" i="36"/>
  <c r="S26" i="36"/>
  <c r="T26" i="36"/>
  <c r="U26" i="36"/>
  <c r="V26" i="36"/>
  <c r="W26" i="36"/>
  <c r="X26" i="36"/>
  <c r="Y26" i="36"/>
  <c r="Z26" i="36"/>
  <c r="AA26" i="36"/>
  <c r="AB26" i="36"/>
  <c r="AC26" i="36"/>
  <c r="AD26" i="36"/>
  <c r="AE26" i="36"/>
  <c r="AF26" i="36"/>
  <c r="AG26" i="36"/>
  <c r="AH26" i="36"/>
  <c r="AI26" i="36"/>
  <c r="AJ26" i="36"/>
  <c r="AK26" i="36"/>
  <c r="AL26" i="36"/>
  <c r="AM26" i="36"/>
  <c r="AN26" i="36"/>
  <c r="AO26" i="36"/>
  <c r="AP26" i="36"/>
  <c r="AQ26" i="36"/>
  <c r="AR26" i="36"/>
  <c r="AS26" i="36"/>
  <c r="AT26" i="36"/>
  <c r="AU26" i="36"/>
  <c r="AV26" i="36"/>
  <c r="AW26" i="36"/>
  <c r="AX26" i="36"/>
  <c r="AY26" i="36"/>
  <c r="AZ26" i="36"/>
  <c r="BA26" i="36"/>
  <c r="BB26" i="36"/>
  <c r="BC26" i="36"/>
  <c r="BD26" i="36"/>
  <c r="BE26" i="36"/>
  <c r="BF26" i="36"/>
  <c r="BG26" i="36"/>
  <c r="BH26" i="36"/>
  <c r="BI26" i="36"/>
  <c r="BJ26" i="36"/>
  <c r="BK26" i="36"/>
  <c r="BL26" i="36"/>
  <c r="BM26" i="36"/>
  <c r="BN26" i="36"/>
  <c r="BO26" i="36"/>
  <c r="BP26" i="36"/>
  <c r="BQ26" i="36"/>
  <c r="BR26" i="36"/>
  <c r="BS26" i="36"/>
  <c r="BT26" i="36"/>
  <c r="BU26" i="36"/>
  <c r="BV26" i="36"/>
  <c r="BW26" i="36"/>
  <c r="BX26" i="36"/>
  <c r="BY26" i="36"/>
  <c r="BZ26" i="36"/>
  <c r="CA26" i="36"/>
  <c r="CB26" i="36"/>
  <c r="CC26" i="36"/>
  <c r="CD26" i="36"/>
  <c r="CE26" i="36"/>
  <c r="CF26" i="36"/>
  <c r="CG26" i="36"/>
  <c r="CH26" i="36"/>
  <c r="CI26" i="36"/>
  <c r="CJ26" i="36"/>
  <c r="CK26" i="36"/>
  <c r="CL26" i="36"/>
  <c r="CM26" i="36"/>
  <c r="CN26" i="36"/>
  <c r="CO26" i="36"/>
  <c r="CP26" i="36"/>
  <c r="CQ26" i="36"/>
  <c r="CR26" i="36"/>
  <c r="CS26" i="36"/>
  <c r="CT26" i="36"/>
  <c r="CU26" i="36"/>
  <c r="CV26" i="36"/>
  <c r="CW26" i="36"/>
  <c r="CX26" i="36"/>
  <c r="CY26" i="36"/>
  <c r="CZ26" i="36"/>
  <c r="DA26" i="36"/>
  <c r="DB26" i="36"/>
  <c r="DC26" i="36"/>
  <c r="DD26" i="36"/>
  <c r="DE26" i="36"/>
  <c r="DF26" i="36"/>
  <c r="DG26" i="36"/>
  <c r="DH26" i="36"/>
  <c r="DI26" i="36"/>
  <c r="DJ26" i="36"/>
  <c r="DK26" i="36"/>
  <c r="DL26" i="36"/>
  <c r="DM26" i="36"/>
  <c r="DN26" i="36"/>
  <c r="DO26" i="36"/>
  <c r="DP26" i="36"/>
  <c r="DQ26" i="36"/>
  <c r="DR26" i="36"/>
  <c r="DS26" i="36"/>
  <c r="DT26" i="36"/>
  <c r="DU26" i="36"/>
  <c r="DV26" i="36"/>
  <c r="DW26" i="36"/>
  <c r="DX26" i="36"/>
  <c r="DY26" i="36"/>
  <c r="DZ26" i="36"/>
  <c r="EA26" i="36"/>
  <c r="EB26" i="36"/>
  <c r="EC26" i="36"/>
  <c r="ED26" i="36"/>
  <c r="O27" i="36"/>
  <c r="P27" i="36"/>
  <c r="Q27" i="36"/>
  <c r="R27" i="36"/>
  <c r="S27" i="36"/>
  <c r="T27" i="36"/>
  <c r="U27" i="36"/>
  <c r="V27" i="36"/>
  <c r="W27" i="36"/>
  <c r="X27" i="36"/>
  <c r="Y27" i="36"/>
  <c r="Z27" i="36"/>
  <c r="AA27" i="36"/>
  <c r="AB27" i="36"/>
  <c r="AC27" i="36"/>
  <c r="AD27" i="36"/>
  <c r="AE27" i="36"/>
  <c r="AF27" i="36"/>
  <c r="AG27" i="36"/>
  <c r="AH27" i="36"/>
  <c r="AI27" i="36"/>
  <c r="AJ27" i="36"/>
  <c r="AK27" i="36"/>
  <c r="AL27" i="36"/>
  <c r="AM27" i="36"/>
  <c r="AN27" i="36"/>
  <c r="AO27" i="36"/>
  <c r="AP27" i="36"/>
  <c r="AQ27" i="36"/>
  <c r="AR27" i="36"/>
  <c r="AS27" i="36"/>
  <c r="AT27" i="36"/>
  <c r="AU27" i="36"/>
  <c r="AV27" i="36"/>
  <c r="AW27" i="36"/>
  <c r="AX27" i="36"/>
  <c r="AY27" i="36"/>
  <c r="AZ27" i="36"/>
  <c r="BA27" i="36"/>
  <c r="BB27" i="36"/>
  <c r="BC27" i="36"/>
  <c r="BD27" i="36"/>
  <c r="BE27" i="36"/>
  <c r="BF27" i="36"/>
  <c r="BG27" i="36"/>
  <c r="BH27" i="36"/>
  <c r="BI27" i="36"/>
  <c r="BJ27" i="36"/>
  <c r="BK27" i="36"/>
  <c r="BL27" i="36"/>
  <c r="BM27" i="36"/>
  <c r="BN27" i="36"/>
  <c r="BO27" i="36"/>
  <c r="BP27" i="36"/>
  <c r="BQ27" i="36"/>
  <c r="BR27" i="36"/>
  <c r="BS27" i="36"/>
  <c r="BT27" i="36"/>
  <c r="BU27" i="36"/>
  <c r="BV27" i="36"/>
  <c r="BW27" i="36"/>
  <c r="BX27" i="36"/>
  <c r="BY27" i="36"/>
  <c r="BZ27" i="36"/>
  <c r="CA27" i="36"/>
  <c r="CB27" i="36"/>
  <c r="CC27" i="36"/>
  <c r="CD27" i="36"/>
  <c r="CE27" i="36"/>
  <c r="CF27" i="36"/>
  <c r="CG27" i="36"/>
  <c r="CH27" i="36"/>
  <c r="CI27" i="36"/>
  <c r="CJ27" i="36"/>
  <c r="CK27" i="36"/>
  <c r="CL27" i="36"/>
  <c r="CM27" i="36"/>
  <c r="CN27" i="36"/>
  <c r="CO27" i="36"/>
  <c r="CP27" i="36"/>
  <c r="CQ27" i="36"/>
  <c r="CR27" i="36"/>
  <c r="CS27" i="36"/>
  <c r="CT27" i="36"/>
  <c r="CU27" i="36"/>
  <c r="CV27" i="36"/>
  <c r="CW27" i="36"/>
  <c r="CX27" i="36"/>
  <c r="CY27" i="36"/>
  <c r="CZ27" i="36"/>
  <c r="DA27" i="36"/>
  <c r="DB27" i="36"/>
  <c r="DC27" i="36"/>
  <c r="DD27" i="36"/>
  <c r="DE27" i="36"/>
  <c r="DF27" i="36"/>
  <c r="DG27" i="36"/>
  <c r="DH27" i="36"/>
  <c r="DI27" i="36"/>
  <c r="DJ27" i="36"/>
  <c r="DK27" i="36"/>
  <c r="DL27" i="36"/>
  <c r="DM27" i="36"/>
  <c r="DN27" i="36"/>
  <c r="DO27" i="36"/>
  <c r="DP27" i="36"/>
  <c r="DQ27" i="36"/>
  <c r="DR27" i="36"/>
  <c r="DS27" i="36"/>
  <c r="DT27" i="36"/>
  <c r="DU27" i="36"/>
  <c r="DV27" i="36"/>
  <c r="DW27" i="36"/>
  <c r="DX27" i="36"/>
  <c r="DY27" i="36"/>
  <c r="DZ27" i="36"/>
  <c r="EA27" i="36"/>
  <c r="EB27" i="36"/>
  <c r="EC27" i="36"/>
  <c r="ED27" i="36"/>
  <c r="O28" i="36"/>
  <c r="P28" i="36"/>
  <c r="Q28" i="36"/>
  <c r="R28" i="36"/>
  <c r="S28" i="36"/>
  <c r="T28" i="36"/>
  <c r="U28" i="36"/>
  <c r="V28" i="36"/>
  <c r="W28" i="36"/>
  <c r="X28" i="36"/>
  <c r="Y28" i="36"/>
  <c r="Z28" i="36"/>
  <c r="AA28" i="36"/>
  <c r="AB28" i="36"/>
  <c r="AC28" i="36"/>
  <c r="AD28" i="36"/>
  <c r="AE28" i="36"/>
  <c r="AF28" i="36"/>
  <c r="AG28" i="36"/>
  <c r="AH28" i="36"/>
  <c r="AI28" i="36"/>
  <c r="AJ28" i="36"/>
  <c r="AK28" i="36"/>
  <c r="AL28" i="36"/>
  <c r="AM28" i="36"/>
  <c r="AN28" i="36"/>
  <c r="AO28" i="36"/>
  <c r="AP28" i="36"/>
  <c r="AQ28" i="36"/>
  <c r="AR28" i="36"/>
  <c r="AS28" i="36"/>
  <c r="AT28" i="36"/>
  <c r="AU28" i="36"/>
  <c r="AV28" i="36"/>
  <c r="AW28" i="36"/>
  <c r="AX28" i="36"/>
  <c r="AY28" i="36"/>
  <c r="AZ28" i="36"/>
  <c r="BA28" i="36"/>
  <c r="BB28" i="36"/>
  <c r="BC28" i="36"/>
  <c r="BD28" i="36"/>
  <c r="BE28" i="36"/>
  <c r="BF28" i="36"/>
  <c r="BG28" i="36"/>
  <c r="BH28" i="36"/>
  <c r="BI28" i="36"/>
  <c r="BJ28" i="36"/>
  <c r="BK28" i="36"/>
  <c r="BL28" i="36"/>
  <c r="BM28" i="36"/>
  <c r="BN28" i="36"/>
  <c r="BO28" i="36"/>
  <c r="BP28" i="36"/>
  <c r="BQ28" i="36"/>
  <c r="BR28" i="36"/>
  <c r="BS28" i="36"/>
  <c r="BT28" i="36"/>
  <c r="BU28" i="36"/>
  <c r="BV28" i="36"/>
  <c r="BW28" i="36"/>
  <c r="BX28" i="36"/>
  <c r="BY28" i="36"/>
  <c r="BZ28" i="36"/>
  <c r="CA28" i="36"/>
  <c r="CB28" i="36"/>
  <c r="CC28" i="36"/>
  <c r="CD28" i="36"/>
  <c r="CE28" i="36"/>
  <c r="CF28" i="36"/>
  <c r="CG28" i="36"/>
  <c r="CH28" i="36"/>
  <c r="CI28" i="36"/>
  <c r="CJ28" i="36"/>
  <c r="CK28" i="36"/>
  <c r="CL28" i="36"/>
  <c r="CM28" i="36"/>
  <c r="CN28" i="36"/>
  <c r="CO28" i="36"/>
  <c r="CP28" i="36"/>
  <c r="CQ28" i="36"/>
  <c r="CR28" i="36"/>
  <c r="CS28" i="36"/>
  <c r="CT28" i="36"/>
  <c r="CU28" i="36"/>
  <c r="CV28" i="36"/>
  <c r="CW28" i="36"/>
  <c r="CX28" i="36"/>
  <c r="CY28" i="36"/>
  <c r="CZ28" i="36"/>
  <c r="DA28" i="36"/>
  <c r="DB28" i="36"/>
  <c r="DC28" i="36"/>
  <c r="DD28" i="36"/>
  <c r="DE28" i="36"/>
  <c r="DF28" i="36"/>
  <c r="DG28" i="36"/>
  <c r="DH28" i="36"/>
  <c r="DI28" i="36"/>
  <c r="DJ28" i="36"/>
  <c r="DK28" i="36"/>
  <c r="DL28" i="36"/>
  <c r="DM28" i="36"/>
  <c r="DN28" i="36"/>
  <c r="DO28" i="36"/>
  <c r="DP28" i="36"/>
  <c r="DQ28" i="36"/>
  <c r="DR28" i="36"/>
  <c r="DS28" i="36"/>
  <c r="DT28" i="36"/>
  <c r="DU28" i="36"/>
  <c r="DV28" i="36"/>
  <c r="DW28" i="36"/>
  <c r="DX28" i="36"/>
  <c r="DY28" i="36"/>
  <c r="DZ28" i="36"/>
  <c r="EA28" i="36"/>
  <c r="EB28" i="36"/>
  <c r="EC28" i="36"/>
  <c r="ED28" i="36"/>
  <c r="C8" i="45"/>
  <c r="D8" i="45"/>
  <c r="E8" i="45"/>
  <c r="F8" i="45"/>
  <c r="G8" i="45"/>
  <c r="H8" i="45"/>
  <c r="I8" i="45"/>
  <c r="J8" i="45"/>
  <c r="K8" i="45"/>
  <c r="M8" i="45"/>
  <c r="N8" i="45"/>
  <c r="O8" i="45"/>
  <c r="P8" i="45"/>
  <c r="Q8" i="45"/>
  <c r="AD8" i="45"/>
  <c r="AE8" i="45"/>
  <c r="AF8" i="45"/>
  <c r="AG8" i="45"/>
  <c r="AH8" i="45"/>
  <c r="AI8" i="45"/>
  <c r="AJ8" i="45"/>
  <c r="AL8" i="45"/>
  <c r="AM8" i="45"/>
  <c r="AN8" i="45"/>
  <c r="AO8" i="45"/>
  <c r="AP8" i="45"/>
  <c r="AQ8" i="45"/>
  <c r="AR8" i="45"/>
  <c r="AS8" i="45"/>
  <c r="AT8" i="45"/>
  <c r="AU8" i="45"/>
  <c r="AV8" i="45"/>
  <c r="AW8" i="45"/>
  <c r="AX8" i="45"/>
  <c r="AY8" i="45"/>
  <c r="AZ8" i="45"/>
  <c r="BA8" i="45"/>
  <c r="BB8" i="45"/>
  <c r="BC8" i="45"/>
  <c r="BD8" i="45"/>
  <c r="BE8" i="45"/>
  <c r="BF8" i="45"/>
  <c r="BG8" i="45"/>
  <c r="BH8" i="45"/>
  <c r="BI8" i="45"/>
  <c r="BJ8" i="45"/>
  <c r="BK8" i="45"/>
  <c r="BL8" i="45"/>
  <c r="BM8" i="45"/>
  <c r="BN8" i="45"/>
  <c r="BO8" i="45"/>
  <c r="BP8" i="45"/>
  <c r="BQ8" i="45"/>
  <c r="BR8" i="45"/>
  <c r="BS8" i="45"/>
  <c r="BT8" i="45"/>
  <c r="BU8" i="45"/>
  <c r="BV8" i="45"/>
  <c r="BW8" i="45"/>
  <c r="BX8" i="45"/>
  <c r="BY8" i="45"/>
  <c r="BZ8" i="45"/>
  <c r="CA8" i="45"/>
  <c r="CB8" i="45"/>
  <c r="CC8" i="45"/>
  <c r="CD8" i="45"/>
  <c r="CE8" i="45"/>
  <c r="CF8" i="45"/>
  <c r="CG8" i="45"/>
  <c r="CH8" i="45"/>
  <c r="CI8" i="45"/>
  <c r="CJ8" i="45"/>
  <c r="CK8" i="45"/>
  <c r="CL8" i="45"/>
  <c r="CM8" i="45"/>
  <c r="CN8" i="45"/>
  <c r="CO8" i="45"/>
  <c r="CP8" i="45"/>
  <c r="CQ8" i="45"/>
  <c r="CR8" i="45"/>
  <c r="CS8" i="45"/>
  <c r="CT8" i="45"/>
  <c r="CU8" i="45"/>
  <c r="CV8" i="45"/>
  <c r="CW8" i="45"/>
  <c r="CX8" i="45"/>
  <c r="CY8" i="45"/>
  <c r="CZ8" i="45"/>
  <c r="DA8" i="45"/>
  <c r="DB8" i="45"/>
  <c r="DC8" i="45"/>
  <c r="DD8" i="45"/>
  <c r="DE8" i="45"/>
  <c r="DF8" i="45"/>
  <c r="DG8" i="45"/>
  <c r="DH8" i="45"/>
  <c r="DI8" i="45"/>
  <c r="DJ8" i="45"/>
  <c r="DK8" i="45"/>
  <c r="DL8" i="45"/>
  <c r="DM8" i="45"/>
  <c r="DN8" i="45"/>
  <c r="DO8" i="45"/>
  <c r="DP8" i="45"/>
  <c r="DQ8" i="45"/>
  <c r="DR8" i="45"/>
  <c r="DS8" i="45"/>
  <c r="DT8" i="45"/>
  <c r="DU8" i="45"/>
  <c r="DV8" i="45"/>
  <c r="DW8" i="45"/>
  <c r="DX8" i="45"/>
  <c r="DY8" i="45"/>
  <c r="DZ8" i="45"/>
  <c r="EA8" i="45"/>
  <c r="EB8" i="45"/>
  <c r="EC8" i="45"/>
  <c r="ED8" i="45"/>
  <c r="EE8" i="45"/>
  <c r="EF8" i="45"/>
  <c r="EG8" i="45"/>
  <c r="EH8" i="45"/>
  <c r="EI8" i="45"/>
  <c r="EJ8" i="45"/>
  <c r="EK8" i="45"/>
  <c r="EL8" i="45"/>
  <c r="EM8" i="45"/>
  <c r="EN8" i="45"/>
  <c r="EO8" i="45"/>
  <c r="EP8" i="45"/>
  <c r="EQ8" i="45"/>
  <c r="ER8" i="45"/>
  <c r="ES8" i="45"/>
  <c r="ET8" i="45"/>
  <c r="EU8" i="45"/>
  <c r="EV8" i="45"/>
  <c r="EW8" i="45"/>
  <c r="EX8" i="45"/>
  <c r="EY8" i="45"/>
  <c r="EZ8" i="45"/>
  <c r="FA8" i="45"/>
  <c r="FB8" i="45"/>
  <c r="FC8" i="45"/>
  <c r="FD8" i="45"/>
  <c r="FE8" i="45"/>
  <c r="FF8" i="45"/>
  <c r="FG8" i="45"/>
  <c r="FH8" i="45"/>
  <c r="FI8" i="45"/>
  <c r="FJ8" i="45"/>
  <c r="FK8" i="45"/>
  <c r="FL8" i="45"/>
  <c r="FM8" i="45"/>
  <c r="FN8" i="45"/>
  <c r="FO8" i="45"/>
  <c r="FQ8" i="45"/>
  <c r="FR8" i="45"/>
  <c r="FS8" i="45"/>
  <c r="FT8" i="45"/>
  <c r="FU8" i="45"/>
  <c r="FV8" i="45"/>
  <c r="FW8" i="45"/>
  <c r="FX8" i="45"/>
  <c r="FY8" i="45"/>
  <c r="FZ8" i="45"/>
  <c r="GA8" i="45"/>
  <c r="C9" i="45"/>
  <c r="D9" i="45"/>
  <c r="E9" i="45"/>
  <c r="F9" i="45"/>
  <c r="G9" i="45"/>
  <c r="H9" i="45"/>
  <c r="I9" i="45"/>
  <c r="J9" i="45"/>
  <c r="K9" i="45"/>
  <c r="M9" i="45"/>
  <c r="N9" i="45"/>
  <c r="O9" i="45"/>
  <c r="P9" i="45"/>
  <c r="Q9" i="45"/>
  <c r="AD9" i="45"/>
  <c r="AE9" i="45"/>
  <c r="AF9" i="45"/>
  <c r="AG9" i="45"/>
  <c r="AH9" i="45"/>
  <c r="AI9" i="45"/>
  <c r="AJ9" i="45"/>
  <c r="AL9" i="45"/>
  <c r="AM9" i="45"/>
  <c r="AN9" i="45"/>
  <c r="AO9" i="45"/>
  <c r="AP9" i="45"/>
  <c r="AQ9" i="45"/>
  <c r="AR9" i="45"/>
  <c r="AS9" i="45"/>
  <c r="AT9" i="45"/>
  <c r="AU9" i="45"/>
  <c r="AV9" i="45"/>
  <c r="AW9" i="45"/>
  <c r="AX9" i="45"/>
  <c r="AY9" i="45"/>
  <c r="AZ9" i="45"/>
  <c r="BA9" i="45"/>
  <c r="BB9" i="45"/>
  <c r="BC9" i="45"/>
  <c r="BD9" i="45"/>
  <c r="BE9" i="45"/>
  <c r="BF9" i="45"/>
  <c r="BG9" i="45"/>
  <c r="BH9" i="45"/>
  <c r="BI9" i="45"/>
  <c r="BJ9" i="45"/>
  <c r="BK9" i="45"/>
  <c r="BL9" i="45"/>
  <c r="BM9" i="45"/>
  <c r="BN9" i="45"/>
  <c r="BO9" i="45"/>
  <c r="BP9" i="45"/>
  <c r="BQ9" i="45"/>
  <c r="BR9" i="45"/>
  <c r="BS9" i="45"/>
  <c r="BT9" i="45"/>
  <c r="BU9" i="45"/>
  <c r="BV9" i="45"/>
  <c r="BW9" i="45"/>
  <c r="BX9" i="45"/>
  <c r="BY9" i="45"/>
  <c r="BZ9" i="45"/>
  <c r="CA9" i="45"/>
  <c r="CB9" i="45"/>
  <c r="CC9" i="45"/>
  <c r="CD9" i="45"/>
  <c r="CE9" i="45"/>
  <c r="CF9" i="45"/>
  <c r="CG9" i="45"/>
  <c r="CH9" i="45"/>
  <c r="CI9" i="45"/>
  <c r="CJ9" i="45"/>
  <c r="CK9" i="45"/>
  <c r="CL9" i="45"/>
  <c r="CM9" i="45"/>
  <c r="CN9" i="45"/>
  <c r="CO9" i="45"/>
  <c r="CP9" i="45"/>
  <c r="CQ9" i="45"/>
  <c r="CR9" i="45"/>
  <c r="CS9" i="45"/>
  <c r="CT9" i="45"/>
  <c r="CU9" i="45"/>
  <c r="CV9" i="45"/>
  <c r="CW9" i="45"/>
  <c r="CX9" i="45"/>
  <c r="CY9" i="45"/>
  <c r="CZ9" i="45"/>
  <c r="DA9" i="45"/>
  <c r="DB9" i="45"/>
  <c r="DC9" i="45"/>
  <c r="DD9" i="45"/>
  <c r="DE9" i="45"/>
  <c r="DF9" i="45"/>
  <c r="DG9" i="45"/>
  <c r="DH9" i="45"/>
  <c r="DI9" i="45"/>
  <c r="DJ9" i="45"/>
  <c r="DK9" i="45"/>
  <c r="DL9" i="45"/>
  <c r="DM9" i="45"/>
  <c r="DN9" i="45"/>
  <c r="DO9" i="45"/>
  <c r="DP9" i="45"/>
  <c r="DQ9" i="45"/>
  <c r="DR9" i="45"/>
  <c r="DS9" i="45"/>
  <c r="DT9" i="45"/>
  <c r="DU9" i="45"/>
  <c r="DV9" i="45"/>
  <c r="DW9" i="45"/>
  <c r="DX9" i="45"/>
  <c r="DY9" i="45"/>
  <c r="DZ9" i="45"/>
  <c r="EA9" i="45"/>
  <c r="EB9" i="45"/>
  <c r="EC9" i="45"/>
  <c r="ED9" i="45"/>
  <c r="EE9" i="45"/>
  <c r="EF9" i="45"/>
  <c r="EG9" i="45"/>
  <c r="EH9" i="45"/>
  <c r="EI9" i="45"/>
  <c r="EJ9" i="45"/>
  <c r="EK9" i="45"/>
  <c r="EL9" i="45"/>
  <c r="EM9" i="45"/>
  <c r="EN9" i="45"/>
  <c r="EO9" i="45"/>
  <c r="EP9" i="45"/>
  <c r="EQ9" i="45"/>
  <c r="ER9" i="45"/>
  <c r="ES9" i="45"/>
  <c r="ET9" i="45"/>
  <c r="EU9" i="45"/>
  <c r="EV9" i="45"/>
  <c r="EW9" i="45"/>
  <c r="EX9" i="45"/>
  <c r="EY9" i="45"/>
  <c r="EZ9" i="45"/>
  <c r="FA9" i="45"/>
  <c r="FB9" i="45"/>
  <c r="FC9" i="45"/>
  <c r="FD9" i="45"/>
  <c r="FE9" i="45"/>
  <c r="FF9" i="45"/>
  <c r="FG9" i="45"/>
  <c r="FH9" i="45"/>
  <c r="FI9" i="45"/>
  <c r="FJ9" i="45"/>
  <c r="FK9" i="45"/>
  <c r="FL9" i="45"/>
  <c r="FM9" i="45"/>
  <c r="FN9" i="45"/>
  <c r="FO9" i="45"/>
  <c r="FQ9" i="45"/>
  <c r="FR9" i="45"/>
  <c r="FS9" i="45"/>
  <c r="FT9" i="45"/>
  <c r="FU9" i="45"/>
  <c r="FV9" i="45"/>
  <c r="FW9" i="45"/>
  <c r="FX9" i="45"/>
  <c r="FY9" i="45"/>
  <c r="FZ9" i="45"/>
  <c r="GA9" i="45"/>
  <c r="C10" i="45"/>
  <c r="D10" i="45"/>
  <c r="E10" i="45"/>
  <c r="F10" i="45"/>
  <c r="G10" i="45"/>
  <c r="H10" i="45"/>
  <c r="I10" i="45"/>
  <c r="J10" i="45"/>
  <c r="K10" i="45"/>
  <c r="M10" i="45"/>
  <c r="N10" i="45"/>
  <c r="O10" i="45"/>
  <c r="P10" i="45"/>
  <c r="Q10" i="45"/>
  <c r="AD10" i="45"/>
  <c r="AE10" i="45"/>
  <c r="AF10" i="45"/>
  <c r="AG10" i="45"/>
  <c r="AH10" i="45"/>
  <c r="AI10" i="45"/>
  <c r="AJ10" i="45"/>
  <c r="AL10" i="45"/>
  <c r="AM10" i="45"/>
  <c r="AN10" i="45"/>
  <c r="AO10" i="45"/>
  <c r="AP10" i="45"/>
  <c r="AQ10" i="45"/>
  <c r="AR10" i="45"/>
  <c r="AS10" i="45"/>
  <c r="AT10" i="45"/>
  <c r="AU10" i="45"/>
  <c r="AV10" i="45"/>
  <c r="AW10" i="45"/>
  <c r="AX10" i="45"/>
  <c r="AY10" i="45"/>
  <c r="AZ10" i="45"/>
  <c r="BA10" i="45"/>
  <c r="BB10" i="45"/>
  <c r="BC10" i="45"/>
  <c r="BD10" i="45"/>
  <c r="BE10" i="45"/>
  <c r="BF10" i="45"/>
  <c r="BG10" i="45"/>
  <c r="BH10" i="45"/>
  <c r="BI10" i="45"/>
  <c r="BJ10" i="45"/>
  <c r="BK10" i="45"/>
  <c r="BL10" i="45"/>
  <c r="BM10" i="45"/>
  <c r="BN10" i="45"/>
  <c r="BO10" i="45"/>
  <c r="BP10" i="45"/>
  <c r="BQ10" i="45"/>
  <c r="BR10" i="45"/>
  <c r="BS10" i="45"/>
  <c r="BT10" i="45"/>
  <c r="BU10" i="45"/>
  <c r="BV10" i="45"/>
  <c r="BW10" i="45"/>
  <c r="BX10" i="45"/>
  <c r="BY10" i="45"/>
  <c r="BZ10" i="45"/>
  <c r="CA10" i="45"/>
  <c r="CB10" i="45"/>
  <c r="CC10" i="45"/>
  <c r="CD10" i="45"/>
  <c r="CE10" i="45"/>
  <c r="CF10" i="45"/>
  <c r="CG10" i="45"/>
  <c r="CH10" i="45"/>
  <c r="CI10" i="45"/>
  <c r="CJ10" i="45"/>
  <c r="CK10" i="45"/>
  <c r="CL10" i="45"/>
  <c r="CM10" i="45"/>
  <c r="CN10" i="45"/>
  <c r="CO10" i="45"/>
  <c r="CP10" i="45"/>
  <c r="CQ10" i="45"/>
  <c r="CR10" i="45"/>
  <c r="CS10" i="45"/>
  <c r="CT10" i="45"/>
  <c r="CU10" i="45"/>
  <c r="CV10" i="45"/>
  <c r="CW10" i="45"/>
  <c r="CX10" i="45"/>
  <c r="CY10" i="45"/>
  <c r="CZ10" i="45"/>
  <c r="DA10" i="45"/>
  <c r="DB10" i="45"/>
  <c r="DC10" i="45"/>
  <c r="DD10" i="45"/>
  <c r="DE10" i="45"/>
  <c r="DF10" i="45"/>
  <c r="DG10" i="45"/>
  <c r="DH10" i="45"/>
  <c r="DI10" i="45"/>
  <c r="DJ10" i="45"/>
  <c r="DK10" i="45"/>
  <c r="DL10" i="45"/>
  <c r="DM10" i="45"/>
  <c r="DN10" i="45"/>
  <c r="DO10" i="45"/>
  <c r="DP10" i="45"/>
  <c r="DQ10" i="45"/>
  <c r="DR10" i="45"/>
  <c r="DS10" i="45"/>
  <c r="DT10" i="45"/>
  <c r="DU10" i="45"/>
  <c r="DV10" i="45"/>
  <c r="DW10" i="45"/>
  <c r="DX10" i="45"/>
  <c r="DY10" i="45"/>
  <c r="DZ10" i="45"/>
  <c r="EA10" i="45"/>
  <c r="EB10" i="45"/>
  <c r="EC10" i="45"/>
  <c r="ED10" i="45"/>
  <c r="EE10" i="45"/>
  <c r="EF10" i="45"/>
  <c r="EG10" i="45"/>
  <c r="EH10" i="45"/>
  <c r="EI10" i="45"/>
  <c r="EJ10" i="45"/>
  <c r="EK10" i="45"/>
  <c r="EL10" i="45"/>
  <c r="EM10" i="45"/>
  <c r="EN10" i="45"/>
  <c r="EO10" i="45"/>
  <c r="EP10" i="45"/>
  <c r="EQ10" i="45"/>
  <c r="ER10" i="45"/>
  <c r="ES10" i="45"/>
  <c r="ET10" i="45"/>
  <c r="EU10" i="45"/>
  <c r="EV10" i="45"/>
  <c r="EW10" i="45"/>
  <c r="EX10" i="45"/>
  <c r="EY10" i="45"/>
  <c r="EZ10" i="45"/>
  <c r="FA10" i="45"/>
  <c r="FB10" i="45"/>
  <c r="FC10" i="45"/>
  <c r="FD10" i="45"/>
  <c r="FE10" i="45"/>
  <c r="FF10" i="45"/>
  <c r="FG10" i="45"/>
  <c r="FH10" i="45"/>
  <c r="FI10" i="45"/>
  <c r="FJ10" i="45"/>
  <c r="FK10" i="45"/>
  <c r="FL10" i="45"/>
  <c r="FM10" i="45"/>
  <c r="FN10" i="45"/>
  <c r="FO10" i="45"/>
  <c r="FQ10" i="45"/>
  <c r="FR10" i="45"/>
  <c r="FS10" i="45"/>
  <c r="FT10" i="45"/>
  <c r="FU10" i="45"/>
  <c r="FV10" i="45"/>
  <c r="FW10" i="45"/>
  <c r="FX10" i="45"/>
  <c r="FY10" i="45"/>
  <c r="FZ10" i="45"/>
  <c r="GA10" i="45"/>
  <c r="C11" i="45"/>
  <c r="D11" i="45"/>
  <c r="E11" i="45"/>
  <c r="F11" i="45"/>
  <c r="G11" i="45"/>
  <c r="H11" i="45"/>
  <c r="I11" i="45"/>
  <c r="J11" i="45"/>
  <c r="K11" i="45"/>
  <c r="M11" i="45"/>
  <c r="N11" i="45"/>
  <c r="O11" i="45"/>
  <c r="P11" i="45"/>
  <c r="Q11" i="45"/>
  <c r="AD11" i="45"/>
  <c r="AE11" i="45"/>
  <c r="AF11" i="45"/>
  <c r="AG11" i="45"/>
  <c r="AH11" i="45"/>
  <c r="AI11" i="45"/>
  <c r="AJ11" i="45"/>
  <c r="AL11" i="45"/>
  <c r="AM11" i="45"/>
  <c r="AN11" i="45"/>
  <c r="AO11" i="45"/>
  <c r="AP11" i="45"/>
  <c r="AQ11" i="45"/>
  <c r="AR11" i="45"/>
  <c r="AS11" i="45"/>
  <c r="AT11" i="45"/>
  <c r="AU11" i="45"/>
  <c r="AV11" i="45"/>
  <c r="AW11" i="45"/>
  <c r="AX11" i="45"/>
  <c r="AY11" i="45"/>
  <c r="AZ11" i="45"/>
  <c r="BA11" i="45"/>
  <c r="BB11" i="45"/>
  <c r="BC11" i="45"/>
  <c r="BD11" i="45"/>
  <c r="BE11" i="45"/>
  <c r="BF11" i="45"/>
  <c r="BG11" i="45"/>
  <c r="BH11" i="45"/>
  <c r="BI11" i="45"/>
  <c r="BJ11" i="45"/>
  <c r="BK11" i="45"/>
  <c r="BL11" i="45"/>
  <c r="BM11" i="45"/>
  <c r="BN11" i="45"/>
  <c r="BO11" i="45"/>
  <c r="BP11" i="45"/>
  <c r="BQ11" i="45"/>
  <c r="BR11" i="45"/>
  <c r="BS11" i="45"/>
  <c r="BT11" i="45"/>
  <c r="BU11" i="45"/>
  <c r="BV11" i="45"/>
  <c r="BW11" i="45"/>
  <c r="BX11" i="45"/>
  <c r="BY11" i="45"/>
  <c r="BZ11" i="45"/>
  <c r="CA11" i="45"/>
  <c r="CB11" i="45"/>
  <c r="CC11" i="45"/>
  <c r="CD11" i="45"/>
  <c r="CE11" i="45"/>
  <c r="CF11" i="45"/>
  <c r="CG11" i="45"/>
  <c r="CH11" i="45"/>
  <c r="CI11" i="45"/>
  <c r="CJ11" i="45"/>
  <c r="CK11" i="45"/>
  <c r="CL11" i="45"/>
  <c r="CM11" i="45"/>
  <c r="CN11" i="45"/>
  <c r="CO11" i="45"/>
  <c r="CP11" i="45"/>
  <c r="CQ11" i="45"/>
  <c r="CR11" i="45"/>
  <c r="CS11" i="45"/>
  <c r="CT11" i="45"/>
  <c r="CU11" i="45"/>
  <c r="CV11" i="45"/>
  <c r="CW11" i="45"/>
  <c r="CX11" i="45"/>
  <c r="CY11" i="45"/>
  <c r="CZ11" i="45"/>
  <c r="DA11" i="45"/>
  <c r="DB11" i="45"/>
  <c r="DC11" i="45"/>
  <c r="DD11" i="45"/>
  <c r="DE11" i="45"/>
  <c r="DF11" i="45"/>
  <c r="DG11" i="45"/>
  <c r="DH11" i="45"/>
  <c r="DI11" i="45"/>
  <c r="DJ11" i="45"/>
  <c r="DK11" i="45"/>
  <c r="DL11" i="45"/>
  <c r="DM11" i="45"/>
  <c r="DN11" i="45"/>
  <c r="DO11" i="45"/>
  <c r="DP11" i="45"/>
  <c r="DQ11" i="45"/>
  <c r="DR11" i="45"/>
  <c r="DS11" i="45"/>
  <c r="DT11" i="45"/>
  <c r="DU11" i="45"/>
  <c r="DV11" i="45"/>
  <c r="DW11" i="45"/>
  <c r="DX11" i="45"/>
  <c r="DY11" i="45"/>
  <c r="DZ11" i="45"/>
  <c r="EA11" i="45"/>
  <c r="EB11" i="45"/>
  <c r="EC11" i="45"/>
  <c r="ED11" i="45"/>
  <c r="EE11" i="45"/>
  <c r="EF11" i="45"/>
  <c r="EG11" i="45"/>
  <c r="EH11" i="45"/>
  <c r="EI11" i="45"/>
  <c r="EJ11" i="45"/>
  <c r="EK11" i="45"/>
  <c r="EL11" i="45"/>
  <c r="EM11" i="45"/>
  <c r="EN11" i="45"/>
  <c r="EO11" i="45"/>
  <c r="EP11" i="45"/>
  <c r="EQ11" i="45"/>
  <c r="ER11" i="45"/>
  <c r="ES11" i="45"/>
  <c r="ET11" i="45"/>
  <c r="EU11" i="45"/>
  <c r="EV11" i="45"/>
  <c r="EW11" i="45"/>
  <c r="EX11" i="45"/>
  <c r="EY11" i="45"/>
  <c r="EZ11" i="45"/>
  <c r="FA11" i="45"/>
  <c r="FB11" i="45"/>
  <c r="FC11" i="45"/>
  <c r="FD11" i="45"/>
  <c r="FE11" i="45"/>
  <c r="FF11" i="45"/>
  <c r="FG11" i="45"/>
  <c r="FH11" i="45"/>
  <c r="FI11" i="45"/>
  <c r="FJ11" i="45"/>
  <c r="FK11" i="45"/>
  <c r="FL11" i="45"/>
  <c r="FM11" i="45"/>
  <c r="FN11" i="45"/>
  <c r="FO11" i="45"/>
  <c r="FQ11" i="45"/>
  <c r="FR11" i="45"/>
  <c r="FS11" i="45"/>
  <c r="FT11" i="45"/>
  <c r="FU11" i="45"/>
  <c r="FV11" i="45"/>
  <c r="FW11" i="45"/>
  <c r="FX11" i="45"/>
  <c r="FY11" i="45"/>
  <c r="FZ11" i="45"/>
  <c r="GA11" i="45"/>
  <c r="C12" i="45"/>
  <c r="D12" i="45"/>
  <c r="E12" i="45"/>
  <c r="F12" i="45"/>
  <c r="G12" i="45"/>
  <c r="H12" i="45"/>
  <c r="I12" i="45"/>
  <c r="J12" i="45"/>
  <c r="K12" i="45"/>
  <c r="M12" i="45"/>
  <c r="N12" i="45"/>
  <c r="O12" i="45"/>
  <c r="P12" i="45"/>
  <c r="Q12" i="45"/>
  <c r="AD12" i="45"/>
  <c r="AE12" i="45"/>
  <c r="AF12" i="45"/>
  <c r="AG12" i="45"/>
  <c r="AH12" i="45"/>
  <c r="AI12" i="45"/>
  <c r="AJ12" i="45"/>
  <c r="AL12" i="45"/>
  <c r="AM12" i="45"/>
  <c r="AN12" i="45"/>
  <c r="AO12" i="45"/>
  <c r="AP12" i="45"/>
  <c r="AQ12" i="45"/>
  <c r="AR12" i="45"/>
  <c r="AS12" i="45"/>
  <c r="AT12" i="45"/>
  <c r="AU12" i="45"/>
  <c r="AV12" i="45"/>
  <c r="AW12" i="45"/>
  <c r="AX12" i="45"/>
  <c r="AY12" i="45"/>
  <c r="AZ12" i="45"/>
  <c r="BA12" i="45"/>
  <c r="BB12" i="45"/>
  <c r="BC12" i="45"/>
  <c r="BD12" i="45"/>
  <c r="BE12" i="45"/>
  <c r="BF12" i="45"/>
  <c r="BG12" i="45"/>
  <c r="BH12" i="45"/>
  <c r="BI12" i="45"/>
  <c r="BJ12" i="45"/>
  <c r="BK12" i="45"/>
  <c r="BL12" i="45"/>
  <c r="BM12" i="45"/>
  <c r="BN12" i="45"/>
  <c r="BO12" i="45"/>
  <c r="BP12" i="45"/>
  <c r="BQ12" i="45"/>
  <c r="BR12" i="45"/>
  <c r="BS12" i="45"/>
  <c r="BT12" i="45"/>
  <c r="BU12" i="45"/>
  <c r="BV12" i="45"/>
  <c r="BW12" i="45"/>
  <c r="BX12" i="45"/>
  <c r="BY12" i="45"/>
  <c r="BZ12" i="45"/>
  <c r="CA12" i="45"/>
  <c r="CB12" i="45"/>
  <c r="CC12" i="45"/>
  <c r="CD12" i="45"/>
  <c r="CE12" i="45"/>
  <c r="CF12" i="45"/>
  <c r="CG12" i="45"/>
  <c r="CH12" i="45"/>
  <c r="CI12" i="45"/>
  <c r="CJ12" i="45"/>
  <c r="CK12" i="45"/>
  <c r="CL12" i="45"/>
  <c r="CM12" i="45"/>
  <c r="CN12" i="45"/>
  <c r="CO12" i="45"/>
  <c r="CP12" i="45"/>
  <c r="CQ12" i="45"/>
  <c r="CR12" i="45"/>
  <c r="CS12" i="45"/>
  <c r="CT12" i="45"/>
  <c r="CU12" i="45"/>
  <c r="CV12" i="45"/>
  <c r="CW12" i="45"/>
  <c r="CX12" i="45"/>
  <c r="CY12" i="45"/>
  <c r="CZ12" i="45"/>
  <c r="DA12" i="45"/>
  <c r="DB12" i="45"/>
  <c r="DC12" i="45"/>
  <c r="DD12" i="45"/>
  <c r="DE12" i="45"/>
  <c r="DF12" i="45"/>
  <c r="DG12" i="45"/>
  <c r="DH12" i="45"/>
  <c r="DI12" i="45"/>
  <c r="DJ12" i="45"/>
  <c r="DK12" i="45"/>
  <c r="DL12" i="45"/>
  <c r="DM12" i="45"/>
  <c r="DN12" i="45"/>
  <c r="DO12" i="45"/>
  <c r="DP12" i="45"/>
  <c r="DQ12" i="45"/>
  <c r="DR12" i="45"/>
  <c r="DS12" i="45"/>
  <c r="DT12" i="45"/>
  <c r="DU12" i="45"/>
  <c r="DV12" i="45"/>
  <c r="DW12" i="45"/>
  <c r="DX12" i="45"/>
  <c r="DY12" i="45"/>
  <c r="DZ12" i="45"/>
  <c r="EA12" i="45"/>
  <c r="EB12" i="45"/>
  <c r="EC12" i="45"/>
  <c r="ED12" i="45"/>
  <c r="EE12" i="45"/>
  <c r="EF12" i="45"/>
  <c r="EG12" i="45"/>
  <c r="EH12" i="45"/>
  <c r="EI12" i="45"/>
  <c r="EJ12" i="45"/>
  <c r="EK12" i="45"/>
  <c r="EL12" i="45"/>
  <c r="EM12" i="45"/>
  <c r="EN12" i="45"/>
  <c r="EO12" i="45"/>
  <c r="EP12" i="45"/>
  <c r="EQ12" i="45"/>
  <c r="ER12" i="45"/>
  <c r="ES12" i="45"/>
  <c r="ET12" i="45"/>
  <c r="EU12" i="45"/>
  <c r="EV12" i="45"/>
  <c r="EW12" i="45"/>
  <c r="EX12" i="45"/>
  <c r="EY12" i="45"/>
  <c r="EZ12" i="45"/>
  <c r="FA12" i="45"/>
  <c r="FB12" i="45"/>
  <c r="FC12" i="45"/>
  <c r="FD12" i="45"/>
  <c r="FE12" i="45"/>
  <c r="FF12" i="45"/>
  <c r="FG12" i="45"/>
  <c r="FH12" i="45"/>
  <c r="FI12" i="45"/>
  <c r="FJ12" i="45"/>
  <c r="FK12" i="45"/>
  <c r="FL12" i="45"/>
  <c r="FM12" i="45"/>
  <c r="FN12" i="45"/>
  <c r="FO12" i="45"/>
  <c r="FQ12" i="45"/>
  <c r="FR12" i="45"/>
  <c r="FS12" i="45"/>
  <c r="FT12" i="45"/>
  <c r="FU12" i="45"/>
  <c r="FV12" i="45"/>
  <c r="FW12" i="45"/>
  <c r="FX12" i="45"/>
  <c r="FY12" i="45"/>
  <c r="FZ12" i="45"/>
  <c r="GA12" i="45"/>
  <c r="C13" i="45"/>
  <c r="D13" i="45"/>
  <c r="E13" i="45"/>
  <c r="F13" i="45"/>
  <c r="G13" i="45"/>
  <c r="H13" i="45"/>
  <c r="I13" i="45"/>
  <c r="J13" i="45"/>
  <c r="K13" i="45"/>
  <c r="M13" i="45"/>
  <c r="N13" i="45"/>
  <c r="O13" i="45"/>
  <c r="P13" i="45"/>
  <c r="Q13" i="45"/>
  <c r="AD13" i="45"/>
  <c r="AE13" i="45"/>
  <c r="AF13" i="45"/>
  <c r="AG13" i="45"/>
  <c r="AH13" i="45"/>
  <c r="AI13" i="45"/>
  <c r="AJ13" i="45"/>
  <c r="AL13" i="45"/>
  <c r="AM13" i="45"/>
  <c r="AN13" i="45"/>
  <c r="AO13" i="45"/>
  <c r="AP13" i="45"/>
  <c r="AQ13" i="45"/>
  <c r="AR13" i="45"/>
  <c r="AS13" i="45"/>
  <c r="AT13" i="45"/>
  <c r="AU13" i="45"/>
  <c r="AV13" i="45"/>
  <c r="AW13" i="45"/>
  <c r="AX13" i="45"/>
  <c r="AY13" i="45"/>
  <c r="AZ13" i="45"/>
  <c r="BA13" i="45"/>
  <c r="BB13" i="45"/>
  <c r="BC13" i="45"/>
  <c r="BD13" i="45"/>
  <c r="BE13" i="45"/>
  <c r="BF13" i="45"/>
  <c r="BG13" i="45"/>
  <c r="BH13" i="45"/>
  <c r="BI13" i="45"/>
  <c r="BJ13" i="45"/>
  <c r="BK13" i="45"/>
  <c r="BL13" i="45"/>
  <c r="BM13" i="45"/>
  <c r="BN13" i="45"/>
  <c r="BO13" i="45"/>
  <c r="BP13" i="45"/>
  <c r="BQ13" i="45"/>
  <c r="BR13" i="45"/>
  <c r="BS13" i="45"/>
  <c r="BT13" i="45"/>
  <c r="BU13" i="45"/>
  <c r="BV13" i="45"/>
  <c r="BW13" i="45"/>
  <c r="BX13" i="45"/>
  <c r="BY13" i="45"/>
  <c r="BZ13" i="45"/>
  <c r="CA13" i="45"/>
  <c r="CB13" i="45"/>
  <c r="CC13" i="45"/>
  <c r="CD13" i="45"/>
  <c r="CE13" i="45"/>
  <c r="CF13" i="45"/>
  <c r="CG13" i="45"/>
  <c r="CH13" i="45"/>
  <c r="CI13" i="45"/>
  <c r="CJ13" i="45"/>
  <c r="CK13" i="45"/>
  <c r="CL13" i="45"/>
  <c r="CM13" i="45"/>
  <c r="CN13" i="45"/>
  <c r="CO13" i="45"/>
  <c r="CP13" i="45"/>
  <c r="CQ13" i="45"/>
  <c r="CR13" i="45"/>
  <c r="CS13" i="45"/>
  <c r="CT13" i="45"/>
  <c r="CU13" i="45"/>
  <c r="CV13" i="45"/>
  <c r="CW13" i="45"/>
  <c r="CX13" i="45"/>
  <c r="CY13" i="45"/>
  <c r="CZ13" i="45"/>
  <c r="DA13" i="45"/>
  <c r="DB13" i="45"/>
  <c r="DC13" i="45"/>
  <c r="DD13" i="45"/>
  <c r="DE13" i="45"/>
  <c r="DF13" i="45"/>
  <c r="DG13" i="45"/>
  <c r="DH13" i="45"/>
  <c r="DI13" i="45"/>
  <c r="DJ13" i="45"/>
  <c r="DK13" i="45"/>
  <c r="DL13" i="45"/>
  <c r="DM13" i="45"/>
  <c r="DN13" i="45"/>
  <c r="DO13" i="45"/>
  <c r="DP13" i="45"/>
  <c r="DQ13" i="45"/>
  <c r="DR13" i="45"/>
  <c r="DS13" i="45"/>
  <c r="DT13" i="45"/>
  <c r="DU13" i="45"/>
  <c r="DV13" i="45"/>
  <c r="DW13" i="45"/>
  <c r="DX13" i="45"/>
  <c r="DY13" i="45"/>
  <c r="DZ13" i="45"/>
  <c r="EA13" i="45"/>
  <c r="EB13" i="45"/>
  <c r="EC13" i="45"/>
  <c r="ED13" i="45"/>
  <c r="EE13" i="45"/>
  <c r="EF13" i="45"/>
  <c r="EG13" i="45"/>
  <c r="EH13" i="45"/>
  <c r="EI13" i="45"/>
  <c r="EJ13" i="45"/>
  <c r="EK13" i="45"/>
  <c r="EL13" i="45"/>
  <c r="EM13" i="45"/>
  <c r="EN13" i="45"/>
  <c r="EO13" i="45"/>
  <c r="EP13" i="45"/>
  <c r="EQ13" i="45"/>
  <c r="ER13" i="45"/>
  <c r="ES13" i="45"/>
  <c r="ET13" i="45"/>
  <c r="EU13" i="45"/>
  <c r="EV13" i="45"/>
  <c r="EW13" i="45"/>
  <c r="EX13" i="45"/>
  <c r="EY13" i="45"/>
  <c r="EZ13" i="45"/>
  <c r="FA13" i="45"/>
  <c r="FB13" i="45"/>
  <c r="FC13" i="45"/>
  <c r="FD13" i="45"/>
  <c r="FE13" i="45"/>
  <c r="FF13" i="45"/>
  <c r="FG13" i="45"/>
  <c r="FH13" i="45"/>
  <c r="FI13" i="45"/>
  <c r="FJ13" i="45"/>
  <c r="FK13" i="45"/>
  <c r="FL13" i="45"/>
  <c r="FM13" i="45"/>
  <c r="FN13" i="45"/>
  <c r="FO13" i="45"/>
  <c r="FQ13" i="45"/>
  <c r="FR13" i="45"/>
  <c r="FS13" i="45"/>
  <c r="FT13" i="45"/>
  <c r="FU13" i="45"/>
  <c r="FV13" i="45"/>
  <c r="FW13" i="45"/>
  <c r="FX13" i="45"/>
  <c r="FY13" i="45"/>
  <c r="FZ13" i="45"/>
  <c r="GA13" i="45"/>
  <c r="C14" i="45"/>
  <c r="D14" i="45"/>
  <c r="E14" i="45"/>
  <c r="F14" i="45"/>
  <c r="G14" i="45"/>
  <c r="H14" i="45"/>
  <c r="I14" i="45"/>
  <c r="J14" i="45"/>
  <c r="K14" i="45"/>
  <c r="M14" i="45"/>
  <c r="N14" i="45"/>
  <c r="O14" i="45"/>
  <c r="P14" i="45"/>
  <c r="Q14" i="45"/>
  <c r="AD14" i="45"/>
  <c r="AE14" i="45"/>
  <c r="AF14" i="45"/>
  <c r="AG14" i="45"/>
  <c r="AH14" i="45"/>
  <c r="AI14" i="45"/>
  <c r="AJ14" i="45"/>
  <c r="AL14" i="45"/>
  <c r="AM14" i="45"/>
  <c r="AN14" i="45"/>
  <c r="AO14" i="45"/>
  <c r="AP14" i="45"/>
  <c r="AQ14" i="45"/>
  <c r="AR14" i="45"/>
  <c r="AS14" i="45"/>
  <c r="AT14" i="45"/>
  <c r="AU14" i="45"/>
  <c r="AV14" i="45"/>
  <c r="AW14" i="45"/>
  <c r="AX14" i="45"/>
  <c r="AY14" i="45"/>
  <c r="AZ14" i="45"/>
  <c r="BA14" i="45"/>
  <c r="BB14" i="45"/>
  <c r="BC14" i="45"/>
  <c r="BD14" i="45"/>
  <c r="BE14" i="45"/>
  <c r="BF14" i="45"/>
  <c r="BG14" i="45"/>
  <c r="BH14" i="45"/>
  <c r="BI14" i="45"/>
  <c r="BJ14" i="45"/>
  <c r="BK14" i="45"/>
  <c r="BL14" i="45"/>
  <c r="BM14" i="45"/>
  <c r="BN14" i="45"/>
  <c r="BO14" i="45"/>
  <c r="BP14" i="45"/>
  <c r="BQ14" i="45"/>
  <c r="BR14" i="45"/>
  <c r="BS14" i="45"/>
  <c r="BT14" i="45"/>
  <c r="BU14" i="45"/>
  <c r="BV14" i="45"/>
  <c r="BW14" i="45"/>
  <c r="BX14" i="45"/>
  <c r="BY14" i="45"/>
  <c r="BZ14" i="45"/>
  <c r="CA14" i="45"/>
  <c r="CB14" i="45"/>
  <c r="CC14" i="45"/>
  <c r="CD14" i="45"/>
  <c r="CE14" i="45"/>
  <c r="CF14" i="45"/>
  <c r="CG14" i="45"/>
  <c r="CH14" i="45"/>
  <c r="CI14" i="45"/>
  <c r="CJ14" i="45"/>
  <c r="CK14" i="45"/>
  <c r="CL14" i="45"/>
  <c r="CM14" i="45"/>
  <c r="CN14" i="45"/>
  <c r="CO14" i="45"/>
  <c r="CP14" i="45"/>
  <c r="CQ14" i="45"/>
  <c r="CR14" i="45"/>
  <c r="CS14" i="45"/>
  <c r="CT14" i="45"/>
  <c r="CU14" i="45"/>
  <c r="CV14" i="45"/>
  <c r="CW14" i="45"/>
  <c r="CX14" i="45"/>
  <c r="CY14" i="45"/>
  <c r="CZ14" i="45"/>
  <c r="DA14" i="45"/>
  <c r="DB14" i="45"/>
  <c r="DC14" i="45"/>
  <c r="DD14" i="45"/>
  <c r="DE14" i="45"/>
  <c r="DF14" i="45"/>
  <c r="DG14" i="45"/>
  <c r="DH14" i="45"/>
  <c r="DI14" i="45"/>
  <c r="DJ14" i="45"/>
  <c r="DK14" i="45"/>
  <c r="DL14" i="45"/>
  <c r="DM14" i="45"/>
  <c r="DN14" i="45"/>
  <c r="DO14" i="45"/>
  <c r="DP14" i="45"/>
  <c r="DQ14" i="45"/>
  <c r="DR14" i="45"/>
  <c r="DS14" i="45"/>
  <c r="DT14" i="45"/>
  <c r="DU14" i="45"/>
  <c r="DV14" i="45"/>
  <c r="DW14" i="45"/>
  <c r="DX14" i="45"/>
  <c r="DY14" i="45"/>
  <c r="DZ14" i="45"/>
  <c r="EA14" i="45"/>
  <c r="EB14" i="45"/>
  <c r="EC14" i="45"/>
  <c r="ED14" i="45"/>
  <c r="EE14" i="45"/>
  <c r="EF14" i="45"/>
  <c r="EG14" i="45"/>
  <c r="EH14" i="45"/>
  <c r="EI14" i="45"/>
  <c r="EJ14" i="45"/>
  <c r="EK14" i="45"/>
  <c r="EL14" i="45"/>
  <c r="EM14" i="45"/>
  <c r="EN14" i="45"/>
  <c r="EO14" i="45"/>
  <c r="EP14" i="45"/>
  <c r="EQ14" i="45"/>
  <c r="ER14" i="45"/>
  <c r="ES14" i="45"/>
  <c r="ET14" i="45"/>
  <c r="EU14" i="45"/>
  <c r="EV14" i="45"/>
  <c r="EW14" i="45"/>
  <c r="EX14" i="45"/>
  <c r="EY14" i="45"/>
  <c r="EZ14" i="45"/>
  <c r="FA14" i="45"/>
  <c r="FB14" i="45"/>
  <c r="FC14" i="45"/>
  <c r="FD14" i="45"/>
  <c r="FE14" i="45"/>
  <c r="FF14" i="45"/>
  <c r="FG14" i="45"/>
  <c r="FH14" i="45"/>
  <c r="FI14" i="45"/>
  <c r="FJ14" i="45"/>
  <c r="FK14" i="45"/>
  <c r="FL14" i="45"/>
  <c r="FM14" i="45"/>
  <c r="FN14" i="45"/>
  <c r="FO14" i="45"/>
  <c r="FQ14" i="45"/>
  <c r="FR14" i="45"/>
  <c r="FS14" i="45"/>
  <c r="FT14" i="45"/>
  <c r="FU14" i="45"/>
  <c r="FV14" i="45"/>
  <c r="FW14" i="45"/>
  <c r="FX14" i="45"/>
  <c r="FY14" i="45"/>
  <c r="FZ14" i="45"/>
  <c r="GA14" i="45"/>
  <c r="C15" i="45"/>
  <c r="D15" i="45"/>
  <c r="E15" i="45"/>
  <c r="F15" i="45"/>
  <c r="G15" i="45"/>
  <c r="H15" i="45"/>
  <c r="I15" i="45"/>
  <c r="J15" i="45"/>
  <c r="K15" i="45"/>
  <c r="M15" i="45"/>
  <c r="N15" i="45"/>
  <c r="O15" i="45"/>
  <c r="P15" i="45"/>
  <c r="Q15" i="45"/>
  <c r="AD15" i="45"/>
  <c r="AE15" i="45"/>
  <c r="AF15" i="45"/>
  <c r="AG15" i="45"/>
  <c r="AH15" i="45"/>
  <c r="AI15" i="45"/>
  <c r="AJ15" i="45"/>
  <c r="AL15" i="45"/>
  <c r="AM15" i="45"/>
  <c r="AN15" i="45"/>
  <c r="AO15" i="45"/>
  <c r="AP15" i="45"/>
  <c r="AQ15" i="45"/>
  <c r="AR15" i="45"/>
  <c r="AS15" i="45"/>
  <c r="AT15" i="45"/>
  <c r="AU15" i="45"/>
  <c r="AV15" i="45"/>
  <c r="AW15" i="45"/>
  <c r="AX15" i="45"/>
  <c r="AY15" i="45"/>
  <c r="AZ15" i="45"/>
  <c r="BA15" i="45"/>
  <c r="BB15" i="45"/>
  <c r="BC15" i="45"/>
  <c r="BD15" i="45"/>
  <c r="BE15" i="45"/>
  <c r="BF15" i="45"/>
  <c r="BG15" i="45"/>
  <c r="BH15" i="45"/>
  <c r="BI15" i="45"/>
  <c r="BJ15" i="45"/>
  <c r="BK15" i="45"/>
  <c r="BL15" i="45"/>
  <c r="BM15" i="45"/>
  <c r="BN15" i="45"/>
  <c r="BO15" i="45"/>
  <c r="BP15" i="45"/>
  <c r="BQ15" i="45"/>
  <c r="BR15" i="45"/>
  <c r="BS15" i="45"/>
  <c r="BT15" i="45"/>
  <c r="BU15" i="45"/>
  <c r="BV15" i="45"/>
  <c r="BW15" i="45"/>
  <c r="BX15" i="45"/>
  <c r="BY15" i="45"/>
  <c r="BZ15" i="45"/>
  <c r="CA15" i="45"/>
  <c r="CB15" i="45"/>
  <c r="CC15" i="45"/>
  <c r="CD15" i="45"/>
  <c r="CE15" i="45"/>
  <c r="CF15" i="45"/>
  <c r="CG15" i="45"/>
  <c r="CH15" i="45"/>
  <c r="CI15" i="45"/>
  <c r="CJ15" i="45"/>
  <c r="CK15" i="45"/>
  <c r="CL15" i="45"/>
  <c r="CM15" i="45"/>
  <c r="CN15" i="45"/>
  <c r="CO15" i="45"/>
  <c r="CP15" i="45"/>
  <c r="CQ15" i="45"/>
  <c r="CR15" i="45"/>
  <c r="CS15" i="45"/>
  <c r="CT15" i="45"/>
  <c r="CU15" i="45"/>
  <c r="CV15" i="45"/>
  <c r="CW15" i="45"/>
  <c r="CX15" i="45"/>
  <c r="CY15" i="45"/>
  <c r="CZ15" i="45"/>
  <c r="DA15" i="45"/>
  <c r="DB15" i="45"/>
  <c r="DC15" i="45"/>
  <c r="DD15" i="45"/>
  <c r="DE15" i="45"/>
  <c r="DF15" i="45"/>
  <c r="DG15" i="45"/>
  <c r="DH15" i="45"/>
  <c r="DI15" i="45"/>
  <c r="DJ15" i="45"/>
  <c r="DK15" i="45"/>
  <c r="DL15" i="45"/>
  <c r="DM15" i="45"/>
  <c r="DN15" i="45"/>
  <c r="DO15" i="45"/>
  <c r="DP15" i="45"/>
  <c r="DQ15" i="45"/>
  <c r="DR15" i="45"/>
  <c r="DS15" i="45"/>
  <c r="DT15" i="45"/>
  <c r="DU15" i="45"/>
  <c r="DV15" i="45"/>
  <c r="DW15" i="45"/>
  <c r="DX15" i="45"/>
  <c r="DY15" i="45"/>
  <c r="DZ15" i="45"/>
  <c r="EA15" i="45"/>
  <c r="EB15" i="45"/>
  <c r="EC15" i="45"/>
  <c r="ED15" i="45"/>
  <c r="EE15" i="45"/>
  <c r="EF15" i="45"/>
  <c r="EG15" i="45"/>
  <c r="EH15" i="45"/>
  <c r="EI15" i="45"/>
  <c r="EJ15" i="45"/>
  <c r="EK15" i="45"/>
  <c r="EL15" i="45"/>
  <c r="EM15" i="45"/>
  <c r="EN15" i="45"/>
  <c r="EO15" i="45"/>
  <c r="EP15" i="45"/>
  <c r="EQ15" i="45"/>
  <c r="ER15" i="45"/>
  <c r="ES15" i="45"/>
  <c r="ET15" i="45"/>
  <c r="EU15" i="45"/>
  <c r="EV15" i="45"/>
  <c r="EW15" i="45"/>
  <c r="EX15" i="45"/>
  <c r="EY15" i="45"/>
  <c r="EZ15" i="45"/>
  <c r="FA15" i="45"/>
  <c r="FB15" i="45"/>
  <c r="FC15" i="45"/>
  <c r="FD15" i="45"/>
  <c r="FE15" i="45"/>
  <c r="FF15" i="45"/>
  <c r="FG15" i="45"/>
  <c r="FH15" i="45"/>
  <c r="FI15" i="45"/>
  <c r="FJ15" i="45"/>
  <c r="FK15" i="45"/>
  <c r="FL15" i="45"/>
  <c r="FM15" i="45"/>
  <c r="FN15" i="45"/>
  <c r="FO15" i="45"/>
  <c r="FQ15" i="45"/>
  <c r="FR15" i="45"/>
  <c r="FS15" i="45"/>
  <c r="FT15" i="45"/>
  <c r="FU15" i="45"/>
  <c r="FV15" i="45"/>
  <c r="FW15" i="45"/>
  <c r="FX15" i="45"/>
  <c r="FY15" i="45"/>
  <c r="FZ15" i="45"/>
  <c r="GA15" i="45"/>
  <c r="C16" i="45"/>
  <c r="D16" i="45"/>
  <c r="E16" i="45"/>
  <c r="F16" i="45"/>
  <c r="G16" i="45"/>
  <c r="H16" i="45"/>
  <c r="I16" i="45"/>
  <c r="J16" i="45"/>
  <c r="K16" i="45"/>
  <c r="M16" i="45"/>
  <c r="N16" i="45"/>
  <c r="O16" i="45"/>
  <c r="P16" i="45"/>
  <c r="Q16" i="45"/>
  <c r="AD16" i="45"/>
  <c r="AE16" i="45"/>
  <c r="AF16" i="45"/>
  <c r="AG16" i="45"/>
  <c r="AH16" i="45"/>
  <c r="AI16" i="45"/>
  <c r="AJ16" i="45"/>
  <c r="AL16" i="45"/>
  <c r="AM16" i="45"/>
  <c r="AN16" i="45"/>
  <c r="AO16" i="45"/>
  <c r="AP16" i="45"/>
  <c r="AQ16" i="45"/>
  <c r="AR16" i="45"/>
  <c r="AS16" i="45"/>
  <c r="AT16" i="45"/>
  <c r="AU16" i="45"/>
  <c r="AV16" i="45"/>
  <c r="AW16" i="45"/>
  <c r="AX16" i="45"/>
  <c r="AY16" i="45"/>
  <c r="AZ16" i="45"/>
  <c r="BA16" i="45"/>
  <c r="BB16" i="45"/>
  <c r="BC16" i="45"/>
  <c r="BD16" i="45"/>
  <c r="BE16" i="45"/>
  <c r="BF16" i="45"/>
  <c r="BG16" i="45"/>
  <c r="BH16" i="45"/>
  <c r="BI16" i="45"/>
  <c r="BJ16" i="45"/>
  <c r="BK16" i="45"/>
  <c r="BL16" i="45"/>
  <c r="BM16" i="45"/>
  <c r="BN16" i="45"/>
  <c r="BO16" i="45"/>
  <c r="BP16" i="45"/>
  <c r="BQ16" i="45"/>
  <c r="BR16" i="45"/>
  <c r="BS16" i="45"/>
  <c r="BT16" i="45"/>
  <c r="BU16" i="45"/>
  <c r="BV16" i="45"/>
  <c r="BW16" i="45"/>
  <c r="BX16" i="45"/>
  <c r="BY16" i="45"/>
  <c r="BZ16" i="45"/>
  <c r="CA16" i="45"/>
  <c r="CB16" i="45"/>
  <c r="CC16" i="45"/>
  <c r="CD16" i="45"/>
  <c r="CE16" i="45"/>
  <c r="CF16" i="45"/>
  <c r="CG16" i="45"/>
  <c r="CH16" i="45"/>
  <c r="CI16" i="45"/>
  <c r="CJ16" i="45"/>
  <c r="CK16" i="45"/>
  <c r="CL16" i="45"/>
  <c r="CM16" i="45"/>
  <c r="CN16" i="45"/>
  <c r="CO16" i="45"/>
  <c r="CP16" i="45"/>
  <c r="CQ16" i="45"/>
  <c r="CR16" i="45"/>
  <c r="CS16" i="45"/>
  <c r="CT16" i="45"/>
  <c r="CU16" i="45"/>
  <c r="CV16" i="45"/>
  <c r="CW16" i="45"/>
  <c r="CX16" i="45"/>
  <c r="CY16" i="45"/>
  <c r="CZ16" i="45"/>
  <c r="DA16" i="45"/>
  <c r="DB16" i="45"/>
  <c r="DC16" i="45"/>
  <c r="DD16" i="45"/>
  <c r="DE16" i="45"/>
  <c r="DF16" i="45"/>
  <c r="DG16" i="45"/>
  <c r="DH16" i="45"/>
  <c r="DI16" i="45"/>
  <c r="DJ16" i="45"/>
  <c r="DK16" i="45"/>
  <c r="DL16" i="45"/>
  <c r="DM16" i="45"/>
  <c r="DN16" i="45"/>
  <c r="DO16" i="45"/>
  <c r="DP16" i="45"/>
  <c r="DQ16" i="45"/>
  <c r="DR16" i="45"/>
  <c r="DS16" i="45"/>
  <c r="DT16" i="45"/>
  <c r="DU16" i="45"/>
  <c r="DV16" i="45"/>
  <c r="DW16" i="45"/>
  <c r="DX16" i="45"/>
  <c r="DY16" i="45"/>
  <c r="DZ16" i="45"/>
  <c r="EA16" i="45"/>
  <c r="EB16" i="45"/>
  <c r="EC16" i="45"/>
  <c r="ED16" i="45"/>
  <c r="EE16" i="45"/>
  <c r="EF16" i="45"/>
  <c r="EG16" i="45"/>
  <c r="EH16" i="45"/>
  <c r="EI16" i="45"/>
  <c r="EJ16" i="45"/>
  <c r="EK16" i="45"/>
  <c r="EL16" i="45"/>
  <c r="EM16" i="45"/>
  <c r="EN16" i="45"/>
  <c r="EO16" i="45"/>
  <c r="EP16" i="45"/>
  <c r="EQ16" i="45"/>
  <c r="ER16" i="45"/>
  <c r="ES16" i="45"/>
  <c r="ET16" i="45"/>
  <c r="EU16" i="45"/>
  <c r="EV16" i="45"/>
  <c r="EW16" i="45"/>
  <c r="EX16" i="45"/>
  <c r="EY16" i="45"/>
  <c r="EZ16" i="45"/>
  <c r="FA16" i="45"/>
  <c r="FB16" i="45"/>
  <c r="FC16" i="45"/>
  <c r="FD16" i="45"/>
  <c r="FE16" i="45"/>
  <c r="FF16" i="45"/>
  <c r="FG16" i="45"/>
  <c r="FH16" i="45"/>
  <c r="FI16" i="45"/>
  <c r="FJ16" i="45"/>
  <c r="FK16" i="45"/>
  <c r="FL16" i="45"/>
  <c r="FM16" i="45"/>
  <c r="FN16" i="45"/>
  <c r="FO16" i="45"/>
  <c r="FQ16" i="45"/>
  <c r="FR16" i="45"/>
  <c r="FS16" i="45"/>
  <c r="FT16" i="45"/>
  <c r="FU16" i="45"/>
  <c r="FV16" i="45"/>
  <c r="FW16" i="45"/>
  <c r="FX16" i="45"/>
  <c r="FY16" i="45"/>
  <c r="FZ16" i="45"/>
  <c r="GA16" i="45"/>
  <c r="C17" i="45"/>
  <c r="D17" i="45"/>
  <c r="E17" i="45"/>
  <c r="F17" i="45"/>
  <c r="G17" i="45"/>
  <c r="H17" i="45"/>
  <c r="I17" i="45"/>
  <c r="J17" i="45"/>
  <c r="K17" i="45"/>
  <c r="M17" i="45"/>
  <c r="N17" i="45"/>
  <c r="O17" i="45"/>
  <c r="P17" i="45"/>
  <c r="Q17" i="45"/>
  <c r="AD17" i="45"/>
  <c r="AE17" i="45"/>
  <c r="AF17" i="45"/>
  <c r="AG17" i="45"/>
  <c r="AH17" i="45"/>
  <c r="AI17" i="45"/>
  <c r="AJ17" i="45"/>
  <c r="AL17" i="45"/>
  <c r="AM17" i="45"/>
  <c r="AN17" i="45"/>
  <c r="AO17" i="45"/>
  <c r="AP17" i="45"/>
  <c r="AQ17" i="45"/>
  <c r="AR17" i="45"/>
  <c r="AS17" i="45"/>
  <c r="AT17" i="45"/>
  <c r="AU17" i="45"/>
  <c r="AV17" i="45"/>
  <c r="AW17" i="45"/>
  <c r="AX17" i="45"/>
  <c r="AY17" i="45"/>
  <c r="AZ17" i="45"/>
  <c r="BA17" i="45"/>
  <c r="BB17" i="45"/>
  <c r="BC17" i="45"/>
  <c r="BD17" i="45"/>
  <c r="BE17" i="45"/>
  <c r="BF17" i="45"/>
  <c r="BG17" i="45"/>
  <c r="BH17" i="45"/>
  <c r="BI17" i="45"/>
  <c r="BJ17" i="45"/>
  <c r="BK17" i="45"/>
  <c r="BL17" i="45"/>
  <c r="BM17" i="45"/>
  <c r="BN17" i="45"/>
  <c r="BO17" i="45"/>
  <c r="BP17" i="45"/>
  <c r="BQ17" i="45"/>
  <c r="BR17" i="45"/>
  <c r="BS17" i="45"/>
  <c r="BT17" i="45"/>
  <c r="BU17" i="45"/>
  <c r="BV17" i="45"/>
  <c r="BW17" i="45"/>
  <c r="BX17" i="45"/>
  <c r="BY17" i="45"/>
  <c r="BZ17" i="45"/>
  <c r="CA17" i="45"/>
  <c r="CB17" i="45"/>
  <c r="CC17" i="45"/>
  <c r="CD17" i="45"/>
  <c r="CE17" i="45"/>
  <c r="CF17" i="45"/>
  <c r="CG17" i="45"/>
  <c r="CH17" i="45"/>
  <c r="CI17" i="45"/>
  <c r="CJ17" i="45"/>
  <c r="CK17" i="45"/>
  <c r="CL17" i="45"/>
  <c r="CM17" i="45"/>
  <c r="CN17" i="45"/>
  <c r="CO17" i="45"/>
  <c r="CP17" i="45"/>
  <c r="CQ17" i="45"/>
  <c r="CR17" i="45"/>
  <c r="CS17" i="45"/>
  <c r="CT17" i="45"/>
  <c r="CU17" i="45"/>
  <c r="CV17" i="45"/>
  <c r="CW17" i="45"/>
  <c r="CX17" i="45"/>
  <c r="CY17" i="45"/>
  <c r="CZ17" i="45"/>
  <c r="DA17" i="45"/>
  <c r="DB17" i="45"/>
  <c r="DC17" i="45"/>
  <c r="DD17" i="45"/>
  <c r="DE17" i="45"/>
  <c r="DF17" i="45"/>
  <c r="DG17" i="45"/>
  <c r="DH17" i="45"/>
  <c r="DI17" i="45"/>
  <c r="DJ17" i="45"/>
  <c r="DK17" i="45"/>
  <c r="DL17" i="45"/>
  <c r="DM17" i="45"/>
  <c r="DN17" i="45"/>
  <c r="DO17" i="45"/>
  <c r="DP17" i="45"/>
  <c r="DQ17" i="45"/>
  <c r="DR17" i="45"/>
  <c r="DS17" i="45"/>
  <c r="DT17" i="45"/>
  <c r="DU17" i="45"/>
  <c r="DV17" i="45"/>
  <c r="DW17" i="45"/>
  <c r="DX17" i="45"/>
  <c r="DY17" i="45"/>
  <c r="DZ17" i="45"/>
  <c r="EA17" i="45"/>
  <c r="EB17" i="45"/>
  <c r="EC17" i="45"/>
  <c r="ED17" i="45"/>
  <c r="EE17" i="45"/>
  <c r="EF17" i="45"/>
  <c r="EG17" i="45"/>
  <c r="EH17" i="45"/>
  <c r="EI17" i="45"/>
  <c r="EJ17" i="45"/>
  <c r="EK17" i="45"/>
  <c r="EL17" i="45"/>
  <c r="EM17" i="45"/>
  <c r="EN17" i="45"/>
  <c r="EO17" i="45"/>
  <c r="EP17" i="45"/>
  <c r="EQ17" i="45"/>
  <c r="ER17" i="45"/>
  <c r="ES17" i="45"/>
  <c r="ET17" i="45"/>
  <c r="EU17" i="45"/>
  <c r="EV17" i="45"/>
  <c r="EW17" i="45"/>
  <c r="EX17" i="45"/>
  <c r="EY17" i="45"/>
  <c r="EZ17" i="45"/>
  <c r="FA17" i="45"/>
  <c r="FB17" i="45"/>
  <c r="FC17" i="45"/>
  <c r="FD17" i="45"/>
  <c r="FE17" i="45"/>
  <c r="FF17" i="45"/>
  <c r="FG17" i="45"/>
  <c r="FH17" i="45"/>
  <c r="FI17" i="45"/>
  <c r="FJ17" i="45"/>
  <c r="FK17" i="45"/>
  <c r="FL17" i="45"/>
  <c r="FM17" i="45"/>
  <c r="FN17" i="45"/>
  <c r="FO17" i="45"/>
  <c r="FQ17" i="45"/>
  <c r="FR17" i="45"/>
  <c r="FS17" i="45"/>
  <c r="FT17" i="45"/>
  <c r="FU17" i="45"/>
  <c r="FV17" i="45"/>
  <c r="FW17" i="45"/>
  <c r="FX17" i="45"/>
  <c r="FY17" i="45"/>
  <c r="FZ17" i="45"/>
  <c r="GA17" i="45"/>
  <c r="C18" i="45"/>
  <c r="D18" i="45"/>
  <c r="E18" i="45"/>
  <c r="F18" i="45"/>
  <c r="G18" i="45"/>
  <c r="H18" i="45"/>
  <c r="I18" i="45"/>
  <c r="J18" i="45"/>
  <c r="K18" i="45"/>
  <c r="M18" i="45"/>
  <c r="N18" i="45"/>
  <c r="O18" i="45"/>
  <c r="P18" i="45"/>
  <c r="Q18" i="45"/>
  <c r="AD18" i="45"/>
  <c r="AE18" i="45"/>
  <c r="AF18" i="45"/>
  <c r="AG18" i="45"/>
  <c r="AH18" i="45"/>
  <c r="AI18" i="45"/>
  <c r="AJ18" i="45"/>
  <c r="AL18" i="45"/>
  <c r="AM18" i="45"/>
  <c r="AN18" i="45"/>
  <c r="AO18" i="45"/>
  <c r="AP18" i="45"/>
  <c r="AQ18" i="45"/>
  <c r="AR18" i="45"/>
  <c r="AS18" i="45"/>
  <c r="AT18" i="45"/>
  <c r="AU18" i="45"/>
  <c r="AV18" i="45"/>
  <c r="AW18" i="45"/>
  <c r="AX18" i="45"/>
  <c r="AY18" i="45"/>
  <c r="AZ18" i="45"/>
  <c r="BA18" i="45"/>
  <c r="BB18" i="45"/>
  <c r="BC18" i="45"/>
  <c r="BD18" i="45"/>
  <c r="BE18" i="45"/>
  <c r="BF18" i="45"/>
  <c r="BG18" i="45"/>
  <c r="BH18" i="45"/>
  <c r="BI18" i="45"/>
  <c r="BJ18" i="45"/>
  <c r="BK18" i="45"/>
  <c r="BL18" i="45"/>
  <c r="BM18" i="45"/>
  <c r="BN18" i="45"/>
  <c r="BO18" i="45"/>
  <c r="BP18" i="45"/>
  <c r="BQ18" i="45"/>
  <c r="BR18" i="45"/>
  <c r="BS18" i="45"/>
  <c r="BT18" i="45"/>
  <c r="BU18" i="45"/>
  <c r="BV18" i="45"/>
  <c r="BW18" i="45"/>
  <c r="BX18" i="45"/>
  <c r="BY18" i="45"/>
  <c r="BZ18" i="45"/>
  <c r="CA18" i="45"/>
  <c r="CB18" i="45"/>
  <c r="CC18" i="45"/>
  <c r="CD18" i="45"/>
  <c r="CE18" i="45"/>
  <c r="CF18" i="45"/>
  <c r="CG18" i="45"/>
  <c r="CH18" i="45"/>
  <c r="CI18" i="45"/>
  <c r="CJ18" i="45"/>
  <c r="CK18" i="45"/>
  <c r="CL18" i="45"/>
  <c r="CM18" i="45"/>
  <c r="CN18" i="45"/>
  <c r="CO18" i="45"/>
  <c r="CP18" i="45"/>
  <c r="CQ18" i="45"/>
  <c r="CR18" i="45"/>
  <c r="CS18" i="45"/>
  <c r="CT18" i="45"/>
  <c r="CU18" i="45"/>
  <c r="CV18" i="45"/>
  <c r="CW18" i="45"/>
  <c r="CX18" i="45"/>
  <c r="CY18" i="45"/>
  <c r="CZ18" i="45"/>
  <c r="DA18" i="45"/>
  <c r="DB18" i="45"/>
  <c r="DC18" i="45"/>
  <c r="DD18" i="45"/>
  <c r="DE18" i="45"/>
  <c r="DF18" i="45"/>
  <c r="DG18" i="45"/>
  <c r="DH18" i="45"/>
  <c r="DI18" i="45"/>
  <c r="DJ18" i="45"/>
  <c r="DK18" i="45"/>
  <c r="DL18" i="45"/>
  <c r="DM18" i="45"/>
  <c r="DN18" i="45"/>
  <c r="DO18" i="45"/>
  <c r="DP18" i="45"/>
  <c r="DQ18" i="45"/>
  <c r="DR18" i="45"/>
  <c r="DS18" i="45"/>
  <c r="DT18" i="45"/>
  <c r="DU18" i="45"/>
  <c r="DV18" i="45"/>
  <c r="DW18" i="45"/>
  <c r="DX18" i="45"/>
  <c r="DY18" i="45"/>
  <c r="DZ18" i="45"/>
  <c r="EA18" i="45"/>
  <c r="EB18" i="45"/>
  <c r="EC18" i="45"/>
  <c r="ED18" i="45"/>
  <c r="EE18" i="45"/>
  <c r="EF18" i="45"/>
  <c r="EG18" i="45"/>
  <c r="EH18" i="45"/>
  <c r="EI18" i="45"/>
  <c r="EJ18" i="45"/>
  <c r="EK18" i="45"/>
  <c r="EL18" i="45"/>
  <c r="EM18" i="45"/>
  <c r="EN18" i="45"/>
  <c r="EO18" i="45"/>
  <c r="EP18" i="45"/>
  <c r="EQ18" i="45"/>
  <c r="ER18" i="45"/>
  <c r="ES18" i="45"/>
  <c r="ET18" i="45"/>
  <c r="EU18" i="45"/>
  <c r="EV18" i="45"/>
  <c r="EW18" i="45"/>
  <c r="EX18" i="45"/>
  <c r="EY18" i="45"/>
  <c r="EZ18" i="45"/>
  <c r="FA18" i="45"/>
  <c r="FB18" i="45"/>
  <c r="FC18" i="45"/>
  <c r="FD18" i="45"/>
  <c r="FE18" i="45"/>
  <c r="FF18" i="45"/>
  <c r="FG18" i="45"/>
  <c r="FH18" i="45"/>
  <c r="FI18" i="45"/>
  <c r="FJ18" i="45"/>
  <c r="FK18" i="45"/>
  <c r="FL18" i="45"/>
  <c r="FM18" i="45"/>
  <c r="FN18" i="45"/>
  <c r="FO18" i="45"/>
  <c r="FQ18" i="45"/>
  <c r="FR18" i="45"/>
  <c r="FS18" i="45"/>
  <c r="FT18" i="45"/>
  <c r="FU18" i="45"/>
  <c r="FV18" i="45"/>
  <c r="FW18" i="45"/>
  <c r="FX18" i="45"/>
  <c r="FY18" i="45"/>
  <c r="FZ18" i="45"/>
  <c r="GA18" i="45"/>
  <c r="C19" i="45"/>
  <c r="D19" i="45"/>
  <c r="E19" i="45"/>
  <c r="F19" i="45"/>
  <c r="G19" i="45"/>
  <c r="H19" i="45"/>
  <c r="I19" i="45"/>
  <c r="J19" i="45"/>
  <c r="K19" i="45"/>
  <c r="M19" i="45"/>
  <c r="N19" i="45"/>
  <c r="O19" i="45"/>
  <c r="P19" i="45"/>
  <c r="Q19" i="45"/>
  <c r="AD19" i="45"/>
  <c r="AE19" i="45"/>
  <c r="AF19" i="45"/>
  <c r="AG19" i="45"/>
  <c r="AH19" i="45"/>
  <c r="AI19" i="45"/>
  <c r="AJ19" i="45"/>
  <c r="AL19" i="45"/>
  <c r="AM19" i="45"/>
  <c r="AN19" i="45"/>
  <c r="AO19" i="45"/>
  <c r="AP19" i="45"/>
  <c r="AQ19" i="45"/>
  <c r="AR19" i="45"/>
  <c r="AS19" i="45"/>
  <c r="AT19" i="45"/>
  <c r="AU19" i="45"/>
  <c r="AV19" i="45"/>
  <c r="AW19" i="45"/>
  <c r="AX19" i="45"/>
  <c r="AY19" i="45"/>
  <c r="AZ19" i="45"/>
  <c r="BA19" i="45"/>
  <c r="BB19" i="45"/>
  <c r="BC19" i="45"/>
  <c r="BD19" i="45"/>
  <c r="BE19" i="45"/>
  <c r="BF19" i="45"/>
  <c r="BG19" i="45"/>
  <c r="BH19" i="45"/>
  <c r="BI19" i="45"/>
  <c r="BJ19" i="45"/>
  <c r="BK19" i="45"/>
  <c r="BL19" i="45"/>
  <c r="BM19" i="45"/>
  <c r="BN19" i="45"/>
  <c r="BO19" i="45"/>
  <c r="BP19" i="45"/>
  <c r="BQ19" i="45"/>
  <c r="BR19" i="45"/>
  <c r="BS19" i="45"/>
  <c r="BT19" i="45"/>
  <c r="BU19" i="45"/>
  <c r="BV19" i="45"/>
  <c r="BW19" i="45"/>
  <c r="BX19" i="45"/>
  <c r="BY19" i="45"/>
  <c r="BZ19" i="45"/>
  <c r="CA19" i="45"/>
  <c r="CB19" i="45"/>
  <c r="CC19" i="45"/>
  <c r="CD19" i="45"/>
  <c r="CE19" i="45"/>
  <c r="CF19" i="45"/>
  <c r="CG19" i="45"/>
  <c r="CH19" i="45"/>
  <c r="CI19" i="45"/>
  <c r="CJ19" i="45"/>
  <c r="CK19" i="45"/>
  <c r="CL19" i="45"/>
  <c r="CM19" i="45"/>
  <c r="CN19" i="45"/>
  <c r="CO19" i="45"/>
  <c r="CP19" i="45"/>
  <c r="CQ19" i="45"/>
  <c r="CR19" i="45"/>
  <c r="CS19" i="45"/>
  <c r="CT19" i="45"/>
  <c r="CU19" i="45"/>
  <c r="CV19" i="45"/>
  <c r="CW19" i="45"/>
  <c r="CX19" i="45"/>
  <c r="CY19" i="45"/>
  <c r="CZ19" i="45"/>
  <c r="DA19" i="45"/>
  <c r="DB19" i="45"/>
  <c r="DC19" i="45"/>
  <c r="DD19" i="45"/>
  <c r="DE19" i="45"/>
  <c r="DF19" i="45"/>
  <c r="DG19" i="45"/>
  <c r="DH19" i="45"/>
  <c r="DI19" i="45"/>
  <c r="DJ19" i="45"/>
  <c r="DK19" i="45"/>
  <c r="DL19" i="45"/>
  <c r="DM19" i="45"/>
  <c r="DN19" i="45"/>
  <c r="DO19" i="45"/>
  <c r="DP19" i="45"/>
  <c r="DQ19" i="45"/>
  <c r="DR19" i="45"/>
  <c r="DS19" i="45"/>
  <c r="DT19" i="45"/>
  <c r="DU19" i="45"/>
  <c r="DV19" i="45"/>
  <c r="DW19" i="45"/>
  <c r="DX19" i="45"/>
  <c r="DY19" i="45"/>
  <c r="DZ19" i="45"/>
  <c r="EA19" i="45"/>
  <c r="EB19" i="45"/>
  <c r="EC19" i="45"/>
  <c r="ED19" i="45"/>
  <c r="EE19" i="45"/>
  <c r="EF19" i="45"/>
  <c r="EG19" i="45"/>
  <c r="EH19" i="45"/>
  <c r="EI19" i="45"/>
  <c r="EJ19" i="45"/>
  <c r="EK19" i="45"/>
  <c r="EL19" i="45"/>
  <c r="EM19" i="45"/>
  <c r="EN19" i="45"/>
  <c r="EO19" i="45"/>
  <c r="EP19" i="45"/>
  <c r="EQ19" i="45"/>
  <c r="ER19" i="45"/>
  <c r="ES19" i="45"/>
  <c r="ET19" i="45"/>
  <c r="EU19" i="45"/>
  <c r="EV19" i="45"/>
  <c r="EW19" i="45"/>
  <c r="EX19" i="45"/>
  <c r="EY19" i="45"/>
  <c r="EZ19" i="45"/>
  <c r="FA19" i="45"/>
  <c r="FB19" i="45"/>
  <c r="FC19" i="45"/>
  <c r="FD19" i="45"/>
  <c r="FE19" i="45"/>
  <c r="FF19" i="45"/>
  <c r="FG19" i="45"/>
  <c r="FH19" i="45"/>
  <c r="FI19" i="45"/>
  <c r="FJ19" i="45"/>
  <c r="FK19" i="45"/>
  <c r="FL19" i="45"/>
  <c r="FM19" i="45"/>
  <c r="FN19" i="45"/>
  <c r="FO19" i="45"/>
  <c r="FQ19" i="45"/>
  <c r="FR19" i="45"/>
  <c r="FS19" i="45"/>
  <c r="FT19" i="45"/>
  <c r="FU19" i="45"/>
  <c r="FV19" i="45"/>
  <c r="FW19" i="45"/>
  <c r="FX19" i="45"/>
  <c r="FY19" i="45"/>
  <c r="FZ19" i="45"/>
  <c r="GA19" i="45"/>
  <c r="C20" i="45"/>
  <c r="D20" i="45"/>
  <c r="E20" i="45"/>
  <c r="F20" i="45"/>
  <c r="G20" i="45"/>
  <c r="H20" i="45"/>
  <c r="I20" i="45"/>
  <c r="J20" i="45"/>
  <c r="K20" i="45"/>
  <c r="M20" i="45"/>
  <c r="N20" i="45"/>
  <c r="O20" i="45"/>
  <c r="P20" i="45"/>
  <c r="Q20" i="45"/>
  <c r="AD20" i="45"/>
  <c r="AE20" i="45"/>
  <c r="AF20" i="45"/>
  <c r="AG20" i="45"/>
  <c r="AH20" i="45"/>
  <c r="AI20" i="45"/>
  <c r="AJ20" i="45"/>
  <c r="AL20" i="45"/>
  <c r="AM20" i="45"/>
  <c r="AN20" i="45"/>
  <c r="AO20" i="45"/>
  <c r="AP20" i="45"/>
  <c r="AQ20" i="45"/>
  <c r="AR20" i="45"/>
  <c r="AS20" i="45"/>
  <c r="AT20" i="45"/>
  <c r="AU20" i="45"/>
  <c r="AV20" i="45"/>
  <c r="AW20" i="45"/>
  <c r="AX20" i="45"/>
  <c r="AY20" i="45"/>
  <c r="AZ20" i="45"/>
  <c r="BA20" i="45"/>
  <c r="BB20" i="45"/>
  <c r="BC20" i="45"/>
  <c r="BD20" i="45"/>
  <c r="BE20" i="45"/>
  <c r="BF20" i="45"/>
  <c r="BG20" i="45"/>
  <c r="BH20" i="45"/>
  <c r="BI20" i="45"/>
  <c r="BJ20" i="45"/>
  <c r="BK20" i="45"/>
  <c r="BL20" i="45"/>
  <c r="BM20" i="45"/>
  <c r="BN20" i="45"/>
  <c r="BO20" i="45"/>
  <c r="BP20" i="45"/>
  <c r="BQ20" i="45"/>
  <c r="BR20" i="45"/>
  <c r="BS20" i="45"/>
  <c r="BT20" i="45"/>
  <c r="BU20" i="45"/>
  <c r="BV20" i="45"/>
  <c r="BW20" i="45"/>
  <c r="BX20" i="45"/>
  <c r="BY20" i="45"/>
  <c r="BZ20" i="45"/>
  <c r="CA20" i="45"/>
  <c r="CB20" i="45"/>
  <c r="CC20" i="45"/>
  <c r="CD20" i="45"/>
  <c r="CE20" i="45"/>
  <c r="CF20" i="45"/>
  <c r="CG20" i="45"/>
  <c r="CH20" i="45"/>
  <c r="CI20" i="45"/>
  <c r="CJ20" i="45"/>
  <c r="CK20" i="45"/>
  <c r="CL20" i="45"/>
  <c r="CM20" i="45"/>
  <c r="CN20" i="45"/>
  <c r="CO20" i="45"/>
  <c r="CP20" i="45"/>
  <c r="CQ20" i="45"/>
  <c r="CR20" i="45"/>
  <c r="CS20" i="45"/>
  <c r="CT20" i="45"/>
  <c r="CU20" i="45"/>
  <c r="CV20" i="45"/>
  <c r="CW20" i="45"/>
  <c r="CX20" i="45"/>
  <c r="CY20" i="45"/>
  <c r="CZ20" i="45"/>
  <c r="DA20" i="45"/>
  <c r="DB20" i="45"/>
  <c r="DC20" i="45"/>
  <c r="DD20" i="45"/>
  <c r="DE20" i="45"/>
  <c r="DF20" i="45"/>
  <c r="DG20" i="45"/>
  <c r="DH20" i="45"/>
  <c r="DI20" i="45"/>
  <c r="DJ20" i="45"/>
  <c r="DK20" i="45"/>
  <c r="DL20" i="45"/>
  <c r="DM20" i="45"/>
  <c r="DN20" i="45"/>
  <c r="DO20" i="45"/>
  <c r="DP20" i="45"/>
  <c r="DQ20" i="45"/>
  <c r="DR20" i="45"/>
  <c r="DS20" i="45"/>
  <c r="DT20" i="45"/>
  <c r="DU20" i="45"/>
  <c r="DV20" i="45"/>
  <c r="DW20" i="45"/>
  <c r="DX20" i="45"/>
  <c r="DY20" i="45"/>
  <c r="DZ20" i="45"/>
  <c r="EA20" i="45"/>
  <c r="EB20" i="45"/>
  <c r="EC20" i="45"/>
  <c r="ED20" i="45"/>
  <c r="EE20" i="45"/>
  <c r="EF20" i="45"/>
  <c r="EG20" i="45"/>
  <c r="EH20" i="45"/>
  <c r="EI20" i="45"/>
  <c r="EJ20" i="45"/>
  <c r="EK20" i="45"/>
  <c r="EL20" i="45"/>
  <c r="EM20" i="45"/>
  <c r="EN20" i="45"/>
  <c r="EO20" i="45"/>
  <c r="EP20" i="45"/>
  <c r="EQ20" i="45"/>
  <c r="ER20" i="45"/>
  <c r="ES20" i="45"/>
  <c r="ET20" i="45"/>
  <c r="EU20" i="45"/>
  <c r="EV20" i="45"/>
  <c r="EW20" i="45"/>
  <c r="EX20" i="45"/>
  <c r="EY20" i="45"/>
  <c r="EZ20" i="45"/>
  <c r="FA20" i="45"/>
  <c r="FB20" i="45"/>
  <c r="FC20" i="45"/>
  <c r="FD20" i="45"/>
  <c r="FE20" i="45"/>
  <c r="FF20" i="45"/>
  <c r="FG20" i="45"/>
  <c r="FH20" i="45"/>
  <c r="FI20" i="45"/>
  <c r="FJ20" i="45"/>
  <c r="FK20" i="45"/>
  <c r="FL20" i="45"/>
  <c r="FM20" i="45"/>
  <c r="FN20" i="45"/>
  <c r="FO20" i="45"/>
  <c r="FQ20" i="45"/>
  <c r="FR20" i="45"/>
  <c r="FS20" i="45"/>
  <c r="FT20" i="45"/>
  <c r="FU20" i="45"/>
  <c r="FV20" i="45"/>
  <c r="FW20" i="45"/>
  <c r="FX20" i="45"/>
  <c r="FY20" i="45"/>
  <c r="FZ20" i="45"/>
  <c r="GA20" i="45"/>
  <c r="C21" i="45"/>
  <c r="D21" i="45"/>
  <c r="E21" i="45"/>
  <c r="F21" i="45"/>
  <c r="G21" i="45"/>
  <c r="H21" i="45"/>
  <c r="I21" i="45"/>
  <c r="J21" i="45"/>
  <c r="K21" i="45"/>
  <c r="M21" i="45"/>
  <c r="N21" i="45"/>
  <c r="O21" i="45"/>
  <c r="P21" i="45"/>
  <c r="Q21" i="45"/>
  <c r="AD21" i="45"/>
  <c r="AE21" i="45"/>
  <c r="AF21" i="45"/>
  <c r="AG21" i="45"/>
  <c r="AH21" i="45"/>
  <c r="AI21" i="45"/>
  <c r="AJ21" i="45"/>
  <c r="AL21" i="45"/>
  <c r="AM21" i="45"/>
  <c r="AN21" i="45"/>
  <c r="AO21" i="45"/>
  <c r="AP21" i="45"/>
  <c r="AQ21" i="45"/>
  <c r="AR21" i="45"/>
  <c r="AS21" i="45"/>
  <c r="AT21" i="45"/>
  <c r="AU21" i="45"/>
  <c r="AV21" i="45"/>
  <c r="AW21" i="45"/>
  <c r="AX21" i="45"/>
  <c r="AY21" i="45"/>
  <c r="AZ21" i="45"/>
  <c r="BA21" i="45"/>
  <c r="BB21" i="45"/>
  <c r="BC21" i="45"/>
  <c r="BD21" i="45"/>
  <c r="BE21" i="45"/>
  <c r="BF21" i="45"/>
  <c r="BG21" i="45"/>
  <c r="BH21" i="45"/>
  <c r="BI21" i="45"/>
  <c r="BJ21" i="45"/>
  <c r="BK21" i="45"/>
  <c r="BL21" i="45"/>
  <c r="BM21" i="45"/>
  <c r="BN21" i="45"/>
  <c r="BO21" i="45"/>
  <c r="BP21" i="45"/>
  <c r="BQ21" i="45"/>
  <c r="BR21" i="45"/>
  <c r="BS21" i="45"/>
  <c r="BT21" i="45"/>
  <c r="BU21" i="45"/>
  <c r="BV21" i="45"/>
  <c r="BW21" i="45"/>
  <c r="BX21" i="45"/>
  <c r="BY21" i="45"/>
  <c r="BZ21" i="45"/>
  <c r="CA21" i="45"/>
  <c r="CB21" i="45"/>
  <c r="CC21" i="45"/>
  <c r="CD21" i="45"/>
  <c r="CE21" i="45"/>
  <c r="CF21" i="45"/>
  <c r="CG21" i="45"/>
  <c r="CH21" i="45"/>
  <c r="CI21" i="45"/>
  <c r="CJ21" i="45"/>
  <c r="CK21" i="45"/>
  <c r="CL21" i="45"/>
  <c r="CM21" i="45"/>
  <c r="CN21" i="45"/>
  <c r="CO21" i="45"/>
  <c r="CP21" i="45"/>
  <c r="CQ21" i="45"/>
  <c r="CR21" i="45"/>
  <c r="CS21" i="45"/>
  <c r="CT21" i="45"/>
  <c r="CU21" i="45"/>
  <c r="CV21" i="45"/>
  <c r="CW21" i="45"/>
  <c r="CX21" i="45"/>
  <c r="CY21" i="45"/>
  <c r="CZ21" i="45"/>
  <c r="DA21" i="45"/>
  <c r="DB21" i="45"/>
  <c r="DC21" i="45"/>
  <c r="DD21" i="45"/>
  <c r="DE21" i="45"/>
  <c r="DF21" i="45"/>
  <c r="DG21" i="45"/>
  <c r="DH21" i="45"/>
  <c r="DI21" i="45"/>
  <c r="DJ21" i="45"/>
  <c r="DK21" i="45"/>
  <c r="DL21" i="45"/>
  <c r="DM21" i="45"/>
  <c r="DN21" i="45"/>
  <c r="DO21" i="45"/>
  <c r="DP21" i="45"/>
  <c r="DQ21" i="45"/>
  <c r="DR21" i="45"/>
  <c r="DS21" i="45"/>
  <c r="DT21" i="45"/>
  <c r="DU21" i="45"/>
  <c r="DV21" i="45"/>
  <c r="DW21" i="45"/>
  <c r="DX21" i="45"/>
  <c r="DY21" i="45"/>
  <c r="DZ21" i="45"/>
  <c r="EA21" i="45"/>
  <c r="EB21" i="45"/>
  <c r="EC21" i="45"/>
  <c r="ED21" i="45"/>
  <c r="EE21" i="45"/>
  <c r="EF21" i="45"/>
  <c r="EG21" i="45"/>
  <c r="EH21" i="45"/>
  <c r="EI21" i="45"/>
  <c r="EJ21" i="45"/>
  <c r="EK21" i="45"/>
  <c r="EL21" i="45"/>
  <c r="EM21" i="45"/>
  <c r="EN21" i="45"/>
  <c r="EO21" i="45"/>
  <c r="EP21" i="45"/>
  <c r="EQ21" i="45"/>
  <c r="ER21" i="45"/>
  <c r="ES21" i="45"/>
  <c r="ET21" i="45"/>
  <c r="EU21" i="45"/>
  <c r="EV21" i="45"/>
  <c r="EW21" i="45"/>
  <c r="EX21" i="45"/>
  <c r="EY21" i="45"/>
  <c r="EZ21" i="45"/>
  <c r="FA21" i="45"/>
  <c r="FB21" i="45"/>
  <c r="FC21" i="45"/>
  <c r="FD21" i="45"/>
  <c r="FE21" i="45"/>
  <c r="FF21" i="45"/>
  <c r="FG21" i="45"/>
  <c r="FH21" i="45"/>
  <c r="FI21" i="45"/>
  <c r="FJ21" i="45"/>
  <c r="FK21" i="45"/>
  <c r="FL21" i="45"/>
  <c r="FM21" i="45"/>
  <c r="FN21" i="45"/>
  <c r="FO21" i="45"/>
  <c r="FQ21" i="45"/>
  <c r="FR21" i="45"/>
  <c r="FS21" i="45"/>
  <c r="FT21" i="45"/>
  <c r="FU21" i="45"/>
  <c r="FV21" i="45"/>
  <c r="FW21" i="45"/>
  <c r="FX21" i="45"/>
  <c r="FY21" i="45"/>
  <c r="FZ21" i="45"/>
  <c r="GA21" i="45"/>
  <c r="C22" i="45"/>
  <c r="D22" i="45"/>
  <c r="E22" i="45"/>
  <c r="F22" i="45"/>
  <c r="G22" i="45"/>
  <c r="H22" i="45"/>
  <c r="I22" i="45"/>
  <c r="J22" i="45"/>
  <c r="K22" i="45"/>
  <c r="M22" i="45"/>
  <c r="N22" i="45"/>
  <c r="O22" i="45"/>
  <c r="P22" i="45"/>
  <c r="Q22" i="45"/>
  <c r="AD22" i="45"/>
  <c r="AE22" i="45"/>
  <c r="AF22" i="45"/>
  <c r="AG22" i="45"/>
  <c r="AH22" i="45"/>
  <c r="AI22" i="45"/>
  <c r="AJ22" i="45"/>
  <c r="AL22" i="45"/>
  <c r="AM22" i="45"/>
  <c r="AN22" i="45"/>
  <c r="AO22" i="45"/>
  <c r="AP22" i="45"/>
  <c r="AQ22" i="45"/>
  <c r="AR22" i="45"/>
  <c r="AS22" i="45"/>
  <c r="AT22" i="45"/>
  <c r="AU22" i="45"/>
  <c r="AV22" i="45"/>
  <c r="AW22" i="45"/>
  <c r="AX22" i="45"/>
  <c r="AY22" i="45"/>
  <c r="AZ22" i="45"/>
  <c r="BA22" i="45"/>
  <c r="BB22" i="45"/>
  <c r="BC22" i="45"/>
  <c r="BD22" i="45"/>
  <c r="BE22" i="45"/>
  <c r="BF22" i="45"/>
  <c r="BG22" i="45"/>
  <c r="BH22" i="45"/>
  <c r="BI22" i="45"/>
  <c r="BJ22" i="45"/>
  <c r="BK22" i="45"/>
  <c r="BL22" i="45"/>
  <c r="BM22" i="45"/>
  <c r="BN22" i="45"/>
  <c r="BO22" i="45"/>
  <c r="BP22" i="45"/>
  <c r="BQ22" i="45"/>
  <c r="BR22" i="45"/>
  <c r="BS22" i="45"/>
  <c r="BT22" i="45"/>
  <c r="BU22" i="45"/>
  <c r="BV22" i="45"/>
  <c r="BW22" i="45"/>
  <c r="BX22" i="45"/>
  <c r="BY22" i="45"/>
  <c r="BZ22" i="45"/>
  <c r="CA22" i="45"/>
  <c r="CB22" i="45"/>
  <c r="CC22" i="45"/>
  <c r="CD22" i="45"/>
  <c r="CE22" i="45"/>
  <c r="CF22" i="45"/>
  <c r="CG22" i="45"/>
  <c r="CH22" i="45"/>
  <c r="CI22" i="45"/>
  <c r="CJ22" i="45"/>
  <c r="CK22" i="45"/>
  <c r="CL22" i="45"/>
  <c r="CM22" i="45"/>
  <c r="CN22" i="45"/>
  <c r="CO22" i="45"/>
  <c r="CP22" i="45"/>
  <c r="CQ22" i="45"/>
  <c r="CR22" i="45"/>
  <c r="CS22" i="45"/>
  <c r="CT22" i="45"/>
  <c r="CU22" i="45"/>
  <c r="CV22" i="45"/>
  <c r="CW22" i="45"/>
  <c r="CX22" i="45"/>
  <c r="CY22" i="45"/>
  <c r="CZ22" i="45"/>
  <c r="DA22" i="45"/>
  <c r="DB22" i="45"/>
  <c r="DC22" i="45"/>
  <c r="DD22" i="45"/>
  <c r="DE22" i="45"/>
  <c r="DF22" i="45"/>
  <c r="DG22" i="45"/>
  <c r="DH22" i="45"/>
  <c r="DI22" i="45"/>
  <c r="DJ22" i="45"/>
  <c r="DK22" i="45"/>
  <c r="DL22" i="45"/>
  <c r="DM22" i="45"/>
  <c r="DN22" i="45"/>
  <c r="DO22" i="45"/>
  <c r="DP22" i="45"/>
  <c r="DQ22" i="45"/>
  <c r="DR22" i="45"/>
  <c r="DS22" i="45"/>
  <c r="DT22" i="45"/>
  <c r="DU22" i="45"/>
  <c r="DV22" i="45"/>
  <c r="DW22" i="45"/>
  <c r="DX22" i="45"/>
  <c r="DY22" i="45"/>
  <c r="DZ22" i="45"/>
  <c r="EA22" i="45"/>
  <c r="EB22" i="45"/>
  <c r="EC22" i="45"/>
  <c r="ED22" i="45"/>
  <c r="EE22" i="45"/>
  <c r="EF22" i="45"/>
  <c r="EG22" i="45"/>
  <c r="EH22" i="45"/>
  <c r="EI22" i="45"/>
  <c r="EJ22" i="45"/>
  <c r="EK22" i="45"/>
  <c r="EL22" i="45"/>
  <c r="EM22" i="45"/>
  <c r="EN22" i="45"/>
  <c r="EO22" i="45"/>
  <c r="EP22" i="45"/>
  <c r="EQ22" i="45"/>
  <c r="ER22" i="45"/>
  <c r="ES22" i="45"/>
  <c r="ET22" i="45"/>
  <c r="EU22" i="45"/>
  <c r="EV22" i="45"/>
  <c r="EW22" i="45"/>
  <c r="EX22" i="45"/>
  <c r="EY22" i="45"/>
  <c r="EZ22" i="45"/>
  <c r="FA22" i="45"/>
  <c r="FB22" i="45"/>
  <c r="FC22" i="45"/>
  <c r="FD22" i="45"/>
  <c r="FE22" i="45"/>
  <c r="FF22" i="45"/>
  <c r="FG22" i="45"/>
  <c r="FH22" i="45"/>
  <c r="FI22" i="45"/>
  <c r="FJ22" i="45"/>
  <c r="FK22" i="45"/>
  <c r="FL22" i="45"/>
  <c r="FM22" i="45"/>
  <c r="FN22" i="45"/>
  <c r="FO22" i="45"/>
  <c r="FQ22" i="45"/>
  <c r="FR22" i="45"/>
  <c r="FS22" i="45"/>
  <c r="FT22" i="45"/>
  <c r="FU22" i="45"/>
  <c r="FV22" i="45"/>
  <c r="FW22" i="45"/>
  <c r="FX22" i="45"/>
  <c r="FY22" i="45"/>
  <c r="FZ22" i="45"/>
  <c r="GA22" i="45"/>
  <c r="C23" i="45"/>
  <c r="D23" i="45"/>
  <c r="E23" i="45"/>
  <c r="F23" i="45"/>
  <c r="G23" i="45"/>
  <c r="H23" i="45"/>
  <c r="I23" i="45"/>
  <c r="J23" i="45"/>
  <c r="K23" i="45"/>
  <c r="M23" i="45"/>
  <c r="N23" i="45"/>
  <c r="O23" i="45"/>
  <c r="P23" i="45"/>
  <c r="Q23" i="45"/>
  <c r="AD23" i="45"/>
  <c r="AE23" i="45"/>
  <c r="AF23" i="45"/>
  <c r="AG23" i="45"/>
  <c r="AH23" i="45"/>
  <c r="AI23" i="45"/>
  <c r="AJ23" i="45"/>
  <c r="AL23" i="45"/>
  <c r="AM23" i="45"/>
  <c r="AN23" i="45"/>
  <c r="AO23" i="45"/>
  <c r="AP23" i="45"/>
  <c r="AQ23" i="45"/>
  <c r="AR23" i="45"/>
  <c r="AS23" i="45"/>
  <c r="AT23" i="45"/>
  <c r="AU23" i="45"/>
  <c r="AV23" i="45"/>
  <c r="AW23" i="45"/>
  <c r="AX23" i="45"/>
  <c r="AY23" i="45"/>
  <c r="AZ23" i="45"/>
  <c r="BA23" i="45"/>
  <c r="BB23" i="45"/>
  <c r="BC23" i="45"/>
  <c r="BD23" i="45"/>
  <c r="BE23" i="45"/>
  <c r="BF23" i="45"/>
  <c r="BG23" i="45"/>
  <c r="BH23" i="45"/>
  <c r="BI23" i="45"/>
  <c r="BJ23" i="45"/>
  <c r="BK23" i="45"/>
  <c r="BL23" i="45"/>
  <c r="BM23" i="45"/>
  <c r="BN23" i="45"/>
  <c r="BO23" i="45"/>
  <c r="BP23" i="45"/>
  <c r="BQ23" i="45"/>
  <c r="BR23" i="45"/>
  <c r="BS23" i="45"/>
  <c r="BT23" i="45"/>
  <c r="BU23" i="45"/>
  <c r="BV23" i="45"/>
  <c r="BW23" i="45"/>
  <c r="BX23" i="45"/>
  <c r="BY23" i="45"/>
  <c r="BZ23" i="45"/>
  <c r="CA23" i="45"/>
  <c r="CB23" i="45"/>
  <c r="CC23" i="45"/>
  <c r="CD23" i="45"/>
  <c r="CE23" i="45"/>
  <c r="CF23" i="45"/>
  <c r="CG23" i="45"/>
  <c r="CH23" i="45"/>
  <c r="CI23" i="45"/>
  <c r="CJ23" i="45"/>
  <c r="CK23" i="45"/>
  <c r="CL23" i="45"/>
  <c r="CM23" i="45"/>
  <c r="CN23" i="45"/>
  <c r="CO23" i="45"/>
  <c r="CP23" i="45"/>
  <c r="CQ23" i="45"/>
  <c r="CR23" i="45"/>
  <c r="CS23" i="45"/>
  <c r="CT23" i="45"/>
  <c r="CU23" i="45"/>
  <c r="CV23" i="45"/>
  <c r="CW23" i="45"/>
  <c r="CX23" i="45"/>
  <c r="CY23" i="45"/>
  <c r="CZ23" i="45"/>
  <c r="DA23" i="45"/>
  <c r="DB23" i="45"/>
  <c r="DC23" i="45"/>
  <c r="DD23" i="45"/>
  <c r="DE23" i="45"/>
  <c r="DF23" i="45"/>
  <c r="DG23" i="45"/>
  <c r="DH23" i="45"/>
  <c r="DI23" i="45"/>
  <c r="DJ23" i="45"/>
  <c r="DK23" i="45"/>
  <c r="DL23" i="45"/>
  <c r="DM23" i="45"/>
  <c r="DN23" i="45"/>
  <c r="DO23" i="45"/>
  <c r="DP23" i="45"/>
  <c r="DQ23" i="45"/>
  <c r="DR23" i="45"/>
  <c r="DS23" i="45"/>
  <c r="DT23" i="45"/>
  <c r="DU23" i="45"/>
  <c r="DV23" i="45"/>
  <c r="DW23" i="45"/>
  <c r="DX23" i="45"/>
  <c r="DY23" i="45"/>
  <c r="DZ23" i="45"/>
  <c r="EA23" i="45"/>
  <c r="EB23" i="45"/>
  <c r="EC23" i="45"/>
  <c r="ED23" i="45"/>
  <c r="EE23" i="45"/>
  <c r="EF23" i="45"/>
  <c r="EG23" i="45"/>
  <c r="EH23" i="45"/>
  <c r="EI23" i="45"/>
  <c r="EJ23" i="45"/>
  <c r="EK23" i="45"/>
  <c r="EL23" i="45"/>
  <c r="EM23" i="45"/>
  <c r="EN23" i="45"/>
  <c r="EO23" i="45"/>
  <c r="EP23" i="45"/>
  <c r="EQ23" i="45"/>
  <c r="ER23" i="45"/>
  <c r="ES23" i="45"/>
  <c r="ET23" i="45"/>
  <c r="EU23" i="45"/>
  <c r="EV23" i="45"/>
  <c r="EW23" i="45"/>
  <c r="EX23" i="45"/>
  <c r="EY23" i="45"/>
  <c r="EZ23" i="45"/>
  <c r="FA23" i="45"/>
  <c r="FB23" i="45"/>
  <c r="FC23" i="45"/>
  <c r="FD23" i="45"/>
  <c r="FE23" i="45"/>
  <c r="FF23" i="45"/>
  <c r="FG23" i="45"/>
  <c r="FH23" i="45"/>
  <c r="FI23" i="45"/>
  <c r="FJ23" i="45"/>
  <c r="FK23" i="45"/>
  <c r="FL23" i="45"/>
  <c r="FM23" i="45"/>
  <c r="FN23" i="45"/>
  <c r="FO23" i="45"/>
  <c r="FQ23" i="45"/>
  <c r="FR23" i="45"/>
  <c r="FS23" i="45"/>
  <c r="FT23" i="45"/>
  <c r="FU23" i="45"/>
  <c r="FV23" i="45"/>
  <c r="FW23" i="45"/>
  <c r="FX23" i="45"/>
  <c r="FY23" i="45"/>
  <c r="FZ23" i="45"/>
  <c r="GA23" i="45"/>
  <c r="C24" i="45"/>
  <c r="D24" i="45"/>
  <c r="E24" i="45"/>
  <c r="F24" i="45"/>
  <c r="G24" i="45"/>
  <c r="H24" i="45"/>
  <c r="I24" i="45"/>
  <c r="J24" i="45"/>
  <c r="K24" i="45"/>
  <c r="M24" i="45"/>
  <c r="N24" i="45"/>
  <c r="O24" i="45"/>
  <c r="P24" i="45"/>
  <c r="Q24" i="45"/>
  <c r="AD24" i="45"/>
  <c r="AE24" i="45"/>
  <c r="AF24" i="45"/>
  <c r="AG24" i="45"/>
  <c r="AH24" i="45"/>
  <c r="AI24" i="45"/>
  <c r="AJ24" i="45"/>
  <c r="AL24" i="45"/>
  <c r="AM24" i="45"/>
  <c r="AN24" i="45"/>
  <c r="AO24" i="45"/>
  <c r="AP24" i="45"/>
  <c r="AQ24" i="45"/>
  <c r="AR24" i="45"/>
  <c r="AS24" i="45"/>
  <c r="AT24" i="45"/>
  <c r="AU24" i="45"/>
  <c r="AV24" i="45"/>
  <c r="AW24" i="45"/>
  <c r="AX24" i="45"/>
  <c r="AY24" i="45"/>
  <c r="AZ24" i="45"/>
  <c r="BA24" i="45"/>
  <c r="BB24" i="45"/>
  <c r="BC24" i="45"/>
  <c r="BD24" i="45"/>
  <c r="BE24" i="45"/>
  <c r="BF24" i="45"/>
  <c r="BG24" i="45"/>
  <c r="BH24" i="45"/>
  <c r="BI24" i="45"/>
  <c r="BJ24" i="45"/>
  <c r="BK24" i="45"/>
  <c r="BL24" i="45"/>
  <c r="BM24" i="45"/>
  <c r="BN24" i="45"/>
  <c r="BO24" i="45"/>
  <c r="BP24" i="45"/>
  <c r="BQ24" i="45"/>
  <c r="BR24" i="45"/>
  <c r="BS24" i="45"/>
  <c r="BT24" i="45"/>
  <c r="BU24" i="45"/>
  <c r="BV24" i="45"/>
  <c r="BW24" i="45"/>
  <c r="BX24" i="45"/>
  <c r="BY24" i="45"/>
  <c r="BZ24" i="45"/>
  <c r="CA24" i="45"/>
  <c r="CB24" i="45"/>
  <c r="CC24" i="45"/>
  <c r="CD24" i="45"/>
  <c r="CE24" i="45"/>
  <c r="CF24" i="45"/>
  <c r="CG24" i="45"/>
  <c r="CH24" i="45"/>
  <c r="CI24" i="45"/>
  <c r="CJ24" i="45"/>
  <c r="CK24" i="45"/>
  <c r="CL24" i="45"/>
  <c r="CM24" i="45"/>
  <c r="CN24" i="45"/>
  <c r="CO24" i="45"/>
  <c r="CP24" i="45"/>
  <c r="CQ24" i="45"/>
  <c r="CR24" i="45"/>
  <c r="CS24" i="45"/>
  <c r="CT24" i="45"/>
  <c r="CU24" i="45"/>
  <c r="CV24" i="45"/>
  <c r="CW24" i="45"/>
  <c r="CX24" i="45"/>
  <c r="CY24" i="45"/>
  <c r="CZ24" i="45"/>
  <c r="DA24" i="45"/>
  <c r="DB24" i="45"/>
  <c r="DC24" i="45"/>
  <c r="DD24" i="45"/>
  <c r="DE24" i="45"/>
  <c r="DF24" i="45"/>
  <c r="DG24" i="45"/>
  <c r="DH24" i="45"/>
  <c r="DI24" i="45"/>
  <c r="DJ24" i="45"/>
  <c r="DK24" i="45"/>
  <c r="DL24" i="45"/>
  <c r="DM24" i="45"/>
  <c r="DN24" i="45"/>
  <c r="DO24" i="45"/>
  <c r="DP24" i="45"/>
  <c r="DQ24" i="45"/>
  <c r="DR24" i="45"/>
  <c r="DS24" i="45"/>
  <c r="DT24" i="45"/>
  <c r="DU24" i="45"/>
  <c r="DV24" i="45"/>
  <c r="DW24" i="45"/>
  <c r="DX24" i="45"/>
  <c r="DY24" i="45"/>
  <c r="DZ24" i="45"/>
  <c r="EA24" i="45"/>
  <c r="EB24" i="45"/>
  <c r="EC24" i="45"/>
  <c r="ED24" i="45"/>
  <c r="EE24" i="45"/>
  <c r="EF24" i="45"/>
  <c r="EG24" i="45"/>
  <c r="EH24" i="45"/>
  <c r="EI24" i="45"/>
  <c r="EJ24" i="45"/>
  <c r="EK24" i="45"/>
  <c r="EL24" i="45"/>
  <c r="EM24" i="45"/>
  <c r="EN24" i="45"/>
  <c r="EO24" i="45"/>
  <c r="EP24" i="45"/>
  <c r="EQ24" i="45"/>
  <c r="ER24" i="45"/>
  <c r="ES24" i="45"/>
  <c r="ET24" i="45"/>
  <c r="EU24" i="45"/>
  <c r="EV24" i="45"/>
  <c r="EW24" i="45"/>
  <c r="EX24" i="45"/>
  <c r="EY24" i="45"/>
  <c r="EZ24" i="45"/>
  <c r="FA24" i="45"/>
  <c r="FB24" i="45"/>
  <c r="FC24" i="45"/>
  <c r="FD24" i="45"/>
  <c r="FE24" i="45"/>
  <c r="FF24" i="45"/>
  <c r="FG24" i="45"/>
  <c r="FH24" i="45"/>
  <c r="FI24" i="45"/>
  <c r="FJ24" i="45"/>
  <c r="FK24" i="45"/>
  <c r="FL24" i="45"/>
  <c r="FM24" i="45"/>
  <c r="FN24" i="45"/>
  <c r="FO24" i="45"/>
  <c r="FQ24" i="45"/>
  <c r="FR24" i="45"/>
  <c r="FS24" i="45"/>
  <c r="FT24" i="45"/>
  <c r="FU24" i="45"/>
  <c r="FV24" i="45"/>
  <c r="FW24" i="45"/>
  <c r="FX24" i="45"/>
  <c r="FY24" i="45"/>
  <c r="FZ24" i="45"/>
  <c r="GA24" i="45"/>
  <c r="C25" i="45"/>
  <c r="D25" i="45"/>
  <c r="E25" i="45"/>
  <c r="F25" i="45"/>
  <c r="G25" i="45"/>
  <c r="H25" i="45"/>
  <c r="I25" i="45"/>
  <c r="J25" i="45"/>
  <c r="K25" i="45"/>
  <c r="M25" i="45"/>
  <c r="N25" i="45"/>
  <c r="O25" i="45"/>
  <c r="P25" i="45"/>
  <c r="Q25" i="45"/>
  <c r="AD25" i="45"/>
  <c r="AE25" i="45"/>
  <c r="AF25" i="45"/>
  <c r="AG25" i="45"/>
  <c r="AH25" i="45"/>
  <c r="AI25" i="45"/>
  <c r="AJ25" i="45"/>
  <c r="AL25" i="45"/>
  <c r="AM25" i="45"/>
  <c r="AN25" i="45"/>
  <c r="AO25" i="45"/>
  <c r="AP25" i="45"/>
  <c r="AQ25" i="45"/>
  <c r="AR25" i="45"/>
  <c r="AS25" i="45"/>
  <c r="AT25" i="45"/>
  <c r="AU25" i="45"/>
  <c r="AV25" i="45"/>
  <c r="AW25" i="45"/>
  <c r="AX25" i="45"/>
  <c r="AY25" i="45"/>
  <c r="AZ25" i="45"/>
  <c r="BA25" i="45"/>
  <c r="BB25" i="45"/>
  <c r="BC25" i="45"/>
  <c r="BD25" i="45"/>
  <c r="BE25" i="45"/>
  <c r="BF25" i="45"/>
  <c r="BG25" i="45"/>
  <c r="BH25" i="45"/>
  <c r="BI25" i="45"/>
  <c r="BJ25" i="45"/>
  <c r="BK25" i="45"/>
  <c r="BL25" i="45"/>
  <c r="BM25" i="45"/>
  <c r="BN25" i="45"/>
  <c r="BO25" i="45"/>
  <c r="BP25" i="45"/>
  <c r="BQ25" i="45"/>
  <c r="BR25" i="45"/>
  <c r="BS25" i="45"/>
  <c r="BT25" i="45"/>
  <c r="BU25" i="45"/>
  <c r="BV25" i="45"/>
  <c r="BW25" i="45"/>
  <c r="BX25" i="45"/>
  <c r="BY25" i="45"/>
  <c r="BZ25" i="45"/>
  <c r="CA25" i="45"/>
  <c r="CB25" i="45"/>
  <c r="CC25" i="45"/>
  <c r="CD25" i="45"/>
  <c r="CE25" i="45"/>
  <c r="CF25" i="45"/>
  <c r="CG25" i="45"/>
  <c r="CH25" i="45"/>
  <c r="CI25" i="45"/>
  <c r="CJ25" i="45"/>
  <c r="CK25" i="45"/>
  <c r="CL25" i="45"/>
  <c r="CM25" i="45"/>
  <c r="CN25" i="45"/>
  <c r="CO25" i="45"/>
  <c r="CP25" i="45"/>
  <c r="CQ25" i="45"/>
  <c r="CR25" i="45"/>
  <c r="CS25" i="45"/>
  <c r="CT25" i="45"/>
  <c r="CU25" i="45"/>
  <c r="CV25" i="45"/>
  <c r="CW25" i="45"/>
  <c r="CX25" i="45"/>
  <c r="CY25" i="45"/>
  <c r="CZ25" i="45"/>
  <c r="DA25" i="45"/>
  <c r="DB25" i="45"/>
  <c r="DC25" i="45"/>
  <c r="DD25" i="45"/>
  <c r="DE25" i="45"/>
  <c r="DF25" i="45"/>
  <c r="DG25" i="45"/>
  <c r="DH25" i="45"/>
  <c r="DI25" i="45"/>
  <c r="DJ25" i="45"/>
  <c r="DK25" i="45"/>
  <c r="DL25" i="45"/>
  <c r="DM25" i="45"/>
  <c r="DN25" i="45"/>
  <c r="DO25" i="45"/>
  <c r="DP25" i="45"/>
  <c r="DQ25" i="45"/>
  <c r="DR25" i="45"/>
  <c r="DS25" i="45"/>
  <c r="DT25" i="45"/>
  <c r="DU25" i="45"/>
  <c r="DV25" i="45"/>
  <c r="DW25" i="45"/>
  <c r="DX25" i="45"/>
  <c r="DY25" i="45"/>
  <c r="DZ25" i="45"/>
  <c r="EA25" i="45"/>
  <c r="EB25" i="45"/>
  <c r="EC25" i="45"/>
  <c r="ED25" i="45"/>
  <c r="EE25" i="45"/>
  <c r="EF25" i="45"/>
  <c r="EG25" i="45"/>
  <c r="EH25" i="45"/>
  <c r="EI25" i="45"/>
  <c r="EJ25" i="45"/>
  <c r="EK25" i="45"/>
  <c r="EL25" i="45"/>
  <c r="EM25" i="45"/>
  <c r="EN25" i="45"/>
  <c r="EO25" i="45"/>
  <c r="EP25" i="45"/>
  <c r="EQ25" i="45"/>
  <c r="ER25" i="45"/>
  <c r="ES25" i="45"/>
  <c r="ET25" i="45"/>
  <c r="EU25" i="45"/>
  <c r="EV25" i="45"/>
  <c r="EW25" i="45"/>
  <c r="EX25" i="45"/>
  <c r="EY25" i="45"/>
  <c r="EZ25" i="45"/>
  <c r="FA25" i="45"/>
  <c r="FB25" i="45"/>
  <c r="FC25" i="45"/>
  <c r="FD25" i="45"/>
  <c r="FE25" i="45"/>
  <c r="FF25" i="45"/>
  <c r="FG25" i="45"/>
  <c r="FH25" i="45"/>
  <c r="FI25" i="45"/>
  <c r="FJ25" i="45"/>
  <c r="FK25" i="45"/>
  <c r="FL25" i="45"/>
  <c r="FM25" i="45"/>
  <c r="FN25" i="45"/>
  <c r="FO25" i="45"/>
  <c r="FQ25" i="45"/>
  <c r="FR25" i="45"/>
  <c r="FS25" i="45"/>
  <c r="FT25" i="45"/>
  <c r="FU25" i="45"/>
  <c r="FV25" i="45"/>
  <c r="FW25" i="45"/>
  <c r="FX25" i="45"/>
  <c r="FY25" i="45"/>
  <c r="FZ25" i="45"/>
  <c r="GA25" i="45"/>
  <c r="C26" i="45"/>
  <c r="D26" i="45"/>
  <c r="E26" i="45"/>
  <c r="F26" i="45"/>
  <c r="G26" i="45"/>
  <c r="H26" i="45"/>
  <c r="I26" i="45"/>
  <c r="J26" i="45"/>
  <c r="K26" i="45"/>
  <c r="M26" i="45"/>
  <c r="N26" i="45"/>
  <c r="O26" i="45"/>
  <c r="P26" i="45"/>
  <c r="Q26" i="45"/>
  <c r="AD26" i="45"/>
  <c r="AE26" i="45"/>
  <c r="AF26" i="45"/>
  <c r="AG26" i="45"/>
  <c r="AH26" i="45"/>
  <c r="AI26" i="45"/>
  <c r="AJ26" i="45"/>
  <c r="AL26" i="45"/>
  <c r="AM26" i="45"/>
  <c r="AN26" i="45"/>
  <c r="AO26" i="45"/>
  <c r="AP26" i="45"/>
  <c r="AQ26" i="45"/>
  <c r="AR26" i="45"/>
  <c r="AS26" i="45"/>
  <c r="AT26" i="45"/>
  <c r="AU26" i="45"/>
  <c r="AV26" i="45"/>
  <c r="AW26" i="45"/>
  <c r="AX26" i="45"/>
  <c r="AY26" i="45"/>
  <c r="AZ26" i="45"/>
  <c r="BA26" i="45"/>
  <c r="BB26" i="45"/>
  <c r="BC26" i="45"/>
  <c r="BD26" i="45"/>
  <c r="BE26" i="45"/>
  <c r="BF26" i="45"/>
  <c r="BG26" i="45"/>
  <c r="BH26" i="45"/>
  <c r="BI26" i="45"/>
  <c r="BJ26" i="45"/>
  <c r="BK26" i="45"/>
  <c r="BL26" i="45"/>
  <c r="BM26" i="45"/>
  <c r="BN26" i="45"/>
  <c r="BO26" i="45"/>
  <c r="BP26" i="45"/>
  <c r="BQ26" i="45"/>
  <c r="BR26" i="45"/>
  <c r="BS26" i="45"/>
  <c r="BT26" i="45"/>
  <c r="BU26" i="45"/>
  <c r="BV26" i="45"/>
  <c r="BW26" i="45"/>
  <c r="BX26" i="45"/>
  <c r="BY26" i="45"/>
  <c r="BZ26" i="45"/>
  <c r="CA26" i="45"/>
  <c r="CB26" i="45"/>
  <c r="CC26" i="45"/>
  <c r="CD26" i="45"/>
  <c r="CE26" i="45"/>
  <c r="CF26" i="45"/>
  <c r="CG26" i="45"/>
  <c r="CH26" i="45"/>
  <c r="CI26" i="45"/>
  <c r="CJ26" i="45"/>
  <c r="CK26" i="45"/>
  <c r="CL26" i="45"/>
  <c r="CM26" i="45"/>
  <c r="CN26" i="45"/>
  <c r="CO26" i="45"/>
  <c r="CP26" i="45"/>
  <c r="CQ26" i="45"/>
  <c r="CR26" i="45"/>
  <c r="CS26" i="45"/>
  <c r="CT26" i="45"/>
  <c r="CU26" i="45"/>
  <c r="CV26" i="45"/>
  <c r="CW26" i="45"/>
  <c r="CX26" i="45"/>
  <c r="CY26" i="45"/>
  <c r="CZ26" i="45"/>
  <c r="DA26" i="45"/>
  <c r="DB26" i="45"/>
  <c r="DC26" i="45"/>
  <c r="DD26" i="45"/>
  <c r="DE26" i="45"/>
  <c r="DF26" i="45"/>
  <c r="DG26" i="45"/>
  <c r="DH26" i="45"/>
  <c r="DI26" i="45"/>
  <c r="DJ26" i="45"/>
  <c r="DK26" i="45"/>
  <c r="DL26" i="45"/>
  <c r="DM26" i="45"/>
  <c r="DN26" i="45"/>
  <c r="DO26" i="45"/>
  <c r="DP26" i="45"/>
  <c r="DQ26" i="45"/>
  <c r="DR26" i="45"/>
  <c r="DS26" i="45"/>
  <c r="DT26" i="45"/>
  <c r="DU26" i="45"/>
  <c r="DV26" i="45"/>
  <c r="DW26" i="45"/>
  <c r="DX26" i="45"/>
  <c r="DY26" i="45"/>
  <c r="DZ26" i="45"/>
  <c r="EA26" i="45"/>
  <c r="EB26" i="45"/>
  <c r="EC26" i="45"/>
  <c r="ED26" i="45"/>
  <c r="EE26" i="45"/>
  <c r="EF26" i="45"/>
  <c r="EG26" i="45"/>
  <c r="EH26" i="45"/>
  <c r="EI26" i="45"/>
  <c r="EJ26" i="45"/>
  <c r="EK26" i="45"/>
  <c r="EL26" i="45"/>
  <c r="EM26" i="45"/>
  <c r="EN26" i="45"/>
  <c r="EO26" i="45"/>
  <c r="EP26" i="45"/>
  <c r="EQ26" i="45"/>
  <c r="ER26" i="45"/>
  <c r="ES26" i="45"/>
  <c r="ET26" i="45"/>
  <c r="EU26" i="45"/>
  <c r="EV26" i="45"/>
  <c r="EW26" i="45"/>
  <c r="EX26" i="45"/>
  <c r="EY26" i="45"/>
  <c r="EZ26" i="45"/>
  <c r="FA26" i="45"/>
  <c r="FB26" i="45"/>
  <c r="FC26" i="45"/>
  <c r="FD26" i="45"/>
  <c r="FE26" i="45"/>
  <c r="FF26" i="45"/>
  <c r="FG26" i="45"/>
  <c r="FH26" i="45"/>
  <c r="FI26" i="45"/>
  <c r="FJ26" i="45"/>
  <c r="FK26" i="45"/>
  <c r="FL26" i="45"/>
  <c r="FM26" i="45"/>
  <c r="FN26" i="45"/>
  <c r="FO26" i="45"/>
  <c r="FQ26" i="45"/>
  <c r="FR26" i="45"/>
  <c r="FS26" i="45"/>
  <c r="FT26" i="45"/>
  <c r="FU26" i="45"/>
  <c r="FV26" i="45"/>
  <c r="FW26" i="45"/>
  <c r="FX26" i="45"/>
  <c r="FY26" i="45"/>
  <c r="FZ26" i="45"/>
  <c r="GA26" i="45"/>
  <c r="C27" i="45"/>
  <c r="D27" i="45"/>
  <c r="E27" i="45"/>
  <c r="F27" i="45"/>
  <c r="G27" i="45"/>
  <c r="H27" i="45"/>
  <c r="I27" i="45"/>
  <c r="J27" i="45"/>
  <c r="K27" i="45"/>
  <c r="M27" i="45"/>
  <c r="N27" i="45"/>
  <c r="O27" i="45"/>
  <c r="P27" i="45"/>
  <c r="Q27" i="45"/>
  <c r="AD27" i="45"/>
  <c r="AE27" i="45"/>
  <c r="AF27" i="45"/>
  <c r="AG27" i="45"/>
  <c r="AH27" i="45"/>
  <c r="AI27" i="45"/>
  <c r="AJ27" i="45"/>
  <c r="AL27" i="45"/>
  <c r="AM27" i="45"/>
  <c r="AN27" i="45"/>
  <c r="AO27" i="45"/>
  <c r="AP27" i="45"/>
  <c r="AQ27" i="45"/>
  <c r="AR27" i="45"/>
  <c r="AS27" i="45"/>
  <c r="AT27" i="45"/>
  <c r="AU27" i="45"/>
  <c r="AV27" i="45"/>
  <c r="AW27" i="45"/>
  <c r="AX27" i="45"/>
  <c r="AY27" i="45"/>
  <c r="AZ27" i="45"/>
  <c r="BA27" i="45"/>
  <c r="BB27" i="45"/>
  <c r="BC27" i="45"/>
  <c r="BD27" i="45"/>
  <c r="BE27" i="45"/>
  <c r="BF27" i="45"/>
  <c r="BG27" i="45"/>
  <c r="BH27" i="45"/>
  <c r="BI27" i="45"/>
  <c r="BJ27" i="45"/>
  <c r="BK27" i="45"/>
  <c r="BL27" i="45"/>
  <c r="BM27" i="45"/>
  <c r="BN27" i="45"/>
  <c r="BO27" i="45"/>
  <c r="BP27" i="45"/>
  <c r="BQ27" i="45"/>
  <c r="BR27" i="45"/>
  <c r="BS27" i="45"/>
  <c r="BT27" i="45"/>
  <c r="BU27" i="45"/>
  <c r="BV27" i="45"/>
  <c r="BW27" i="45"/>
  <c r="BX27" i="45"/>
  <c r="BY27" i="45"/>
  <c r="BZ27" i="45"/>
  <c r="CA27" i="45"/>
  <c r="CB27" i="45"/>
  <c r="CC27" i="45"/>
  <c r="CD27" i="45"/>
  <c r="CE27" i="45"/>
  <c r="CF27" i="45"/>
  <c r="CG27" i="45"/>
  <c r="CH27" i="45"/>
  <c r="CI27" i="45"/>
  <c r="CJ27" i="45"/>
  <c r="CK27" i="45"/>
  <c r="CL27" i="45"/>
  <c r="CM27" i="45"/>
  <c r="CN27" i="45"/>
  <c r="CO27" i="45"/>
  <c r="CP27" i="45"/>
  <c r="CQ27" i="45"/>
  <c r="CR27" i="45"/>
  <c r="CS27" i="45"/>
  <c r="CT27" i="45"/>
  <c r="CU27" i="45"/>
  <c r="CV27" i="45"/>
  <c r="CW27" i="45"/>
  <c r="CX27" i="45"/>
  <c r="CY27" i="45"/>
  <c r="CZ27" i="45"/>
  <c r="DA27" i="45"/>
  <c r="DB27" i="45"/>
  <c r="DC27" i="45"/>
  <c r="DD27" i="45"/>
  <c r="DE27" i="45"/>
  <c r="DF27" i="45"/>
  <c r="DG27" i="45"/>
  <c r="DH27" i="45"/>
  <c r="DI27" i="45"/>
  <c r="DJ27" i="45"/>
  <c r="DK27" i="45"/>
  <c r="DL27" i="45"/>
  <c r="DM27" i="45"/>
  <c r="DN27" i="45"/>
  <c r="DO27" i="45"/>
  <c r="DP27" i="45"/>
  <c r="DQ27" i="45"/>
  <c r="DR27" i="45"/>
  <c r="DS27" i="45"/>
  <c r="DT27" i="45"/>
  <c r="DU27" i="45"/>
  <c r="DV27" i="45"/>
  <c r="DW27" i="45"/>
  <c r="DX27" i="45"/>
  <c r="DY27" i="45"/>
  <c r="DZ27" i="45"/>
  <c r="EA27" i="45"/>
  <c r="EB27" i="45"/>
  <c r="EC27" i="45"/>
  <c r="ED27" i="45"/>
  <c r="EE27" i="45"/>
  <c r="EF27" i="45"/>
  <c r="EG27" i="45"/>
  <c r="EH27" i="45"/>
  <c r="EI27" i="45"/>
  <c r="EJ27" i="45"/>
  <c r="EK27" i="45"/>
  <c r="EL27" i="45"/>
  <c r="EM27" i="45"/>
  <c r="EN27" i="45"/>
  <c r="EO27" i="45"/>
  <c r="EP27" i="45"/>
  <c r="EQ27" i="45"/>
  <c r="ER27" i="45"/>
  <c r="ES27" i="45"/>
  <c r="ET27" i="45"/>
  <c r="EU27" i="45"/>
  <c r="EV27" i="45"/>
  <c r="EW27" i="45"/>
  <c r="EX27" i="45"/>
  <c r="EY27" i="45"/>
  <c r="EZ27" i="45"/>
  <c r="FA27" i="45"/>
  <c r="FB27" i="45"/>
  <c r="FC27" i="45"/>
  <c r="FD27" i="45"/>
  <c r="FE27" i="45"/>
  <c r="FF27" i="45"/>
  <c r="FG27" i="45"/>
  <c r="FH27" i="45"/>
  <c r="FI27" i="45"/>
  <c r="FJ27" i="45"/>
  <c r="FK27" i="45"/>
  <c r="FL27" i="45"/>
  <c r="FM27" i="45"/>
  <c r="FN27" i="45"/>
  <c r="FO27" i="45"/>
  <c r="FQ27" i="45"/>
  <c r="FR27" i="45"/>
  <c r="FS27" i="45"/>
  <c r="FT27" i="45"/>
  <c r="FU27" i="45"/>
  <c r="FV27" i="45"/>
  <c r="FW27" i="45"/>
  <c r="FX27" i="45"/>
  <c r="FY27" i="45"/>
  <c r="FZ27" i="45"/>
  <c r="GA27" i="45"/>
  <c r="C28" i="45"/>
  <c r="D28" i="45"/>
  <c r="E28" i="45"/>
  <c r="F28" i="45"/>
  <c r="G28" i="45"/>
  <c r="H28" i="45"/>
  <c r="I28" i="45"/>
  <c r="J28" i="45"/>
  <c r="K28" i="45"/>
  <c r="M28" i="45"/>
  <c r="N28" i="45"/>
  <c r="O28" i="45"/>
  <c r="P28" i="45"/>
  <c r="Q28" i="45"/>
  <c r="AD28" i="45"/>
  <c r="AE28" i="45"/>
  <c r="AF28" i="45"/>
  <c r="AG28" i="45"/>
  <c r="AH28" i="45"/>
  <c r="AI28" i="45"/>
  <c r="AJ28" i="45"/>
  <c r="AL28" i="45"/>
  <c r="AM28" i="45"/>
  <c r="AN28" i="45"/>
  <c r="AO28" i="45"/>
  <c r="AP28" i="45"/>
  <c r="AQ28" i="45"/>
  <c r="AR28" i="45"/>
  <c r="AS28" i="45"/>
  <c r="AT28" i="45"/>
  <c r="AU28" i="45"/>
  <c r="AV28" i="45"/>
  <c r="AW28" i="45"/>
  <c r="AX28" i="45"/>
  <c r="AY28" i="45"/>
  <c r="AZ28" i="45"/>
  <c r="BA28" i="45"/>
  <c r="BB28" i="45"/>
  <c r="BC28" i="45"/>
  <c r="BD28" i="45"/>
  <c r="BE28" i="45"/>
  <c r="BF28" i="45"/>
  <c r="BG28" i="45"/>
  <c r="BH28" i="45"/>
  <c r="BI28" i="45"/>
  <c r="BJ28" i="45"/>
  <c r="BK28" i="45"/>
  <c r="BL28" i="45"/>
  <c r="BM28" i="45"/>
  <c r="BN28" i="45"/>
  <c r="BO28" i="45"/>
  <c r="BP28" i="45"/>
  <c r="BQ28" i="45"/>
  <c r="BR28" i="45"/>
  <c r="BS28" i="45"/>
  <c r="BT28" i="45"/>
  <c r="BU28" i="45"/>
  <c r="BV28" i="45"/>
  <c r="BW28" i="45"/>
  <c r="BX28" i="45"/>
  <c r="BY28" i="45"/>
  <c r="BZ28" i="45"/>
  <c r="CA28" i="45"/>
  <c r="CB28" i="45"/>
  <c r="CC28" i="45"/>
  <c r="CD28" i="45"/>
  <c r="CE28" i="45"/>
  <c r="CF28" i="45"/>
  <c r="CG28" i="45"/>
  <c r="CH28" i="45"/>
  <c r="CI28" i="45"/>
  <c r="CJ28" i="45"/>
  <c r="CK28" i="45"/>
  <c r="CL28" i="45"/>
  <c r="CM28" i="45"/>
  <c r="CN28" i="45"/>
  <c r="CO28" i="45"/>
  <c r="CP28" i="45"/>
  <c r="CQ28" i="45"/>
  <c r="CR28" i="45"/>
  <c r="CS28" i="45"/>
  <c r="CT28" i="45"/>
  <c r="CU28" i="45"/>
  <c r="CV28" i="45"/>
  <c r="CW28" i="45"/>
  <c r="CX28" i="45"/>
  <c r="CY28" i="45"/>
  <c r="CZ28" i="45"/>
  <c r="DA28" i="45"/>
  <c r="DB28" i="45"/>
  <c r="DC28" i="45"/>
  <c r="DD28" i="45"/>
  <c r="DE28" i="45"/>
  <c r="DF28" i="45"/>
  <c r="DG28" i="45"/>
  <c r="DH28" i="45"/>
  <c r="DI28" i="45"/>
  <c r="DJ28" i="45"/>
  <c r="DK28" i="45"/>
  <c r="DL28" i="45"/>
  <c r="DM28" i="45"/>
  <c r="DN28" i="45"/>
  <c r="DO28" i="45"/>
  <c r="DP28" i="45"/>
  <c r="DQ28" i="45"/>
  <c r="DR28" i="45"/>
  <c r="DS28" i="45"/>
  <c r="DT28" i="45"/>
  <c r="DU28" i="45"/>
  <c r="DV28" i="45"/>
  <c r="DW28" i="45"/>
  <c r="DX28" i="45"/>
  <c r="DY28" i="45"/>
  <c r="DZ28" i="45"/>
  <c r="EA28" i="45"/>
  <c r="EB28" i="45"/>
  <c r="EC28" i="45"/>
  <c r="ED28" i="45"/>
  <c r="EE28" i="45"/>
  <c r="EF28" i="45"/>
  <c r="EG28" i="45"/>
  <c r="EH28" i="45"/>
  <c r="EI28" i="45"/>
  <c r="EJ28" i="45"/>
  <c r="EK28" i="45"/>
  <c r="EL28" i="45"/>
  <c r="EM28" i="45"/>
  <c r="EN28" i="45"/>
  <c r="EO28" i="45"/>
  <c r="EP28" i="45"/>
  <c r="EQ28" i="45"/>
  <c r="ER28" i="45"/>
  <c r="ES28" i="45"/>
  <c r="ET28" i="45"/>
  <c r="EU28" i="45"/>
  <c r="EV28" i="45"/>
  <c r="EW28" i="45"/>
  <c r="EX28" i="45"/>
  <c r="EY28" i="45"/>
  <c r="EZ28" i="45"/>
  <c r="FA28" i="45"/>
  <c r="FB28" i="45"/>
  <c r="FC28" i="45"/>
  <c r="FD28" i="45"/>
  <c r="FE28" i="45"/>
  <c r="FF28" i="45"/>
  <c r="FG28" i="45"/>
  <c r="FH28" i="45"/>
  <c r="FI28" i="45"/>
  <c r="FJ28" i="45"/>
  <c r="FK28" i="45"/>
  <c r="FL28" i="45"/>
  <c r="FM28" i="45"/>
  <c r="FN28" i="45"/>
  <c r="FO28" i="45"/>
  <c r="FQ28" i="45"/>
  <c r="FR28" i="45"/>
  <c r="FS28" i="45"/>
  <c r="FT28" i="45"/>
  <c r="FU28" i="45"/>
  <c r="FV28" i="45"/>
  <c r="FW28" i="45"/>
  <c r="FX28" i="45"/>
  <c r="FY28" i="45"/>
  <c r="FZ28" i="45"/>
  <c r="GA28" i="45"/>
  <c r="C29" i="45"/>
  <c r="D29" i="45"/>
  <c r="E29" i="45"/>
  <c r="F29" i="45"/>
  <c r="G29" i="45"/>
  <c r="H29" i="45"/>
  <c r="I29" i="45"/>
  <c r="J29" i="45"/>
  <c r="K29" i="45"/>
  <c r="M29" i="45"/>
  <c r="N29" i="45"/>
  <c r="O29" i="45"/>
  <c r="P29" i="45"/>
  <c r="Q29" i="45"/>
  <c r="AD29" i="45"/>
  <c r="AE29" i="45"/>
  <c r="AF29" i="45"/>
  <c r="AG29" i="45"/>
  <c r="AH29" i="45"/>
  <c r="AI29" i="45"/>
  <c r="AJ29" i="45"/>
  <c r="AL29" i="45"/>
  <c r="AM29" i="45"/>
  <c r="AN29" i="45"/>
  <c r="AO29" i="45"/>
  <c r="AP29" i="45"/>
  <c r="AQ29" i="45"/>
  <c r="AR29" i="45"/>
  <c r="AS29" i="45"/>
  <c r="AT29" i="45"/>
  <c r="AU29" i="45"/>
  <c r="AV29" i="45"/>
  <c r="AW29" i="45"/>
  <c r="AX29" i="45"/>
  <c r="AY29" i="45"/>
  <c r="AZ29" i="45"/>
  <c r="BA29" i="45"/>
  <c r="BB29" i="45"/>
  <c r="BC29" i="45"/>
  <c r="BD29" i="45"/>
  <c r="BE29" i="45"/>
  <c r="BF29" i="45"/>
  <c r="BG29" i="45"/>
  <c r="BH29" i="45"/>
  <c r="BI29" i="45"/>
  <c r="BJ29" i="45"/>
  <c r="BK29" i="45"/>
  <c r="BL29" i="45"/>
  <c r="BM29" i="45"/>
  <c r="BN29" i="45"/>
  <c r="BO29" i="45"/>
  <c r="BP29" i="45"/>
  <c r="BQ29" i="45"/>
  <c r="BR29" i="45"/>
  <c r="BS29" i="45"/>
  <c r="BT29" i="45"/>
  <c r="BU29" i="45"/>
  <c r="BV29" i="45"/>
  <c r="BW29" i="45"/>
  <c r="BX29" i="45"/>
  <c r="BY29" i="45"/>
  <c r="BZ29" i="45"/>
  <c r="CA29" i="45"/>
  <c r="CB29" i="45"/>
  <c r="CC29" i="45"/>
  <c r="CD29" i="45"/>
  <c r="CE29" i="45"/>
  <c r="CF29" i="45"/>
  <c r="CG29" i="45"/>
  <c r="CH29" i="45"/>
  <c r="CI29" i="45"/>
  <c r="CJ29" i="45"/>
  <c r="CK29" i="45"/>
  <c r="CL29" i="45"/>
  <c r="CM29" i="45"/>
  <c r="CN29" i="45"/>
  <c r="CO29" i="45"/>
  <c r="CP29" i="45"/>
  <c r="CQ29" i="45"/>
  <c r="CR29" i="45"/>
  <c r="CS29" i="45"/>
  <c r="CT29" i="45"/>
  <c r="CU29" i="45"/>
  <c r="CV29" i="45"/>
  <c r="CW29" i="45"/>
  <c r="CX29" i="45"/>
  <c r="CY29" i="45"/>
  <c r="CZ29" i="45"/>
  <c r="DA29" i="45"/>
  <c r="DB29" i="45"/>
  <c r="DC29" i="45"/>
  <c r="DD29" i="45"/>
  <c r="DE29" i="45"/>
  <c r="DF29" i="45"/>
  <c r="DG29" i="45"/>
  <c r="DH29" i="45"/>
  <c r="DI29" i="45"/>
  <c r="DJ29" i="45"/>
  <c r="DK29" i="45"/>
  <c r="DL29" i="45"/>
  <c r="DM29" i="45"/>
  <c r="DN29" i="45"/>
  <c r="DO29" i="45"/>
  <c r="DP29" i="45"/>
  <c r="DQ29" i="45"/>
  <c r="DR29" i="45"/>
  <c r="DS29" i="45"/>
  <c r="DT29" i="45"/>
  <c r="DU29" i="45"/>
  <c r="DV29" i="45"/>
  <c r="DW29" i="45"/>
  <c r="DX29" i="45"/>
  <c r="DY29" i="45"/>
  <c r="DZ29" i="45"/>
  <c r="EA29" i="45"/>
  <c r="EB29" i="45"/>
  <c r="EC29" i="45"/>
  <c r="ED29" i="45"/>
  <c r="EE29" i="45"/>
  <c r="EF29" i="45"/>
  <c r="EG29" i="45"/>
  <c r="EH29" i="45"/>
  <c r="EI29" i="45"/>
  <c r="EJ29" i="45"/>
  <c r="EK29" i="45"/>
  <c r="EL29" i="45"/>
  <c r="EM29" i="45"/>
  <c r="EN29" i="45"/>
  <c r="EO29" i="45"/>
  <c r="EP29" i="45"/>
  <c r="EQ29" i="45"/>
  <c r="ER29" i="45"/>
  <c r="ES29" i="45"/>
  <c r="ET29" i="45"/>
  <c r="EU29" i="45"/>
  <c r="EV29" i="45"/>
  <c r="EW29" i="45"/>
  <c r="EX29" i="45"/>
  <c r="EY29" i="45"/>
  <c r="EZ29" i="45"/>
  <c r="FA29" i="45"/>
  <c r="FB29" i="45"/>
  <c r="FC29" i="45"/>
  <c r="FD29" i="45"/>
  <c r="FE29" i="45"/>
  <c r="FF29" i="45"/>
  <c r="FG29" i="45"/>
  <c r="FH29" i="45"/>
  <c r="FI29" i="45"/>
  <c r="FJ29" i="45"/>
  <c r="FK29" i="45"/>
  <c r="FL29" i="45"/>
  <c r="FM29" i="45"/>
  <c r="FN29" i="45"/>
  <c r="FO29" i="45"/>
  <c r="FQ29" i="45"/>
  <c r="FR29" i="45"/>
  <c r="FS29" i="45"/>
  <c r="FT29" i="45"/>
  <c r="FU29" i="45"/>
  <c r="FV29" i="45"/>
  <c r="FW29" i="45"/>
  <c r="FX29" i="45"/>
  <c r="FY29" i="45"/>
  <c r="FZ29" i="45"/>
  <c r="GA29" i="45"/>
  <c r="C30" i="45"/>
  <c r="D30" i="45"/>
  <c r="E30" i="45"/>
  <c r="F30" i="45"/>
  <c r="G30" i="45"/>
  <c r="H30" i="45"/>
  <c r="I30" i="45"/>
  <c r="J30" i="45"/>
  <c r="K30" i="45"/>
  <c r="M30" i="45"/>
  <c r="N30" i="45"/>
  <c r="O30" i="45"/>
  <c r="P30" i="45"/>
  <c r="Q30" i="45"/>
  <c r="AD30" i="45"/>
  <c r="AE30" i="45"/>
  <c r="AF30" i="45"/>
  <c r="AG30" i="45"/>
  <c r="AH30" i="45"/>
  <c r="AI30" i="45"/>
  <c r="AJ30" i="45"/>
  <c r="AL30" i="45"/>
  <c r="AM30" i="45"/>
  <c r="AN30" i="45"/>
  <c r="AO30" i="45"/>
  <c r="AP30" i="45"/>
  <c r="AQ30" i="45"/>
  <c r="AR30" i="45"/>
  <c r="AS30" i="45"/>
  <c r="AT30" i="45"/>
  <c r="AU30" i="45"/>
  <c r="AV30" i="45"/>
  <c r="AW30" i="45"/>
  <c r="AX30" i="45"/>
  <c r="AY30" i="45"/>
  <c r="AZ30" i="45"/>
  <c r="BA30" i="45"/>
  <c r="BB30" i="45"/>
  <c r="BC30" i="45"/>
  <c r="BD30" i="45"/>
  <c r="BE30" i="45"/>
  <c r="BF30" i="45"/>
  <c r="BG30" i="45"/>
  <c r="BH30" i="45"/>
  <c r="BI30" i="45"/>
  <c r="BJ30" i="45"/>
  <c r="BK30" i="45"/>
  <c r="BL30" i="45"/>
  <c r="BM30" i="45"/>
  <c r="BN30" i="45"/>
  <c r="BO30" i="45"/>
  <c r="BP30" i="45"/>
  <c r="BQ30" i="45"/>
  <c r="BR30" i="45"/>
  <c r="BS30" i="45"/>
  <c r="BT30" i="45"/>
  <c r="BU30" i="45"/>
  <c r="BV30" i="45"/>
  <c r="BW30" i="45"/>
  <c r="BX30" i="45"/>
  <c r="BY30" i="45"/>
  <c r="BZ30" i="45"/>
  <c r="CA30" i="45"/>
  <c r="CB30" i="45"/>
  <c r="CC30" i="45"/>
  <c r="CD30" i="45"/>
  <c r="CE30" i="45"/>
  <c r="CF30" i="45"/>
  <c r="CG30" i="45"/>
  <c r="CH30" i="45"/>
  <c r="CI30" i="45"/>
  <c r="CJ30" i="45"/>
  <c r="CK30" i="45"/>
  <c r="CL30" i="45"/>
  <c r="CM30" i="45"/>
  <c r="CN30" i="45"/>
  <c r="CO30" i="45"/>
  <c r="CP30" i="45"/>
  <c r="CQ30" i="45"/>
  <c r="CR30" i="45"/>
  <c r="CS30" i="45"/>
  <c r="CT30" i="45"/>
  <c r="CU30" i="45"/>
  <c r="CV30" i="45"/>
  <c r="CW30" i="45"/>
  <c r="CX30" i="45"/>
  <c r="CY30" i="45"/>
  <c r="CZ30" i="45"/>
  <c r="DA30" i="45"/>
  <c r="DB30" i="45"/>
  <c r="DC30" i="45"/>
  <c r="DD30" i="45"/>
  <c r="DE30" i="45"/>
  <c r="DF30" i="45"/>
  <c r="DG30" i="45"/>
  <c r="DH30" i="45"/>
  <c r="DI30" i="45"/>
  <c r="DJ30" i="45"/>
  <c r="DK30" i="45"/>
  <c r="DL30" i="45"/>
  <c r="DM30" i="45"/>
  <c r="DN30" i="45"/>
  <c r="DO30" i="45"/>
  <c r="DP30" i="45"/>
  <c r="DQ30" i="45"/>
  <c r="DR30" i="45"/>
  <c r="DS30" i="45"/>
  <c r="DT30" i="45"/>
  <c r="DU30" i="45"/>
  <c r="DV30" i="45"/>
  <c r="DW30" i="45"/>
  <c r="DX30" i="45"/>
  <c r="DY30" i="45"/>
  <c r="DZ30" i="45"/>
  <c r="EA30" i="45"/>
  <c r="EB30" i="45"/>
  <c r="EC30" i="45"/>
  <c r="ED30" i="45"/>
  <c r="EE30" i="45"/>
  <c r="EF30" i="45"/>
  <c r="EG30" i="45"/>
  <c r="EH30" i="45"/>
  <c r="EI30" i="45"/>
  <c r="EJ30" i="45"/>
  <c r="EK30" i="45"/>
  <c r="EL30" i="45"/>
  <c r="EM30" i="45"/>
  <c r="EN30" i="45"/>
  <c r="EO30" i="45"/>
  <c r="EP30" i="45"/>
  <c r="EQ30" i="45"/>
  <c r="ER30" i="45"/>
  <c r="ES30" i="45"/>
  <c r="ET30" i="45"/>
  <c r="EU30" i="45"/>
  <c r="EV30" i="45"/>
  <c r="EW30" i="45"/>
  <c r="EX30" i="45"/>
  <c r="EY30" i="45"/>
  <c r="EZ30" i="45"/>
  <c r="FA30" i="45"/>
  <c r="FB30" i="45"/>
  <c r="FC30" i="45"/>
  <c r="FD30" i="45"/>
  <c r="FE30" i="45"/>
  <c r="FF30" i="45"/>
  <c r="FG30" i="45"/>
  <c r="FH30" i="45"/>
  <c r="FI30" i="45"/>
  <c r="FJ30" i="45"/>
  <c r="FK30" i="45"/>
  <c r="FL30" i="45"/>
  <c r="FM30" i="45"/>
  <c r="FN30" i="45"/>
  <c r="FO30" i="45"/>
  <c r="FQ30" i="45"/>
  <c r="FR30" i="45"/>
  <c r="FS30" i="45"/>
  <c r="FT30" i="45"/>
  <c r="FU30" i="45"/>
  <c r="FV30" i="45"/>
  <c r="FW30" i="45"/>
  <c r="FX30" i="45"/>
  <c r="FY30" i="45"/>
  <c r="FZ30" i="45"/>
  <c r="GA30" i="45"/>
  <c r="C31" i="45"/>
  <c r="D31" i="45"/>
  <c r="E31" i="45"/>
  <c r="F31" i="45"/>
  <c r="G31" i="45"/>
  <c r="H31" i="45"/>
  <c r="I31" i="45"/>
  <c r="J31" i="45"/>
  <c r="K31" i="45"/>
  <c r="M31" i="45"/>
  <c r="N31" i="45"/>
  <c r="O31" i="45"/>
  <c r="P31" i="45"/>
  <c r="Q31" i="45"/>
  <c r="AD31" i="45"/>
  <c r="AE31" i="45"/>
  <c r="AF31" i="45"/>
  <c r="AG31" i="45"/>
  <c r="AH31" i="45"/>
  <c r="AI31" i="45"/>
  <c r="AJ31" i="45"/>
  <c r="AL31" i="45"/>
  <c r="AM31" i="45"/>
  <c r="AN31" i="45"/>
  <c r="AO31" i="45"/>
  <c r="AP31" i="45"/>
  <c r="AQ31" i="45"/>
  <c r="AR31" i="45"/>
  <c r="AS31" i="45"/>
  <c r="AT31" i="45"/>
  <c r="AU31" i="45"/>
  <c r="AV31" i="45"/>
  <c r="AW31" i="45"/>
  <c r="AX31" i="45"/>
  <c r="AY31" i="45"/>
  <c r="AZ31" i="45"/>
  <c r="BA31" i="45"/>
  <c r="BB31" i="45"/>
  <c r="BC31" i="45"/>
  <c r="BD31" i="45"/>
  <c r="BE31" i="45"/>
  <c r="BF31" i="45"/>
  <c r="BG31" i="45"/>
  <c r="BH31" i="45"/>
  <c r="BI31" i="45"/>
  <c r="BJ31" i="45"/>
  <c r="BK31" i="45"/>
  <c r="BL31" i="45"/>
  <c r="BM31" i="45"/>
  <c r="BN31" i="45"/>
  <c r="BO31" i="45"/>
  <c r="BP31" i="45"/>
  <c r="BQ31" i="45"/>
  <c r="BR31" i="45"/>
  <c r="BS31" i="45"/>
  <c r="BT31" i="45"/>
  <c r="BU31" i="45"/>
  <c r="BV31" i="45"/>
  <c r="BW31" i="45"/>
  <c r="BX31" i="45"/>
  <c r="BY31" i="45"/>
  <c r="BZ31" i="45"/>
  <c r="CA31" i="45"/>
  <c r="CB31" i="45"/>
  <c r="CC31" i="45"/>
  <c r="CD31" i="45"/>
  <c r="CE31" i="45"/>
  <c r="CF31" i="45"/>
  <c r="CG31" i="45"/>
  <c r="CH31" i="45"/>
  <c r="CI31" i="45"/>
  <c r="CJ31" i="45"/>
  <c r="CK31" i="45"/>
  <c r="CL31" i="45"/>
  <c r="CM31" i="45"/>
  <c r="CN31" i="45"/>
  <c r="CO31" i="45"/>
  <c r="CP31" i="45"/>
  <c r="CQ31" i="45"/>
  <c r="CR31" i="45"/>
  <c r="CS31" i="45"/>
  <c r="CT31" i="45"/>
  <c r="CU31" i="45"/>
  <c r="CV31" i="45"/>
  <c r="CW31" i="45"/>
  <c r="CX31" i="45"/>
  <c r="CY31" i="45"/>
  <c r="CZ31" i="45"/>
  <c r="DA31" i="45"/>
  <c r="DB31" i="45"/>
  <c r="DC31" i="45"/>
  <c r="DD31" i="45"/>
  <c r="DE31" i="45"/>
  <c r="DF31" i="45"/>
  <c r="DG31" i="45"/>
  <c r="DH31" i="45"/>
  <c r="DI31" i="45"/>
  <c r="DJ31" i="45"/>
  <c r="DK31" i="45"/>
  <c r="DL31" i="45"/>
  <c r="DM31" i="45"/>
  <c r="DN31" i="45"/>
  <c r="DO31" i="45"/>
  <c r="DP31" i="45"/>
  <c r="DQ31" i="45"/>
  <c r="DR31" i="45"/>
  <c r="DS31" i="45"/>
  <c r="DT31" i="45"/>
  <c r="DU31" i="45"/>
  <c r="DV31" i="45"/>
  <c r="DW31" i="45"/>
  <c r="DX31" i="45"/>
  <c r="DY31" i="45"/>
  <c r="DZ31" i="45"/>
  <c r="EA31" i="45"/>
  <c r="EB31" i="45"/>
  <c r="EC31" i="45"/>
  <c r="ED31" i="45"/>
  <c r="EE31" i="45"/>
  <c r="EF31" i="45"/>
  <c r="EG31" i="45"/>
  <c r="EH31" i="45"/>
  <c r="EI31" i="45"/>
  <c r="EJ31" i="45"/>
  <c r="EK31" i="45"/>
  <c r="EL31" i="45"/>
  <c r="EM31" i="45"/>
  <c r="EN31" i="45"/>
  <c r="EO31" i="45"/>
  <c r="EP31" i="45"/>
  <c r="EQ31" i="45"/>
  <c r="ER31" i="45"/>
  <c r="ES31" i="45"/>
  <c r="ET31" i="45"/>
  <c r="EU31" i="45"/>
  <c r="EV31" i="45"/>
  <c r="EW31" i="45"/>
  <c r="EX31" i="45"/>
  <c r="EY31" i="45"/>
  <c r="EZ31" i="45"/>
  <c r="FA31" i="45"/>
  <c r="FB31" i="45"/>
  <c r="FC31" i="45"/>
  <c r="FD31" i="45"/>
  <c r="FE31" i="45"/>
  <c r="FF31" i="45"/>
  <c r="FG31" i="45"/>
  <c r="FH31" i="45"/>
  <c r="FI31" i="45"/>
  <c r="FJ31" i="45"/>
  <c r="FK31" i="45"/>
  <c r="FL31" i="45"/>
  <c r="FM31" i="45"/>
  <c r="FN31" i="45"/>
  <c r="FO31" i="45"/>
  <c r="FQ31" i="45"/>
  <c r="FR31" i="45"/>
  <c r="FS31" i="45"/>
  <c r="FT31" i="45"/>
  <c r="FU31" i="45"/>
  <c r="FV31" i="45"/>
  <c r="FW31" i="45"/>
  <c r="FX31" i="45"/>
  <c r="FY31" i="45"/>
  <c r="FZ31" i="45"/>
  <c r="GA31" i="45"/>
  <c r="C32" i="45"/>
  <c r="D32" i="45"/>
  <c r="E32" i="45"/>
  <c r="F32" i="45"/>
  <c r="G32" i="45"/>
  <c r="H32" i="45"/>
  <c r="I32" i="45"/>
  <c r="J32" i="45"/>
  <c r="K32" i="45"/>
  <c r="M32" i="45"/>
  <c r="N32" i="45"/>
  <c r="O32" i="45"/>
  <c r="P32" i="45"/>
  <c r="Q32" i="45"/>
  <c r="AD32" i="45"/>
  <c r="AE32" i="45"/>
  <c r="AF32" i="45"/>
  <c r="AG32" i="45"/>
  <c r="AH32" i="45"/>
  <c r="AI32" i="45"/>
  <c r="AJ32" i="45"/>
  <c r="AL32" i="45"/>
  <c r="AM32" i="45"/>
  <c r="AN32" i="45"/>
  <c r="AO32" i="45"/>
  <c r="AP32" i="45"/>
  <c r="AQ32" i="45"/>
  <c r="AR32" i="45"/>
  <c r="AS32" i="45"/>
  <c r="AT32" i="45"/>
  <c r="AU32" i="45"/>
  <c r="AV32" i="45"/>
  <c r="AW32" i="45"/>
  <c r="AX32" i="45"/>
  <c r="AY32" i="45"/>
  <c r="AZ32" i="45"/>
  <c r="BA32" i="45"/>
  <c r="BB32" i="45"/>
  <c r="BC32" i="45"/>
  <c r="BD32" i="45"/>
  <c r="BE32" i="45"/>
  <c r="BF32" i="45"/>
  <c r="BG32" i="45"/>
  <c r="BH32" i="45"/>
  <c r="BI32" i="45"/>
  <c r="BJ32" i="45"/>
  <c r="BK32" i="45"/>
  <c r="BL32" i="45"/>
  <c r="BM32" i="45"/>
  <c r="BN32" i="45"/>
  <c r="BO32" i="45"/>
  <c r="BP32" i="45"/>
  <c r="BQ32" i="45"/>
  <c r="BR32" i="45"/>
  <c r="BS32" i="45"/>
  <c r="BT32" i="45"/>
  <c r="BU32" i="45"/>
  <c r="BV32" i="45"/>
  <c r="BW32" i="45"/>
  <c r="BX32" i="45"/>
  <c r="BY32" i="45"/>
  <c r="BZ32" i="45"/>
  <c r="CA32" i="45"/>
  <c r="CB32" i="45"/>
  <c r="CC32" i="45"/>
  <c r="CD32" i="45"/>
  <c r="CE32" i="45"/>
  <c r="CF32" i="45"/>
  <c r="CG32" i="45"/>
  <c r="CH32" i="45"/>
  <c r="CI32" i="45"/>
  <c r="CJ32" i="45"/>
  <c r="CK32" i="45"/>
  <c r="CL32" i="45"/>
  <c r="CM32" i="45"/>
  <c r="CN32" i="45"/>
  <c r="CO32" i="45"/>
  <c r="CP32" i="45"/>
  <c r="CQ32" i="45"/>
  <c r="CR32" i="45"/>
  <c r="CS32" i="45"/>
  <c r="CT32" i="45"/>
  <c r="CU32" i="45"/>
  <c r="CV32" i="45"/>
  <c r="CW32" i="45"/>
  <c r="CX32" i="45"/>
  <c r="CY32" i="45"/>
  <c r="CZ32" i="45"/>
  <c r="DA32" i="45"/>
  <c r="DB32" i="45"/>
  <c r="DC32" i="45"/>
  <c r="DD32" i="45"/>
  <c r="DE32" i="45"/>
  <c r="DF32" i="45"/>
  <c r="DG32" i="45"/>
  <c r="DH32" i="45"/>
  <c r="DI32" i="45"/>
  <c r="DJ32" i="45"/>
  <c r="DK32" i="45"/>
  <c r="DL32" i="45"/>
  <c r="DM32" i="45"/>
  <c r="DN32" i="45"/>
  <c r="DO32" i="45"/>
  <c r="DP32" i="45"/>
  <c r="DQ32" i="45"/>
  <c r="DR32" i="45"/>
  <c r="DS32" i="45"/>
  <c r="DT32" i="45"/>
  <c r="DU32" i="45"/>
  <c r="DV32" i="45"/>
  <c r="DW32" i="45"/>
  <c r="DX32" i="45"/>
  <c r="DY32" i="45"/>
  <c r="DZ32" i="45"/>
  <c r="EA32" i="45"/>
  <c r="EB32" i="45"/>
  <c r="EC32" i="45"/>
  <c r="ED32" i="45"/>
  <c r="EE32" i="45"/>
  <c r="EF32" i="45"/>
  <c r="EG32" i="45"/>
  <c r="EH32" i="45"/>
  <c r="EI32" i="45"/>
  <c r="EJ32" i="45"/>
  <c r="EK32" i="45"/>
  <c r="EL32" i="45"/>
  <c r="EM32" i="45"/>
  <c r="EN32" i="45"/>
  <c r="EO32" i="45"/>
  <c r="EP32" i="45"/>
  <c r="EQ32" i="45"/>
  <c r="ER32" i="45"/>
  <c r="ES32" i="45"/>
  <c r="ET32" i="45"/>
  <c r="EU32" i="45"/>
  <c r="EV32" i="45"/>
  <c r="EW32" i="45"/>
  <c r="EX32" i="45"/>
  <c r="EY32" i="45"/>
  <c r="EZ32" i="45"/>
  <c r="FA32" i="45"/>
  <c r="FB32" i="45"/>
  <c r="FC32" i="45"/>
  <c r="FD32" i="45"/>
  <c r="FE32" i="45"/>
  <c r="FF32" i="45"/>
  <c r="FG32" i="45"/>
  <c r="FH32" i="45"/>
  <c r="FI32" i="45"/>
  <c r="FJ32" i="45"/>
  <c r="FK32" i="45"/>
  <c r="FL32" i="45"/>
  <c r="FM32" i="45"/>
  <c r="FN32" i="45"/>
  <c r="FO32" i="45"/>
  <c r="FQ32" i="45"/>
  <c r="FR32" i="45"/>
  <c r="FS32" i="45"/>
  <c r="FT32" i="45"/>
  <c r="FU32" i="45"/>
  <c r="FV32" i="45"/>
  <c r="FW32" i="45"/>
  <c r="FX32" i="45"/>
  <c r="FY32" i="45"/>
  <c r="FZ32" i="45"/>
  <c r="GA32" i="45"/>
  <c r="C33" i="45"/>
  <c r="D33" i="45"/>
  <c r="E33" i="45"/>
  <c r="F33" i="45"/>
  <c r="G33" i="45"/>
  <c r="H33" i="45"/>
  <c r="I33" i="45"/>
  <c r="J33" i="45"/>
  <c r="K33" i="45"/>
  <c r="M33" i="45"/>
  <c r="N33" i="45"/>
  <c r="O33" i="45"/>
  <c r="P33" i="45"/>
  <c r="Q33" i="45"/>
  <c r="AD33" i="45"/>
  <c r="AE33" i="45"/>
  <c r="AF33" i="45"/>
  <c r="AG33" i="45"/>
  <c r="AH33" i="45"/>
  <c r="AI33" i="45"/>
  <c r="AJ33" i="45"/>
  <c r="AL33" i="45"/>
  <c r="AM33" i="45"/>
  <c r="AN33" i="45"/>
  <c r="AO33" i="45"/>
  <c r="AP33" i="45"/>
  <c r="AQ33" i="45"/>
  <c r="AR33" i="45"/>
  <c r="AS33" i="45"/>
  <c r="AT33" i="45"/>
  <c r="AU33" i="45"/>
  <c r="AV33" i="45"/>
  <c r="AW33" i="45"/>
  <c r="AX33" i="45"/>
  <c r="AY33" i="45"/>
  <c r="AZ33" i="45"/>
  <c r="BA33" i="45"/>
  <c r="BB33" i="45"/>
  <c r="BC33" i="45"/>
  <c r="BD33" i="45"/>
  <c r="BE33" i="45"/>
  <c r="BF33" i="45"/>
  <c r="BG33" i="45"/>
  <c r="BH33" i="45"/>
  <c r="BI33" i="45"/>
  <c r="BJ33" i="45"/>
  <c r="BK33" i="45"/>
  <c r="BL33" i="45"/>
  <c r="BM33" i="45"/>
  <c r="BN33" i="45"/>
  <c r="BO33" i="45"/>
  <c r="BP33" i="45"/>
  <c r="BQ33" i="45"/>
  <c r="BR33" i="45"/>
  <c r="BS33" i="45"/>
  <c r="BT33" i="45"/>
  <c r="BU33" i="45"/>
  <c r="BV33" i="45"/>
  <c r="BW33" i="45"/>
  <c r="BX33" i="45"/>
  <c r="BY33" i="45"/>
  <c r="BZ33" i="45"/>
  <c r="CA33" i="45"/>
  <c r="CB33" i="45"/>
  <c r="CC33" i="45"/>
  <c r="CD33" i="45"/>
  <c r="CE33" i="45"/>
  <c r="CF33" i="45"/>
  <c r="CG33" i="45"/>
  <c r="CH33" i="45"/>
  <c r="CI33" i="45"/>
  <c r="CJ33" i="45"/>
  <c r="CK33" i="45"/>
  <c r="CL33" i="45"/>
  <c r="CM33" i="45"/>
  <c r="CN33" i="45"/>
  <c r="CO33" i="45"/>
  <c r="CP33" i="45"/>
  <c r="CQ33" i="45"/>
  <c r="CR33" i="45"/>
  <c r="CS33" i="45"/>
  <c r="CT33" i="45"/>
  <c r="CU33" i="45"/>
  <c r="CV33" i="45"/>
  <c r="CW33" i="45"/>
  <c r="CX33" i="45"/>
  <c r="CY33" i="45"/>
  <c r="CZ33" i="45"/>
  <c r="DA33" i="45"/>
  <c r="DB33" i="45"/>
  <c r="DC33" i="45"/>
  <c r="DD33" i="45"/>
  <c r="DE33" i="45"/>
  <c r="DF33" i="45"/>
  <c r="DG33" i="45"/>
  <c r="DH33" i="45"/>
  <c r="DI33" i="45"/>
  <c r="DJ33" i="45"/>
  <c r="DK33" i="45"/>
  <c r="DL33" i="45"/>
  <c r="DM33" i="45"/>
  <c r="DN33" i="45"/>
  <c r="DO33" i="45"/>
  <c r="DP33" i="45"/>
  <c r="DQ33" i="45"/>
  <c r="DR33" i="45"/>
  <c r="DS33" i="45"/>
  <c r="DT33" i="45"/>
  <c r="DU33" i="45"/>
  <c r="DV33" i="45"/>
  <c r="DW33" i="45"/>
  <c r="DX33" i="45"/>
  <c r="DY33" i="45"/>
  <c r="DZ33" i="45"/>
  <c r="EA33" i="45"/>
  <c r="EB33" i="45"/>
  <c r="EC33" i="45"/>
  <c r="ED33" i="45"/>
  <c r="EE33" i="45"/>
  <c r="EF33" i="45"/>
  <c r="EG33" i="45"/>
  <c r="EH33" i="45"/>
  <c r="EI33" i="45"/>
  <c r="EJ33" i="45"/>
  <c r="EK33" i="45"/>
  <c r="EL33" i="45"/>
  <c r="EM33" i="45"/>
  <c r="EN33" i="45"/>
  <c r="EO33" i="45"/>
  <c r="EP33" i="45"/>
  <c r="EQ33" i="45"/>
  <c r="ER33" i="45"/>
  <c r="ES33" i="45"/>
  <c r="ET33" i="45"/>
  <c r="EU33" i="45"/>
  <c r="EV33" i="45"/>
  <c r="EW33" i="45"/>
  <c r="EX33" i="45"/>
  <c r="EY33" i="45"/>
  <c r="EZ33" i="45"/>
  <c r="FA33" i="45"/>
  <c r="FB33" i="45"/>
  <c r="FC33" i="45"/>
  <c r="FD33" i="45"/>
  <c r="FE33" i="45"/>
  <c r="FF33" i="45"/>
  <c r="FG33" i="45"/>
  <c r="FH33" i="45"/>
  <c r="FI33" i="45"/>
  <c r="FJ33" i="45"/>
  <c r="FK33" i="45"/>
  <c r="FL33" i="45"/>
  <c r="FM33" i="45"/>
  <c r="FN33" i="45"/>
  <c r="FO33" i="45"/>
  <c r="FQ33" i="45"/>
  <c r="FR33" i="45"/>
  <c r="FS33" i="45"/>
  <c r="FT33" i="45"/>
  <c r="FU33" i="45"/>
  <c r="FV33" i="45"/>
  <c r="FW33" i="45"/>
  <c r="FX33" i="45"/>
  <c r="FY33" i="45"/>
  <c r="FZ33" i="45"/>
  <c r="GA33" i="45"/>
  <c r="C34" i="45"/>
  <c r="D34" i="45"/>
  <c r="E34" i="45"/>
  <c r="F34" i="45"/>
  <c r="G34" i="45"/>
  <c r="H34" i="45"/>
  <c r="I34" i="45"/>
  <c r="J34" i="45"/>
  <c r="K34" i="45"/>
  <c r="M34" i="45"/>
  <c r="N34" i="45"/>
  <c r="O34" i="45"/>
  <c r="P34" i="45"/>
  <c r="Q34" i="45"/>
  <c r="AD34" i="45"/>
  <c r="AE34" i="45"/>
  <c r="AF34" i="45"/>
  <c r="AG34" i="45"/>
  <c r="AH34" i="45"/>
  <c r="AI34" i="45"/>
  <c r="AJ34" i="45"/>
  <c r="AL34" i="45"/>
  <c r="AM34" i="45"/>
  <c r="AN34" i="45"/>
  <c r="AO34" i="45"/>
  <c r="AP34" i="45"/>
  <c r="AQ34" i="45"/>
  <c r="AR34" i="45"/>
  <c r="AS34" i="45"/>
  <c r="AT34" i="45"/>
  <c r="AU34" i="45"/>
  <c r="AV34" i="45"/>
  <c r="AW34" i="45"/>
  <c r="AX34" i="45"/>
  <c r="AY34" i="45"/>
  <c r="AZ34" i="45"/>
  <c r="BA34" i="45"/>
  <c r="BB34" i="45"/>
  <c r="BC34" i="45"/>
  <c r="BD34" i="45"/>
  <c r="BE34" i="45"/>
  <c r="BF34" i="45"/>
  <c r="BG34" i="45"/>
  <c r="BH34" i="45"/>
  <c r="BI34" i="45"/>
  <c r="BJ34" i="45"/>
  <c r="BK34" i="45"/>
  <c r="BL34" i="45"/>
  <c r="BM34" i="45"/>
  <c r="BN34" i="45"/>
  <c r="BO34" i="45"/>
  <c r="BP34" i="45"/>
  <c r="BQ34" i="45"/>
  <c r="BR34" i="45"/>
  <c r="BS34" i="45"/>
  <c r="BT34" i="45"/>
  <c r="BU34" i="45"/>
  <c r="BV34" i="45"/>
  <c r="BW34" i="45"/>
  <c r="BX34" i="45"/>
  <c r="BY34" i="45"/>
  <c r="BZ34" i="45"/>
  <c r="CA34" i="45"/>
  <c r="CB34" i="45"/>
  <c r="CC34" i="45"/>
  <c r="CD34" i="45"/>
  <c r="CE34" i="45"/>
  <c r="CF34" i="45"/>
  <c r="CG34" i="45"/>
  <c r="CH34" i="45"/>
  <c r="CI34" i="45"/>
  <c r="CJ34" i="45"/>
  <c r="CK34" i="45"/>
  <c r="CL34" i="45"/>
  <c r="CM34" i="45"/>
  <c r="CN34" i="45"/>
  <c r="CO34" i="45"/>
  <c r="CP34" i="45"/>
  <c r="CQ34" i="45"/>
  <c r="CR34" i="45"/>
  <c r="CS34" i="45"/>
  <c r="CT34" i="45"/>
  <c r="CU34" i="45"/>
  <c r="CV34" i="45"/>
  <c r="CW34" i="45"/>
  <c r="CX34" i="45"/>
  <c r="CY34" i="45"/>
  <c r="CZ34" i="45"/>
  <c r="DA34" i="45"/>
  <c r="DB34" i="45"/>
  <c r="DC34" i="45"/>
  <c r="DD34" i="45"/>
  <c r="DE34" i="45"/>
  <c r="DF34" i="45"/>
  <c r="DG34" i="45"/>
  <c r="DH34" i="45"/>
  <c r="DI34" i="45"/>
  <c r="DJ34" i="45"/>
  <c r="DK34" i="45"/>
  <c r="DL34" i="45"/>
  <c r="DM34" i="45"/>
  <c r="DN34" i="45"/>
  <c r="DO34" i="45"/>
  <c r="DP34" i="45"/>
  <c r="DQ34" i="45"/>
  <c r="DR34" i="45"/>
  <c r="DS34" i="45"/>
  <c r="DT34" i="45"/>
  <c r="DU34" i="45"/>
  <c r="DV34" i="45"/>
  <c r="DW34" i="45"/>
  <c r="DX34" i="45"/>
  <c r="DY34" i="45"/>
  <c r="DZ34" i="45"/>
  <c r="EA34" i="45"/>
  <c r="EB34" i="45"/>
  <c r="EC34" i="45"/>
  <c r="ED34" i="45"/>
  <c r="EE34" i="45"/>
  <c r="EF34" i="45"/>
  <c r="EG34" i="45"/>
  <c r="EH34" i="45"/>
  <c r="EI34" i="45"/>
  <c r="EJ34" i="45"/>
  <c r="EK34" i="45"/>
  <c r="EL34" i="45"/>
  <c r="EM34" i="45"/>
  <c r="EN34" i="45"/>
  <c r="EO34" i="45"/>
  <c r="EP34" i="45"/>
  <c r="EQ34" i="45"/>
  <c r="ER34" i="45"/>
  <c r="ES34" i="45"/>
  <c r="ET34" i="45"/>
  <c r="EU34" i="45"/>
  <c r="EV34" i="45"/>
  <c r="EW34" i="45"/>
  <c r="EX34" i="45"/>
  <c r="EY34" i="45"/>
  <c r="EZ34" i="45"/>
  <c r="FA34" i="45"/>
  <c r="FB34" i="45"/>
  <c r="FC34" i="45"/>
  <c r="FD34" i="45"/>
  <c r="FE34" i="45"/>
  <c r="FF34" i="45"/>
  <c r="FG34" i="45"/>
  <c r="FH34" i="45"/>
  <c r="FI34" i="45"/>
  <c r="FJ34" i="45"/>
  <c r="FK34" i="45"/>
  <c r="FL34" i="45"/>
  <c r="FM34" i="45"/>
  <c r="FN34" i="45"/>
  <c r="FO34" i="45"/>
  <c r="FQ34" i="45"/>
  <c r="FR34" i="45"/>
  <c r="FS34" i="45"/>
  <c r="FT34" i="45"/>
  <c r="FU34" i="45"/>
  <c r="FV34" i="45"/>
  <c r="FW34" i="45"/>
  <c r="FX34" i="45"/>
  <c r="FY34" i="45"/>
  <c r="FZ34" i="45"/>
  <c r="GA34" i="45"/>
  <c r="C35" i="45"/>
  <c r="D35" i="45"/>
  <c r="E35" i="45"/>
  <c r="F35" i="45"/>
  <c r="G35" i="45"/>
  <c r="H35" i="45"/>
  <c r="I35" i="45"/>
  <c r="J35" i="45"/>
  <c r="K35" i="45"/>
  <c r="M35" i="45"/>
  <c r="N35" i="45"/>
  <c r="O35" i="45"/>
  <c r="P35" i="45"/>
  <c r="Q35" i="45"/>
  <c r="AD35" i="45"/>
  <c r="AE35" i="45"/>
  <c r="AF35" i="45"/>
  <c r="AG35" i="45"/>
  <c r="AH35" i="45"/>
  <c r="AI35" i="45"/>
  <c r="AJ35" i="45"/>
  <c r="AL35" i="45"/>
  <c r="AM35" i="45"/>
  <c r="AN35" i="45"/>
  <c r="AO35" i="45"/>
  <c r="AP35" i="45"/>
  <c r="AQ35" i="45"/>
  <c r="AR35" i="45"/>
  <c r="AS35" i="45"/>
  <c r="AT35" i="45"/>
  <c r="AU35" i="45"/>
  <c r="AV35" i="45"/>
  <c r="AW35" i="45"/>
  <c r="AX35" i="45"/>
  <c r="AY35" i="45"/>
  <c r="AZ35" i="45"/>
  <c r="BA35" i="45"/>
  <c r="BB35" i="45"/>
  <c r="BC35" i="45"/>
  <c r="BD35" i="45"/>
  <c r="BE35" i="45"/>
  <c r="BF35" i="45"/>
  <c r="BG35" i="45"/>
  <c r="BH35" i="45"/>
  <c r="BI35" i="45"/>
  <c r="BJ35" i="45"/>
  <c r="BK35" i="45"/>
  <c r="BL35" i="45"/>
  <c r="BM35" i="45"/>
  <c r="BN35" i="45"/>
  <c r="BO35" i="45"/>
  <c r="BP35" i="45"/>
  <c r="BQ35" i="45"/>
  <c r="BR35" i="45"/>
  <c r="BS35" i="45"/>
  <c r="BT35" i="45"/>
  <c r="BU35" i="45"/>
  <c r="BV35" i="45"/>
  <c r="BW35" i="45"/>
  <c r="BX35" i="45"/>
  <c r="BY35" i="45"/>
  <c r="BZ35" i="45"/>
  <c r="CA35" i="45"/>
  <c r="CB35" i="45"/>
  <c r="CC35" i="45"/>
  <c r="CD35" i="45"/>
  <c r="CE35" i="45"/>
  <c r="CF35" i="45"/>
  <c r="CG35" i="45"/>
  <c r="CH35" i="45"/>
  <c r="CI35" i="45"/>
  <c r="CJ35" i="45"/>
  <c r="CK35" i="45"/>
  <c r="CL35" i="45"/>
  <c r="CM35" i="45"/>
  <c r="CN35" i="45"/>
  <c r="CO35" i="45"/>
  <c r="CP35" i="45"/>
  <c r="CQ35" i="45"/>
  <c r="CR35" i="45"/>
  <c r="CS35" i="45"/>
  <c r="CT35" i="45"/>
  <c r="CU35" i="45"/>
  <c r="CV35" i="45"/>
  <c r="CW35" i="45"/>
  <c r="CX35" i="45"/>
  <c r="CY35" i="45"/>
  <c r="CZ35" i="45"/>
  <c r="DA35" i="45"/>
  <c r="DB35" i="45"/>
  <c r="DC35" i="45"/>
  <c r="DD35" i="45"/>
  <c r="DE35" i="45"/>
  <c r="DF35" i="45"/>
  <c r="DG35" i="45"/>
  <c r="DH35" i="45"/>
  <c r="DI35" i="45"/>
  <c r="DJ35" i="45"/>
  <c r="DK35" i="45"/>
  <c r="DL35" i="45"/>
  <c r="DM35" i="45"/>
  <c r="DN35" i="45"/>
  <c r="DO35" i="45"/>
  <c r="DP35" i="45"/>
  <c r="DQ35" i="45"/>
  <c r="DR35" i="45"/>
  <c r="DS35" i="45"/>
  <c r="DT35" i="45"/>
  <c r="DU35" i="45"/>
  <c r="DV35" i="45"/>
  <c r="DW35" i="45"/>
  <c r="DX35" i="45"/>
  <c r="DY35" i="45"/>
  <c r="DZ35" i="45"/>
  <c r="EA35" i="45"/>
  <c r="EB35" i="45"/>
  <c r="EC35" i="45"/>
  <c r="ED35" i="45"/>
  <c r="EE35" i="45"/>
  <c r="EF35" i="45"/>
  <c r="EG35" i="45"/>
  <c r="EH35" i="45"/>
  <c r="EI35" i="45"/>
  <c r="EJ35" i="45"/>
  <c r="EK35" i="45"/>
  <c r="EL35" i="45"/>
  <c r="EM35" i="45"/>
  <c r="EN35" i="45"/>
  <c r="EO35" i="45"/>
  <c r="EP35" i="45"/>
  <c r="EQ35" i="45"/>
  <c r="ER35" i="45"/>
  <c r="ES35" i="45"/>
  <c r="ET35" i="45"/>
  <c r="EU35" i="45"/>
  <c r="EV35" i="45"/>
  <c r="EW35" i="45"/>
  <c r="EX35" i="45"/>
  <c r="EY35" i="45"/>
  <c r="EZ35" i="45"/>
  <c r="FA35" i="45"/>
  <c r="FB35" i="45"/>
  <c r="FC35" i="45"/>
  <c r="FD35" i="45"/>
  <c r="FE35" i="45"/>
  <c r="FF35" i="45"/>
  <c r="FG35" i="45"/>
  <c r="FH35" i="45"/>
  <c r="FI35" i="45"/>
  <c r="FJ35" i="45"/>
  <c r="FK35" i="45"/>
  <c r="FL35" i="45"/>
  <c r="FM35" i="45"/>
  <c r="FN35" i="45"/>
  <c r="FO35" i="45"/>
  <c r="FQ35" i="45"/>
  <c r="FR35" i="45"/>
  <c r="FS35" i="45"/>
  <c r="FT35" i="45"/>
  <c r="FU35" i="45"/>
  <c r="FV35" i="45"/>
  <c r="FW35" i="45"/>
  <c r="FX35" i="45"/>
  <c r="FY35" i="45"/>
  <c r="FZ35" i="45"/>
  <c r="GA35" i="45"/>
  <c r="C36" i="45"/>
  <c r="D36" i="45"/>
  <c r="E36" i="45"/>
  <c r="F36" i="45"/>
  <c r="G36" i="45"/>
  <c r="H36" i="45"/>
  <c r="I36" i="45"/>
  <c r="J36" i="45"/>
  <c r="K36" i="45"/>
  <c r="M36" i="45"/>
  <c r="N36" i="45"/>
  <c r="O36" i="45"/>
  <c r="P36" i="45"/>
  <c r="Q36" i="45"/>
  <c r="AD36" i="45"/>
  <c r="AE36" i="45"/>
  <c r="AF36" i="45"/>
  <c r="AG36" i="45"/>
  <c r="AH36" i="45"/>
  <c r="AI36" i="45"/>
  <c r="AJ36" i="45"/>
  <c r="AL36" i="45"/>
  <c r="AM36" i="45"/>
  <c r="AN36" i="45"/>
  <c r="AO36" i="45"/>
  <c r="AP36" i="45"/>
  <c r="AQ36" i="45"/>
  <c r="AR36" i="45"/>
  <c r="AS36" i="45"/>
  <c r="AT36" i="45"/>
  <c r="AU36" i="45"/>
  <c r="AV36" i="45"/>
  <c r="AW36" i="45"/>
  <c r="AX36" i="45"/>
  <c r="AY36" i="45"/>
  <c r="AZ36" i="45"/>
  <c r="BA36" i="45"/>
  <c r="BB36" i="45"/>
  <c r="BC36" i="45"/>
  <c r="BD36" i="45"/>
  <c r="BE36" i="45"/>
  <c r="BF36" i="45"/>
  <c r="BG36" i="45"/>
  <c r="BH36" i="45"/>
  <c r="BI36" i="45"/>
  <c r="BJ36" i="45"/>
  <c r="BK36" i="45"/>
  <c r="BL36" i="45"/>
  <c r="BM36" i="45"/>
  <c r="BN36" i="45"/>
  <c r="BO36" i="45"/>
  <c r="BP36" i="45"/>
  <c r="BQ36" i="45"/>
  <c r="BR36" i="45"/>
  <c r="BS36" i="45"/>
  <c r="BT36" i="45"/>
  <c r="BU36" i="45"/>
  <c r="BV36" i="45"/>
  <c r="BW36" i="45"/>
  <c r="BX36" i="45"/>
  <c r="BY36" i="45"/>
  <c r="BZ36" i="45"/>
  <c r="CA36" i="45"/>
  <c r="CB36" i="45"/>
  <c r="CC36" i="45"/>
  <c r="CD36" i="45"/>
  <c r="CE36" i="45"/>
  <c r="CF36" i="45"/>
  <c r="CG36" i="45"/>
  <c r="CH36" i="45"/>
  <c r="CI36" i="45"/>
  <c r="CJ36" i="45"/>
  <c r="CK36" i="45"/>
  <c r="CL36" i="45"/>
  <c r="CM36" i="45"/>
  <c r="CN36" i="45"/>
  <c r="CO36" i="45"/>
  <c r="CP36" i="45"/>
  <c r="CQ36" i="45"/>
  <c r="CR36" i="45"/>
  <c r="CS36" i="45"/>
  <c r="CT36" i="45"/>
  <c r="CU36" i="45"/>
  <c r="CV36" i="45"/>
  <c r="CW36" i="45"/>
  <c r="CX36" i="45"/>
  <c r="CY36" i="45"/>
  <c r="CZ36" i="45"/>
  <c r="DA36" i="45"/>
  <c r="DB36" i="45"/>
  <c r="DC36" i="45"/>
  <c r="DD36" i="45"/>
  <c r="DE36" i="45"/>
  <c r="DF36" i="45"/>
  <c r="DG36" i="45"/>
  <c r="DH36" i="45"/>
  <c r="DI36" i="45"/>
  <c r="DJ36" i="45"/>
  <c r="DK36" i="45"/>
  <c r="DL36" i="45"/>
  <c r="DM36" i="45"/>
  <c r="DN36" i="45"/>
  <c r="DO36" i="45"/>
  <c r="DP36" i="45"/>
  <c r="DQ36" i="45"/>
  <c r="DR36" i="45"/>
  <c r="DS36" i="45"/>
  <c r="DT36" i="45"/>
  <c r="DU36" i="45"/>
  <c r="DV36" i="45"/>
  <c r="DW36" i="45"/>
  <c r="DX36" i="45"/>
  <c r="DY36" i="45"/>
  <c r="DZ36" i="45"/>
  <c r="EA36" i="45"/>
  <c r="EB36" i="45"/>
  <c r="EC36" i="45"/>
  <c r="ED36" i="45"/>
  <c r="EE36" i="45"/>
  <c r="EF36" i="45"/>
  <c r="EG36" i="45"/>
  <c r="EH36" i="45"/>
  <c r="EI36" i="45"/>
  <c r="EJ36" i="45"/>
  <c r="EK36" i="45"/>
  <c r="EL36" i="45"/>
  <c r="EM36" i="45"/>
  <c r="EN36" i="45"/>
  <c r="EO36" i="45"/>
  <c r="EP36" i="45"/>
  <c r="EQ36" i="45"/>
  <c r="ER36" i="45"/>
  <c r="ES36" i="45"/>
  <c r="ET36" i="45"/>
  <c r="EU36" i="45"/>
  <c r="EV36" i="45"/>
  <c r="EW36" i="45"/>
  <c r="EX36" i="45"/>
  <c r="EY36" i="45"/>
  <c r="EZ36" i="45"/>
  <c r="FA36" i="45"/>
  <c r="FB36" i="45"/>
  <c r="FC36" i="45"/>
  <c r="FD36" i="45"/>
  <c r="FE36" i="45"/>
  <c r="FF36" i="45"/>
  <c r="FG36" i="45"/>
  <c r="FH36" i="45"/>
  <c r="FI36" i="45"/>
  <c r="FJ36" i="45"/>
  <c r="FK36" i="45"/>
  <c r="FL36" i="45"/>
  <c r="FM36" i="45"/>
  <c r="FN36" i="45"/>
  <c r="FO36" i="45"/>
  <c r="FQ36" i="45"/>
  <c r="FR36" i="45"/>
  <c r="FS36" i="45"/>
  <c r="FT36" i="45"/>
  <c r="FU36" i="45"/>
  <c r="FV36" i="45"/>
  <c r="FW36" i="45"/>
  <c r="FX36" i="45"/>
  <c r="FY36" i="45"/>
  <c r="FZ36" i="45"/>
  <c r="GA36" i="45"/>
  <c r="C37" i="45"/>
  <c r="D37" i="45"/>
  <c r="E37" i="45"/>
  <c r="F37" i="45"/>
  <c r="G37" i="45"/>
  <c r="H37" i="45"/>
  <c r="I37" i="45"/>
  <c r="J37" i="45"/>
  <c r="K37" i="45"/>
  <c r="M37" i="45"/>
  <c r="N37" i="45"/>
  <c r="O37" i="45"/>
  <c r="P37" i="45"/>
  <c r="Q37" i="45"/>
  <c r="AD37" i="45"/>
  <c r="AE37" i="45"/>
  <c r="AF37" i="45"/>
  <c r="AG37" i="45"/>
  <c r="AH37" i="45"/>
  <c r="AI37" i="45"/>
  <c r="AJ37" i="45"/>
  <c r="AL37" i="45"/>
  <c r="AM37" i="45"/>
  <c r="AN37" i="45"/>
  <c r="AO37" i="45"/>
  <c r="AP37" i="45"/>
  <c r="AQ37" i="45"/>
  <c r="AR37" i="45"/>
  <c r="AS37" i="45"/>
  <c r="AT37" i="45"/>
  <c r="AU37" i="45"/>
  <c r="AV37" i="45"/>
  <c r="AW37" i="45"/>
  <c r="AX37" i="45"/>
  <c r="AY37" i="45"/>
  <c r="AZ37" i="45"/>
  <c r="BA37" i="45"/>
  <c r="BB37" i="45"/>
  <c r="BC37" i="45"/>
  <c r="BD37" i="45"/>
  <c r="BE37" i="45"/>
  <c r="BF37" i="45"/>
  <c r="BG37" i="45"/>
  <c r="BH37" i="45"/>
  <c r="BI37" i="45"/>
  <c r="BJ37" i="45"/>
  <c r="BK37" i="45"/>
  <c r="BL37" i="45"/>
  <c r="BM37" i="45"/>
  <c r="BN37" i="45"/>
  <c r="BO37" i="45"/>
  <c r="BP37" i="45"/>
  <c r="BQ37" i="45"/>
  <c r="BR37" i="45"/>
  <c r="BS37" i="45"/>
  <c r="BT37" i="45"/>
  <c r="BU37" i="45"/>
  <c r="BV37" i="45"/>
  <c r="BW37" i="45"/>
  <c r="BX37" i="45"/>
  <c r="BY37" i="45"/>
  <c r="BZ37" i="45"/>
  <c r="CA37" i="45"/>
  <c r="CB37" i="45"/>
  <c r="CC37" i="45"/>
  <c r="CD37" i="45"/>
  <c r="CE37" i="45"/>
  <c r="CF37" i="45"/>
  <c r="CG37" i="45"/>
  <c r="CH37" i="45"/>
  <c r="CI37" i="45"/>
  <c r="CJ37" i="45"/>
  <c r="CK37" i="45"/>
  <c r="CL37" i="45"/>
  <c r="CM37" i="45"/>
  <c r="CN37" i="45"/>
  <c r="CO37" i="45"/>
  <c r="CP37" i="45"/>
  <c r="CQ37" i="45"/>
  <c r="CR37" i="45"/>
  <c r="CS37" i="45"/>
  <c r="CT37" i="45"/>
  <c r="CU37" i="45"/>
  <c r="CV37" i="45"/>
  <c r="CW37" i="45"/>
  <c r="CX37" i="45"/>
  <c r="CY37" i="45"/>
  <c r="CZ37" i="45"/>
  <c r="DA37" i="45"/>
  <c r="DB37" i="45"/>
  <c r="DC37" i="45"/>
  <c r="DD37" i="45"/>
  <c r="DE37" i="45"/>
  <c r="DF37" i="45"/>
  <c r="DG37" i="45"/>
  <c r="DH37" i="45"/>
  <c r="DI37" i="45"/>
  <c r="DJ37" i="45"/>
  <c r="DK37" i="45"/>
  <c r="DL37" i="45"/>
  <c r="DM37" i="45"/>
  <c r="DN37" i="45"/>
  <c r="DO37" i="45"/>
  <c r="DP37" i="45"/>
  <c r="DQ37" i="45"/>
  <c r="DR37" i="45"/>
  <c r="DS37" i="45"/>
  <c r="DT37" i="45"/>
  <c r="DU37" i="45"/>
  <c r="DV37" i="45"/>
  <c r="DW37" i="45"/>
  <c r="DX37" i="45"/>
  <c r="DY37" i="45"/>
  <c r="DZ37" i="45"/>
  <c r="EA37" i="45"/>
  <c r="EB37" i="45"/>
  <c r="EC37" i="45"/>
  <c r="ED37" i="45"/>
  <c r="EE37" i="45"/>
  <c r="EF37" i="45"/>
  <c r="EG37" i="45"/>
  <c r="EH37" i="45"/>
  <c r="EI37" i="45"/>
  <c r="EJ37" i="45"/>
  <c r="EK37" i="45"/>
  <c r="EL37" i="45"/>
  <c r="EM37" i="45"/>
  <c r="EN37" i="45"/>
  <c r="EO37" i="45"/>
  <c r="EP37" i="45"/>
  <c r="EQ37" i="45"/>
  <c r="ER37" i="45"/>
  <c r="ES37" i="45"/>
  <c r="ET37" i="45"/>
  <c r="EU37" i="45"/>
  <c r="EV37" i="45"/>
  <c r="EW37" i="45"/>
  <c r="EX37" i="45"/>
  <c r="EY37" i="45"/>
  <c r="EZ37" i="45"/>
  <c r="FA37" i="45"/>
  <c r="FB37" i="45"/>
  <c r="FC37" i="45"/>
  <c r="FD37" i="45"/>
  <c r="FE37" i="45"/>
  <c r="FF37" i="45"/>
  <c r="FG37" i="45"/>
  <c r="FH37" i="45"/>
  <c r="FI37" i="45"/>
  <c r="FJ37" i="45"/>
  <c r="FK37" i="45"/>
  <c r="FL37" i="45"/>
  <c r="FM37" i="45"/>
  <c r="FN37" i="45"/>
  <c r="FO37" i="45"/>
  <c r="FQ37" i="45"/>
  <c r="FR37" i="45"/>
  <c r="FS37" i="45"/>
  <c r="FT37" i="45"/>
  <c r="FU37" i="45"/>
  <c r="FV37" i="45"/>
  <c r="FW37" i="45"/>
  <c r="FX37" i="45"/>
  <c r="FY37" i="45"/>
  <c r="FZ37" i="45"/>
  <c r="GA37" i="45"/>
  <c r="GA7" i="45"/>
  <c r="FZ7" i="45"/>
  <c r="FY7" i="45"/>
  <c r="FX7" i="45"/>
  <c r="FW7" i="45"/>
  <c r="FV7" i="45"/>
  <c r="FU7" i="45"/>
  <c r="FT7" i="45"/>
  <c r="FS7" i="45"/>
  <c r="FR7" i="45"/>
  <c r="FQ7" i="45"/>
  <c r="FO7" i="45"/>
  <c r="FN7" i="45"/>
  <c r="FM7" i="45"/>
  <c r="FL7" i="45"/>
  <c r="FK7" i="45"/>
  <c r="FJ7" i="45"/>
  <c r="FI7" i="45"/>
  <c r="FH7" i="45"/>
  <c r="FG7" i="45"/>
  <c r="FF7" i="45"/>
  <c r="FE7" i="45"/>
  <c r="FD7" i="45"/>
  <c r="FC7" i="45"/>
  <c r="FB7" i="45"/>
  <c r="FA7" i="45"/>
  <c r="EZ7" i="45"/>
  <c r="EY7" i="45"/>
  <c r="EX7" i="45"/>
  <c r="EW7" i="45"/>
  <c r="EV7" i="45"/>
  <c r="EU7" i="45"/>
  <c r="ET7" i="45"/>
  <c r="ES7" i="45"/>
  <c r="ER7" i="45"/>
  <c r="EQ7" i="45"/>
  <c r="EP7" i="45"/>
  <c r="EO7" i="45"/>
  <c r="EN7" i="45"/>
  <c r="EM7" i="45"/>
  <c r="EL7" i="45"/>
  <c r="EK7" i="45"/>
  <c r="EJ7" i="45"/>
  <c r="EI7" i="45"/>
  <c r="EH7" i="45"/>
  <c r="EG7" i="45"/>
  <c r="EF7" i="45"/>
  <c r="EE7" i="45"/>
  <c r="ED7" i="45"/>
  <c r="EC7" i="45"/>
  <c r="EB7" i="45"/>
  <c r="EA7" i="45"/>
  <c r="DZ7" i="45"/>
  <c r="DY7" i="45"/>
  <c r="DX7" i="45"/>
  <c r="DW7" i="45"/>
  <c r="DV7" i="45"/>
  <c r="DU7" i="45"/>
  <c r="DT7" i="45"/>
  <c r="DS7" i="45"/>
  <c r="DR7" i="45"/>
  <c r="DQ7" i="45"/>
  <c r="DP7" i="45"/>
  <c r="DO7" i="45"/>
  <c r="DN7" i="45"/>
  <c r="DM7" i="45"/>
  <c r="DL7" i="45"/>
  <c r="DK7" i="45"/>
  <c r="DJ7" i="45"/>
  <c r="DI7" i="45"/>
  <c r="DH7" i="45"/>
  <c r="DG7" i="45"/>
  <c r="DF7" i="45"/>
  <c r="DE7" i="45"/>
  <c r="DD7" i="45"/>
  <c r="DC7" i="45"/>
  <c r="DB7" i="45"/>
  <c r="DA7" i="45"/>
  <c r="CZ7" i="45"/>
  <c r="CY7" i="45"/>
  <c r="CX7" i="45"/>
  <c r="CW7" i="45"/>
  <c r="CV7" i="45"/>
  <c r="CU7" i="45"/>
  <c r="CT7" i="45"/>
  <c r="CS7" i="45"/>
  <c r="CR7" i="45"/>
  <c r="CQ7" i="45"/>
  <c r="CP7" i="45"/>
  <c r="CO7" i="45"/>
  <c r="CN7" i="45"/>
  <c r="CM7" i="45"/>
  <c r="CL7" i="45"/>
  <c r="CK7" i="45"/>
  <c r="CJ7" i="45"/>
  <c r="CI7" i="45"/>
  <c r="CH7" i="45"/>
  <c r="CG7" i="45"/>
  <c r="CF7" i="45"/>
  <c r="CE7" i="45"/>
  <c r="CD7" i="45"/>
  <c r="CC7" i="45"/>
  <c r="CB7" i="45"/>
  <c r="CA7" i="45"/>
  <c r="BZ7" i="45"/>
  <c r="BY7" i="45"/>
  <c r="BX7" i="45"/>
  <c r="BW7" i="45"/>
  <c r="BV7" i="45"/>
  <c r="BU7" i="45"/>
  <c r="BT7" i="45"/>
  <c r="BS7" i="45"/>
  <c r="BR7" i="45"/>
  <c r="BQ7" i="45"/>
  <c r="BP7" i="45"/>
  <c r="BO7" i="45"/>
  <c r="BN7" i="45"/>
  <c r="BM7" i="45"/>
  <c r="BL7" i="45"/>
  <c r="BK7" i="45"/>
  <c r="BJ7" i="45"/>
  <c r="BI7" i="45"/>
  <c r="BH7" i="45"/>
  <c r="BG7" i="45"/>
  <c r="BF7" i="45"/>
  <c r="BE7" i="45"/>
  <c r="BD7" i="45"/>
  <c r="BC7" i="45"/>
  <c r="BB7" i="45"/>
  <c r="BA7" i="45"/>
  <c r="AZ7" i="45"/>
  <c r="AY7" i="45"/>
  <c r="AX7" i="45"/>
  <c r="AW7" i="45"/>
  <c r="AV7" i="45"/>
  <c r="AU7" i="45"/>
  <c r="AT7" i="45"/>
  <c r="AS7" i="45"/>
  <c r="AR7" i="45"/>
  <c r="AQ7" i="45"/>
  <c r="AN7" i="45"/>
  <c r="AM7" i="45"/>
  <c r="AL7" i="45"/>
  <c r="AJ7" i="45"/>
  <c r="AI7" i="45"/>
  <c r="AH7" i="45"/>
  <c r="AG7" i="45"/>
  <c r="AF7" i="45"/>
  <c r="AE7" i="45"/>
  <c r="AD7" i="45"/>
  <c r="Q7" i="45"/>
  <c r="P7" i="45"/>
  <c r="O7" i="45"/>
  <c r="N7" i="45"/>
  <c r="M7" i="45"/>
  <c r="K7" i="45"/>
  <c r="J7" i="45"/>
  <c r="I7" i="45"/>
  <c r="H7" i="45"/>
  <c r="G7" i="45"/>
  <c r="F7" i="45"/>
  <c r="E7" i="45"/>
  <c r="D7" i="45"/>
  <c r="C7" i="45"/>
  <c r="W20" i="46" l="1"/>
  <c r="T20" i="46"/>
  <c r="AB20" i="46"/>
  <c r="X20" i="46"/>
  <c r="BT20" i="46"/>
  <c r="CZ20" i="46"/>
  <c r="EV20" i="46"/>
  <c r="P20" i="46"/>
  <c r="AV20" i="46"/>
  <c r="CJ20" i="46"/>
  <c r="DP20" i="46"/>
  <c r="EF20" i="46"/>
  <c r="EN20" i="46"/>
  <c r="FD20" i="46"/>
  <c r="I20" i="46"/>
  <c r="GC7" i="46"/>
  <c r="Y20" i="46"/>
  <c r="AG20" i="46"/>
  <c r="AO20" i="46"/>
  <c r="AW20" i="46"/>
  <c r="BE20" i="46"/>
  <c r="BM20" i="46"/>
  <c r="BU20" i="46"/>
  <c r="CC20" i="46"/>
  <c r="CK20" i="46"/>
  <c r="CS20" i="46"/>
  <c r="DA20" i="46"/>
  <c r="DI20" i="46"/>
  <c r="DQ20" i="46"/>
  <c r="DY20" i="46"/>
  <c r="EG20" i="46"/>
  <c r="EO20" i="46"/>
  <c r="EW20" i="46"/>
  <c r="FE20" i="46"/>
  <c r="FM20" i="46"/>
  <c r="FU20" i="46"/>
  <c r="GB9" i="46"/>
  <c r="GB11" i="46"/>
  <c r="GC11" i="46"/>
  <c r="GB13" i="46"/>
  <c r="GC15" i="46"/>
  <c r="GB17" i="46"/>
  <c r="H20" i="46"/>
  <c r="BL20" i="46"/>
  <c r="CR20" i="46"/>
  <c r="FT20" i="46"/>
  <c r="Z20" i="46"/>
  <c r="BF20" i="46"/>
  <c r="BV20" i="46"/>
  <c r="DB20" i="46"/>
  <c r="DZ20" i="46"/>
  <c r="FN20" i="46"/>
  <c r="GB7" i="46"/>
  <c r="GD7" i="46" s="1"/>
  <c r="K20" i="46"/>
  <c r="S20" i="46"/>
  <c r="AA20" i="46"/>
  <c r="AI20" i="46"/>
  <c r="AQ20" i="46"/>
  <c r="AY20" i="46"/>
  <c r="BG20" i="46"/>
  <c r="BO20" i="46"/>
  <c r="BW20" i="46"/>
  <c r="CE20" i="46"/>
  <c r="CM20" i="46"/>
  <c r="CU20" i="46"/>
  <c r="DC20" i="46"/>
  <c r="DK20" i="46"/>
  <c r="DS20" i="46"/>
  <c r="EA20" i="46"/>
  <c r="EI20" i="46"/>
  <c r="EQ20" i="46"/>
  <c r="EY20" i="46"/>
  <c r="FG20" i="46"/>
  <c r="FO20" i="46"/>
  <c r="FW20" i="46"/>
  <c r="GC9" i="46"/>
  <c r="GC13" i="46"/>
  <c r="AS20" i="46"/>
  <c r="BA20" i="46"/>
  <c r="BI20" i="46"/>
  <c r="BQ20" i="46"/>
  <c r="BY20" i="46"/>
  <c r="CG20" i="46"/>
  <c r="CO20" i="46"/>
  <c r="CW20" i="46"/>
  <c r="DE20" i="46"/>
  <c r="DM20" i="46"/>
  <c r="DU20" i="46"/>
  <c r="EC20" i="46"/>
  <c r="EK20" i="46"/>
  <c r="ES20" i="46"/>
  <c r="FA20" i="46"/>
  <c r="FI20" i="46"/>
  <c r="FQ20" i="46"/>
  <c r="GB15" i="46"/>
  <c r="GC17" i="46"/>
  <c r="AF20" i="46"/>
  <c r="R20" i="46"/>
  <c r="AX20" i="46"/>
  <c r="CL20" i="46"/>
  <c r="DJ20" i="46"/>
  <c r="EH20" i="46"/>
  <c r="FF20" i="46"/>
  <c r="AR20" i="46"/>
  <c r="AZ20" i="46"/>
  <c r="BH20" i="46"/>
  <c r="BP20" i="46"/>
  <c r="BX20" i="46"/>
  <c r="CF20" i="46"/>
  <c r="CN20" i="46"/>
  <c r="CV20" i="46"/>
  <c r="DD20" i="46"/>
  <c r="DL20" i="46"/>
  <c r="DT20" i="46"/>
  <c r="EB20" i="46"/>
  <c r="EJ20" i="46"/>
  <c r="ER20" i="46"/>
  <c r="EZ20" i="46"/>
  <c r="FH20" i="46"/>
  <c r="FP20" i="46"/>
  <c r="FX20" i="46"/>
  <c r="GD18" i="46"/>
  <c r="GE18" i="46" s="1"/>
  <c r="AN20" i="46"/>
  <c r="CB20" i="46"/>
  <c r="DH20" i="46"/>
  <c r="FL20" i="46"/>
  <c r="AP20" i="46"/>
  <c r="CD20" i="46"/>
  <c r="DR20" i="46"/>
  <c r="EP20" i="46"/>
  <c r="FV20" i="46"/>
  <c r="E20" i="46"/>
  <c r="M20" i="46"/>
  <c r="U20" i="46"/>
  <c r="AC20" i="46"/>
  <c r="FY20" i="46"/>
  <c r="GB8" i="46"/>
  <c r="GC8" i="46"/>
  <c r="GC10" i="46"/>
  <c r="GD10" i="46" s="1"/>
  <c r="GE10" i="46" s="1"/>
  <c r="GB12" i="46"/>
  <c r="GB16" i="46"/>
  <c r="GC16" i="46"/>
  <c r="GC18" i="46"/>
  <c r="BD20" i="46"/>
  <c r="DX20" i="46"/>
  <c r="J20" i="46"/>
  <c r="AH20" i="46"/>
  <c r="BN20" i="46"/>
  <c r="CT20" i="46"/>
  <c r="EX20" i="46"/>
  <c r="F20" i="46"/>
  <c r="N20" i="46"/>
  <c r="V20" i="46"/>
  <c r="AD20" i="46"/>
  <c r="AL20" i="46"/>
  <c r="AT20" i="46"/>
  <c r="BB20" i="46"/>
  <c r="BJ20" i="46"/>
  <c r="BR20" i="46"/>
  <c r="BZ20" i="46"/>
  <c r="CH20" i="46"/>
  <c r="CP20" i="46"/>
  <c r="CX20" i="46"/>
  <c r="DF20" i="46"/>
  <c r="DN20" i="46"/>
  <c r="DV20" i="46"/>
  <c r="ED20" i="46"/>
  <c r="EL20" i="46"/>
  <c r="ET20" i="46"/>
  <c r="FB20" i="46"/>
  <c r="FJ20" i="46"/>
  <c r="FR20" i="46"/>
  <c r="FZ20" i="46"/>
  <c r="GC12" i="46"/>
  <c r="GB14" i="46"/>
  <c r="GD14" i="46" s="1"/>
  <c r="GE14" i="46" s="1"/>
  <c r="Q20" i="46"/>
  <c r="H32" i="33"/>
  <c r="G32" i="33"/>
  <c r="GB24" i="45"/>
  <c r="EM39" i="45"/>
  <c r="H146" i="38" s="1"/>
  <c r="BS39" i="45"/>
  <c r="H74" i="38" s="1"/>
  <c r="H25" i="33"/>
  <c r="H23" i="33"/>
  <c r="G23" i="33"/>
  <c r="H24" i="33"/>
  <c r="G24" i="33"/>
  <c r="H29" i="33"/>
  <c r="H26" i="33"/>
  <c r="G26" i="33"/>
  <c r="H27" i="33"/>
  <c r="G27" i="33"/>
  <c r="G29" i="33"/>
  <c r="G25" i="33"/>
  <c r="H28" i="33"/>
  <c r="G28" i="33"/>
  <c r="H30" i="33"/>
  <c r="G30" i="33"/>
  <c r="H31" i="33"/>
  <c r="G31" i="33"/>
  <c r="H22" i="33"/>
  <c r="G22" i="33"/>
  <c r="H21" i="33"/>
  <c r="G21" i="33"/>
  <c r="AU39" i="45"/>
  <c r="H50" i="38" s="1"/>
  <c r="U27" i="39"/>
  <c r="U26" i="39"/>
  <c r="U25" i="39"/>
  <c r="U22" i="39"/>
  <c r="U19" i="39"/>
  <c r="U18" i="39"/>
  <c r="U7" i="39"/>
  <c r="U30" i="39"/>
  <c r="U29" i="39"/>
  <c r="U23" i="39"/>
  <c r="U21" i="39"/>
  <c r="U20" i="39"/>
  <c r="U12" i="39"/>
  <c r="U37" i="45"/>
  <c r="U36" i="45"/>
  <c r="U35" i="45"/>
  <c r="U34" i="45"/>
  <c r="U33" i="45"/>
  <c r="U32" i="45"/>
  <c r="U31" i="45"/>
  <c r="U30" i="45"/>
  <c r="U29" i="45"/>
  <c r="U28" i="45"/>
  <c r="U27" i="45"/>
  <c r="U26" i="45"/>
  <c r="U25" i="45"/>
  <c r="U24" i="45"/>
  <c r="U23" i="45"/>
  <c r="U22" i="45"/>
  <c r="U21" i="45"/>
  <c r="U20" i="45"/>
  <c r="U19" i="45"/>
  <c r="U18" i="45"/>
  <c r="U17" i="45"/>
  <c r="U16" i="45"/>
  <c r="ED39" i="45"/>
  <c r="H137" i="38" s="1"/>
  <c r="U11" i="45"/>
  <c r="DF39" i="45"/>
  <c r="H113" i="38" s="1"/>
  <c r="U9" i="45"/>
  <c r="BB39" i="45"/>
  <c r="H57" i="38" s="1"/>
  <c r="U24" i="39"/>
  <c r="U10" i="39"/>
  <c r="U9" i="39"/>
  <c r="U8" i="39"/>
  <c r="U8" i="45"/>
  <c r="Y21" i="45"/>
  <c r="BC39" i="45"/>
  <c r="H58" i="38" s="1"/>
  <c r="T17" i="45"/>
  <c r="FC39" i="45"/>
  <c r="H162" i="38" s="1"/>
  <c r="BM39" i="45"/>
  <c r="H68" i="38" s="1"/>
  <c r="FE39" i="45"/>
  <c r="H164" i="38" s="1"/>
  <c r="FU39" i="45"/>
  <c r="H180" i="38" s="1"/>
  <c r="GC33" i="45"/>
  <c r="T22" i="45"/>
  <c r="Z21" i="45"/>
  <c r="T21" i="45"/>
  <c r="AC20" i="45"/>
  <c r="Z20" i="45"/>
  <c r="T20" i="45"/>
  <c r="AB19" i="45"/>
  <c r="Z19" i="45"/>
  <c r="T19" i="45"/>
  <c r="Z18" i="45"/>
  <c r="X18" i="45"/>
  <c r="T18" i="45"/>
  <c r="Z17" i="45"/>
  <c r="Z16" i="45"/>
  <c r="T16" i="45"/>
  <c r="AB15" i="45"/>
  <c r="Z15" i="45"/>
  <c r="U15" i="45"/>
  <c r="T15" i="45"/>
  <c r="Z9" i="45"/>
  <c r="T9" i="45"/>
  <c r="Z8" i="45"/>
  <c r="T8" i="45"/>
  <c r="GC31" i="45"/>
  <c r="GC29" i="45"/>
  <c r="GC27" i="45"/>
  <c r="GC25" i="45"/>
  <c r="GC23" i="45"/>
  <c r="GC21" i="45"/>
  <c r="GC19" i="45"/>
  <c r="GC17" i="45"/>
  <c r="GC15" i="45"/>
  <c r="GC9" i="45"/>
  <c r="AC37" i="45"/>
  <c r="Y37" i="45"/>
  <c r="X37" i="45"/>
  <c r="W37" i="45"/>
  <c r="AC36" i="45"/>
  <c r="Y36" i="45"/>
  <c r="X36" i="45"/>
  <c r="W36" i="45"/>
  <c r="AC35" i="45"/>
  <c r="AB35" i="45"/>
  <c r="Y35" i="45"/>
  <c r="W35" i="45"/>
  <c r="S35" i="45"/>
  <c r="AC34" i="45"/>
  <c r="X34" i="45"/>
  <c r="W34" i="45"/>
  <c r="AB33" i="45"/>
  <c r="Y33" i="45"/>
  <c r="X33" i="45"/>
  <c r="V33" i="45"/>
  <c r="AC32" i="45"/>
  <c r="X32" i="45"/>
  <c r="W32" i="45"/>
  <c r="R32" i="45"/>
  <c r="AB31" i="45"/>
  <c r="Y31" i="45"/>
  <c r="W31" i="45"/>
  <c r="S31" i="45"/>
  <c r="AC30" i="45"/>
  <c r="AB30" i="45"/>
  <c r="R30" i="45"/>
  <c r="Y29" i="45"/>
  <c r="X29" i="45"/>
  <c r="V29" i="45"/>
  <c r="S29" i="45"/>
  <c r="AC28" i="45"/>
  <c r="AB28" i="45"/>
  <c r="W28" i="45"/>
  <c r="R28" i="45"/>
  <c r="AB27" i="45"/>
  <c r="Y27" i="45"/>
  <c r="W27" i="45"/>
  <c r="S27" i="45"/>
  <c r="AC26" i="45"/>
  <c r="AB26" i="45"/>
  <c r="W26" i="45"/>
  <c r="S26" i="45"/>
  <c r="AB25" i="45"/>
  <c r="Y25" i="45"/>
  <c r="W25" i="45"/>
  <c r="S25" i="45"/>
  <c r="AC24" i="45"/>
  <c r="AB24" i="45"/>
  <c r="X24" i="45"/>
  <c r="W24" i="45"/>
  <c r="R24" i="45"/>
  <c r="AB23" i="45"/>
  <c r="Y23" i="45"/>
  <c r="X23" i="45"/>
  <c r="V23" i="45"/>
  <c r="S23" i="45"/>
  <c r="AC22" i="45"/>
  <c r="AB22" i="45"/>
  <c r="R22" i="45"/>
  <c r="V21" i="45"/>
  <c r="X20" i="45"/>
  <c r="S20" i="45"/>
  <c r="W19" i="45"/>
  <c r="S18" i="45"/>
  <c r="AB17" i="45"/>
  <c r="W17" i="45"/>
  <c r="X16" i="45"/>
  <c r="S16" i="45"/>
  <c r="W15" i="45"/>
  <c r="U11" i="39"/>
  <c r="T30" i="39"/>
  <c r="T18" i="39"/>
  <c r="T14" i="39"/>
  <c r="Z7" i="39"/>
  <c r="AB27" i="39"/>
  <c r="AB26" i="39"/>
  <c r="AB24" i="39"/>
  <c r="AB23" i="39"/>
  <c r="X22" i="39"/>
  <c r="AB21" i="39"/>
  <c r="X21" i="39"/>
  <c r="AB20" i="39"/>
  <c r="X17" i="39"/>
  <c r="X13" i="39"/>
  <c r="X12" i="39"/>
  <c r="T14" i="45"/>
  <c r="Z14" i="45"/>
  <c r="U14" i="45"/>
  <c r="X14" i="45"/>
  <c r="S14" i="45"/>
  <c r="T13" i="45"/>
  <c r="U13" i="45"/>
  <c r="Z13" i="45"/>
  <c r="W13" i="45"/>
  <c r="GC13" i="45"/>
  <c r="AB13" i="45"/>
  <c r="T12" i="45"/>
  <c r="U12" i="45"/>
  <c r="EG39" i="45"/>
  <c r="H140" i="38" s="1"/>
  <c r="Z12" i="45"/>
  <c r="X12" i="45"/>
  <c r="AW39" i="45"/>
  <c r="H52" i="38" s="1"/>
  <c r="S12" i="45"/>
  <c r="K39" i="45"/>
  <c r="H14" i="38" s="1"/>
  <c r="T11" i="45"/>
  <c r="EO39" i="45"/>
  <c r="H148" i="38" s="1"/>
  <c r="DQ39" i="45"/>
  <c r="H124" i="38" s="1"/>
  <c r="Z11" i="45"/>
  <c r="W11" i="45"/>
  <c r="CS39" i="45"/>
  <c r="H100" i="38" s="1"/>
  <c r="CM39" i="45"/>
  <c r="H94" i="38" s="1"/>
  <c r="CK39" i="45"/>
  <c r="H92" i="38" s="1"/>
  <c r="AB11" i="45"/>
  <c r="CC39" i="45"/>
  <c r="H84" i="38" s="1"/>
  <c r="BU39" i="45"/>
  <c r="H76" i="38" s="1"/>
  <c r="C39" i="45"/>
  <c r="H6" i="38" s="1"/>
  <c r="T10" i="45"/>
  <c r="Z10" i="45"/>
  <c r="ET39" i="45"/>
  <c r="H153" i="38" s="1"/>
  <c r="U10" i="45"/>
  <c r="AE39" i="45"/>
  <c r="H34" i="38" s="1"/>
  <c r="AN39" i="45"/>
  <c r="H43" i="38" s="1"/>
  <c r="X10" i="45"/>
  <c r="N39" i="45"/>
  <c r="H17" i="38" s="1"/>
  <c r="AD39" i="45"/>
  <c r="H33" i="38" s="1"/>
  <c r="S10" i="45"/>
  <c r="GA39" i="45"/>
  <c r="H186" i="38" s="1"/>
  <c r="AB9" i="45"/>
  <c r="W9" i="45"/>
  <c r="AM39" i="45"/>
  <c r="H42" i="38" s="1"/>
  <c r="X8" i="45"/>
  <c r="S8" i="45"/>
  <c r="F39" i="45"/>
  <c r="H9" i="38" s="1"/>
  <c r="FK39" i="45"/>
  <c r="H170" i="38" s="1"/>
  <c r="DW39" i="45"/>
  <c r="H130" i="38" s="1"/>
  <c r="DB39" i="45"/>
  <c r="H109" i="38" s="1"/>
  <c r="CY39" i="45"/>
  <c r="H106" i="38" s="1"/>
  <c r="CQ39" i="45"/>
  <c r="H98" i="38" s="1"/>
  <c r="CI39" i="45"/>
  <c r="H90" i="38" s="1"/>
  <c r="BZ39" i="45"/>
  <c r="H81" i="38" s="1"/>
  <c r="BR39" i="45"/>
  <c r="H73" i="38" s="1"/>
  <c r="FR39" i="45"/>
  <c r="H177" i="38" s="1"/>
  <c r="DV39" i="45"/>
  <c r="H129" i="38" s="1"/>
  <c r="BJ39" i="45"/>
  <c r="H65" i="38" s="1"/>
  <c r="S32" i="45"/>
  <c r="X31" i="45"/>
  <c r="W30" i="45"/>
  <c r="S30" i="45"/>
  <c r="W29" i="45"/>
  <c r="S28" i="45"/>
  <c r="X27" i="45"/>
  <c r="X25" i="45"/>
  <c r="W23" i="45"/>
  <c r="GB27" i="45"/>
  <c r="V37" i="45"/>
  <c r="V36" i="45"/>
  <c r="V35" i="45"/>
  <c r="Y34" i="45"/>
  <c r="V34" i="45"/>
  <c r="R34" i="45"/>
  <c r="Y32" i="45"/>
  <c r="V32" i="45"/>
  <c r="Y30" i="45"/>
  <c r="V30" i="45"/>
  <c r="Y28" i="45"/>
  <c r="V28" i="45"/>
  <c r="Y26" i="45"/>
  <c r="V26" i="45"/>
  <c r="Y24" i="45"/>
  <c r="V24" i="45"/>
  <c r="Y22" i="45"/>
  <c r="V22" i="45"/>
  <c r="CH39" i="45"/>
  <c r="H89" i="38" s="1"/>
  <c r="FZ39" i="45"/>
  <c r="H185" i="38" s="1"/>
  <c r="CP39" i="45"/>
  <c r="H97" i="38" s="1"/>
  <c r="CX39" i="45"/>
  <c r="H105" i="38" s="1"/>
  <c r="S36" i="45"/>
  <c r="X35" i="45"/>
  <c r="AB34" i="45"/>
  <c r="S34" i="45"/>
  <c r="W33" i="45"/>
  <c r="S33" i="45"/>
  <c r="AB32" i="45"/>
  <c r="V31" i="45"/>
  <c r="X30" i="45"/>
  <c r="AB29" i="45"/>
  <c r="X28" i="45"/>
  <c r="V27" i="45"/>
  <c r="X26" i="45"/>
  <c r="R26" i="45"/>
  <c r="V25" i="45"/>
  <c r="S24" i="45"/>
  <c r="FN39" i="45"/>
  <c r="H173" i="38" s="1"/>
  <c r="D39" i="45"/>
  <c r="H7" i="38" s="1"/>
  <c r="BO39" i="45"/>
  <c r="H70" i="38" s="1"/>
  <c r="EA39" i="45"/>
  <c r="H134" i="38" s="1"/>
  <c r="EY39" i="45"/>
  <c r="H158" i="38" s="1"/>
  <c r="G39" i="45"/>
  <c r="H10" i="38" s="1"/>
  <c r="R37" i="45"/>
  <c r="R36" i="45"/>
  <c r="R35" i="45"/>
  <c r="AC33" i="45"/>
  <c r="R33" i="45"/>
  <c r="AC31" i="45"/>
  <c r="R31" i="45"/>
  <c r="AC29" i="45"/>
  <c r="R29" i="45"/>
  <c r="AC27" i="45"/>
  <c r="R27" i="45"/>
  <c r="AC25" i="45"/>
  <c r="R25" i="45"/>
  <c r="AC23" i="45"/>
  <c r="R23" i="45"/>
  <c r="AC21" i="45"/>
  <c r="R21" i="45"/>
  <c r="AT39" i="45"/>
  <c r="H49" i="38" s="1"/>
  <c r="FJ39" i="45"/>
  <c r="H169" i="38" s="1"/>
  <c r="EL39" i="45"/>
  <c r="H145" i="38" s="1"/>
  <c r="M39" i="45"/>
  <c r="H16" i="38" s="1"/>
  <c r="DN39" i="45"/>
  <c r="H121" i="38" s="1"/>
  <c r="FB39" i="45"/>
  <c r="H161" i="38" s="1"/>
  <c r="AB37" i="45"/>
  <c r="S37" i="45"/>
  <c r="AB36" i="45"/>
  <c r="E39" i="45"/>
  <c r="H8" i="38" s="1"/>
  <c r="EU39" i="45"/>
  <c r="H154" i="38" s="1"/>
  <c r="DG39" i="45"/>
  <c r="H114" i="38" s="1"/>
  <c r="CA39" i="45"/>
  <c r="H82" i="38" s="1"/>
  <c r="BK39" i="45"/>
  <c r="H66" i="38" s="1"/>
  <c r="FS39" i="45"/>
  <c r="H178" i="38" s="1"/>
  <c r="EE39" i="45"/>
  <c r="H138" i="38" s="1"/>
  <c r="DO39" i="45"/>
  <c r="H122" i="38" s="1"/>
  <c r="AA37" i="45"/>
  <c r="Z37" i="45"/>
  <c r="T37" i="45"/>
  <c r="AA36" i="45"/>
  <c r="Z36" i="45"/>
  <c r="T36" i="45"/>
  <c r="AA35" i="45"/>
  <c r="Z35" i="45"/>
  <c r="T35" i="45"/>
  <c r="AA34" i="45"/>
  <c r="Z34" i="45"/>
  <c r="T34" i="45"/>
  <c r="AA33" i="45"/>
  <c r="Z33" i="45"/>
  <c r="T33" i="45"/>
  <c r="AA32" i="45"/>
  <c r="Z32" i="45"/>
  <c r="T32" i="45"/>
  <c r="AA31" i="45"/>
  <c r="Z31" i="45"/>
  <c r="T31" i="45"/>
  <c r="AA30" i="45"/>
  <c r="Z30" i="45"/>
  <c r="T30" i="45"/>
  <c r="AA29" i="45"/>
  <c r="Z29" i="45"/>
  <c r="T29" i="45"/>
  <c r="AA28" i="45"/>
  <c r="Z28" i="45"/>
  <c r="T28" i="45"/>
  <c r="AA27" i="45"/>
  <c r="Z27" i="45"/>
  <c r="T27" i="45"/>
  <c r="AA26" i="45"/>
  <c r="Z26" i="45"/>
  <c r="T26" i="45"/>
  <c r="AA25" i="45"/>
  <c r="Z25" i="45"/>
  <c r="T25" i="45"/>
  <c r="AA24" i="45"/>
  <c r="Z24" i="45"/>
  <c r="T24" i="45"/>
  <c r="AA23" i="45"/>
  <c r="Z23" i="45"/>
  <c r="T23" i="45"/>
  <c r="AA22" i="45"/>
  <c r="Z22" i="45"/>
  <c r="AA21" i="45"/>
  <c r="AA20" i="45"/>
  <c r="AA19" i="45"/>
  <c r="AA18" i="45"/>
  <c r="AA17" i="45"/>
  <c r="AA16" i="45"/>
  <c r="AA15" i="45"/>
  <c r="AA14" i="45"/>
  <c r="AA13" i="45"/>
  <c r="AA12" i="45"/>
  <c r="AA11" i="45"/>
  <c r="AA10" i="45"/>
  <c r="AA9" i="45"/>
  <c r="AA8" i="45"/>
  <c r="X22" i="45"/>
  <c r="W22" i="45"/>
  <c r="S22" i="45"/>
  <c r="AB21" i="45"/>
  <c r="X21" i="45"/>
  <c r="W21" i="45"/>
  <c r="S21" i="45"/>
  <c r="AB20" i="45"/>
  <c r="W20" i="45"/>
  <c r="X19" i="45"/>
  <c r="S19" i="45"/>
  <c r="AB18" i="45"/>
  <c r="W18" i="45"/>
  <c r="X17" i="45"/>
  <c r="S17" i="45"/>
  <c r="AB16" i="45"/>
  <c r="W16" i="45"/>
  <c r="X15" i="45"/>
  <c r="S15" i="45"/>
  <c r="AB14" i="45"/>
  <c r="W14" i="45"/>
  <c r="X13" i="45"/>
  <c r="S13" i="45"/>
  <c r="AB12" i="45"/>
  <c r="W12" i="45"/>
  <c r="X11" i="45"/>
  <c r="S11" i="45"/>
  <c r="AB10" i="45"/>
  <c r="W10" i="45"/>
  <c r="X9" i="45"/>
  <c r="S9" i="45"/>
  <c r="AB8" i="45"/>
  <c r="W8" i="45"/>
  <c r="GB15" i="45"/>
  <c r="GB13" i="45"/>
  <c r="H39" i="45"/>
  <c r="H11" i="38" s="1"/>
  <c r="L39" i="45"/>
  <c r="H15" i="38" s="1"/>
  <c r="FM39" i="45"/>
  <c r="H172" i="38" s="1"/>
  <c r="EW39" i="45"/>
  <c r="H156" i="38" s="1"/>
  <c r="DY39" i="45"/>
  <c r="H132" i="38" s="1"/>
  <c r="DI39" i="45"/>
  <c r="H116" i="38" s="1"/>
  <c r="DA39" i="45"/>
  <c r="H108" i="38" s="1"/>
  <c r="BE39" i="45"/>
  <c r="H60" i="38" s="1"/>
  <c r="AF39" i="45"/>
  <c r="H35" i="38" s="1"/>
  <c r="P39" i="45"/>
  <c r="H19" i="38" s="1"/>
  <c r="Y20" i="45"/>
  <c r="V20" i="45"/>
  <c r="Y19" i="45"/>
  <c r="V19" i="45"/>
  <c r="Y18" i="45"/>
  <c r="V18" i="45"/>
  <c r="Y17" i="45"/>
  <c r="V17" i="45"/>
  <c r="Y16" i="45"/>
  <c r="V16" i="45"/>
  <c r="Y15" i="45"/>
  <c r="V15" i="45"/>
  <c r="Y14" i="45"/>
  <c r="V14" i="45"/>
  <c r="Y13" i="45"/>
  <c r="V13" i="45"/>
  <c r="Y12" i="45"/>
  <c r="V12" i="45"/>
  <c r="Y11" i="45"/>
  <c r="V11" i="45"/>
  <c r="Y10" i="45"/>
  <c r="V10" i="45"/>
  <c r="Y9" i="45"/>
  <c r="V9" i="45"/>
  <c r="Y8" i="45"/>
  <c r="V8" i="45"/>
  <c r="O39" i="45"/>
  <c r="H18" i="38" s="1"/>
  <c r="R20" i="45"/>
  <c r="AC19" i="45"/>
  <c r="R19" i="45"/>
  <c r="AC18" i="45"/>
  <c r="R18" i="45"/>
  <c r="AC17" i="45"/>
  <c r="R17" i="45"/>
  <c r="AC16" i="45"/>
  <c r="R16" i="45"/>
  <c r="AC15" i="45"/>
  <c r="R15" i="45"/>
  <c r="AC14" i="45"/>
  <c r="R14" i="45"/>
  <c r="AC13" i="45"/>
  <c r="R13" i="45"/>
  <c r="AC12" i="45"/>
  <c r="R12" i="45"/>
  <c r="AC11" i="45"/>
  <c r="R11" i="45"/>
  <c r="AC10" i="45"/>
  <c r="R10" i="45"/>
  <c r="AC9" i="45"/>
  <c r="R9" i="45"/>
  <c r="AC8" i="45"/>
  <c r="R8" i="45"/>
  <c r="V25" i="39"/>
  <c r="V22" i="39"/>
  <c r="V18" i="39"/>
  <c r="V9" i="39"/>
  <c r="V13" i="39"/>
  <c r="V12" i="39"/>
  <c r="T29" i="39"/>
  <c r="T27" i="39"/>
  <c r="T25" i="39"/>
  <c r="T23" i="39"/>
  <c r="T22" i="39"/>
  <c r="T28" i="39"/>
  <c r="T26" i="39"/>
  <c r="T24" i="39"/>
  <c r="T21" i="39"/>
  <c r="T20" i="39"/>
  <c r="T19" i="39"/>
  <c r="T17" i="39"/>
  <c r="T16" i="39"/>
  <c r="T15" i="39"/>
  <c r="T7" i="39"/>
  <c r="T13" i="39"/>
  <c r="T12" i="39"/>
  <c r="T11" i="39"/>
  <c r="T10" i="39"/>
  <c r="T9" i="39"/>
  <c r="T8" i="39"/>
  <c r="W29" i="39"/>
  <c r="AA27" i="39"/>
  <c r="AA24" i="39"/>
  <c r="U28" i="39"/>
  <c r="U17" i="39"/>
  <c r="U16" i="39"/>
  <c r="U15" i="39"/>
  <c r="U14" i="39"/>
  <c r="U13" i="39"/>
  <c r="AA26" i="39"/>
  <c r="AA25" i="39"/>
  <c r="AA28" i="39"/>
  <c r="AA14" i="39"/>
  <c r="AA12" i="39"/>
  <c r="AB25" i="39"/>
  <c r="AB28" i="39"/>
  <c r="AB13" i="39"/>
  <c r="AB11" i="39"/>
  <c r="Z30" i="39"/>
  <c r="Z26" i="39"/>
  <c r="Z23" i="39"/>
  <c r="Z22" i="39"/>
  <c r="Z21" i="39"/>
  <c r="Z12" i="39"/>
  <c r="Z11" i="39"/>
  <c r="Z10" i="39"/>
  <c r="W7" i="39"/>
  <c r="V30" i="39"/>
  <c r="V29" i="39"/>
  <c r="V28" i="39"/>
  <c r="V27" i="39"/>
  <c r="V26" i="39"/>
  <c r="V24" i="39"/>
  <c r="V23" i="39"/>
  <c r="V21" i="39"/>
  <c r="V20" i="39"/>
  <c r="V19" i="39"/>
  <c r="V17" i="39"/>
  <c r="V16" i="39"/>
  <c r="V15" i="39"/>
  <c r="V14" i="39"/>
  <c r="V11" i="39"/>
  <c r="V10" i="39"/>
  <c r="V8" i="39"/>
  <c r="V7" i="39"/>
  <c r="Z29" i="39"/>
  <c r="Z28" i="39"/>
  <c r="Z27" i="39"/>
  <c r="Z25" i="39"/>
  <c r="Z24" i="39"/>
  <c r="Z20" i="39"/>
  <c r="Z19" i="39"/>
  <c r="Z18" i="39"/>
  <c r="Z17" i="39"/>
  <c r="Z16" i="39"/>
  <c r="Z15" i="39"/>
  <c r="Z14" i="39"/>
  <c r="Z13" i="39"/>
  <c r="Z9" i="39"/>
  <c r="Z8" i="39"/>
  <c r="Y30" i="39"/>
  <c r="Y24" i="39"/>
  <c r="Y22" i="39"/>
  <c r="Y21" i="39"/>
  <c r="Y17" i="39"/>
  <c r="Y9" i="39"/>
  <c r="Y8" i="39"/>
  <c r="AB30" i="39"/>
  <c r="AB22" i="39"/>
  <c r="AB18" i="39"/>
  <c r="AB17" i="39"/>
  <c r="AB16" i="39"/>
  <c r="AB15" i="39"/>
  <c r="AB14" i="39"/>
  <c r="AB12" i="39"/>
  <c r="AB10" i="39"/>
  <c r="AB9" i="39"/>
  <c r="AB8" i="39"/>
  <c r="AB7" i="39"/>
  <c r="Y29" i="39"/>
  <c r="Y28" i="39"/>
  <c r="Y27" i="39"/>
  <c r="Y26" i="39"/>
  <c r="Y25" i="39"/>
  <c r="Y23" i="39"/>
  <c r="Y13" i="39"/>
  <c r="Y12" i="39"/>
  <c r="Y11" i="39"/>
  <c r="Y10" i="39"/>
  <c r="Y7" i="39"/>
  <c r="Y20" i="39"/>
  <c r="Y19" i="39"/>
  <c r="Y18" i="39"/>
  <c r="Y16" i="39"/>
  <c r="Y15" i="39"/>
  <c r="Y14" i="39"/>
  <c r="AA30" i="39"/>
  <c r="AA29" i="39"/>
  <c r="AA23" i="39"/>
  <c r="AA22" i="39"/>
  <c r="AA19" i="39"/>
  <c r="AA18" i="39"/>
  <c r="AA13" i="39"/>
  <c r="AA11" i="39"/>
  <c r="W30" i="39"/>
  <c r="W28" i="39"/>
  <c r="W27" i="39"/>
  <c r="W26" i="39"/>
  <c r="W25" i="39"/>
  <c r="W24" i="39"/>
  <c r="W23" i="39"/>
  <c r="W22" i="39"/>
  <c r="W21" i="39"/>
  <c r="W19" i="39"/>
  <c r="W18" i="39"/>
  <c r="W17" i="39"/>
  <c r="W16" i="39"/>
  <c r="W15" i="39"/>
  <c r="W14" i="39"/>
  <c r="W13" i="39"/>
  <c r="W12" i="39"/>
  <c r="W11" i="39"/>
  <c r="W10" i="39"/>
  <c r="W9" i="39"/>
  <c r="W8" i="39"/>
  <c r="X30" i="39"/>
  <c r="X29" i="39"/>
  <c r="X28" i="39"/>
  <c r="X27" i="39"/>
  <c r="X26" i="39"/>
  <c r="X25" i="39"/>
  <c r="X24" i="39"/>
  <c r="X23" i="39"/>
  <c r="X20" i="39"/>
  <c r="X19" i="39"/>
  <c r="X18" i="39"/>
  <c r="X16" i="39"/>
  <c r="X15" i="39"/>
  <c r="X14" i="39"/>
  <c r="X11" i="39"/>
  <c r="X10" i="39"/>
  <c r="X9" i="39"/>
  <c r="X8" i="39"/>
  <c r="AA21" i="39"/>
  <c r="AA20" i="39"/>
  <c r="AA17" i="39"/>
  <c r="AA16" i="39"/>
  <c r="AA15" i="39"/>
  <c r="AA10" i="39"/>
  <c r="AA9" i="39"/>
  <c r="AA8" i="39"/>
  <c r="AA7" i="39"/>
  <c r="X7" i="39"/>
  <c r="W20" i="39"/>
  <c r="AB29" i="39"/>
  <c r="AB19" i="39"/>
  <c r="AC17" i="39"/>
  <c r="AC16" i="39"/>
  <c r="AC30" i="39"/>
  <c r="AC28" i="39"/>
  <c r="AC27" i="39"/>
  <c r="AC26" i="39"/>
  <c r="AC25" i="39"/>
  <c r="AC22" i="39"/>
  <c r="AC18" i="39"/>
  <c r="AC15" i="39"/>
  <c r="AC14" i="39"/>
  <c r="AC13" i="39"/>
  <c r="AC12" i="39"/>
  <c r="AC11" i="39"/>
  <c r="AC10" i="39"/>
  <c r="AC9" i="39"/>
  <c r="AC8" i="39"/>
  <c r="AC7" i="39"/>
  <c r="AC29" i="39"/>
  <c r="AC24" i="39"/>
  <c r="AC23" i="39"/>
  <c r="AC21" i="39"/>
  <c r="AC20" i="39"/>
  <c r="AC19" i="39"/>
  <c r="S23" i="39"/>
  <c r="S22" i="39"/>
  <c r="S30" i="39"/>
  <c r="S29" i="39"/>
  <c r="S28" i="39"/>
  <c r="S27" i="39"/>
  <c r="S26" i="39"/>
  <c r="S21" i="39"/>
  <c r="S20" i="39"/>
  <c r="S19" i="39"/>
  <c r="S18" i="39"/>
  <c r="S17" i="39"/>
  <c r="S13" i="39"/>
  <c r="S12" i="39"/>
  <c r="S11" i="39"/>
  <c r="S10" i="39"/>
  <c r="S9" i="39"/>
  <c r="S8" i="39"/>
  <c r="S7" i="39"/>
  <c r="S15" i="39"/>
  <c r="R24" i="39"/>
  <c r="S25" i="39"/>
  <c r="S24" i="39"/>
  <c r="S16" i="39"/>
  <c r="S14" i="39"/>
  <c r="R30" i="39"/>
  <c r="R29" i="39"/>
  <c r="R28" i="39"/>
  <c r="R27" i="39"/>
  <c r="R26" i="39"/>
  <c r="R25" i="39"/>
  <c r="R23" i="39"/>
  <c r="R22" i="39"/>
  <c r="R21" i="39"/>
  <c r="R20" i="39"/>
  <c r="R19" i="39"/>
  <c r="R18" i="39"/>
  <c r="R17" i="39"/>
  <c r="R16" i="39"/>
  <c r="R15" i="39"/>
  <c r="R14" i="39"/>
  <c r="R13" i="39"/>
  <c r="R12" i="39"/>
  <c r="R11" i="39"/>
  <c r="R10" i="39"/>
  <c r="R9" i="39"/>
  <c r="R8" i="39"/>
  <c r="R7" i="39"/>
  <c r="AS39" i="45"/>
  <c r="H48" i="38" s="1"/>
  <c r="BY39" i="45"/>
  <c r="H80" i="38" s="1"/>
  <c r="DM39" i="45"/>
  <c r="H120" i="38" s="1"/>
  <c r="FA39" i="45"/>
  <c r="H160" i="38" s="1"/>
  <c r="GB36" i="45"/>
  <c r="GC34" i="45"/>
  <c r="GB34" i="45"/>
  <c r="GC32" i="45"/>
  <c r="GB32" i="45"/>
  <c r="GC30" i="45"/>
  <c r="GB30" i="45"/>
  <c r="GC28" i="45"/>
  <c r="GC26" i="45"/>
  <c r="GC24" i="45"/>
  <c r="GC22" i="45"/>
  <c r="GB22" i="45"/>
  <c r="GC20" i="45"/>
  <c r="GB20" i="45"/>
  <c r="GC18" i="45"/>
  <c r="GB18" i="45"/>
  <c r="GC16" i="45"/>
  <c r="GC14" i="45"/>
  <c r="GC12" i="45"/>
  <c r="GC10" i="45"/>
  <c r="GB10" i="45"/>
  <c r="FV39" i="45"/>
  <c r="H181" i="38" s="1"/>
  <c r="FF39" i="45"/>
  <c r="H165" i="38" s="1"/>
  <c r="EX39" i="45"/>
  <c r="H157" i="38" s="1"/>
  <c r="EP39" i="45"/>
  <c r="H149" i="38" s="1"/>
  <c r="EH39" i="45"/>
  <c r="H141" i="38" s="1"/>
  <c r="DZ39" i="45"/>
  <c r="H133" i="38" s="1"/>
  <c r="DR39" i="45"/>
  <c r="H125" i="38" s="1"/>
  <c r="DJ39" i="45"/>
  <c r="H117" i="38" s="1"/>
  <c r="CT39" i="45"/>
  <c r="H101" i="38" s="1"/>
  <c r="CL39" i="45"/>
  <c r="H93" i="38" s="1"/>
  <c r="CD39" i="45"/>
  <c r="H85" i="38" s="1"/>
  <c r="BV39" i="45"/>
  <c r="H77" i="38" s="1"/>
  <c r="BN39" i="45"/>
  <c r="H69" i="38" s="1"/>
  <c r="BF39" i="45"/>
  <c r="H61" i="38" s="1"/>
  <c r="AX39" i="45"/>
  <c r="H53" i="38" s="1"/>
  <c r="AG39" i="45"/>
  <c r="H36" i="38" s="1"/>
  <c r="Q39" i="45"/>
  <c r="H20" i="38" s="1"/>
  <c r="I39" i="45"/>
  <c r="H12" i="38" s="1"/>
  <c r="GB17" i="45"/>
  <c r="AR39" i="45"/>
  <c r="H47" i="38" s="1"/>
  <c r="AZ39" i="45"/>
  <c r="H55" i="38" s="1"/>
  <c r="BH39" i="45"/>
  <c r="H63" i="38" s="1"/>
  <c r="BP39" i="45"/>
  <c r="H71" i="38" s="1"/>
  <c r="BX39" i="45"/>
  <c r="H79" i="38" s="1"/>
  <c r="CF39" i="45"/>
  <c r="H87" i="38" s="1"/>
  <c r="CN39" i="45"/>
  <c r="H95" i="38" s="1"/>
  <c r="CV39" i="45"/>
  <c r="H103" i="38" s="1"/>
  <c r="DD39" i="45"/>
  <c r="H111" i="38" s="1"/>
  <c r="DL39" i="45"/>
  <c r="H119" i="38" s="1"/>
  <c r="DT39" i="45"/>
  <c r="H127" i="38" s="1"/>
  <c r="EB39" i="45"/>
  <c r="H135" i="38" s="1"/>
  <c r="EJ39" i="45"/>
  <c r="H143" i="38" s="1"/>
  <c r="ER39" i="45"/>
  <c r="H151" i="38" s="1"/>
  <c r="EZ39" i="45"/>
  <c r="H159" i="38" s="1"/>
  <c r="FH39" i="45"/>
  <c r="H167" i="38" s="1"/>
  <c r="FP39" i="45"/>
  <c r="FX39" i="45"/>
  <c r="H183" i="38" s="1"/>
  <c r="BG39" i="45"/>
  <c r="H62" i="38" s="1"/>
  <c r="AH39" i="45"/>
  <c r="H37" i="38" s="1"/>
  <c r="J39" i="45"/>
  <c r="H13" i="38" s="1"/>
  <c r="GC36" i="45"/>
  <c r="FG39" i="45"/>
  <c r="H166" i="38" s="1"/>
  <c r="AQ39" i="45"/>
  <c r="H46" i="38" s="1"/>
  <c r="DK39" i="45"/>
  <c r="H118" i="38" s="1"/>
  <c r="DC39" i="45"/>
  <c r="H110" i="38" s="1"/>
  <c r="FO39" i="45"/>
  <c r="H174" i="38" s="1"/>
  <c r="BI39" i="45"/>
  <c r="H64" i="38" s="1"/>
  <c r="CO39" i="45"/>
  <c r="H96" i="38" s="1"/>
  <c r="DU39" i="45"/>
  <c r="H128" i="38" s="1"/>
  <c r="FY39" i="45"/>
  <c r="H184" i="38" s="1"/>
  <c r="GB31" i="45"/>
  <c r="GD31" i="45" s="1"/>
  <c r="GE31" i="45" s="1"/>
  <c r="GB25" i="45"/>
  <c r="GB23" i="45"/>
  <c r="GD23" i="45" s="1"/>
  <c r="GE23" i="45" s="1"/>
  <c r="GB21" i="45"/>
  <c r="GB19" i="45"/>
  <c r="GB11" i="45"/>
  <c r="GB9" i="45"/>
  <c r="CG39" i="45"/>
  <c r="H88" i="38" s="1"/>
  <c r="ES39" i="45"/>
  <c r="H152" i="38" s="1"/>
  <c r="AI39" i="45"/>
  <c r="H38" i="38" s="1"/>
  <c r="GB28" i="45"/>
  <c r="GB26" i="45"/>
  <c r="GB16" i="45"/>
  <c r="GB14" i="45"/>
  <c r="GB12" i="45"/>
  <c r="BQ39" i="45"/>
  <c r="H72" i="38" s="1"/>
  <c r="DE39" i="45"/>
  <c r="H112" i="38" s="1"/>
  <c r="EC39" i="45"/>
  <c r="H136" i="38" s="1"/>
  <c r="FQ39" i="45"/>
  <c r="H176" i="38" s="1"/>
  <c r="GB33" i="45"/>
  <c r="GD33" i="45" s="1"/>
  <c r="GE33" i="45" s="1"/>
  <c r="GB29" i="45"/>
  <c r="AK39" i="45"/>
  <c r="H39" i="38" s="1"/>
  <c r="GC11" i="45"/>
  <c r="BA39" i="45"/>
  <c r="H56" i="38" s="1"/>
  <c r="CW39" i="45"/>
  <c r="H104" i="38" s="1"/>
  <c r="EK39" i="45"/>
  <c r="H144" i="38" s="1"/>
  <c r="FI39" i="45"/>
  <c r="H168" i="38" s="1"/>
  <c r="GB37" i="45"/>
  <c r="AL39" i="45"/>
  <c r="H41" i="38" s="1"/>
  <c r="AV39" i="45"/>
  <c r="H51" i="38" s="1"/>
  <c r="BD39" i="45"/>
  <c r="H59" i="38" s="1"/>
  <c r="BL39" i="45"/>
  <c r="H67" i="38" s="1"/>
  <c r="BT39" i="45"/>
  <c r="H75" i="38" s="1"/>
  <c r="CB39" i="45"/>
  <c r="H83" i="38" s="1"/>
  <c r="CJ39" i="45"/>
  <c r="H91" i="38" s="1"/>
  <c r="CR39" i="45"/>
  <c r="H99" i="38" s="1"/>
  <c r="CZ39" i="45"/>
  <c r="H107" i="38" s="1"/>
  <c r="DH39" i="45"/>
  <c r="H115" i="38" s="1"/>
  <c r="DP39" i="45"/>
  <c r="H123" i="38" s="1"/>
  <c r="DX39" i="45"/>
  <c r="H131" i="38" s="1"/>
  <c r="EF39" i="45"/>
  <c r="H139" i="38" s="1"/>
  <c r="EN39" i="45"/>
  <c r="H147" i="38" s="1"/>
  <c r="EV39" i="45"/>
  <c r="H155" i="38" s="1"/>
  <c r="FD39" i="45"/>
  <c r="H163" i="38" s="1"/>
  <c r="FL39" i="45"/>
  <c r="H171" i="38" s="1"/>
  <c r="FT39" i="45"/>
  <c r="H179" i="38" s="1"/>
  <c r="GC37" i="45"/>
  <c r="DS39" i="45"/>
  <c r="H126" i="38" s="1"/>
  <c r="CU39" i="45"/>
  <c r="H102" i="38" s="1"/>
  <c r="GC35" i="45"/>
  <c r="GB35" i="45"/>
  <c r="CE39" i="45"/>
  <c r="H86" i="38" s="1"/>
  <c r="BW39" i="45"/>
  <c r="H78" i="38" s="1"/>
  <c r="AY39" i="45"/>
  <c r="H54" i="38" s="1"/>
  <c r="FW39" i="45"/>
  <c r="H182" i="38" s="1"/>
  <c r="EQ39" i="45"/>
  <c r="H150" i="38" s="1"/>
  <c r="EI39" i="45"/>
  <c r="H142" i="38" s="1"/>
  <c r="GC8" i="45"/>
  <c r="GB8" i="45"/>
  <c r="GC20" i="46" l="1"/>
  <c r="GD12" i="46"/>
  <c r="GE12" i="46" s="1"/>
  <c r="GD16" i="46"/>
  <c r="GE16" i="46" s="1"/>
  <c r="GD13" i="46"/>
  <c r="GE13" i="46" s="1"/>
  <c r="GD9" i="46"/>
  <c r="GE9" i="46" s="1"/>
  <c r="GD17" i="46"/>
  <c r="GE17" i="46" s="1"/>
  <c r="GD15" i="46"/>
  <c r="GE15" i="46" s="1"/>
  <c r="GD11" i="46"/>
  <c r="GE11" i="46" s="1"/>
  <c r="GD8" i="46"/>
  <c r="GE8" i="46" s="1"/>
  <c r="GB20" i="46"/>
  <c r="GE7" i="46"/>
  <c r="GE20" i="46" s="1"/>
  <c r="GD35" i="45"/>
  <c r="GE35" i="45" s="1"/>
  <c r="GD26" i="45"/>
  <c r="GE26" i="45" s="1"/>
  <c r="GD9" i="45"/>
  <c r="GE9" i="45" s="1"/>
  <c r="H40" i="38"/>
  <c r="H175" i="38"/>
  <c r="GD29" i="45"/>
  <c r="GE29" i="45" s="1"/>
  <c r="GD21" i="45"/>
  <c r="GE21" i="45" s="1"/>
  <c r="GD27" i="45"/>
  <c r="GE27" i="45" s="1"/>
  <c r="GD19" i="45"/>
  <c r="GE19" i="45" s="1"/>
  <c r="GD28" i="45"/>
  <c r="GE28" i="45" s="1"/>
  <c r="GD25" i="45"/>
  <c r="GE25" i="45" s="1"/>
  <c r="GD17" i="45"/>
  <c r="GE17" i="45" s="1"/>
  <c r="GD16" i="45"/>
  <c r="GE16" i="45" s="1"/>
  <c r="GD15" i="45"/>
  <c r="GE15" i="45" s="1"/>
  <c r="GD37" i="45"/>
  <c r="GE37" i="45" s="1"/>
  <c r="GD20" i="45"/>
  <c r="GE20" i="45" s="1"/>
  <c r="GD24" i="45"/>
  <c r="GE24" i="45" s="1"/>
  <c r="GD30" i="45"/>
  <c r="GE30" i="45" s="1"/>
  <c r="GD34" i="45"/>
  <c r="GE34" i="45" s="1"/>
  <c r="GD14" i="45"/>
  <c r="GE14" i="45" s="1"/>
  <c r="GD13" i="45"/>
  <c r="GE13" i="45" s="1"/>
  <c r="GD12" i="45"/>
  <c r="GE12" i="45" s="1"/>
  <c r="GD11" i="45"/>
  <c r="GE11" i="45" s="1"/>
  <c r="GD18" i="45"/>
  <c r="GE18" i="45" s="1"/>
  <c r="GD36" i="45"/>
  <c r="GE36" i="45" s="1"/>
  <c r="GD10" i="45"/>
  <c r="GE10" i="45" s="1"/>
  <c r="GD22" i="45"/>
  <c r="GE22" i="45" s="1"/>
  <c r="GD32" i="45"/>
  <c r="GE32" i="45" s="1"/>
  <c r="GD8" i="45"/>
  <c r="GE8" i="45" s="1"/>
  <c r="GD20" i="46" l="1"/>
  <c r="AP7" i="45"/>
  <c r="AP39" i="45" s="1"/>
  <c r="H45" i="38" s="1"/>
  <c r="AO7" i="45"/>
  <c r="AO39" i="45" s="1"/>
  <c r="H44" i="38" s="1"/>
  <c r="AC7" i="45"/>
  <c r="AC39" i="45" s="1"/>
  <c r="H32" i="38" s="1"/>
  <c r="F34" i="28" s="1"/>
  <c r="AB7" i="45"/>
  <c r="AB39" i="45" s="1"/>
  <c r="H31" i="38" s="1"/>
  <c r="F33" i="28" s="1"/>
  <c r="AA7" i="45"/>
  <c r="AA39" i="45" s="1"/>
  <c r="H30" i="38" s="1"/>
  <c r="F32" i="28" s="1"/>
  <c r="Z7" i="45"/>
  <c r="Z39" i="45" s="1"/>
  <c r="H29" i="38" s="1"/>
  <c r="F31" i="28" s="1"/>
  <c r="Y7" i="45"/>
  <c r="Y39" i="45" s="1"/>
  <c r="H28" i="38" s="1"/>
  <c r="F30" i="28" s="1"/>
  <c r="X7" i="45"/>
  <c r="X39" i="45" s="1"/>
  <c r="H27" i="38" s="1"/>
  <c r="F29" i="28" s="1"/>
  <c r="W7" i="45"/>
  <c r="W39" i="45" s="1"/>
  <c r="H26" i="38" s="1"/>
  <c r="F28" i="28" s="1"/>
  <c r="V7" i="45"/>
  <c r="V39" i="45" s="1"/>
  <c r="H25" i="38" s="1"/>
  <c r="F27" i="28" s="1"/>
  <c r="U7" i="45"/>
  <c r="U39" i="45" s="1"/>
  <c r="H24" i="38" s="1"/>
  <c r="F26" i="28" s="1"/>
  <c r="T7" i="45"/>
  <c r="T39" i="45" s="1"/>
  <c r="H23" i="38" s="1"/>
  <c r="F25" i="28" s="1"/>
  <c r="S7" i="45"/>
  <c r="S39" i="45" s="1"/>
  <c r="H22" i="38" s="1"/>
  <c r="F24" i="28" s="1"/>
  <c r="R7" i="45"/>
  <c r="GC7" i="45"/>
  <c r="GC39" i="45" s="1"/>
  <c r="GB7" i="45"/>
  <c r="B2" i="45"/>
  <c r="J121" i="36"/>
  <c r="J120" i="36"/>
  <c r="J119" i="36"/>
  <c r="J118" i="36"/>
  <c r="J117" i="36"/>
  <c r="J116" i="36"/>
  <c r="J115" i="36"/>
  <c r="J114" i="36"/>
  <c r="J113" i="36"/>
  <c r="J112" i="36"/>
  <c r="J111" i="36"/>
  <c r="J110" i="36"/>
  <c r="J109" i="36"/>
  <c r="J108" i="36"/>
  <c r="J107" i="36"/>
  <c r="J32" i="37" s="1"/>
  <c r="J106" i="36"/>
  <c r="J105" i="36"/>
  <c r="J104" i="36"/>
  <c r="J103" i="36"/>
  <c r="J102" i="36"/>
  <c r="J101" i="36"/>
  <c r="J100" i="36"/>
  <c r="J99" i="36"/>
  <c r="J98" i="36"/>
  <c r="J97" i="36"/>
  <c r="J96" i="36"/>
  <c r="J95" i="36"/>
  <c r="J94" i="36"/>
  <c r="J93" i="36"/>
  <c r="J92" i="36"/>
  <c r="J91" i="36"/>
  <c r="J90" i="36"/>
  <c r="J89" i="36"/>
  <c r="J88" i="36"/>
  <c r="J87" i="36"/>
  <c r="J86" i="36"/>
  <c r="J85" i="36"/>
  <c r="J84" i="36"/>
  <c r="J83" i="36"/>
  <c r="J82" i="36"/>
  <c r="J81" i="36"/>
  <c r="J80" i="36"/>
  <c r="J79" i="36"/>
  <c r="J78" i="36"/>
  <c r="J77" i="36"/>
  <c r="J76" i="36"/>
  <c r="J75" i="36"/>
  <c r="J74" i="36"/>
  <c r="J73" i="36"/>
  <c r="J72" i="36"/>
  <c r="J71" i="36"/>
  <c r="J70" i="36"/>
  <c r="J69" i="36"/>
  <c r="J68" i="36"/>
  <c r="J67" i="36"/>
  <c r="J66" i="36"/>
  <c r="J65" i="36"/>
  <c r="J64" i="36"/>
  <c r="J63" i="36"/>
  <c r="J62" i="36"/>
  <c r="J61" i="36"/>
  <c r="J60" i="36"/>
  <c r="J59" i="36"/>
  <c r="J58" i="36"/>
  <c r="J57" i="36"/>
  <c r="J56" i="36"/>
  <c r="J55" i="36"/>
  <c r="J54" i="36"/>
  <c r="J53" i="36"/>
  <c r="J52" i="36"/>
  <c r="J51" i="36"/>
  <c r="J50" i="36"/>
  <c r="J49" i="36"/>
  <c r="J48" i="36"/>
  <c r="J47" i="36"/>
  <c r="J46" i="36"/>
  <c r="J45" i="36"/>
  <c r="J44" i="36"/>
  <c r="J43" i="36"/>
  <c r="J42" i="36"/>
  <c r="J41" i="36"/>
  <c r="J40" i="36"/>
  <c r="J39" i="36"/>
  <c r="J38" i="36"/>
  <c r="J37" i="36"/>
  <c r="J36" i="36"/>
  <c r="J35" i="36"/>
  <c r="J34" i="36"/>
  <c r="J33" i="36"/>
  <c r="J32" i="36"/>
  <c r="J31" i="36"/>
  <c r="J30" i="36"/>
  <c r="J29" i="36"/>
  <c r="J28" i="36"/>
  <c r="J27" i="36"/>
  <c r="J26" i="36"/>
  <c r="J25" i="36"/>
  <c r="J24" i="36"/>
  <c r="J23" i="36"/>
  <c r="J22" i="36"/>
  <c r="J21" i="36"/>
  <c r="J20" i="36"/>
  <c r="J19" i="36"/>
  <c r="J18" i="36"/>
  <c r="J17" i="36"/>
  <c r="J16" i="36"/>
  <c r="J15" i="36"/>
  <c r="J14" i="36"/>
  <c r="J13" i="36"/>
  <c r="J12" i="36"/>
  <c r="J11" i="36"/>
  <c r="J10" i="36"/>
  <c r="J9" i="36"/>
  <c r="J8" i="36"/>
  <c r="J7" i="36"/>
  <c r="J6" i="36"/>
  <c r="J5" i="36"/>
  <c r="J4" i="36"/>
  <c r="J3" i="36"/>
  <c r="J2" i="36"/>
  <c r="I121" i="36"/>
  <c r="I120" i="36"/>
  <c r="I119" i="36"/>
  <c r="I118" i="36"/>
  <c r="I117" i="36"/>
  <c r="I116" i="36"/>
  <c r="I115" i="36"/>
  <c r="I114" i="36"/>
  <c r="I113" i="36"/>
  <c r="I112" i="36"/>
  <c r="I111" i="36"/>
  <c r="I110" i="36"/>
  <c r="I109" i="36"/>
  <c r="I108" i="36"/>
  <c r="I107" i="36"/>
  <c r="I106" i="36"/>
  <c r="I105" i="36"/>
  <c r="I104" i="36"/>
  <c r="I103" i="36"/>
  <c r="I102" i="36"/>
  <c r="I101" i="36"/>
  <c r="I100" i="36"/>
  <c r="I99" i="36"/>
  <c r="I98" i="36"/>
  <c r="I97" i="36"/>
  <c r="I96" i="36"/>
  <c r="I95" i="36"/>
  <c r="I94" i="36"/>
  <c r="I93" i="36"/>
  <c r="I92" i="36"/>
  <c r="I91" i="36"/>
  <c r="I90" i="36"/>
  <c r="I89" i="36"/>
  <c r="I88" i="36"/>
  <c r="I87" i="36"/>
  <c r="I86" i="36"/>
  <c r="I85" i="36"/>
  <c r="I84" i="36"/>
  <c r="I83" i="36"/>
  <c r="I82" i="36"/>
  <c r="I81" i="36"/>
  <c r="I80" i="36"/>
  <c r="I79" i="36"/>
  <c r="I78" i="36"/>
  <c r="I77" i="36"/>
  <c r="I76" i="36"/>
  <c r="I75" i="36"/>
  <c r="I74" i="36"/>
  <c r="I73" i="36"/>
  <c r="I72" i="36"/>
  <c r="I71" i="36"/>
  <c r="I70" i="36"/>
  <c r="I69" i="36"/>
  <c r="I68" i="36"/>
  <c r="I67" i="36"/>
  <c r="I66" i="36"/>
  <c r="I65" i="36"/>
  <c r="I64" i="36"/>
  <c r="I63" i="36"/>
  <c r="I62" i="36"/>
  <c r="I61" i="36"/>
  <c r="I60" i="36"/>
  <c r="I59" i="36"/>
  <c r="I58" i="36"/>
  <c r="I57" i="36"/>
  <c r="I56" i="36"/>
  <c r="I55" i="36"/>
  <c r="I54" i="36"/>
  <c r="I53" i="36"/>
  <c r="I52" i="36"/>
  <c r="I51" i="36"/>
  <c r="I50" i="36"/>
  <c r="I49" i="36"/>
  <c r="I48" i="36"/>
  <c r="I47" i="36"/>
  <c r="I46" i="36"/>
  <c r="I45" i="36"/>
  <c r="I44" i="36"/>
  <c r="I43" i="36"/>
  <c r="I42" i="36"/>
  <c r="I41" i="36"/>
  <c r="I40" i="36"/>
  <c r="I39" i="36"/>
  <c r="I38" i="36"/>
  <c r="I37" i="36"/>
  <c r="I36" i="36"/>
  <c r="I35" i="36"/>
  <c r="I34" i="36"/>
  <c r="I33" i="36"/>
  <c r="I32" i="36"/>
  <c r="I31" i="36"/>
  <c r="I30" i="36"/>
  <c r="I29" i="36"/>
  <c r="I28" i="36"/>
  <c r="I27" i="36"/>
  <c r="I26" i="36"/>
  <c r="I25" i="36"/>
  <c r="I24" i="36"/>
  <c r="I23" i="36"/>
  <c r="I22" i="36"/>
  <c r="I21" i="36"/>
  <c r="I20" i="36"/>
  <c r="I19" i="36"/>
  <c r="I18" i="36"/>
  <c r="I17" i="36"/>
  <c r="I16" i="36"/>
  <c r="I15" i="36"/>
  <c r="I14" i="36"/>
  <c r="I13" i="36"/>
  <c r="I12" i="36"/>
  <c r="I11" i="36"/>
  <c r="I10" i="36"/>
  <c r="I9" i="36"/>
  <c r="I8" i="36"/>
  <c r="I7" i="36"/>
  <c r="I6" i="36"/>
  <c r="I5" i="36"/>
  <c r="I4" i="36"/>
  <c r="I3" i="36"/>
  <c r="I2" i="36"/>
  <c r="H121" i="36"/>
  <c r="H120" i="36"/>
  <c r="H119" i="36"/>
  <c r="H118" i="36"/>
  <c r="H117" i="36"/>
  <c r="H116" i="36"/>
  <c r="H115" i="36"/>
  <c r="H114" i="36"/>
  <c r="H113" i="36"/>
  <c r="H112" i="36"/>
  <c r="H111" i="36"/>
  <c r="H110" i="36"/>
  <c r="H109" i="36"/>
  <c r="H108" i="36"/>
  <c r="H107" i="36"/>
  <c r="H106" i="36"/>
  <c r="H105" i="36"/>
  <c r="H104" i="36"/>
  <c r="H103" i="36"/>
  <c r="H102" i="36"/>
  <c r="H101" i="36"/>
  <c r="H100" i="36"/>
  <c r="H99" i="36"/>
  <c r="H98" i="36"/>
  <c r="H97" i="36"/>
  <c r="H96" i="36"/>
  <c r="H95" i="36"/>
  <c r="H94" i="36"/>
  <c r="H93" i="36"/>
  <c r="H92" i="36"/>
  <c r="H91" i="36"/>
  <c r="H90" i="36"/>
  <c r="H89" i="36"/>
  <c r="H88" i="36"/>
  <c r="H87" i="36"/>
  <c r="H86" i="36"/>
  <c r="H85" i="36"/>
  <c r="H84" i="36"/>
  <c r="H83" i="36"/>
  <c r="H82" i="36"/>
  <c r="H81" i="36"/>
  <c r="H80" i="36"/>
  <c r="H79" i="36"/>
  <c r="H78" i="36"/>
  <c r="H77" i="36"/>
  <c r="H76" i="36"/>
  <c r="H75" i="36"/>
  <c r="H74" i="36"/>
  <c r="H73" i="36"/>
  <c r="H72" i="36"/>
  <c r="H71" i="36"/>
  <c r="H70" i="36"/>
  <c r="H69" i="36"/>
  <c r="H68" i="36"/>
  <c r="H67" i="36"/>
  <c r="H66" i="36"/>
  <c r="H65" i="36"/>
  <c r="H64" i="36"/>
  <c r="H63" i="36"/>
  <c r="H62" i="36"/>
  <c r="H61" i="36"/>
  <c r="H60" i="36"/>
  <c r="H59" i="36"/>
  <c r="H58" i="36"/>
  <c r="H57" i="36"/>
  <c r="H56" i="36"/>
  <c r="H55" i="36"/>
  <c r="H54" i="36"/>
  <c r="H53" i="36"/>
  <c r="H52" i="36"/>
  <c r="H51" i="36"/>
  <c r="H50" i="36"/>
  <c r="H49" i="36"/>
  <c r="H48" i="36"/>
  <c r="H47" i="36"/>
  <c r="H46" i="36"/>
  <c r="H45" i="36"/>
  <c r="H44" i="36"/>
  <c r="H43" i="36"/>
  <c r="H42" i="36"/>
  <c r="H41" i="36"/>
  <c r="H40" i="36"/>
  <c r="H39" i="36"/>
  <c r="H38" i="36"/>
  <c r="H37" i="36"/>
  <c r="H36" i="36"/>
  <c r="H35" i="36"/>
  <c r="H34" i="36"/>
  <c r="H33" i="36"/>
  <c r="H32" i="36"/>
  <c r="H31" i="36"/>
  <c r="H30" i="36"/>
  <c r="H29" i="36"/>
  <c r="H28" i="36"/>
  <c r="H27" i="36"/>
  <c r="H26" i="36"/>
  <c r="H25" i="36"/>
  <c r="H24" i="36"/>
  <c r="H23" i="36"/>
  <c r="H22" i="36"/>
  <c r="H21" i="36"/>
  <c r="H20" i="36"/>
  <c r="H19" i="36"/>
  <c r="H18" i="36"/>
  <c r="H17" i="36"/>
  <c r="H16" i="36"/>
  <c r="H15" i="36"/>
  <c r="H14" i="36"/>
  <c r="H13" i="36"/>
  <c r="H12" i="36"/>
  <c r="H11" i="36"/>
  <c r="H10" i="36"/>
  <c r="H9" i="36"/>
  <c r="H8" i="36"/>
  <c r="H7" i="36"/>
  <c r="H6" i="36"/>
  <c r="H5" i="36"/>
  <c r="H4" i="36"/>
  <c r="H3" i="36"/>
  <c r="H2" i="36"/>
  <c r="J24" i="37"/>
  <c r="F2" i="36"/>
  <c r="F3" i="36"/>
  <c r="F4" i="36"/>
  <c r="F5" i="36"/>
  <c r="F6" i="36"/>
  <c r="F7" i="36"/>
  <c r="F8" i="36"/>
  <c r="F9" i="36"/>
  <c r="F10" i="36"/>
  <c r="F11" i="36"/>
  <c r="F12" i="36"/>
  <c r="F13" i="36"/>
  <c r="F14" i="36"/>
  <c r="F15" i="36"/>
  <c r="F16" i="36"/>
  <c r="F17" i="36"/>
  <c r="F18" i="36"/>
  <c r="F19" i="36"/>
  <c r="F20" i="36"/>
  <c r="F21" i="36"/>
  <c r="F22" i="36"/>
  <c r="F23" i="36"/>
  <c r="F24" i="36"/>
  <c r="F25" i="36"/>
  <c r="F26" i="36"/>
  <c r="F27" i="36"/>
  <c r="F28" i="36"/>
  <c r="F29" i="36"/>
  <c r="F30" i="36"/>
  <c r="F31" i="36"/>
  <c r="F32" i="36"/>
  <c r="F33" i="36"/>
  <c r="F34" i="36"/>
  <c r="F35" i="36"/>
  <c r="F36" i="36"/>
  <c r="F37" i="36"/>
  <c r="F38" i="36"/>
  <c r="F39" i="36"/>
  <c r="F40" i="36"/>
  <c r="F41" i="36"/>
  <c r="F42" i="36"/>
  <c r="F43" i="36"/>
  <c r="F44" i="36"/>
  <c r="F45" i="36"/>
  <c r="F46" i="36"/>
  <c r="F47" i="36"/>
  <c r="F48" i="36"/>
  <c r="F49" i="36"/>
  <c r="F50" i="36"/>
  <c r="F51" i="36"/>
  <c r="F52" i="36"/>
  <c r="F53" i="36"/>
  <c r="F54" i="36"/>
  <c r="F55" i="36"/>
  <c r="F56" i="36"/>
  <c r="F57" i="36"/>
  <c r="F58" i="36"/>
  <c r="F59" i="36"/>
  <c r="F60" i="36"/>
  <c r="F61" i="36"/>
  <c r="F62" i="36"/>
  <c r="F63" i="36"/>
  <c r="F64" i="36"/>
  <c r="F65" i="36"/>
  <c r="F66" i="36"/>
  <c r="F67" i="36"/>
  <c r="F68" i="36"/>
  <c r="F69" i="36"/>
  <c r="F70" i="36"/>
  <c r="F71" i="36"/>
  <c r="F72" i="36"/>
  <c r="F73" i="36"/>
  <c r="F74" i="36"/>
  <c r="F75" i="36"/>
  <c r="F76" i="36"/>
  <c r="F77" i="36"/>
  <c r="F78" i="36"/>
  <c r="F79" i="36"/>
  <c r="F80" i="36"/>
  <c r="F81" i="36"/>
  <c r="F82" i="36"/>
  <c r="F83" i="36"/>
  <c r="F84" i="36"/>
  <c r="F85" i="36"/>
  <c r="F86" i="36"/>
  <c r="F87" i="36"/>
  <c r="F88" i="36"/>
  <c r="F89" i="36"/>
  <c r="F90" i="36"/>
  <c r="F91" i="36"/>
  <c r="F92" i="36"/>
  <c r="F93" i="36"/>
  <c r="F94" i="36"/>
  <c r="F95" i="36"/>
  <c r="F96" i="36"/>
  <c r="F97" i="36"/>
  <c r="F98" i="36"/>
  <c r="F99" i="36"/>
  <c r="F100" i="36"/>
  <c r="F101" i="36"/>
  <c r="F102" i="36"/>
  <c r="F103" i="36"/>
  <c r="F104" i="36"/>
  <c r="F105" i="36"/>
  <c r="F106" i="36"/>
  <c r="F107" i="36"/>
  <c r="F108" i="36"/>
  <c r="F109" i="36"/>
  <c r="F110" i="36"/>
  <c r="F111" i="36"/>
  <c r="F112" i="36"/>
  <c r="F113" i="36"/>
  <c r="F114" i="36"/>
  <c r="F115" i="36"/>
  <c r="F116" i="36"/>
  <c r="F117" i="36"/>
  <c r="F118" i="36"/>
  <c r="F119" i="36"/>
  <c r="F120" i="36"/>
  <c r="F121" i="36"/>
  <c r="C8" i="39"/>
  <c r="D8" i="39"/>
  <c r="E8" i="39"/>
  <c r="F8" i="39"/>
  <c r="G8" i="39"/>
  <c r="H8" i="39"/>
  <c r="I8" i="39"/>
  <c r="J8" i="39"/>
  <c r="K8" i="39"/>
  <c r="L8" i="39"/>
  <c r="M8" i="39"/>
  <c r="N8" i="39"/>
  <c r="O8" i="39"/>
  <c r="P8" i="39"/>
  <c r="Q8" i="39"/>
  <c r="AD8" i="39"/>
  <c r="AE8" i="39"/>
  <c r="AF8" i="39"/>
  <c r="AG8" i="39"/>
  <c r="AH8" i="39"/>
  <c r="AI8" i="39"/>
  <c r="AJ8" i="39"/>
  <c r="AL8" i="39"/>
  <c r="AM8" i="39"/>
  <c r="AN8" i="39"/>
  <c r="AO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BB8" i="39"/>
  <c r="BC8" i="39"/>
  <c r="BD8" i="39"/>
  <c r="BE8" i="39"/>
  <c r="BF8" i="39"/>
  <c r="BG8" i="39"/>
  <c r="BH8" i="39"/>
  <c r="BI8" i="39"/>
  <c r="BJ8" i="39"/>
  <c r="BK8" i="39"/>
  <c r="BL8" i="39"/>
  <c r="BM8" i="39"/>
  <c r="BN8" i="39"/>
  <c r="BO8" i="39"/>
  <c r="BP8" i="39"/>
  <c r="BQ8" i="39"/>
  <c r="BR8" i="39"/>
  <c r="BS8" i="39"/>
  <c r="BT8" i="39"/>
  <c r="BU8" i="39"/>
  <c r="BV8" i="39"/>
  <c r="BW8" i="39"/>
  <c r="BX8" i="39"/>
  <c r="BY8" i="39"/>
  <c r="BZ8" i="39"/>
  <c r="CA8" i="39"/>
  <c r="CB8" i="39"/>
  <c r="CC8" i="39"/>
  <c r="CD8" i="39"/>
  <c r="CE8" i="39"/>
  <c r="CF8" i="39"/>
  <c r="CG8" i="39"/>
  <c r="CH8" i="39"/>
  <c r="CI8" i="39"/>
  <c r="CJ8" i="39"/>
  <c r="CK8" i="39"/>
  <c r="CL8" i="39"/>
  <c r="CM8" i="39"/>
  <c r="CN8" i="39"/>
  <c r="CO8" i="39"/>
  <c r="CP8" i="39"/>
  <c r="CQ8" i="39"/>
  <c r="CR8" i="39"/>
  <c r="CS8" i="39"/>
  <c r="CT8" i="39"/>
  <c r="CU8" i="39"/>
  <c r="CV8" i="39"/>
  <c r="CW8" i="39"/>
  <c r="CX8" i="39"/>
  <c r="CY8" i="39"/>
  <c r="CZ8" i="39"/>
  <c r="DA8" i="39"/>
  <c r="DB8" i="39"/>
  <c r="DC8" i="39"/>
  <c r="DD8" i="39"/>
  <c r="DE8" i="39"/>
  <c r="DF8" i="39"/>
  <c r="DG8" i="39"/>
  <c r="DH8" i="39"/>
  <c r="DI8" i="39"/>
  <c r="DJ8" i="39"/>
  <c r="DK8" i="39"/>
  <c r="DL8" i="39"/>
  <c r="DM8" i="39"/>
  <c r="DN8" i="39"/>
  <c r="DO8" i="39"/>
  <c r="DP8" i="39"/>
  <c r="DQ8" i="39"/>
  <c r="DR8" i="39"/>
  <c r="DS8" i="39"/>
  <c r="DT8" i="39"/>
  <c r="DU8" i="39"/>
  <c r="DV8" i="39"/>
  <c r="DW8" i="39"/>
  <c r="DX8" i="39"/>
  <c r="DY8" i="39"/>
  <c r="DZ8" i="39"/>
  <c r="EA8" i="39"/>
  <c r="EB8" i="39"/>
  <c r="EC8" i="39"/>
  <c r="ED8" i="39"/>
  <c r="EE8" i="39"/>
  <c r="EF8" i="39"/>
  <c r="EG8" i="39"/>
  <c r="EH8" i="39"/>
  <c r="EI8" i="39"/>
  <c r="EJ8" i="39"/>
  <c r="EK8" i="39"/>
  <c r="EL8" i="39"/>
  <c r="EM8" i="39"/>
  <c r="EN8" i="39"/>
  <c r="EO8" i="39"/>
  <c r="EP8" i="39"/>
  <c r="EQ8" i="39"/>
  <c r="ER8" i="39"/>
  <c r="ES8" i="39"/>
  <c r="ET8" i="39"/>
  <c r="EU8" i="39"/>
  <c r="EV8" i="39"/>
  <c r="EW8" i="39"/>
  <c r="EX8" i="39"/>
  <c r="EY8" i="39"/>
  <c r="EZ8" i="39"/>
  <c r="FA8" i="39"/>
  <c r="FB8" i="39"/>
  <c r="FC8" i="39"/>
  <c r="FD8" i="39"/>
  <c r="FE8" i="39"/>
  <c r="FF8" i="39"/>
  <c r="FG8" i="39"/>
  <c r="FH8" i="39"/>
  <c r="FI8" i="39"/>
  <c r="FJ8" i="39"/>
  <c r="FK8" i="39"/>
  <c r="FL8" i="39"/>
  <c r="FM8" i="39"/>
  <c r="FN8" i="39"/>
  <c r="FO8" i="39"/>
  <c r="FQ8" i="39"/>
  <c r="FR8" i="39"/>
  <c r="FS8" i="39"/>
  <c r="FT8" i="39"/>
  <c r="FU8" i="39"/>
  <c r="FV8" i="39"/>
  <c r="FW8" i="39"/>
  <c r="FX8" i="39"/>
  <c r="FY8" i="39"/>
  <c r="FZ8" i="39"/>
  <c r="GA8" i="39"/>
  <c r="C9" i="39"/>
  <c r="D9" i="39"/>
  <c r="E9" i="39"/>
  <c r="F9" i="39"/>
  <c r="G9" i="39"/>
  <c r="H9" i="39"/>
  <c r="I9" i="39"/>
  <c r="J9" i="39"/>
  <c r="K9" i="39"/>
  <c r="L9" i="39"/>
  <c r="M9" i="39"/>
  <c r="N9" i="39"/>
  <c r="O9" i="39"/>
  <c r="P9" i="39"/>
  <c r="Q9" i="39"/>
  <c r="AD9" i="39"/>
  <c r="AE9" i="39"/>
  <c r="AF9" i="39"/>
  <c r="AG9" i="39"/>
  <c r="AH9" i="39"/>
  <c r="AI9" i="39"/>
  <c r="AJ9" i="39"/>
  <c r="AL9" i="39"/>
  <c r="AM9" i="39"/>
  <c r="AN9" i="39"/>
  <c r="AO9" i="39"/>
  <c r="AP9" i="39"/>
  <c r="AQ9" i="39"/>
  <c r="AR9" i="39"/>
  <c r="AS9" i="39"/>
  <c r="AT9" i="39"/>
  <c r="AU9" i="39"/>
  <c r="AV9" i="39"/>
  <c r="AW9" i="39"/>
  <c r="AX9" i="39"/>
  <c r="AY9" i="39"/>
  <c r="AZ9" i="39"/>
  <c r="BA9" i="39"/>
  <c r="BB9" i="39"/>
  <c r="BC9" i="39"/>
  <c r="BD9" i="39"/>
  <c r="BE9" i="39"/>
  <c r="BF9" i="39"/>
  <c r="BG9" i="39"/>
  <c r="BH9" i="39"/>
  <c r="BI9" i="39"/>
  <c r="BJ9" i="39"/>
  <c r="BK9" i="39"/>
  <c r="BL9" i="39"/>
  <c r="BM9" i="39"/>
  <c r="BN9" i="39"/>
  <c r="BO9" i="39"/>
  <c r="BP9" i="39"/>
  <c r="BQ9" i="39"/>
  <c r="BR9" i="39"/>
  <c r="BS9" i="39"/>
  <c r="BT9" i="39"/>
  <c r="BU9" i="39"/>
  <c r="BV9" i="39"/>
  <c r="BW9" i="39"/>
  <c r="BX9" i="39"/>
  <c r="BY9" i="39"/>
  <c r="BZ9" i="39"/>
  <c r="CA9" i="39"/>
  <c r="CB9" i="39"/>
  <c r="CC9" i="39"/>
  <c r="CD9" i="39"/>
  <c r="CE9" i="39"/>
  <c r="CF9" i="39"/>
  <c r="CG9" i="39"/>
  <c r="CH9" i="39"/>
  <c r="CI9" i="39"/>
  <c r="CJ9" i="39"/>
  <c r="CK9" i="39"/>
  <c r="CL9" i="39"/>
  <c r="CM9" i="39"/>
  <c r="CN9" i="39"/>
  <c r="CO9" i="39"/>
  <c r="CP9" i="39"/>
  <c r="CQ9" i="39"/>
  <c r="CR9" i="39"/>
  <c r="CS9" i="39"/>
  <c r="CT9" i="39"/>
  <c r="CU9" i="39"/>
  <c r="CV9" i="39"/>
  <c r="CW9" i="39"/>
  <c r="CX9" i="39"/>
  <c r="CY9" i="39"/>
  <c r="CZ9" i="39"/>
  <c r="DA9" i="39"/>
  <c r="DB9" i="39"/>
  <c r="DC9" i="39"/>
  <c r="DD9" i="39"/>
  <c r="DE9" i="39"/>
  <c r="DF9" i="39"/>
  <c r="DG9" i="39"/>
  <c r="DH9" i="39"/>
  <c r="DI9" i="39"/>
  <c r="DJ9" i="39"/>
  <c r="DK9" i="39"/>
  <c r="DL9" i="39"/>
  <c r="DM9" i="39"/>
  <c r="DN9" i="39"/>
  <c r="DO9" i="39"/>
  <c r="DP9" i="39"/>
  <c r="DQ9" i="39"/>
  <c r="DR9" i="39"/>
  <c r="DS9" i="39"/>
  <c r="DT9" i="39"/>
  <c r="DU9" i="39"/>
  <c r="DV9" i="39"/>
  <c r="DW9" i="39"/>
  <c r="DX9" i="39"/>
  <c r="DY9" i="39"/>
  <c r="DZ9" i="39"/>
  <c r="EA9" i="39"/>
  <c r="EB9" i="39"/>
  <c r="EC9" i="39"/>
  <c r="ED9" i="39"/>
  <c r="EE9" i="39"/>
  <c r="EF9" i="39"/>
  <c r="EG9" i="39"/>
  <c r="EH9" i="39"/>
  <c r="EI9" i="39"/>
  <c r="EJ9" i="39"/>
  <c r="EK9" i="39"/>
  <c r="EL9" i="39"/>
  <c r="EM9" i="39"/>
  <c r="EN9" i="39"/>
  <c r="EO9" i="39"/>
  <c r="EP9" i="39"/>
  <c r="EQ9" i="39"/>
  <c r="ER9" i="39"/>
  <c r="ES9" i="39"/>
  <c r="ET9" i="39"/>
  <c r="EU9" i="39"/>
  <c r="EV9" i="39"/>
  <c r="EW9" i="39"/>
  <c r="EX9" i="39"/>
  <c r="EY9" i="39"/>
  <c r="EZ9" i="39"/>
  <c r="FA9" i="39"/>
  <c r="FB9" i="39"/>
  <c r="FC9" i="39"/>
  <c r="FD9" i="39"/>
  <c r="FE9" i="39"/>
  <c r="FF9" i="39"/>
  <c r="FG9" i="39"/>
  <c r="FH9" i="39"/>
  <c r="FI9" i="39"/>
  <c r="FJ9" i="39"/>
  <c r="FK9" i="39"/>
  <c r="FL9" i="39"/>
  <c r="FM9" i="39"/>
  <c r="FN9" i="39"/>
  <c r="FO9" i="39"/>
  <c r="FQ9" i="39"/>
  <c r="FR9" i="39"/>
  <c r="FS9" i="39"/>
  <c r="FT9" i="39"/>
  <c r="FU9" i="39"/>
  <c r="FV9" i="39"/>
  <c r="FW9" i="39"/>
  <c r="FX9" i="39"/>
  <c r="FY9" i="39"/>
  <c r="FZ9" i="39"/>
  <c r="GA9" i="39"/>
  <c r="C10" i="39"/>
  <c r="D10" i="39"/>
  <c r="E10" i="39"/>
  <c r="F10" i="39"/>
  <c r="G10" i="39"/>
  <c r="H10" i="39"/>
  <c r="I10" i="39"/>
  <c r="J10" i="39"/>
  <c r="K10" i="39"/>
  <c r="L10" i="39"/>
  <c r="M10" i="39"/>
  <c r="N10" i="39"/>
  <c r="O10" i="39"/>
  <c r="P10" i="39"/>
  <c r="Q10" i="39"/>
  <c r="AD10" i="39"/>
  <c r="AE10" i="39"/>
  <c r="AF10" i="39"/>
  <c r="AG10" i="39"/>
  <c r="AH10" i="39"/>
  <c r="AI10" i="39"/>
  <c r="AJ10" i="39"/>
  <c r="AL10" i="39"/>
  <c r="AM10" i="39"/>
  <c r="AN10" i="39"/>
  <c r="AO10" i="39"/>
  <c r="AP10" i="39"/>
  <c r="AQ10" i="39"/>
  <c r="AR10" i="39"/>
  <c r="AS10" i="39"/>
  <c r="AT10" i="39"/>
  <c r="AU10" i="39"/>
  <c r="AV10" i="39"/>
  <c r="AW10" i="39"/>
  <c r="AX10" i="39"/>
  <c r="AY10" i="39"/>
  <c r="AZ10" i="39"/>
  <c r="BA10" i="39"/>
  <c r="BB10" i="39"/>
  <c r="BC10" i="39"/>
  <c r="BD10" i="39"/>
  <c r="BE10" i="39"/>
  <c r="BF10" i="39"/>
  <c r="BG10" i="39"/>
  <c r="BH10" i="39"/>
  <c r="BI10" i="39"/>
  <c r="BJ10" i="39"/>
  <c r="BK10" i="39"/>
  <c r="BL10" i="39"/>
  <c r="BM10" i="39"/>
  <c r="BN10" i="39"/>
  <c r="BO10" i="39"/>
  <c r="BP10" i="39"/>
  <c r="BQ10" i="39"/>
  <c r="BR10" i="39"/>
  <c r="BS10" i="39"/>
  <c r="BT10" i="39"/>
  <c r="BU10" i="39"/>
  <c r="BV10" i="39"/>
  <c r="BW10" i="39"/>
  <c r="BX10" i="39"/>
  <c r="BY10" i="39"/>
  <c r="BZ10" i="39"/>
  <c r="CA10" i="39"/>
  <c r="CB10" i="39"/>
  <c r="CC10" i="39"/>
  <c r="CD10" i="39"/>
  <c r="CE10" i="39"/>
  <c r="CF10" i="39"/>
  <c r="CG10" i="39"/>
  <c r="CH10" i="39"/>
  <c r="CI10" i="39"/>
  <c r="CJ10" i="39"/>
  <c r="CK10" i="39"/>
  <c r="CL10" i="39"/>
  <c r="CM10" i="39"/>
  <c r="CN10" i="39"/>
  <c r="CO10" i="39"/>
  <c r="CP10" i="39"/>
  <c r="CQ10" i="39"/>
  <c r="CR10" i="39"/>
  <c r="CS10" i="39"/>
  <c r="CT10" i="39"/>
  <c r="CU10" i="39"/>
  <c r="CV10" i="39"/>
  <c r="CW10" i="39"/>
  <c r="CX10" i="39"/>
  <c r="CY10" i="39"/>
  <c r="CZ10" i="39"/>
  <c r="DA10" i="39"/>
  <c r="DB10" i="39"/>
  <c r="DC10" i="39"/>
  <c r="DD10" i="39"/>
  <c r="DE10" i="39"/>
  <c r="DF10" i="39"/>
  <c r="DG10" i="39"/>
  <c r="DH10" i="39"/>
  <c r="DI10" i="39"/>
  <c r="DJ10" i="39"/>
  <c r="DK10" i="39"/>
  <c r="DL10" i="39"/>
  <c r="DM10" i="39"/>
  <c r="DN10" i="39"/>
  <c r="DO10" i="39"/>
  <c r="DP10" i="39"/>
  <c r="DQ10" i="39"/>
  <c r="DR10" i="39"/>
  <c r="DS10" i="39"/>
  <c r="DT10" i="39"/>
  <c r="DU10" i="39"/>
  <c r="DV10" i="39"/>
  <c r="DW10" i="39"/>
  <c r="DX10" i="39"/>
  <c r="DY10" i="39"/>
  <c r="DZ10" i="39"/>
  <c r="EA10" i="39"/>
  <c r="EB10" i="39"/>
  <c r="EC10" i="39"/>
  <c r="ED10" i="39"/>
  <c r="EE10" i="39"/>
  <c r="EF10" i="39"/>
  <c r="EG10" i="39"/>
  <c r="EH10" i="39"/>
  <c r="EI10" i="39"/>
  <c r="EJ10" i="39"/>
  <c r="EK10" i="39"/>
  <c r="EL10" i="39"/>
  <c r="EM10" i="39"/>
  <c r="EN10" i="39"/>
  <c r="EO10" i="39"/>
  <c r="EP10" i="39"/>
  <c r="EQ10" i="39"/>
  <c r="ER10" i="39"/>
  <c r="ES10" i="39"/>
  <c r="ET10" i="39"/>
  <c r="EU10" i="39"/>
  <c r="EV10" i="39"/>
  <c r="EW10" i="39"/>
  <c r="EX10" i="39"/>
  <c r="EY10" i="39"/>
  <c r="EZ10" i="39"/>
  <c r="FA10" i="39"/>
  <c r="FB10" i="39"/>
  <c r="FC10" i="39"/>
  <c r="FD10" i="39"/>
  <c r="FE10" i="39"/>
  <c r="FF10" i="39"/>
  <c r="FG10" i="39"/>
  <c r="FH10" i="39"/>
  <c r="FI10" i="39"/>
  <c r="FJ10" i="39"/>
  <c r="FK10" i="39"/>
  <c r="FL10" i="39"/>
  <c r="FM10" i="39"/>
  <c r="FN10" i="39"/>
  <c r="FO10" i="39"/>
  <c r="FQ10" i="39"/>
  <c r="FR10" i="39"/>
  <c r="FS10" i="39"/>
  <c r="FT10" i="39"/>
  <c r="FU10" i="39"/>
  <c r="FV10" i="39"/>
  <c r="FW10" i="39"/>
  <c r="FX10" i="39"/>
  <c r="FY10" i="39"/>
  <c r="FZ10" i="39"/>
  <c r="GA10" i="39"/>
  <c r="C11" i="39"/>
  <c r="D11" i="39"/>
  <c r="E11" i="39"/>
  <c r="F11" i="39"/>
  <c r="G11" i="39"/>
  <c r="H11" i="39"/>
  <c r="I11" i="39"/>
  <c r="J11" i="39"/>
  <c r="K11" i="39"/>
  <c r="L11" i="39"/>
  <c r="M11" i="39"/>
  <c r="N11" i="39"/>
  <c r="O11" i="39"/>
  <c r="P11" i="39"/>
  <c r="Q11" i="39"/>
  <c r="AD11" i="39"/>
  <c r="AE11" i="39"/>
  <c r="AF11" i="39"/>
  <c r="AG11" i="39"/>
  <c r="AH11" i="39"/>
  <c r="AI11" i="39"/>
  <c r="AJ11" i="39"/>
  <c r="AL11" i="39"/>
  <c r="AM11" i="39"/>
  <c r="AN11" i="39"/>
  <c r="AO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BB11" i="39"/>
  <c r="BC11" i="39"/>
  <c r="BD11" i="39"/>
  <c r="BE11" i="39"/>
  <c r="BF11" i="39"/>
  <c r="BG11" i="39"/>
  <c r="BH11" i="39"/>
  <c r="BI11" i="39"/>
  <c r="BJ11" i="39"/>
  <c r="BK11" i="39"/>
  <c r="BL11" i="39"/>
  <c r="BM11" i="39"/>
  <c r="BN11" i="39"/>
  <c r="BO11" i="39"/>
  <c r="BP11" i="39"/>
  <c r="BQ11" i="39"/>
  <c r="BR11" i="39"/>
  <c r="BS11" i="39"/>
  <c r="BT11" i="39"/>
  <c r="BU11" i="39"/>
  <c r="BV11" i="39"/>
  <c r="BW11" i="39"/>
  <c r="BX11" i="39"/>
  <c r="BY11" i="39"/>
  <c r="BZ11" i="39"/>
  <c r="CA11" i="39"/>
  <c r="CB11" i="39"/>
  <c r="CC11" i="39"/>
  <c r="CD11" i="39"/>
  <c r="CE11" i="39"/>
  <c r="CF11" i="39"/>
  <c r="CG11" i="39"/>
  <c r="CH11" i="39"/>
  <c r="CI11" i="39"/>
  <c r="CJ11" i="39"/>
  <c r="CK11" i="39"/>
  <c r="CL11" i="39"/>
  <c r="CM11" i="39"/>
  <c r="CN11" i="39"/>
  <c r="CO11" i="39"/>
  <c r="CP11" i="39"/>
  <c r="CQ11" i="39"/>
  <c r="CR11" i="39"/>
  <c r="CS11" i="39"/>
  <c r="CT11" i="39"/>
  <c r="CU11" i="39"/>
  <c r="CV11" i="39"/>
  <c r="CW11" i="39"/>
  <c r="CX11" i="39"/>
  <c r="CY11" i="39"/>
  <c r="CZ11" i="39"/>
  <c r="DA11" i="39"/>
  <c r="DB11" i="39"/>
  <c r="DC11" i="39"/>
  <c r="DD11" i="39"/>
  <c r="DE11" i="39"/>
  <c r="DF11" i="39"/>
  <c r="DG11" i="39"/>
  <c r="DH11" i="39"/>
  <c r="DI11" i="39"/>
  <c r="DJ11" i="39"/>
  <c r="DK11" i="39"/>
  <c r="DL11" i="39"/>
  <c r="DM11" i="39"/>
  <c r="DN11" i="39"/>
  <c r="DO11" i="39"/>
  <c r="DP11" i="39"/>
  <c r="DQ11" i="39"/>
  <c r="DR11" i="39"/>
  <c r="DS11" i="39"/>
  <c r="DT11" i="39"/>
  <c r="DU11" i="39"/>
  <c r="DV11" i="39"/>
  <c r="DW11" i="39"/>
  <c r="DX11" i="39"/>
  <c r="DY11" i="39"/>
  <c r="DZ11" i="39"/>
  <c r="EA11" i="39"/>
  <c r="EB11" i="39"/>
  <c r="EC11" i="39"/>
  <c r="ED11" i="39"/>
  <c r="EE11" i="39"/>
  <c r="EF11" i="39"/>
  <c r="EG11" i="39"/>
  <c r="EH11" i="39"/>
  <c r="EI11" i="39"/>
  <c r="EJ11" i="39"/>
  <c r="EK11" i="39"/>
  <c r="EL11" i="39"/>
  <c r="EM11" i="39"/>
  <c r="EN11" i="39"/>
  <c r="EO11" i="39"/>
  <c r="EP11" i="39"/>
  <c r="EQ11" i="39"/>
  <c r="ER11" i="39"/>
  <c r="ES11" i="39"/>
  <c r="ET11" i="39"/>
  <c r="EU11" i="39"/>
  <c r="EV11" i="39"/>
  <c r="EW11" i="39"/>
  <c r="EX11" i="39"/>
  <c r="EY11" i="39"/>
  <c r="EZ11" i="39"/>
  <c r="FA11" i="39"/>
  <c r="FB11" i="39"/>
  <c r="FC11" i="39"/>
  <c r="FD11" i="39"/>
  <c r="FE11" i="39"/>
  <c r="FF11" i="39"/>
  <c r="FG11" i="39"/>
  <c r="FH11" i="39"/>
  <c r="FI11" i="39"/>
  <c r="FJ11" i="39"/>
  <c r="FK11" i="39"/>
  <c r="FL11" i="39"/>
  <c r="FM11" i="39"/>
  <c r="FN11" i="39"/>
  <c r="FO11" i="39"/>
  <c r="FQ11" i="39"/>
  <c r="FR11" i="39"/>
  <c r="FS11" i="39"/>
  <c r="FT11" i="39"/>
  <c r="FU11" i="39"/>
  <c r="FV11" i="39"/>
  <c r="FW11" i="39"/>
  <c r="FX11" i="39"/>
  <c r="FY11" i="39"/>
  <c r="FZ11" i="39"/>
  <c r="GA11" i="39"/>
  <c r="C12" i="39"/>
  <c r="D12" i="39"/>
  <c r="E12" i="39"/>
  <c r="F12" i="39"/>
  <c r="G12" i="39"/>
  <c r="H12" i="39"/>
  <c r="I12" i="39"/>
  <c r="J12" i="39"/>
  <c r="K12" i="39"/>
  <c r="L12" i="39"/>
  <c r="M12" i="39"/>
  <c r="N12" i="39"/>
  <c r="O12" i="39"/>
  <c r="P12" i="39"/>
  <c r="Q12" i="39"/>
  <c r="AD12" i="39"/>
  <c r="AE12" i="39"/>
  <c r="AF12" i="39"/>
  <c r="AG12" i="39"/>
  <c r="AH12" i="39"/>
  <c r="AI12" i="39"/>
  <c r="AJ12" i="39"/>
  <c r="AL12" i="39"/>
  <c r="AM12" i="39"/>
  <c r="AN12" i="39"/>
  <c r="AO12" i="39"/>
  <c r="AP12" i="39"/>
  <c r="AQ12" i="39"/>
  <c r="AR12" i="39"/>
  <c r="AS12" i="39"/>
  <c r="AT12" i="39"/>
  <c r="AU12" i="39"/>
  <c r="AV12" i="39"/>
  <c r="AW12" i="39"/>
  <c r="AX12" i="39"/>
  <c r="AY12" i="39"/>
  <c r="AZ12" i="39"/>
  <c r="BA12" i="39"/>
  <c r="BB12" i="39"/>
  <c r="BC12" i="39"/>
  <c r="BD12" i="39"/>
  <c r="BE12" i="39"/>
  <c r="BF12" i="39"/>
  <c r="BG12" i="39"/>
  <c r="BH12" i="39"/>
  <c r="BI12" i="39"/>
  <c r="BJ12" i="39"/>
  <c r="BK12" i="39"/>
  <c r="BL12" i="39"/>
  <c r="BM12" i="39"/>
  <c r="BN12" i="39"/>
  <c r="BO12" i="39"/>
  <c r="BP12" i="39"/>
  <c r="BQ12" i="39"/>
  <c r="BR12" i="39"/>
  <c r="BS12" i="39"/>
  <c r="BT12" i="39"/>
  <c r="BU12" i="39"/>
  <c r="BV12" i="39"/>
  <c r="BW12" i="39"/>
  <c r="BX12" i="39"/>
  <c r="BY12" i="39"/>
  <c r="BZ12" i="39"/>
  <c r="CA12" i="39"/>
  <c r="CB12" i="39"/>
  <c r="CC12" i="39"/>
  <c r="CD12" i="39"/>
  <c r="CE12" i="39"/>
  <c r="CF12" i="39"/>
  <c r="CG12" i="39"/>
  <c r="CH12" i="39"/>
  <c r="CI12" i="39"/>
  <c r="CJ12" i="39"/>
  <c r="CK12" i="39"/>
  <c r="CL12" i="39"/>
  <c r="CM12" i="39"/>
  <c r="CN12" i="39"/>
  <c r="CO12" i="39"/>
  <c r="CP12" i="39"/>
  <c r="CQ12" i="39"/>
  <c r="CR12" i="39"/>
  <c r="CS12" i="39"/>
  <c r="CT12" i="39"/>
  <c r="CU12" i="39"/>
  <c r="CV12" i="39"/>
  <c r="CW12" i="39"/>
  <c r="CX12" i="39"/>
  <c r="CY12" i="39"/>
  <c r="CZ12" i="39"/>
  <c r="DA12" i="39"/>
  <c r="DB12" i="39"/>
  <c r="DC12" i="39"/>
  <c r="DD12" i="39"/>
  <c r="DE12" i="39"/>
  <c r="DF12" i="39"/>
  <c r="DG12" i="39"/>
  <c r="DH12" i="39"/>
  <c r="DI12" i="39"/>
  <c r="DJ12" i="39"/>
  <c r="DK12" i="39"/>
  <c r="DL12" i="39"/>
  <c r="DM12" i="39"/>
  <c r="DN12" i="39"/>
  <c r="DO12" i="39"/>
  <c r="DP12" i="39"/>
  <c r="DQ12" i="39"/>
  <c r="DR12" i="39"/>
  <c r="DS12" i="39"/>
  <c r="DT12" i="39"/>
  <c r="DU12" i="39"/>
  <c r="DV12" i="39"/>
  <c r="DW12" i="39"/>
  <c r="DX12" i="39"/>
  <c r="DY12" i="39"/>
  <c r="DZ12" i="39"/>
  <c r="EA12" i="39"/>
  <c r="EB12" i="39"/>
  <c r="EC12" i="39"/>
  <c r="ED12" i="39"/>
  <c r="EE12" i="39"/>
  <c r="EF12" i="39"/>
  <c r="EG12" i="39"/>
  <c r="EH12" i="39"/>
  <c r="EI12" i="39"/>
  <c r="EJ12" i="39"/>
  <c r="EK12" i="39"/>
  <c r="EL12" i="39"/>
  <c r="EM12" i="39"/>
  <c r="EN12" i="39"/>
  <c r="EO12" i="39"/>
  <c r="EP12" i="39"/>
  <c r="EQ12" i="39"/>
  <c r="ER12" i="39"/>
  <c r="ES12" i="39"/>
  <c r="ET12" i="39"/>
  <c r="EU12" i="39"/>
  <c r="EV12" i="39"/>
  <c r="EW12" i="39"/>
  <c r="EX12" i="39"/>
  <c r="EY12" i="39"/>
  <c r="EZ12" i="39"/>
  <c r="FA12" i="39"/>
  <c r="FB12" i="39"/>
  <c r="FC12" i="39"/>
  <c r="FD12" i="39"/>
  <c r="FE12" i="39"/>
  <c r="FF12" i="39"/>
  <c r="FG12" i="39"/>
  <c r="FH12" i="39"/>
  <c r="FI12" i="39"/>
  <c r="FJ12" i="39"/>
  <c r="FK12" i="39"/>
  <c r="FL12" i="39"/>
  <c r="FM12" i="39"/>
  <c r="FN12" i="39"/>
  <c r="FO12" i="39"/>
  <c r="FQ12" i="39"/>
  <c r="FR12" i="39"/>
  <c r="FS12" i="39"/>
  <c r="FT12" i="39"/>
  <c r="FU12" i="39"/>
  <c r="FV12" i="39"/>
  <c r="FW12" i="39"/>
  <c r="FX12" i="39"/>
  <c r="FY12" i="39"/>
  <c r="FZ12" i="39"/>
  <c r="GA12" i="39"/>
  <c r="C13" i="39"/>
  <c r="D13" i="39"/>
  <c r="E13" i="39"/>
  <c r="F13" i="39"/>
  <c r="G13" i="39"/>
  <c r="H13" i="39"/>
  <c r="I13" i="39"/>
  <c r="J13" i="39"/>
  <c r="K13" i="39"/>
  <c r="L13" i="39"/>
  <c r="M13" i="39"/>
  <c r="N13" i="39"/>
  <c r="O13" i="39"/>
  <c r="P13" i="39"/>
  <c r="Q13" i="39"/>
  <c r="AD13" i="39"/>
  <c r="AE13" i="39"/>
  <c r="AF13" i="39"/>
  <c r="AG13" i="39"/>
  <c r="AH13" i="39"/>
  <c r="AI13" i="39"/>
  <c r="AJ13" i="39"/>
  <c r="AL13" i="39"/>
  <c r="AM13" i="39"/>
  <c r="AN13" i="39"/>
  <c r="AO13" i="39"/>
  <c r="AP13" i="39"/>
  <c r="AQ13" i="39"/>
  <c r="AR13" i="39"/>
  <c r="AS13" i="39"/>
  <c r="AT13" i="39"/>
  <c r="AU13" i="39"/>
  <c r="AV13" i="39"/>
  <c r="AW13" i="39"/>
  <c r="AX13" i="39"/>
  <c r="AY13" i="39"/>
  <c r="AZ13" i="39"/>
  <c r="BA13" i="39"/>
  <c r="BB13" i="39"/>
  <c r="BC13" i="39"/>
  <c r="BD13" i="39"/>
  <c r="BE13" i="39"/>
  <c r="BF13" i="39"/>
  <c r="BG13" i="39"/>
  <c r="BH13" i="39"/>
  <c r="BI13" i="39"/>
  <c r="BJ13" i="39"/>
  <c r="BK13" i="39"/>
  <c r="BL13" i="39"/>
  <c r="BM13" i="39"/>
  <c r="BN13" i="39"/>
  <c r="BO13" i="39"/>
  <c r="BP13" i="39"/>
  <c r="BQ13" i="39"/>
  <c r="BR13" i="39"/>
  <c r="BS13" i="39"/>
  <c r="BT13" i="39"/>
  <c r="BU13" i="39"/>
  <c r="BV13" i="39"/>
  <c r="BW13" i="39"/>
  <c r="BX13" i="39"/>
  <c r="BY13" i="39"/>
  <c r="BZ13" i="39"/>
  <c r="CA13" i="39"/>
  <c r="CB13" i="39"/>
  <c r="CC13" i="39"/>
  <c r="CD13" i="39"/>
  <c r="CE13" i="39"/>
  <c r="CF13" i="39"/>
  <c r="CG13" i="39"/>
  <c r="CH13" i="39"/>
  <c r="CI13" i="39"/>
  <c r="CJ13" i="39"/>
  <c r="CK13" i="39"/>
  <c r="CL13" i="39"/>
  <c r="CM13" i="39"/>
  <c r="CN13" i="39"/>
  <c r="CO13" i="39"/>
  <c r="CP13" i="39"/>
  <c r="CQ13" i="39"/>
  <c r="CR13" i="39"/>
  <c r="CS13" i="39"/>
  <c r="CT13" i="39"/>
  <c r="CU13" i="39"/>
  <c r="CV13" i="39"/>
  <c r="CW13" i="39"/>
  <c r="CX13" i="39"/>
  <c r="CY13" i="39"/>
  <c r="CZ13" i="39"/>
  <c r="DA13" i="39"/>
  <c r="DB13" i="39"/>
  <c r="DC13" i="39"/>
  <c r="DD13" i="39"/>
  <c r="DE13" i="39"/>
  <c r="DF13" i="39"/>
  <c r="DG13" i="39"/>
  <c r="DH13" i="39"/>
  <c r="DI13" i="39"/>
  <c r="DJ13" i="39"/>
  <c r="DK13" i="39"/>
  <c r="DL13" i="39"/>
  <c r="DM13" i="39"/>
  <c r="DN13" i="39"/>
  <c r="DO13" i="39"/>
  <c r="DP13" i="39"/>
  <c r="DQ13" i="39"/>
  <c r="DR13" i="39"/>
  <c r="DS13" i="39"/>
  <c r="DT13" i="39"/>
  <c r="DU13" i="39"/>
  <c r="DV13" i="39"/>
  <c r="DW13" i="39"/>
  <c r="DX13" i="39"/>
  <c r="DY13" i="39"/>
  <c r="DZ13" i="39"/>
  <c r="EA13" i="39"/>
  <c r="EB13" i="39"/>
  <c r="EC13" i="39"/>
  <c r="ED13" i="39"/>
  <c r="EE13" i="39"/>
  <c r="EF13" i="39"/>
  <c r="EG13" i="39"/>
  <c r="EH13" i="39"/>
  <c r="EI13" i="39"/>
  <c r="EJ13" i="39"/>
  <c r="EK13" i="39"/>
  <c r="EL13" i="39"/>
  <c r="EM13" i="39"/>
  <c r="EN13" i="39"/>
  <c r="EO13" i="39"/>
  <c r="EP13" i="39"/>
  <c r="EQ13" i="39"/>
  <c r="ER13" i="39"/>
  <c r="ES13" i="39"/>
  <c r="ET13" i="39"/>
  <c r="EU13" i="39"/>
  <c r="EV13" i="39"/>
  <c r="EW13" i="39"/>
  <c r="EX13" i="39"/>
  <c r="EY13" i="39"/>
  <c r="EZ13" i="39"/>
  <c r="FA13" i="39"/>
  <c r="FB13" i="39"/>
  <c r="FC13" i="39"/>
  <c r="FD13" i="39"/>
  <c r="FE13" i="39"/>
  <c r="FF13" i="39"/>
  <c r="FG13" i="39"/>
  <c r="FH13" i="39"/>
  <c r="FI13" i="39"/>
  <c r="FJ13" i="39"/>
  <c r="FK13" i="39"/>
  <c r="FL13" i="39"/>
  <c r="FM13" i="39"/>
  <c r="FN13" i="39"/>
  <c r="FO13" i="39"/>
  <c r="FQ13" i="39"/>
  <c r="FR13" i="39"/>
  <c r="FS13" i="39"/>
  <c r="FT13" i="39"/>
  <c r="FU13" i="39"/>
  <c r="FV13" i="39"/>
  <c r="FW13" i="39"/>
  <c r="FX13" i="39"/>
  <c r="FY13" i="39"/>
  <c r="FZ13" i="39"/>
  <c r="GA13" i="39"/>
  <c r="C14" i="39"/>
  <c r="D14" i="39"/>
  <c r="E14" i="39"/>
  <c r="F14" i="39"/>
  <c r="G14" i="39"/>
  <c r="H14" i="39"/>
  <c r="I14" i="39"/>
  <c r="J14" i="39"/>
  <c r="K14" i="39"/>
  <c r="L14" i="39"/>
  <c r="M14" i="39"/>
  <c r="N14" i="39"/>
  <c r="O14" i="39"/>
  <c r="P14" i="39"/>
  <c r="Q14" i="39"/>
  <c r="AD14" i="39"/>
  <c r="AE14" i="39"/>
  <c r="AF14" i="39"/>
  <c r="AG14" i="39"/>
  <c r="AH14" i="39"/>
  <c r="AI14" i="39"/>
  <c r="AJ14" i="39"/>
  <c r="AL14" i="39"/>
  <c r="AM14" i="39"/>
  <c r="AN14" i="39"/>
  <c r="AO14" i="39"/>
  <c r="AP14" i="39"/>
  <c r="AQ14" i="39"/>
  <c r="AR14" i="39"/>
  <c r="AS14" i="39"/>
  <c r="AT14" i="39"/>
  <c r="AU14" i="39"/>
  <c r="AV14" i="39"/>
  <c r="AW14" i="39"/>
  <c r="AX14" i="39"/>
  <c r="AY14" i="39"/>
  <c r="AZ14" i="39"/>
  <c r="BA14" i="39"/>
  <c r="BB14" i="39"/>
  <c r="BC14" i="39"/>
  <c r="BD14" i="39"/>
  <c r="BE14" i="39"/>
  <c r="BF14" i="39"/>
  <c r="BG14" i="39"/>
  <c r="BH14" i="39"/>
  <c r="BI14" i="39"/>
  <c r="BJ14" i="39"/>
  <c r="BK14" i="39"/>
  <c r="BL14" i="39"/>
  <c r="BM14" i="39"/>
  <c r="BN14" i="39"/>
  <c r="BO14" i="39"/>
  <c r="BP14" i="39"/>
  <c r="BQ14" i="39"/>
  <c r="BR14" i="39"/>
  <c r="BS14" i="39"/>
  <c r="BT14" i="39"/>
  <c r="BU14" i="39"/>
  <c r="BV14" i="39"/>
  <c r="BW14" i="39"/>
  <c r="BX14" i="39"/>
  <c r="BY14" i="39"/>
  <c r="BZ14" i="39"/>
  <c r="CA14" i="39"/>
  <c r="CB14" i="39"/>
  <c r="CC14" i="39"/>
  <c r="CD14" i="39"/>
  <c r="CE14" i="39"/>
  <c r="CF14" i="39"/>
  <c r="CG14" i="39"/>
  <c r="CH14" i="39"/>
  <c r="CI14" i="39"/>
  <c r="CJ14" i="39"/>
  <c r="CK14" i="39"/>
  <c r="CL14" i="39"/>
  <c r="CM14" i="39"/>
  <c r="CN14" i="39"/>
  <c r="CO14" i="39"/>
  <c r="CP14" i="39"/>
  <c r="CQ14" i="39"/>
  <c r="CR14" i="39"/>
  <c r="CS14" i="39"/>
  <c r="CT14" i="39"/>
  <c r="CU14" i="39"/>
  <c r="CV14" i="39"/>
  <c r="CW14" i="39"/>
  <c r="CX14" i="39"/>
  <c r="CY14" i="39"/>
  <c r="CZ14" i="39"/>
  <c r="DA14" i="39"/>
  <c r="DB14" i="39"/>
  <c r="DC14" i="39"/>
  <c r="DD14" i="39"/>
  <c r="DE14" i="39"/>
  <c r="DF14" i="39"/>
  <c r="DG14" i="39"/>
  <c r="DH14" i="39"/>
  <c r="DI14" i="39"/>
  <c r="DJ14" i="39"/>
  <c r="DK14" i="39"/>
  <c r="DL14" i="39"/>
  <c r="DM14" i="39"/>
  <c r="DN14" i="39"/>
  <c r="DO14" i="39"/>
  <c r="DP14" i="39"/>
  <c r="DQ14" i="39"/>
  <c r="DR14" i="39"/>
  <c r="DS14" i="39"/>
  <c r="DT14" i="39"/>
  <c r="DU14" i="39"/>
  <c r="DV14" i="39"/>
  <c r="DW14" i="39"/>
  <c r="DX14" i="39"/>
  <c r="DY14" i="39"/>
  <c r="DZ14" i="39"/>
  <c r="EA14" i="39"/>
  <c r="EB14" i="39"/>
  <c r="EC14" i="39"/>
  <c r="ED14" i="39"/>
  <c r="EE14" i="39"/>
  <c r="EF14" i="39"/>
  <c r="EG14" i="39"/>
  <c r="EH14" i="39"/>
  <c r="EI14" i="39"/>
  <c r="EJ14" i="39"/>
  <c r="EK14" i="39"/>
  <c r="EL14" i="39"/>
  <c r="EM14" i="39"/>
  <c r="EN14" i="39"/>
  <c r="EO14" i="39"/>
  <c r="EP14" i="39"/>
  <c r="EQ14" i="39"/>
  <c r="ER14" i="39"/>
  <c r="ES14" i="39"/>
  <c r="ET14" i="39"/>
  <c r="EU14" i="39"/>
  <c r="EV14" i="39"/>
  <c r="EW14" i="39"/>
  <c r="EX14" i="39"/>
  <c r="EY14" i="39"/>
  <c r="EZ14" i="39"/>
  <c r="FA14" i="39"/>
  <c r="FB14" i="39"/>
  <c r="FC14" i="39"/>
  <c r="FD14" i="39"/>
  <c r="FE14" i="39"/>
  <c r="FF14" i="39"/>
  <c r="FG14" i="39"/>
  <c r="FH14" i="39"/>
  <c r="FI14" i="39"/>
  <c r="FJ14" i="39"/>
  <c r="FK14" i="39"/>
  <c r="FL14" i="39"/>
  <c r="FM14" i="39"/>
  <c r="FN14" i="39"/>
  <c r="FO14" i="39"/>
  <c r="FQ14" i="39"/>
  <c r="FR14" i="39"/>
  <c r="FS14" i="39"/>
  <c r="FT14" i="39"/>
  <c r="FU14" i="39"/>
  <c r="FV14" i="39"/>
  <c r="FW14" i="39"/>
  <c r="FX14" i="39"/>
  <c r="FY14" i="39"/>
  <c r="FZ14" i="39"/>
  <c r="GA14" i="39"/>
  <c r="C15" i="39"/>
  <c r="D15" i="39"/>
  <c r="E15" i="39"/>
  <c r="F15" i="39"/>
  <c r="G15" i="39"/>
  <c r="H15" i="39"/>
  <c r="I15" i="39"/>
  <c r="J15" i="39"/>
  <c r="K15" i="39"/>
  <c r="L15" i="39"/>
  <c r="M15" i="39"/>
  <c r="N15" i="39"/>
  <c r="O15" i="39"/>
  <c r="P15" i="39"/>
  <c r="Q15" i="39"/>
  <c r="AD15" i="39"/>
  <c r="AE15" i="39"/>
  <c r="AF15" i="39"/>
  <c r="AG15" i="39"/>
  <c r="AH15" i="39"/>
  <c r="AI15" i="39"/>
  <c r="AJ15" i="39"/>
  <c r="AL15" i="39"/>
  <c r="AM15" i="39"/>
  <c r="AN15" i="39"/>
  <c r="AO15" i="39"/>
  <c r="AP15" i="39"/>
  <c r="AQ15" i="39"/>
  <c r="AR15" i="39"/>
  <c r="AS15" i="39"/>
  <c r="AT15" i="39"/>
  <c r="AU15" i="39"/>
  <c r="AV15" i="39"/>
  <c r="AW15" i="39"/>
  <c r="AX15" i="39"/>
  <c r="AY15" i="39"/>
  <c r="AZ15" i="39"/>
  <c r="BA15" i="39"/>
  <c r="BB15" i="39"/>
  <c r="BC15" i="39"/>
  <c r="BD15" i="39"/>
  <c r="BE15" i="39"/>
  <c r="BF15" i="39"/>
  <c r="BG15" i="39"/>
  <c r="BH15" i="39"/>
  <c r="BI15" i="39"/>
  <c r="BJ15" i="39"/>
  <c r="BK15" i="39"/>
  <c r="BL15" i="39"/>
  <c r="BM15" i="39"/>
  <c r="BN15" i="39"/>
  <c r="BO15" i="39"/>
  <c r="BP15" i="39"/>
  <c r="BQ15" i="39"/>
  <c r="BR15" i="39"/>
  <c r="BS15" i="39"/>
  <c r="BT15" i="39"/>
  <c r="BU15" i="39"/>
  <c r="BV15" i="39"/>
  <c r="BW15" i="39"/>
  <c r="BX15" i="39"/>
  <c r="BY15" i="39"/>
  <c r="BZ15" i="39"/>
  <c r="CA15" i="39"/>
  <c r="CB15" i="39"/>
  <c r="CC15" i="39"/>
  <c r="CD15" i="39"/>
  <c r="CE15" i="39"/>
  <c r="CF15" i="39"/>
  <c r="CG15" i="39"/>
  <c r="CH15" i="39"/>
  <c r="CI15" i="39"/>
  <c r="CJ15" i="39"/>
  <c r="CK15" i="39"/>
  <c r="CL15" i="39"/>
  <c r="CM15" i="39"/>
  <c r="CN15" i="39"/>
  <c r="CO15" i="39"/>
  <c r="CP15" i="39"/>
  <c r="CQ15" i="39"/>
  <c r="CR15" i="39"/>
  <c r="CS15" i="39"/>
  <c r="CT15" i="39"/>
  <c r="CU15" i="39"/>
  <c r="CV15" i="39"/>
  <c r="CW15" i="39"/>
  <c r="CX15" i="39"/>
  <c r="CY15" i="39"/>
  <c r="CZ15" i="39"/>
  <c r="DA15" i="39"/>
  <c r="DB15" i="39"/>
  <c r="DC15" i="39"/>
  <c r="DD15" i="39"/>
  <c r="DE15" i="39"/>
  <c r="DF15" i="39"/>
  <c r="DG15" i="39"/>
  <c r="DH15" i="39"/>
  <c r="DI15" i="39"/>
  <c r="DJ15" i="39"/>
  <c r="DK15" i="39"/>
  <c r="DL15" i="39"/>
  <c r="DM15" i="39"/>
  <c r="DN15" i="39"/>
  <c r="DO15" i="39"/>
  <c r="DP15" i="39"/>
  <c r="DQ15" i="39"/>
  <c r="DR15" i="39"/>
  <c r="DS15" i="39"/>
  <c r="DT15" i="39"/>
  <c r="DU15" i="39"/>
  <c r="DV15" i="39"/>
  <c r="DW15" i="39"/>
  <c r="DX15" i="39"/>
  <c r="DY15" i="39"/>
  <c r="DZ15" i="39"/>
  <c r="EA15" i="39"/>
  <c r="EB15" i="39"/>
  <c r="EC15" i="39"/>
  <c r="ED15" i="39"/>
  <c r="EE15" i="39"/>
  <c r="EF15" i="39"/>
  <c r="EG15" i="39"/>
  <c r="EH15" i="39"/>
  <c r="EI15" i="39"/>
  <c r="EJ15" i="39"/>
  <c r="EK15" i="39"/>
  <c r="EL15" i="39"/>
  <c r="EM15" i="39"/>
  <c r="EN15" i="39"/>
  <c r="EO15" i="39"/>
  <c r="EP15" i="39"/>
  <c r="EQ15" i="39"/>
  <c r="ER15" i="39"/>
  <c r="ES15" i="39"/>
  <c r="ET15" i="39"/>
  <c r="EU15" i="39"/>
  <c r="EV15" i="39"/>
  <c r="EW15" i="39"/>
  <c r="EX15" i="39"/>
  <c r="EY15" i="39"/>
  <c r="EZ15" i="39"/>
  <c r="FA15" i="39"/>
  <c r="FB15" i="39"/>
  <c r="FC15" i="39"/>
  <c r="FD15" i="39"/>
  <c r="FE15" i="39"/>
  <c r="FF15" i="39"/>
  <c r="FG15" i="39"/>
  <c r="FH15" i="39"/>
  <c r="FI15" i="39"/>
  <c r="FJ15" i="39"/>
  <c r="FK15" i="39"/>
  <c r="FL15" i="39"/>
  <c r="FM15" i="39"/>
  <c r="FN15" i="39"/>
  <c r="FO15" i="39"/>
  <c r="FQ15" i="39"/>
  <c r="FR15" i="39"/>
  <c r="FS15" i="39"/>
  <c r="FT15" i="39"/>
  <c r="FU15" i="39"/>
  <c r="FV15" i="39"/>
  <c r="FW15" i="39"/>
  <c r="FX15" i="39"/>
  <c r="FY15" i="39"/>
  <c r="FZ15" i="39"/>
  <c r="GA15" i="39"/>
  <c r="C16" i="39"/>
  <c r="D16" i="39"/>
  <c r="E16" i="39"/>
  <c r="F16" i="39"/>
  <c r="G16" i="39"/>
  <c r="H16" i="39"/>
  <c r="I16" i="39"/>
  <c r="J16" i="39"/>
  <c r="K16" i="39"/>
  <c r="L16" i="39"/>
  <c r="M16" i="39"/>
  <c r="N16" i="39"/>
  <c r="O16" i="39"/>
  <c r="P16" i="39"/>
  <c r="Q16" i="39"/>
  <c r="AD16" i="39"/>
  <c r="AE16" i="39"/>
  <c r="AF16" i="39"/>
  <c r="AG16" i="39"/>
  <c r="AH16" i="39"/>
  <c r="AI16" i="39"/>
  <c r="AJ16" i="39"/>
  <c r="AL16" i="39"/>
  <c r="AM16" i="39"/>
  <c r="AN16" i="39"/>
  <c r="AO16" i="39"/>
  <c r="AP16" i="39"/>
  <c r="AQ16" i="39"/>
  <c r="AR16" i="39"/>
  <c r="AS16" i="39"/>
  <c r="AT16" i="39"/>
  <c r="AU16" i="39"/>
  <c r="AV16" i="39"/>
  <c r="AW16" i="39"/>
  <c r="AX16" i="39"/>
  <c r="AY16" i="39"/>
  <c r="AZ16" i="39"/>
  <c r="BA16" i="39"/>
  <c r="BB16" i="39"/>
  <c r="BC16" i="39"/>
  <c r="BD16" i="39"/>
  <c r="BE16" i="39"/>
  <c r="BF16" i="39"/>
  <c r="BG16" i="39"/>
  <c r="BH16" i="39"/>
  <c r="BI16" i="39"/>
  <c r="BJ16" i="39"/>
  <c r="BK16" i="39"/>
  <c r="BL16" i="39"/>
  <c r="BM16" i="39"/>
  <c r="BN16" i="39"/>
  <c r="BO16" i="39"/>
  <c r="BP16" i="39"/>
  <c r="BQ16" i="39"/>
  <c r="BR16" i="39"/>
  <c r="BS16" i="39"/>
  <c r="BT16" i="39"/>
  <c r="BU16" i="39"/>
  <c r="BV16" i="39"/>
  <c r="BW16" i="39"/>
  <c r="BX16" i="39"/>
  <c r="BY16" i="39"/>
  <c r="BZ16" i="39"/>
  <c r="CA16" i="39"/>
  <c r="CB16" i="39"/>
  <c r="CC16" i="39"/>
  <c r="CD16" i="39"/>
  <c r="CE16" i="39"/>
  <c r="CF16" i="39"/>
  <c r="CG16" i="39"/>
  <c r="CH16" i="39"/>
  <c r="CI16" i="39"/>
  <c r="CJ16" i="39"/>
  <c r="CK16" i="39"/>
  <c r="CL16" i="39"/>
  <c r="CM16" i="39"/>
  <c r="CN16" i="39"/>
  <c r="CO16" i="39"/>
  <c r="CP16" i="39"/>
  <c r="CQ16" i="39"/>
  <c r="CR16" i="39"/>
  <c r="CS16" i="39"/>
  <c r="CT16" i="39"/>
  <c r="CU16" i="39"/>
  <c r="CV16" i="39"/>
  <c r="CW16" i="39"/>
  <c r="CX16" i="39"/>
  <c r="CY16" i="39"/>
  <c r="CZ16" i="39"/>
  <c r="DA16" i="39"/>
  <c r="DB16" i="39"/>
  <c r="DC16" i="39"/>
  <c r="DD16" i="39"/>
  <c r="DE16" i="39"/>
  <c r="DF16" i="39"/>
  <c r="DG16" i="39"/>
  <c r="DH16" i="39"/>
  <c r="DI16" i="39"/>
  <c r="DJ16" i="39"/>
  <c r="DK16" i="39"/>
  <c r="DL16" i="39"/>
  <c r="DM16" i="39"/>
  <c r="DN16" i="39"/>
  <c r="DO16" i="39"/>
  <c r="DP16" i="39"/>
  <c r="DQ16" i="39"/>
  <c r="DR16" i="39"/>
  <c r="DS16" i="39"/>
  <c r="DT16" i="39"/>
  <c r="DU16" i="39"/>
  <c r="DV16" i="39"/>
  <c r="DW16" i="39"/>
  <c r="DX16" i="39"/>
  <c r="DY16" i="39"/>
  <c r="DZ16" i="39"/>
  <c r="EA16" i="39"/>
  <c r="EB16" i="39"/>
  <c r="EC16" i="39"/>
  <c r="ED16" i="39"/>
  <c r="EE16" i="39"/>
  <c r="EF16" i="39"/>
  <c r="EG16" i="39"/>
  <c r="EH16" i="39"/>
  <c r="EI16" i="39"/>
  <c r="EJ16" i="39"/>
  <c r="EK16" i="39"/>
  <c r="EL16" i="39"/>
  <c r="EM16" i="39"/>
  <c r="EN16" i="39"/>
  <c r="EO16" i="39"/>
  <c r="EP16" i="39"/>
  <c r="EQ16" i="39"/>
  <c r="ER16" i="39"/>
  <c r="ES16" i="39"/>
  <c r="ET16" i="39"/>
  <c r="EU16" i="39"/>
  <c r="EV16" i="39"/>
  <c r="EW16" i="39"/>
  <c r="EX16" i="39"/>
  <c r="EY16" i="39"/>
  <c r="EZ16" i="39"/>
  <c r="FA16" i="39"/>
  <c r="FB16" i="39"/>
  <c r="FC16" i="39"/>
  <c r="FD16" i="39"/>
  <c r="FE16" i="39"/>
  <c r="FF16" i="39"/>
  <c r="FG16" i="39"/>
  <c r="FH16" i="39"/>
  <c r="FI16" i="39"/>
  <c r="FJ16" i="39"/>
  <c r="FK16" i="39"/>
  <c r="FL16" i="39"/>
  <c r="FM16" i="39"/>
  <c r="FN16" i="39"/>
  <c r="FO16" i="39"/>
  <c r="FQ16" i="39"/>
  <c r="FR16" i="39"/>
  <c r="FS16" i="39"/>
  <c r="FT16" i="39"/>
  <c r="FU16" i="39"/>
  <c r="FV16" i="39"/>
  <c r="FW16" i="39"/>
  <c r="FX16" i="39"/>
  <c r="FY16" i="39"/>
  <c r="FZ16" i="39"/>
  <c r="GA16" i="39"/>
  <c r="C17" i="39"/>
  <c r="D17" i="39"/>
  <c r="E17" i="39"/>
  <c r="F17" i="39"/>
  <c r="G17" i="39"/>
  <c r="H17" i="39"/>
  <c r="I17" i="39"/>
  <c r="J17" i="39"/>
  <c r="K17" i="39"/>
  <c r="L17" i="39"/>
  <c r="M17" i="39"/>
  <c r="N17" i="39"/>
  <c r="O17" i="39"/>
  <c r="P17" i="39"/>
  <c r="Q17" i="39"/>
  <c r="AD17" i="39"/>
  <c r="AE17" i="39"/>
  <c r="AF17" i="39"/>
  <c r="AG17" i="39"/>
  <c r="AH17" i="39"/>
  <c r="AI17" i="39"/>
  <c r="AJ17" i="39"/>
  <c r="AL17" i="39"/>
  <c r="AM17" i="39"/>
  <c r="AN17" i="39"/>
  <c r="AO17" i="39"/>
  <c r="AP17" i="39"/>
  <c r="AQ17" i="39"/>
  <c r="AR17" i="39"/>
  <c r="AS17" i="39"/>
  <c r="AT17" i="39"/>
  <c r="AU17" i="39"/>
  <c r="AV17" i="39"/>
  <c r="AW17" i="39"/>
  <c r="AX17" i="39"/>
  <c r="AY17" i="39"/>
  <c r="AZ17" i="39"/>
  <c r="BA17" i="39"/>
  <c r="BB17" i="39"/>
  <c r="BC17" i="39"/>
  <c r="BD17" i="39"/>
  <c r="BE17" i="39"/>
  <c r="BF17" i="39"/>
  <c r="BG17" i="39"/>
  <c r="BH17" i="39"/>
  <c r="BI17" i="39"/>
  <c r="BJ17" i="39"/>
  <c r="BK17" i="39"/>
  <c r="BL17" i="39"/>
  <c r="BM17" i="39"/>
  <c r="BN17" i="39"/>
  <c r="BO17" i="39"/>
  <c r="BP17" i="39"/>
  <c r="BQ17" i="39"/>
  <c r="BR17" i="39"/>
  <c r="BS17" i="39"/>
  <c r="BT17" i="39"/>
  <c r="BU17" i="39"/>
  <c r="BV17" i="39"/>
  <c r="BW17" i="39"/>
  <c r="BX17" i="39"/>
  <c r="BY17" i="39"/>
  <c r="BZ17" i="39"/>
  <c r="CA17" i="39"/>
  <c r="CB17" i="39"/>
  <c r="CC17" i="39"/>
  <c r="CD17" i="39"/>
  <c r="CE17" i="39"/>
  <c r="CF17" i="39"/>
  <c r="CG17" i="39"/>
  <c r="CH17" i="39"/>
  <c r="CI17" i="39"/>
  <c r="CJ17" i="39"/>
  <c r="CK17" i="39"/>
  <c r="CL17" i="39"/>
  <c r="CM17" i="39"/>
  <c r="CN17" i="39"/>
  <c r="CO17" i="39"/>
  <c r="CP17" i="39"/>
  <c r="CQ17" i="39"/>
  <c r="CR17" i="39"/>
  <c r="CS17" i="39"/>
  <c r="CT17" i="39"/>
  <c r="CU17" i="39"/>
  <c r="CV17" i="39"/>
  <c r="CW17" i="39"/>
  <c r="CX17" i="39"/>
  <c r="CY17" i="39"/>
  <c r="CZ17" i="39"/>
  <c r="DA17" i="39"/>
  <c r="DB17" i="39"/>
  <c r="DC17" i="39"/>
  <c r="DD17" i="39"/>
  <c r="DE17" i="39"/>
  <c r="DF17" i="39"/>
  <c r="DG17" i="39"/>
  <c r="DH17" i="39"/>
  <c r="DI17" i="39"/>
  <c r="DJ17" i="39"/>
  <c r="DK17" i="39"/>
  <c r="DL17" i="39"/>
  <c r="DM17" i="39"/>
  <c r="DN17" i="39"/>
  <c r="DO17" i="39"/>
  <c r="DP17" i="39"/>
  <c r="DQ17" i="39"/>
  <c r="DR17" i="39"/>
  <c r="DS17" i="39"/>
  <c r="DT17" i="39"/>
  <c r="DU17" i="39"/>
  <c r="DV17" i="39"/>
  <c r="DW17" i="39"/>
  <c r="DX17" i="39"/>
  <c r="DY17" i="39"/>
  <c r="DZ17" i="39"/>
  <c r="EA17" i="39"/>
  <c r="EB17" i="39"/>
  <c r="EC17" i="39"/>
  <c r="ED17" i="39"/>
  <c r="EE17" i="39"/>
  <c r="EF17" i="39"/>
  <c r="EG17" i="39"/>
  <c r="EH17" i="39"/>
  <c r="EI17" i="39"/>
  <c r="EJ17" i="39"/>
  <c r="EK17" i="39"/>
  <c r="EL17" i="39"/>
  <c r="EM17" i="39"/>
  <c r="EN17" i="39"/>
  <c r="EO17" i="39"/>
  <c r="EP17" i="39"/>
  <c r="EQ17" i="39"/>
  <c r="ER17" i="39"/>
  <c r="ES17" i="39"/>
  <c r="ET17" i="39"/>
  <c r="EU17" i="39"/>
  <c r="EV17" i="39"/>
  <c r="EW17" i="39"/>
  <c r="EX17" i="39"/>
  <c r="EY17" i="39"/>
  <c r="EZ17" i="39"/>
  <c r="FA17" i="39"/>
  <c r="FB17" i="39"/>
  <c r="FC17" i="39"/>
  <c r="FD17" i="39"/>
  <c r="FE17" i="39"/>
  <c r="FF17" i="39"/>
  <c r="FG17" i="39"/>
  <c r="FH17" i="39"/>
  <c r="FI17" i="39"/>
  <c r="FJ17" i="39"/>
  <c r="FK17" i="39"/>
  <c r="FL17" i="39"/>
  <c r="FM17" i="39"/>
  <c r="FN17" i="39"/>
  <c r="FO17" i="39"/>
  <c r="FQ17" i="39"/>
  <c r="FR17" i="39"/>
  <c r="FS17" i="39"/>
  <c r="FT17" i="39"/>
  <c r="FU17" i="39"/>
  <c r="FV17" i="39"/>
  <c r="FW17" i="39"/>
  <c r="FX17" i="39"/>
  <c r="FY17" i="39"/>
  <c r="FZ17" i="39"/>
  <c r="GA17" i="39"/>
  <c r="C18" i="39"/>
  <c r="D18" i="39"/>
  <c r="E18" i="39"/>
  <c r="F18" i="39"/>
  <c r="G18" i="39"/>
  <c r="H18" i="39"/>
  <c r="I18" i="39"/>
  <c r="J18" i="39"/>
  <c r="K18" i="39"/>
  <c r="L18" i="39"/>
  <c r="M18" i="39"/>
  <c r="N18" i="39"/>
  <c r="O18" i="39"/>
  <c r="P18" i="39"/>
  <c r="Q18" i="39"/>
  <c r="AD18" i="39"/>
  <c r="AE18" i="39"/>
  <c r="AF18" i="39"/>
  <c r="AG18" i="39"/>
  <c r="AH18" i="39"/>
  <c r="AI18" i="39"/>
  <c r="AJ18" i="39"/>
  <c r="AL18" i="39"/>
  <c r="AM18" i="39"/>
  <c r="AN18" i="39"/>
  <c r="AO18" i="39"/>
  <c r="AP18" i="39"/>
  <c r="AQ18" i="39"/>
  <c r="AR18" i="39"/>
  <c r="AS18" i="39"/>
  <c r="AT18" i="39"/>
  <c r="AU18" i="39"/>
  <c r="AV18" i="39"/>
  <c r="AW18" i="39"/>
  <c r="AX18" i="39"/>
  <c r="AY18" i="39"/>
  <c r="AZ18" i="39"/>
  <c r="BA18" i="39"/>
  <c r="BB18" i="39"/>
  <c r="BC18" i="39"/>
  <c r="BD18" i="39"/>
  <c r="BE18" i="39"/>
  <c r="BF18" i="39"/>
  <c r="BG18" i="39"/>
  <c r="BH18" i="39"/>
  <c r="BI18" i="39"/>
  <c r="BJ18" i="39"/>
  <c r="BK18" i="39"/>
  <c r="BL18" i="39"/>
  <c r="BM18" i="39"/>
  <c r="BN18" i="39"/>
  <c r="BO18" i="39"/>
  <c r="BP18" i="39"/>
  <c r="BQ18" i="39"/>
  <c r="BR18" i="39"/>
  <c r="BS18" i="39"/>
  <c r="BT18" i="39"/>
  <c r="BU18" i="39"/>
  <c r="BV18" i="39"/>
  <c r="BW18" i="39"/>
  <c r="BX18" i="39"/>
  <c r="BY18" i="39"/>
  <c r="BZ18" i="39"/>
  <c r="CA18" i="39"/>
  <c r="CB18" i="39"/>
  <c r="CC18" i="39"/>
  <c r="CD18" i="39"/>
  <c r="CE18" i="39"/>
  <c r="CF18" i="39"/>
  <c r="CG18" i="39"/>
  <c r="CH18" i="39"/>
  <c r="CI18" i="39"/>
  <c r="CJ18" i="39"/>
  <c r="CK18" i="39"/>
  <c r="CL18" i="39"/>
  <c r="CM18" i="39"/>
  <c r="CN18" i="39"/>
  <c r="CO18" i="39"/>
  <c r="CP18" i="39"/>
  <c r="CQ18" i="39"/>
  <c r="CR18" i="39"/>
  <c r="CS18" i="39"/>
  <c r="CT18" i="39"/>
  <c r="CU18" i="39"/>
  <c r="CV18" i="39"/>
  <c r="CW18" i="39"/>
  <c r="CX18" i="39"/>
  <c r="CY18" i="39"/>
  <c r="CZ18" i="39"/>
  <c r="DA18" i="39"/>
  <c r="DB18" i="39"/>
  <c r="DC18" i="39"/>
  <c r="DD18" i="39"/>
  <c r="DE18" i="39"/>
  <c r="DF18" i="39"/>
  <c r="DG18" i="39"/>
  <c r="DH18" i="39"/>
  <c r="DI18" i="39"/>
  <c r="DJ18" i="39"/>
  <c r="DK18" i="39"/>
  <c r="DL18" i="39"/>
  <c r="DM18" i="39"/>
  <c r="DN18" i="39"/>
  <c r="DO18" i="39"/>
  <c r="DP18" i="39"/>
  <c r="DQ18" i="39"/>
  <c r="DR18" i="39"/>
  <c r="DS18" i="39"/>
  <c r="DT18" i="39"/>
  <c r="DU18" i="39"/>
  <c r="DV18" i="39"/>
  <c r="DW18" i="39"/>
  <c r="DX18" i="39"/>
  <c r="DY18" i="39"/>
  <c r="DZ18" i="39"/>
  <c r="EA18" i="39"/>
  <c r="EB18" i="39"/>
  <c r="EC18" i="39"/>
  <c r="ED18" i="39"/>
  <c r="EE18" i="39"/>
  <c r="EF18" i="39"/>
  <c r="EG18" i="39"/>
  <c r="EH18" i="39"/>
  <c r="EI18" i="39"/>
  <c r="EJ18" i="39"/>
  <c r="EK18" i="39"/>
  <c r="EL18" i="39"/>
  <c r="EM18" i="39"/>
  <c r="EN18" i="39"/>
  <c r="EO18" i="39"/>
  <c r="EP18" i="39"/>
  <c r="EQ18" i="39"/>
  <c r="ER18" i="39"/>
  <c r="ES18" i="39"/>
  <c r="ET18" i="39"/>
  <c r="EU18" i="39"/>
  <c r="EV18" i="39"/>
  <c r="EW18" i="39"/>
  <c r="EX18" i="39"/>
  <c r="EY18" i="39"/>
  <c r="EZ18" i="39"/>
  <c r="FA18" i="39"/>
  <c r="FB18" i="39"/>
  <c r="FC18" i="39"/>
  <c r="FD18" i="39"/>
  <c r="FE18" i="39"/>
  <c r="FF18" i="39"/>
  <c r="FG18" i="39"/>
  <c r="FH18" i="39"/>
  <c r="FI18" i="39"/>
  <c r="FJ18" i="39"/>
  <c r="FK18" i="39"/>
  <c r="FL18" i="39"/>
  <c r="FM18" i="39"/>
  <c r="FN18" i="39"/>
  <c r="FO18" i="39"/>
  <c r="FQ18" i="39"/>
  <c r="FR18" i="39"/>
  <c r="FS18" i="39"/>
  <c r="FT18" i="39"/>
  <c r="FU18" i="39"/>
  <c r="FV18" i="39"/>
  <c r="FW18" i="39"/>
  <c r="FX18" i="39"/>
  <c r="FY18" i="39"/>
  <c r="FZ18" i="39"/>
  <c r="GA18" i="39"/>
  <c r="C19" i="39"/>
  <c r="D19" i="39"/>
  <c r="E19" i="39"/>
  <c r="F19" i="39"/>
  <c r="G19" i="39"/>
  <c r="H19" i="39"/>
  <c r="I19" i="39"/>
  <c r="J19" i="39"/>
  <c r="K19" i="39"/>
  <c r="L19" i="39"/>
  <c r="M19" i="39"/>
  <c r="N19" i="39"/>
  <c r="O19" i="39"/>
  <c r="P19" i="39"/>
  <c r="Q19" i="39"/>
  <c r="AD19" i="39"/>
  <c r="AE19" i="39"/>
  <c r="AF19" i="39"/>
  <c r="AG19" i="39"/>
  <c r="AH19" i="39"/>
  <c r="AI19" i="39"/>
  <c r="AJ19" i="39"/>
  <c r="AL19" i="39"/>
  <c r="AM19" i="39"/>
  <c r="AN19" i="39"/>
  <c r="AO19" i="39"/>
  <c r="AP19" i="39"/>
  <c r="AQ19" i="39"/>
  <c r="AR19" i="39"/>
  <c r="AS19" i="39"/>
  <c r="AT19" i="39"/>
  <c r="AU19" i="39"/>
  <c r="AV19" i="39"/>
  <c r="AW19" i="39"/>
  <c r="AX19" i="39"/>
  <c r="AY19" i="39"/>
  <c r="AZ19" i="39"/>
  <c r="BA19" i="39"/>
  <c r="BB19" i="39"/>
  <c r="BC19" i="39"/>
  <c r="BD19" i="39"/>
  <c r="BE19" i="39"/>
  <c r="BF19" i="39"/>
  <c r="BG19" i="39"/>
  <c r="BH19" i="39"/>
  <c r="BI19" i="39"/>
  <c r="BJ19" i="39"/>
  <c r="BK19" i="39"/>
  <c r="BL19" i="39"/>
  <c r="BM19" i="39"/>
  <c r="BN19" i="39"/>
  <c r="BO19" i="39"/>
  <c r="BP19" i="39"/>
  <c r="BQ19" i="39"/>
  <c r="BR19" i="39"/>
  <c r="BS19" i="39"/>
  <c r="BT19" i="39"/>
  <c r="BU19" i="39"/>
  <c r="BV19" i="39"/>
  <c r="BW19" i="39"/>
  <c r="BX19" i="39"/>
  <c r="BY19" i="39"/>
  <c r="BZ19" i="39"/>
  <c r="CA19" i="39"/>
  <c r="CB19" i="39"/>
  <c r="CC19" i="39"/>
  <c r="CD19" i="39"/>
  <c r="CE19" i="39"/>
  <c r="CF19" i="39"/>
  <c r="CG19" i="39"/>
  <c r="CH19" i="39"/>
  <c r="CI19" i="39"/>
  <c r="CJ19" i="39"/>
  <c r="CK19" i="39"/>
  <c r="CL19" i="39"/>
  <c r="CM19" i="39"/>
  <c r="CN19" i="39"/>
  <c r="CO19" i="39"/>
  <c r="CP19" i="39"/>
  <c r="CQ19" i="39"/>
  <c r="CR19" i="39"/>
  <c r="CS19" i="39"/>
  <c r="CT19" i="39"/>
  <c r="CU19" i="39"/>
  <c r="CV19" i="39"/>
  <c r="CW19" i="39"/>
  <c r="CX19" i="39"/>
  <c r="CY19" i="39"/>
  <c r="CZ19" i="39"/>
  <c r="DA19" i="39"/>
  <c r="DB19" i="39"/>
  <c r="DC19" i="39"/>
  <c r="DD19" i="39"/>
  <c r="DE19" i="39"/>
  <c r="DF19" i="39"/>
  <c r="DG19" i="39"/>
  <c r="DH19" i="39"/>
  <c r="DI19" i="39"/>
  <c r="DJ19" i="39"/>
  <c r="DK19" i="39"/>
  <c r="DL19" i="39"/>
  <c r="DM19" i="39"/>
  <c r="DN19" i="39"/>
  <c r="DO19" i="39"/>
  <c r="DP19" i="39"/>
  <c r="DQ19" i="39"/>
  <c r="DR19" i="39"/>
  <c r="DS19" i="39"/>
  <c r="DT19" i="39"/>
  <c r="DU19" i="39"/>
  <c r="DV19" i="39"/>
  <c r="DW19" i="39"/>
  <c r="DX19" i="39"/>
  <c r="DY19" i="39"/>
  <c r="DZ19" i="39"/>
  <c r="EA19" i="39"/>
  <c r="EB19" i="39"/>
  <c r="EC19" i="39"/>
  <c r="ED19" i="39"/>
  <c r="EE19" i="39"/>
  <c r="EF19" i="39"/>
  <c r="EG19" i="39"/>
  <c r="EH19" i="39"/>
  <c r="EI19" i="39"/>
  <c r="EJ19" i="39"/>
  <c r="EK19" i="39"/>
  <c r="EL19" i="39"/>
  <c r="EM19" i="39"/>
  <c r="EN19" i="39"/>
  <c r="EO19" i="39"/>
  <c r="EP19" i="39"/>
  <c r="EQ19" i="39"/>
  <c r="ER19" i="39"/>
  <c r="ES19" i="39"/>
  <c r="ET19" i="39"/>
  <c r="EU19" i="39"/>
  <c r="EV19" i="39"/>
  <c r="EW19" i="39"/>
  <c r="EX19" i="39"/>
  <c r="EY19" i="39"/>
  <c r="EZ19" i="39"/>
  <c r="FA19" i="39"/>
  <c r="FB19" i="39"/>
  <c r="FC19" i="39"/>
  <c r="FD19" i="39"/>
  <c r="FE19" i="39"/>
  <c r="FF19" i="39"/>
  <c r="FG19" i="39"/>
  <c r="FH19" i="39"/>
  <c r="FI19" i="39"/>
  <c r="FJ19" i="39"/>
  <c r="FK19" i="39"/>
  <c r="FL19" i="39"/>
  <c r="FM19" i="39"/>
  <c r="FN19" i="39"/>
  <c r="FO19" i="39"/>
  <c r="FQ19" i="39"/>
  <c r="FR19" i="39"/>
  <c r="FS19" i="39"/>
  <c r="FT19" i="39"/>
  <c r="FU19" i="39"/>
  <c r="FV19" i="39"/>
  <c r="FW19" i="39"/>
  <c r="FX19" i="39"/>
  <c r="FY19" i="39"/>
  <c r="FZ19" i="39"/>
  <c r="GA19" i="39"/>
  <c r="C20" i="39"/>
  <c r="D20" i="39"/>
  <c r="E20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AD20" i="39"/>
  <c r="AE20" i="39"/>
  <c r="AF20" i="39"/>
  <c r="AG20" i="39"/>
  <c r="AH20" i="39"/>
  <c r="AI20" i="39"/>
  <c r="AJ20" i="39"/>
  <c r="AL20" i="39"/>
  <c r="AM20" i="39"/>
  <c r="AN20" i="39"/>
  <c r="AO20" i="39"/>
  <c r="AP20" i="39"/>
  <c r="AQ20" i="39"/>
  <c r="AR20" i="39"/>
  <c r="AS20" i="39"/>
  <c r="AT20" i="39"/>
  <c r="AU20" i="39"/>
  <c r="AV20" i="39"/>
  <c r="AW20" i="39"/>
  <c r="AX20" i="39"/>
  <c r="AY20" i="39"/>
  <c r="AZ20" i="39"/>
  <c r="BA20" i="39"/>
  <c r="BB20" i="39"/>
  <c r="BC20" i="39"/>
  <c r="BD20" i="39"/>
  <c r="BE20" i="39"/>
  <c r="BF20" i="39"/>
  <c r="BG20" i="39"/>
  <c r="BH20" i="39"/>
  <c r="BI20" i="39"/>
  <c r="BJ20" i="39"/>
  <c r="BK20" i="39"/>
  <c r="BL20" i="39"/>
  <c r="BM20" i="39"/>
  <c r="BN20" i="39"/>
  <c r="BO20" i="39"/>
  <c r="BP20" i="39"/>
  <c r="BQ20" i="39"/>
  <c r="BR20" i="39"/>
  <c r="BS20" i="39"/>
  <c r="BT20" i="39"/>
  <c r="BU20" i="39"/>
  <c r="BV20" i="39"/>
  <c r="BW20" i="39"/>
  <c r="BX20" i="39"/>
  <c r="BY20" i="39"/>
  <c r="BZ20" i="39"/>
  <c r="CA20" i="39"/>
  <c r="CB20" i="39"/>
  <c r="CC20" i="39"/>
  <c r="CD20" i="39"/>
  <c r="CE20" i="39"/>
  <c r="CF20" i="39"/>
  <c r="CG20" i="39"/>
  <c r="CH20" i="39"/>
  <c r="CI20" i="39"/>
  <c r="CJ20" i="39"/>
  <c r="CK20" i="39"/>
  <c r="CL20" i="39"/>
  <c r="CM20" i="39"/>
  <c r="CN20" i="39"/>
  <c r="CO20" i="39"/>
  <c r="CP20" i="39"/>
  <c r="CQ20" i="39"/>
  <c r="CR20" i="39"/>
  <c r="CS20" i="39"/>
  <c r="CT20" i="39"/>
  <c r="CU20" i="39"/>
  <c r="CV20" i="39"/>
  <c r="CW20" i="39"/>
  <c r="CX20" i="39"/>
  <c r="CY20" i="39"/>
  <c r="CZ20" i="39"/>
  <c r="DA20" i="39"/>
  <c r="DB20" i="39"/>
  <c r="DC20" i="39"/>
  <c r="DD20" i="39"/>
  <c r="DE20" i="39"/>
  <c r="DF20" i="39"/>
  <c r="DG20" i="39"/>
  <c r="DH20" i="39"/>
  <c r="DI20" i="39"/>
  <c r="DJ20" i="39"/>
  <c r="DK20" i="39"/>
  <c r="DL20" i="39"/>
  <c r="DM20" i="39"/>
  <c r="DN20" i="39"/>
  <c r="DO20" i="39"/>
  <c r="DP20" i="39"/>
  <c r="DQ20" i="39"/>
  <c r="DR20" i="39"/>
  <c r="DS20" i="39"/>
  <c r="DT20" i="39"/>
  <c r="DU20" i="39"/>
  <c r="DV20" i="39"/>
  <c r="DW20" i="39"/>
  <c r="DX20" i="39"/>
  <c r="DY20" i="39"/>
  <c r="DZ20" i="39"/>
  <c r="EA20" i="39"/>
  <c r="EB20" i="39"/>
  <c r="EC20" i="39"/>
  <c r="ED20" i="39"/>
  <c r="EE20" i="39"/>
  <c r="EF20" i="39"/>
  <c r="EG20" i="39"/>
  <c r="EH20" i="39"/>
  <c r="EI20" i="39"/>
  <c r="EJ20" i="39"/>
  <c r="EK20" i="39"/>
  <c r="EL20" i="39"/>
  <c r="EM20" i="39"/>
  <c r="EN20" i="39"/>
  <c r="EO20" i="39"/>
  <c r="EP20" i="39"/>
  <c r="EQ20" i="39"/>
  <c r="ER20" i="39"/>
  <c r="ES20" i="39"/>
  <c r="ET20" i="39"/>
  <c r="EU20" i="39"/>
  <c r="EV20" i="39"/>
  <c r="EW20" i="39"/>
  <c r="EX20" i="39"/>
  <c r="EY20" i="39"/>
  <c r="EZ20" i="39"/>
  <c r="FA20" i="39"/>
  <c r="FB20" i="39"/>
  <c r="FC20" i="39"/>
  <c r="FD20" i="39"/>
  <c r="FE20" i="39"/>
  <c r="FF20" i="39"/>
  <c r="FG20" i="39"/>
  <c r="FH20" i="39"/>
  <c r="FI20" i="39"/>
  <c r="FJ20" i="39"/>
  <c r="FK20" i="39"/>
  <c r="FL20" i="39"/>
  <c r="FM20" i="39"/>
  <c r="FN20" i="39"/>
  <c r="FO20" i="39"/>
  <c r="FQ20" i="39"/>
  <c r="FR20" i="39"/>
  <c r="FS20" i="39"/>
  <c r="FT20" i="39"/>
  <c r="FU20" i="39"/>
  <c r="FV20" i="39"/>
  <c r="FW20" i="39"/>
  <c r="FX20" i="39"/>
  <c r="FY20" i="39"/>
  <c r="FZ20" i="39"/>
  <c r="GA20" i="39"/>
  <c r="C21" i="39"/>
  <c r="D21" i="39"/>
  <c r="E21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AD21" i="39"/>
  <c r="AE21" i="39"/>
  <c r="AF21" i="39"/>
  <c r="AG21" i="39"/>
  <c r="AH21" i="39"/>
  <c r="AI21" i="39"/>
  <c r="AJ21" i="39"/>
  <c r="AL21" i="39"/>
  <c r="AM21" i="39"/>
  <c r="AN21" i="39"/>
  <c r="AO21" i="39"/>
  <c r="AP21" i="39"/>
  <c r="AQ21" i="39"/>
  <c r="AR21" i="39"/>
  <c r="AS21" i="39"/>
  <c r="AT21" i="39"/>
  <c r="AU21" i="39"/>
  <c r="AV21" i="39"/>
  <c r="AW21" i="39"/>
  <c r="AX21" i="39"/>
  <c r="AY21" i="39"/>
  <c r="AZ21" i="39"/>
  <c r="BA21" i="39"/>
  <c r="BB21" i="39"/>
  <c r="BC21" i="39"/>
  <c r="BD21" i="39"/>
  <c r="BE21" i="39"/>
  <c r="BF21" i="39"/>
  <c r="BG21" i="39"/>
  <c r="BH21" i="39"/>
  <c r="BI21" i="39"/>
  <c r="BJ21" i="39"/>
  <c r="BK21" i="39"/>
  <c r="BL21" i="39"/>
  <c r="BM21" i="39"/>
  <c r="BN21" i="39"/>
  <c r="BO21" i="39"/>
  <c r="BP21" i="39"/>
  <c r="BQ21" i="39"/>
  <c r="BR21" i="39"/>
  <c r="BS21" i="39"/>
  <c r="BT21" i="39"/>
  <c r="BU21" i="39"/>
  <c r="BV21" i="39"/>
  <c r="BW21" i="39"/>
  <c r="BX21" i="39"/>
  <c r="BY21" i="39"/>
  <c r="BZ21" i="39"/>
  <c r="CA21" i="39"/>
  <c r="CB21" i="39"/>
  <c r="CC21" i="39"/>
  <c r="CD21" i="39"/>
  <c r="CE21" i="39"/>
  <c r="CF21" i="39"/>
  <c r="CG21" i="39"/>
  <c r="CH21" i="39"/>
  <c r="CI21" i="39"/>
  <c r="CJ21" i="39"/>
  <c r="CK21" i="39"/>
  <c r="CL21" i="39"/>
  <c r="CM21" i="39"/>
  <c r="CN21" i="39"/>
  <c r="CO21" i="39"/>
  <c r="CP21" i="39"/>
  <c r="CQ21" i="39"/>
  <c r="CR21" i="39"/>
  <c r="CS21" i="39"/>
  <c r="CT21" i="39"/>
  <c r="CU21" i="39"/>
  <c r="CV21" i="39"/>
  <c r="CW21" i="39"/>
  <c r="CX21" i="39"/>
  <c r="CY21" i="39"/>
  <c r="CZ21" i="39"/>
  <c r="DA21" i="39"/>
  <c r="DB21" i="39"/>
  <c r="DC21" i="39"/>
  <c r="DD21" i="39"/>
  <c r="DE21" i="39"/>
  <c r="DF21" i="39"/>
  <c r="DG21" i="39"/>
  <c r="DH21" i="39"/>
  <c r="DI21" i="39"/>
  <c r="DJ21" i="39"/>
  <c r="DK21" i="39"/>
  <c r="DL21" i="39"/>
  <c r="DM21" i="39"/>
  <c r="DN21" i="39"/>
  <c r="DO21" i="39"/>
  <c r="DP21" i="39"/>
  <c r="DQ21" i="39"/>
  <c r="DR21" i="39"/>
  <c r="DS21" i="39"/>
  <c r="DT21" i="39"/>
  <c r="DU21" i="39"/>
  <c r="DV21" i="39"/>
  <c r="DW21" i="39"/>
  <c r="DX21" i="39"/>
  <c r="DY21" i="39"/>
  <c r="DZ21" i="39"/>
  <c r="EA21" i="39"/>
  <c r="EB21" i="39"/>
  <c r="EC21" i="39"/>
  <c r="ED21" i="39"/>
  <c r="EE21" i="39"/>
  <c r="EF21" i="39"/>
  <c r="EG21" i="39"/>
  <c r="EH21" i="39"/>
  <c r="EI21" i="39"/>
  <c r="EJ21" i="39"/>
  <c r="EK21" i="39"/>
  <c r="EL21" i="39"/>
  <c r="EM21" i="39"/>
  <c r="EN21" i="39"/>
  <c r="EO21" i="39"/>
  <c r="EP21" i="39"/>
  <c r="EQ21" i="39"/>
  <c r="ER21" i="39"/>
  <c r="ES21" i="39"/>
  <c r="ET21" i="39"/>
  <c r="EU21" i="39"/>
  <c r="EV21" i="39"/>
  <c r="EW21" i="39"/>
  <c r="EX21" i="39"/>
  <c r="EY21" i="39"/>
  <c r="EZ21" i="39"/>
  <c r="FA21" i="39"/>
  <c r="FB21" i="39"/>
  <c r="FC21" i="39"/>
  <c r="FD21" i="39"/>
  <c r="FE21" i="39"/>
  <c r="FF21" i="39"/>
  <c r="FG21" i="39"/>
  <c r="FH21" i="39"/>
  <c r="FI21" i="39"/>
  <c r="FJ21" i="39"/>
  <c r="FK21" i="39"/>
  <c r="FL21" i="39"/>
  <c r="FM21" i="39"/>
  <c r="FN21" i="39"/>
  <c r="FO21" i="39"/>
  <c r="FQ21" i="39"/>
  <c r="FR21" i="39"/>
  <c r="FS21" i="39"/>
  <c r="FT21" i="39"/>
  <c r="FU21" i="39"/>
  <c r="FV21" i="39"/>
  <c r="FW21" i="39"/>
  <c r="FX21" i="39"/>
  <c r="FY21" i="39"/>
  <c r="FZ21" i="39"/>
  <c r="GA21" i="39"/>
  <c r="C22" i="39"/>
  <c r="D22" i="39"/>
  <c r="E22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AD22" i="39"/>
  <c r="AE22" i="39"/>
  <c r="AF22" i="39"/>
  <c r="AG22" i="39"/>
  <c r="AH22" i="39"/>
  <c r="AI22" i="39"/>
  <c r="AJ22" i="39"/>
  <c r="AL22" i="39"/>
  <c r="AM22" i="39"/>
  <c r="AN22" i="39"/>
  <c r="AO22" i="39"/>
  <c r="AP22" i="39"/>
  <c r="AQ22" i="39"/>
  <c r="AR22" i="39"/>
  <c r="AS22" i="39"/>
  <c r="AT22" i="39"/>
  <c r="AU22" i="39"/>
  <c r="AV22" i="39"/>
  <c r="AW22" i="39"/>
  <c r="AX22" i="39"/>
  <c r="AY22" i="39"/>
  <c r="AZ22" i="39"/>
  <c r="BA22" i="39"/>
  <c r="BB22" i="39"/>
  <c r="BC22" i="39"/>
  <c r="BD22" i="39"/>
  <c r="BE22" i="39"/>
  <c r="BF22" i="39"/>
  <c r="BG22" i="39"/>
  <c r="BH22" i="39"/>
  <c r="BI22" i="39"/>
  <c r="BJ22" i="39"/>
  <c r="BK22" i="39"/>
  <c r="BL22" i="39"/>
  <c r="BM22" i="39"/>
  <c r="BN22" i="39"/>
  <c r="BO22" i="39"/>
  <c r="BP22" i="39"/>
  <c r="BQ22" i="39"/>
  <c r="BR22" i="39"/>
  <c r="BS22" i="39"/>
  <c r="BT22" i="39"/>
  <c r="BU22" i="39"/>
  <c r="BV22" i="39"/>
  <c r="BW22" i="39"/>
  <c r="BX22" i="39"/>
  <c r="BY22" i="39"/>
  <c r="BZ22" i="39"/>
  <c r="CA22" i="39"/>
  <c r="CB22" i="39"/>
  <c r="CC22" i="39"/>
  <c r="CD22" i="39"/>
  <c r="CE22" i="39"/>
  <c r="CF22" i="39"/>
  <c r="CG22" i="39"/>
  <c r="CH22" i="39"/>
  <c r="CI22" i="39"/>
  <c r="CJ22" i="39"/>
  <c r="CK22" i="39"/>
  <c r="CL22" i="39"/>
  <c r="CM22" i="39"/>
  <c r="CN22" i="39"/>
  <c r="CO22" i="39"/>
  <c r="CP22" i="39"/>
  <c r="CQ22" i="39"/>
  <c r="CR22" i="39"/>
  <c r="CS22" i="39"/>
  <c r="CT22" i="39"/>
  <c r="CU22" i="39"/>
  <c r="CV22" i="39"/>
  <c r="CW22" i="39"/>
  <c r="CX22" i="39"/>
  <c r="CY22" i="39"/>
  <c r="CZ22" i="39"/>
  <c r="DA22" i="39"/>
  <c r="DB22" i="39"/>
  <c r="DC22" i="39"/>
  <c r="DD22" i="39"/>
  <c r="DE22" i="39"/>
  <c r="DF22" i="39"/>
  <c r="DG22" i="39"/>
  <c r="DH22" i="39"/>
  <c r="DI22" i="39"/>
  <c r="DJ22" i="39"/>
  <c r="DK22" i="39"/>
  <c r="DL22" i="39"/>
  <c r="DM22" i="39"/>
  <c r="DN22" i="39"/>
  <c r="DO22" i="39"/>
  <c r="DP22" i="39"/>
  <c r="DQ22" i="39"/>
  <c r="DR22" i="39"/>
  <c r="DS22" i="39"/>
  <c r="DT22" i="39"/>
  <c r="DU22" i="39"/>
  <c r="DV22" i="39"/>
  <c r="DW22" i="39"/>
  <c r="DX22" i="39"/>
  <c r="DY22" i="39"/>
  <c r="DZ22" i="39"/>
  <c r="EA22" i="39"/>
  <c r="EB22" i="39"/>
  <c r="EC22" i="39"/>
  <c r="ED22" i="39"/>
  <c r="EE22" i="39"/>
  <c r="EF22" i="39"/>
  <c r="EG22" i="39"/>
  <c r="EH22" i="39"/>
  <c r="EI22" i="39"/>
  <c r="EJ22" i="39"/>
  <c r="EK22" i="39"/>
  <c r="EL22" i="39"/>
  <c r="EM22" i="39"/>
  <c r="EN22" i="39"/>
  <c r="EO22" i="39"/>
  <c r="EP22" i="39"/>
  <c r="EQ22" i="39"/>
  <c r="ER22" i="39"/>
  <c r="ES22" i="39"/>
  <c r="ET22" i="39"/>
  <c r="EU22" i="39"/>
  <c r="EV22" i="39"/>
  <c r="EW22" i="39"/>
  <c r="EX22" i="39"/>
  <c r="EY22" i="39"/>
  <c r="EZ22" i="39"/>
  <c r="FA22" i="39"/>
  <c r="FB22" i="39"/>
  <c r="FC22" i="39"/>
  <c r="FD22" i="39"/>
  <c r="FE22" i="39"/>
  <c r="FF22" i="39"/>
  <c r="FG22" i="39"/>
  <c r="FH22" i="39"/>
  <c r="FI22" i="39"/>
  <c r="FJ22" i="39"/>
  <c r="FK22" i="39"/>
  <c r="FL22" i="39"/>
  <c r="FM22" i="39"/>
  <c r="FN22" i="39"/>
  <c r="FO22" i="39"/>
  <c r="FQ22" i="39"/>
  <c r="FR22" i="39"/>
  <c r="FS22" i="39"/>
  <c r="FT22" i="39"/>
  <c r="FU22" i="39"/>
  <c r="FV22" i="39"/>
  <c r="FW22" i="39"/>
  <c r="FX22" i="39"/>
  <c r="FY22" i="39"/>
  <c r="FZ22" i="39"/>
  <c r="GA22" i="39"/>
  <c r="C23" i="39"/>
  <c r="D23" i="39"/>
  <c r="E23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AD23" i="39"/>
  <c r="AE23" i="39"/>
  <c r="AF23" i="39"/>
  <c r="AG23" i="39"/>
  <c r="AH23" i="39"/>
  <c r="AI23" i="39"/>
  <c r="AJ23" i="39"/>
  <c r="AL23" i="39"/>
  <c r="AM23" i="39"/>
  <c r="AN23" i="39"/>
  <c r="AO23" i="39"/>
  <c r="AP23" i="39"/>
  <c r="AQ23" i="39"/>
  <c r="AR23" i="39"/>
  <c r="AS23" i="39"/>
  <c r="AT23" i="39"/>
  <c r="AU23" i="39"/>
  <c r="AV23" i="39"/>
  <c r="AW23" i="39"/>
  <c r="AX23" i="39"/>
  <c r="AY23" i="39"/>
  <c r="AZ23" i="39"/>
  <c r="BA23" i="39"/>
  <c r="BB23" i="39"/>
  <c r="BC23" i="39"/>
  <c r="BD23" i="39"/>
  <c r="BE23" i="39"/>
  <c r="BF23" i="39"/>
  <c r="BG23" i="39"/>
  <c r="BH23" i="39"/>
  <c r="BI23" i="39"/>
  <c r="BJ23" i="39"/>
  <c r="BK23" i="39"/>
  <c r="BL23" i="39"/>
  <c r="BM23" i="39"/>
  <c r="BN23" i="39"/>
  <c r="BO23" i="39"/>
  <c r="BP23" i="39"/>
  <c r="BQ23" i="39"/>
  <c r="BR23" i="39"/>
  <c r="BS23" i="39"/>
  <c r="BT23" i="39"/>
  <c r="BU23" i="39"/>
  <c r="BV23" i="39"/>
  <c r="BW23" i="39"/>
  <c r="BX23" i="39"/>
  <c r="BY23" i="39"/>
  <c r="BZ23" i="39"/>
  <c r="CA23" i="39"/>
  <c r="CB23" i="39"/>
  <c r="CC23" i="39"/>
  <c r="CD23" i="39"/>
  <c r="CE23" i="39"/>
  <c r="CF23" i="39"/>
  <c r="CG23" i="39"/>
  <c r="CH23" i="39"/>
  <c r="CI23" i="39"/>
  <c r="CJ23" i="39"/>
  <c r="CK23" i="39"/>
  <c r="CL23" i="39"/>
  <c r="CM23" i="39"/>
  <c r="CN23" i="39"/>
  <c r="CO23" i="39"/>
  <c r="CP23" i="39"/>
  <c r="CQ23" i="39"/>
  <c r="CR23" i="39"/>
  <c r="CS23" i="39"/>
  <c r="CT23" i="39"/>
  <c r="CU23" i="39"/>
  <c r="CV23" i="39"/>
  <c r="CW23" i="39"/>
  <c r="CX23" i="39"/>
  <c r="CY23" i="39"/>
  <c r="CZ23" i="39"/>
  <c r="DA23" i="39"/>
  <c r="DB23" i="39"/>
  <c r="DC23" i="39"/>
  <c r="DD23" i="39"/>
  <c r="DE23" i="39"/>
  <c r="DF23" i="39"/>
  <c r="DG23" i="39"/>
  <c r="DH23" i="39"/>
  <c r="DI23" i="39"/>
  <c r="DJ23" i="39"/>
  <c r="DK23" i="39"/>
  <c r="DL23" i="39"/>
  <c r="DM23" i="39"/>
  <c r="DN23" i="39"/>
  <c r="DO23" i="39"/>
  <c r="DP23" i="39"/>
  <c r="DQ23" i="39"/>
  <c r="DR23" i="39"/>
  <c r="DS23" i="39"/>
  <c r="DT23" i="39"/>
  <c r="DU23" i="39"/>
  <c r="DV23" i="39"/>
  <c r="DW23" i="39"/>
  <c r="DX23" i="39"/>
  <c r="DY23" i="39"/>
  <c r="DZ23" i="39"/>
  <c r="EA23" i="39"/>
  <c r="EB23" i="39"/>
  <c r="EC23" i="39"/>
  <c r="ED23" i="39"/>
  <c r="EE23" i="39"/>
  <c r="EF23" i="39"/>
  <c r="EG23" i="39"/>
  <c r="EH23" i="39"/>
  <c r="EI23" i="39"/>
  <c r="EJ23" i="39"/>
  <c r="EK23" i="39"/>
  <c r="EL23" i="39"/>
  <c r="EM23" i="39"/>
  <c r="EN23" i="39"/>
  <c r="EO23" i="39"/>
  <c r="EP23" i="39"/>
  <c r="EQ23" i="39"/>
  <c r="ER23" i="39"/>
  <c r="ES23" i="39"/>
  <c r="ET23" i="39"/>
  <c r="EU23" i="39"/>
  <c r="EV23" i="39"/>
  <c r="EW23" i="39"/>
  <c r="EX23" i="39"/>
  <c r="EY23" i="39"/>
  <c r="EZ23" i="39"/>
  <c r="FA23" i="39"/>
  <c r="FB23" i="39"/>
  <c r="FC23" i="39"/>
  <c r="FD23" i="39"/>
  <c r="FE23" i="39"/>
  <c r="FF23" i="39"/>
  <c r="FG23" i="39"/>
  <c r="FH23" i="39"/>
  <c r="FI23" i="39"/>
  <c r="FJ23" i="39"/>
  <c r="FK23" i="39"/>
  <c r="FL23" i="39"/>
  <c r="FM23" i="39"/>
  <c r="FN23" i="39"/>
  <c r="FO23" i="39"/>
  <c r="FQ23" i="39"/>
  <c r="FR23" i="39"/>
  <c r="FS23" i="39"/>
  <c r="FT23" i="39"/>
  <c r="FU23" i="39"/>
  <c r="FV23" i="39"/>
  <c r="FW23" i="39"/>
  <c r="FX23" i="39"/>
  <c r="FY23" i="39"/>
  <c r="FZ23" i="39"/>
  <c r="GA23" i="39"/>
  <c r="C24" i="39"/>
  <c r="D24" i="39"/>
  <c r="E24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AD24" i="39"/>
  <c r="AE24" i="39"/>
  <c r="AF24" i="39"/>
  <c r="AG24" i="39"/>
  <c r="AH24" i="39"/>
  <c r="AI24" i="39"/>
  <c r="AJ24" i="39"/>
  <c r="AL24" i="39"/>
  <c r="AM24" i="39"/>
  <c r="AN24" i="39"/>
  <c r="AO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BC24" i="39"/>
  <c r="BD24" i="39"/>
  <c r="BE24" i="39"/>
  <c r="BF24" i="39"/>
  <c r="BG24" i="39"/>
  <c r="BH24" i="39"/>
  <c r="BI24" i="39"/>
  <c r="BJ24" i="39"/>
  <c r="BK24" i="39"/>
  <c r="BL24" i="39"/>
  <c r="BM24" i="39"/>
  <c r="BN24" i="39"/>
  <c r="BO24" i="39"/>
  <c r="BP24" i="39"/>
  <c r="BQ24" i="39"/>
  <c r="BR24" i="39"/>
  <c r="BS24" i="39"/>
  <c r="BT24" i="39"/>
  <c r="BU24" i="39"/>
  <c r="BV24" i="39"/>
  <c r="BW24" i="39"/>
  <c r="BX24" i="39"/>
  <c r="BY24" i="39"/>
  <c r="BZ24" i="39"/>
  <c r="CA24" i="39"/>
  <c r="CB24" i="39"/>
  <c r="CC24" i="39"/>
  <c r="CD24" i="39"/>
  <c r="CE24" i="39"/>
  <c r="CF24" i="39"/>
  <c r="CG24" i="39"/>
  <c r="CH24" i="39"/>
  <c r="CI24" i="39"/>
  <c r="CJ24" i="39"/>
  <c r="CK24" i="39"/>
  <c r="CL24" i="39"/>
  <c r="CM24" i="39"/>
  <c r="CN24" i="39"/>
  <c r="CO24" i="39"/>
  <c r="CP24" i="39"/>
  <c r="CQ24" i="39"/>
  <c r="CR24" i="39"/>
  <c r="CS24" i="39"/>
  <c r="CT24" i="39"/>
  <c r="CU24" i="39"/>
  <c r="CV24" i="39"/>
  <c r="CW24" i="39"/>
  <c r="CX24" i="39"/>
  <c r="CY24" i="39"/>
  <c r="CZ24" i="39"/>
  <c r="DA24" i="39"/>
  <c r="DB24" i="39"/>
  <c r="DC24" i="39"/>
  <c r="DD24" i="39"/>
  <c r="DE24" i="39"/>
  <c r="DF24" i="39"/>
  <c r="DG24" i="39"/>
  <c r="DH24" i="39"/>
  <c r="DI24" i="39"/>
  <c r="DJ24" i="39"/>
  <c r="DK24" i="39"/>
  <c r="DL24" i="39"/>
  <c r="DM24" i="39"/>
  <c r="DN24" i="39"/>
  <c r="DO24" i="39"/>
  <c r="DP24" i="39"/>
  <c r="DQ24" i="39"/>
  <c r="DR24" i="39"/>
  <c r="DS24" i="39"/>
  <c r="DT24" i="39"/>
  <c r="DU24" i="39"/>
  <c r="DV24" i="39"/>
  <c r="DW24" i="39"/>
  <c r="DX24" i="39"/>
  <c r="DY24" i="39"/>
  <c r="DZ24" i="39"/>
  <c r="EA24" i="39"/>
  <c r="EB24" i="39"/>
  <c r="EC24" i="39"/>
  <c r="ED24" i="39"/>
  <c r="EE24" i="39"/>
  <c r="EF24" i="39"/>
  <c r="EG24" i="39"/>
  <c r="EH24" i="39"/>
  <c r="EI24" i="39"/>
  <c r="EJ24" i="39"/>
  <c r="EK24" i="39"/>
  <c r="EL24" i="39"/>
  <c r="EM24" i="39"/>
  <c r="EN24" i="39"/>
  <c r="EO24" i="39"/>
  <c r="EP24" i="39"/>
  <c r="EQ24" i="39"/>
  <c r="ER24" i="39"/>
  <c r="ES24" i="39"/>
  <c r="ET24" i="39"/>
  <c r="EU24" i="39"/>
  <c r="EV24" i="39"/>
  <c r="EW24" i="39"/>
  <c r="EX24" i="39"/>
  <c r="EY24" i="39"/>
  <c r="EZ24" i="39"/>
  <c r="FA24" i="39"/>
  <c r="FB24" i="39"/>
  <c r="FC24" i="39"/>
  <c r="FD24" i="39"/>
  <c r="FE24" i="39"/>
  <c r="FF24" i="39"/>
  <c r="FG24" i="39"/>
  <c r="FH24" i="39"/>
  <c r="FI24" i="39"/>
  <c r="FJ24" i="39"/>
  <c r="FK24" i="39"/>
  <c r="FL24" i="39"/>
  <c r="FM24" i="39"/>
  <c r="FN24" i="39"/>
  <c r="FO24" i="39"/>
  <c r="FQ24" i="39"/>
  <c r="FR24" i="39"/>
  <c r="FS24" i="39"/>
  <c r="FT24" i="39"/>
  <c r="FU24" i="39"/>
  <c r="FV24" i="39"/>
  <c r="FW24" i="39"/>
  <c r="FX24" i="39"/>
  <c r="FY24" i="39"/>
  <c r="FZ24" i="39"/>
  <c r="GA24" i="39"/>
  <c r="C25" i="39"/>
  <c r="D25" i="39"/>
  <c r="E25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AD25" i="39"/>
  <c r="AE25" i="39"/>
  <c r="AF25" i="39"/>
  <c r="AG25" i="39"/>
  <c r="AH25" i="39"/>
  <c r="AI25" i="39"/>
  <c r="AJ25" i="39"/>
  <c r="AL25" i="39"/>
  <c r="AM25" i="39"/>
  <c r="AN25" i="39"/>
  <c r="AO25" i="39"/>
  <c r="AP25" i="39"/>
  <c r="AQ25" i="39"/>
  <c r="AR25" i="39"/>
  <c r="AS25" i="39"/>
  <c r="AT25" i="39"/>
  <c r="AU25" i="39"/>
  <c r="AV25" i="39"/>
  <c r="AW25" i="39"/>
  <c r="AX25" i="39"/>
  <c r="AY25" i="39"/>
  <c r="AZ25" i="39"/>
  <c r="BA25" i="39"/>
  <c r="BB25" i="39"/>
  <c r="BC25" i="39"/>
  <c r="BD25" i="39"/>
  <c r="BE25" i="39"/>
  <c r="BF25" i="39"/>
  <c r="BG25" i="39"/>
  <c r="BH25" i="39"/>
  <c r="BI25" i="39"/>
  <c r="BJ25" i="39"/>
  <c r="BK25" i="39"/>
  <c r="BL25" i="39"/>
  <c r="BM25" i="39"/>
  <c r="BN25" i="39"/>
  <c r="BO25" i="39"/>
  <c r="BP25" i="39"/>
  <c r="BQ25" i="39"/>
  <c r="BR25" i="39"/>
  <c r="BS25" i="39"/>
  <c r="BT25" i="39"/>
  <c r="BU25" i="39"/>
  <c r="BV25" i="39"/>
  <c r="BW25" i="39"/>
  <c r="BX25" i="39"/>
  <c r="BY25" i="39"/>
  <c r="BZ25" i="39"/>
  <c r="CA25" i="39"/>
  <c r="CB25" i="39"/>
  <c r="CC25" i="39"/>
  <c r="CD25" i="39"/>
  <c r="CE25" i="39"/>
  <c r="CF25" i="39"/>
  <c r="CG25" i="39"/>
  <c r="CH25" i="39"/>
  <c r="CI25" i="39"/>
  <c r="CJ25" i="39"/>
  <c r="CK25" i="39"/>
  <c r="CL25" i="39"/>
  <c r="CM25" i="39"/>
  <c r="CN25" i="39"/>
  <c r="CO25" i="39"/>
  <c r="CP25" i="39"/>
  <c r="CQ25" i="39"/>
  <c r="CR25" i="39"/>
  <c r="CS25" i="39"/>
  <c r="CT25" i="39"/>
  <c r="CU25" i="39"/>
  <c r="CV25" i="39"/>
  <c r="CW25" i="39"/>
  <c r="CX25" i="39"/>
  <c r="CY25" i="39"/>
  <c r="CZ25" i="39"/>
  <c r="DA25" i="39"/>
  <c r="DB25" i="39"/>
  <c r="DC25" i="39"/>
  <c r="DD25" i="39"/>
  <c r="DE25" i="39"/>
  <c r="DF25" i="39"/>
  <c r="DG25" i="39"/>
  <c r="DH25" i="39"/>
  <c r="DI25" i="39"/>
  <c r="DJ25" i="39"/>
  <c r="DK25" i="39"/>
  <c r="DL25" i="39"/>
  <c r="DM25" i="39"/>
  <c r="DN25" i="39"/>
  <c r="DO25" i="39"/>
  <c r="DP25" i="39"/>
  <c r="DQ25" i="39"/>
  <c r="DR25" i="39"/>
  <c r="DS25" i="39"/>
  <c r="DT25" i="39"/>
  <c r="DU25" i="39"/>
  <c r="DV25" i="39"/>
  <c r="DW25" i="39"/>
  <c r="DX25" i="39"/>
  <c r="DY25" i="39"/>
  <c r="DZ25" i="39"/>
  <c r="EA25" i="39"/>
  <c r="EB25" i="39"/>
  <c r="EC25" i="39"/>
  <c r="ED25" i="39"/>
  <c r="EE25" i="39"/>
  <c r="EF25" i="39"/>
  <c r="EG25" i="39"/>
  <c r="EH25" i="39"/>
  <c r="EI25" i="39"/>
  <c r="EJ25" i="39"/>
  <c r="EK25" i="39"/>
  <c r="EL25" i="39"/>
  <c r="EM25" i="39"/>
  <c r="EN25" i="39"/>
  <c r="EO25" i="39"/>
  <c r="EP25" i="39"/>
  <c r="EQ25" i="39"/>
  <c r="ER25" i="39"/>
  <c r="ES25" i="39"/>
  <c r="ET25" i="39"/>
  <c r="EU25" i="39"/>
  <c r="EV25" i="39"/>
  <c r="EW25" i="39"/>
  <c r="EX25" i="39"/>
  <c r="EY25" i="39"/>
  <c r="EZ25" i="39"/>
  <c r="FA25" i="39"/>
  <c r="FB25" i="39"/>
  <c r="FC25" i="39"/>
  <c r="FD25" i="39"/>
  <c r="FE25" i="39"/>
  <c r="FF25" i="39"/>
  <c r="FG25" i="39"/>
  <c r="FH25" i="39"/>
  <c r="FI25" i="39"/>
  <c r="FJ25" i="39"/>
  <c r="FK25" i="39"/>
  <c r="FL25" i="39"/>
  <c r="FM25" i="39"/>
  <c r="FN25" i="39"/>
  <c r="FO25" i="39"/>
  <c r="FQ25" i="39"/>
  <c r="FR25" i="39"/>
  <c r="FS25" i="39"/>
  <c r="FT25" i="39"/>
  <c r="FU25" i="39"/>
  <c r="FV25" i="39"/>
  <c r="FW25" i="39"/>
  <c r="FX25" i="39"/>
  <c r="FY25" i="39"/>
  <c r="FZ25" i="39"/>
  <c r="GA25" i="39"/>
  <c r="C26" i="39"/>
  <c r="D26" i="39"/>
  <c r="E26" i="39"/>
  <c r="F26" i="39"/>
  <c r="G26" i="39"/>
  <c r="H26" i="39"/>
  <c r="I26" i="39"/>
  <c r="J26" i="39"/>
  <c r="K26" i="39"/>
  <c r="L26" i="39"/>
  <c r="M26" i="39"/>
  <c r="N26" i="39"/>
  <c r="O26" i="39"/>
  <c r="P26" i="39"/>
  <c r="Q26" i="39"/>
  <c r="AD26" i="39"/>
  <c r="AE26" i="39"/>
  <c r="AF26" i="39"/>
  <c r="AG26" i="39"/>
  <c r="AH26" i="39"/>
  <c r="AI26" i="39"/>
  <c r="AJ26" i="39"/>
  <c r="AL26" i="39"/>
  <c r="AM26" i="39"/>
  <c r="AN26" i="39"/>
  <c r="AO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BC26" i="39"/>
  <c r="BD26" i="39"/>
  <c r="BE26" i="39"/>
  <c r="BF26" i="39"/>
  <c r="BG26" i="39"/>
  <c r="BH26" i="39"/>
  <c r="BI26" i="39"/>
  <c r="BJ26" i="39"/>
  <c r="BK26" i="39"/>
  <c r="BL26" i="39"/>
  <c r="BM26" i="39"/>
  <c r="BN26" i="39"/>
  <c r="BO26" i="39"/>
  <c r="BP26" i="39"/>
  <c r="BQ26" i="39"/>
  <c r="BR26" i="39"/>
  <c r="BS26" i="39"/>
  <c r="BT26" i="39"/>
  <c r="BU26" i="39"/>
  <c r="BV26" i="39"/>
  <c r="BW26" i="39"/>
  <c r="BX26" i="39"/>
  <c r="BY26" i="39"/>
  <c r="BZ26" i="39"/>
  <c r="CA26" i="39"/>
  <c r="CB26" i="39"/>
  <c r="CC26" i="39"/>
  <c r="CD26" i="39"/>
  <c r="CE26" i="39"/>
  <c r="CF26" i="39"/>
  <c r="CG26" i="39"/>
  <c r="CH26" i="39"/>
  <c r="CI26" i="39"/>
  <c r="CJ26" i="39"/>
  <c r="CK26" i="39"/>
  <c r="CL26" i="39"/>
  <c r="CM26" i="39"/>
  <c r="CN26" i="39"/>
  <c r="CO26" i="39"/>
  <c r="CP26" i="39"/>
  <c r="CQ26" i="39"/>
  <c r="CR26" i="39"/>
  <c r="CS26" i="39"/>
  <c r="CT26" i="39"/>
  <c r="CU26" i="39"/>
  <c r="CV26" i="39"/>
  <c r="CW26" i="39"/>
  <c r="CX26" i="39"/>
  <c r="CY26" i="39"/>
  <c r="CZ26" i="39"/>
  <c r="DA26" i="39"/>
  <c r="DB26" i="39"/>
  <c r="DC26" i="39"/>
  <c r="DD26" i="39"/>
  <c r="DE26" i="39"/>
  <c r="DF26" i="39"/>
  <c r="DG26" i="39"/>
  <c r="DH26" i="39"/>
  <c r="DI26" i="39"/>
  <c r="DJ26" i="39"/>
  <c r="DK26" i="39"/>
  <c r="DL26" i="39"/>
  <c r="DM26" i="39"/>
  <c r="DN26" i="39"/>
  <c r="DO26" i="39"/>
  <c r="DP26" i="39"/>
  <c r="DQ26" i="39"/>
  <c r="DR26" i="39"/>
  <c r="DS26" i="39"/>
  <c r="DT26" i="39"/>
  <c r="DU26" i="39"/>
  <c r="DV26" i="39"/>
  <c r="DW26" i="39"/>
  <c r="DX26" i="39"/>
  <c r="DY26" i="39"/>
  <c r="DZ26" i="39"/>
  <c r="EA26" i="39"/>
  <c r="EB26" i="39"/>
  <c r="EC26" i="39"/>
  <c r="ED26" i="39"/>
  <c r="EE26" i="39"/>
  <c r="EF26" i="39"/>
  <c r="EG26" i="39"/>
  <c r="EH26" i="39"/>
  <c r="EI26" i="39"/>
  <c r="EJ26" i="39"/>
  <c r="EK26" i="39"/>
  <c r="EL26" i="39"/>
  <c r="EM26" i="39"/>
  <c r="EN26" i="39"/>
  <c r="EO26" i="39"/>
  <c r="EP26" i="39"/>
  <c r="EQ26" i="39"/>
  <c r="ER26" i="39"/>
  <c r="ES26" i="39"/>
  <c r="ET26" i="39"/>
  <c r="EU26" i="39"/>
  <c r="EV26" i="39"/>
  <c r="EW26" i="39"/>
  <c r="EX26" i="39"/>
  <c r="EY26" i="39"/>
  <c r="EZ26" i="39"/>
  <c r="FA26" i="39"/>
  <c r="FB26" i="39"/>
  <c r="FC26" i="39"/>
  <c r="FD26" i="39"/>
  <c r="FE26" i="39"/>
  <c r="FF26" i="39"/>
  <c r="FG26" i="39"/>
  <c r="FH26" i="39"/>
  <c r="FI26" i="39"/>
  <c r="FJ26" i="39"/>
  <c r="FK26" i="39"/>
  <c r="FL26" i="39"/>
  <c r="FM26" i="39"/>
  <c r="FN26" i="39"/>
  <c r="FO26" i="39"/>
  <c r="FQ26" i="39"/>
  <c r="FR26" i="39"/>
  <c r="FS26" i="39"/>
  <c r="FT26" i="39"/>
  <c r="FU26" i="39"/>
  <c r="FV26" i="39"/>
  <c r="FW26" i="39"/>
  <c r="FX26" i="39"/>
  <c r="FY26" i="39"/>
  <c r="FZ26" i="39"/>
  <c r="GA26" i="39"/>
  <c r="C27" i="39"/>
  <c r="D27" i="39"/>
  <c r="E27" i="39"/>
  <c r="F27" i="39"/>
  <c r="G27" i="39"/>
  <c r="H27" i="39"/>
  <c r="I27" i="39"/>
  <c r="J27" i="39"/>
  <c r="K27" i="39"/>
  <c r="L27" i="39"/>
  <c r="M27" i="39"/>
  <c r="N27" i="39"/>
  <c r="O27" i="39"/>
  <c r="P27" i="39"/>
  <c r="Q27" i="39"/>
  <c r="AD27" i="39"/>
  <c r="AE27" i="39"/>
  <c r="AF27" i="39"/>
  <c r="AG27" i="39"/>
  <c r="AH27" i="39"/>
  <c r="AI27" i="39"/>
  <c r="AJ27" i="39"/>
  <c r="AL27" i="39"/>
  <c r="AM27" i="39"/>
  <c r="AN27" i="39"/>
  <c r="AO27" i="39"/>
  <c r="AP27" i="39"/>
  <c r="AQ27" i="39"/>
  <c r="AR27" i="39"/>
  <c r="AS27" i="39"/>
  <c r="AT27" i="39"/>
  <c r="AU27" i="39"/>
  <c r="AV27" i="39"/>
  <c r="AW27" i="39"/>
  <c r="AX27" i="39"/>
  <c r="AY27" i="39"/>
  <c r="AZ27" i="39"/>
  <c r="BA27" i="39"/>
  <c r="BB27" i="39"/>
  <c r="BC27" i="39"/>
  <c r="BD27" i="39"/>
  <c r="BE27" i="39"/>
  <c r="BF27" i="39"/>
  <c r="BG27" i="39"/>
  <c r="BH27" i="39"/>
  <c r="BI27" i="39"/>
  <c r="BJ27" i="39"/>
  <c r="BK27" i="39"/>
  <c r="BL27" i="39"/>
  <c r="BM27" i="39"/>
  <c r="BN27" i="39"/>
  <c r="BO27" i="39"/>
  <c r="BP27" i="39"/>
  <c r="BQ27" i="39"/>
  <c r="BR27" i="39"/>
  <c r="BS27" i="39"/>
  <c r="BT27" i="39"/>
  <c r="BU27" i="39"/>
  <c r="BV27" i="39"/>
  <c r="BW27" i="39"/>
  <c r="BX27" i="39"/>
  <c r="BY27" i="39"/>
  <c r="BZ27" i="39"/>
  <c r="CA27" i="39"/>
  <c r="CB27" i="39"/>
  <c r="CC27" i="39"/>
  <c r="CD27" i="39"/>
  <c r="CE27" i="39"/>
  <c r="CF27" i="39"/>
  <c r="CG27" i="39"/>
  <c r="CH27" i="39"/>
  <c r="CI27" i="39"/>
  <c r="CJ27" i="39"/>
  <c r="CK27" i="39"/>
  <c r="CL27" i="39"/>
  <c r="CM27" i="39"/>
  <c r="CN27" i="39"/>
  <c r="CO27" i="39"/>
  <c r="CP27" i="39"/>
  <c r="CQ27" i="39"/>
  <c r="CR27" i="39"/>
  <c r="CS27" i="39"/>
  <c r="CT27" i="39"/>
  <c r="CU27" i="39"/>
  <c r="CV27" i="39"/>
  <c r="CW27" i="39"/>
  <c r="CX27" i="39"/>
  <c r="CY27" i="39"/>
  <c r="CZ27" i="39"/>
  <c r="DA27" i="39"/>
  <c r="DB27" i="39"/>
  <c r="DC27" i="39"/>
  <c r="DD27" i="39"/>
  <c r="DE27" i="39"/>
  <c r="DF27" i="39"/>
  <c r="DG27" i="39"/>
  <c r="DH27" i="39"/>
  <c r="DI27" i="39"/>
  <c r="DJ27" i="39"/>
  <c r="DK27" i="39"/>
  <c r="DL27" i="39"/>
  <c r="DM27" i="39"/>
  <c r="DN27" i="39"/>
  <c r="DO27" i="39"/>
  <c r="DP27" i="39"/>
  <c r="DQ27" i="39"/>
  <c r="DR27" i="39"/>
  <c r="DS27" i="39"/>
  <c r="DT27" i="39"/>
  <c r="DU27" i="39"/>
  <c r="DV27" i="39"/>
  <c r="DW27" i="39"/>
  <c r="DX27" i="39"/>
  <c r="DY27" i="39"/>
  <c r="DZ27" i="39"/>
  <c r="EA27" i="39"/>
  <c r="EB27" i="39"/>
  <c r="EC27" i="39"/>
  <c r="ED27" i="39"/>
  <c r="EE27" i="39"/>
  <c r="EF27" i="39"/>
  <c r="EG27" i="39"/>
  <c r="EH27" i="39"/>
  <c r="EI27" i="39"/>
  <c r="EJ27" i="39"/>
  <c r="EK27" i="39"/>
  <c r="EL27" i="39"/>
  <c r="EM27" i="39"/>
  <c r="EN27" i="39"/>
  <c r="EO27" i="39"/>
  <c r="EP27" i="39"/>
  <c r="EQ27" i="39"/>
  <c r="ER27" i="39"/>
  <c r="ES27" i="39"/>
  <c r="ET27" i="39"/>
  <c r="EU27" i="39"/>
  <c r="EV27" i="39"/>
  <c r="EW27" i="39"/>
  <c r="EX27" i="39"/>
  <c r="EY27" i="39"/>
  <c r="EZ27" i="39"/>
  <c r="FA27" i="39"/>
  <c r="FB27" i="39"/>
  <c r="FC27" i="39"/>
  <c r="FD27" i="39"/>
  <c r="FE27" i="39"/>
  <c r="FF27" i="39"/>
  <c r="FG27" i="39"/>
  <c r="FH27" i="39"/>
  <c r="FI27" i="39"/>
  <c r="FJ27" i="39"/>
  <c r="FK27" i="39"/>
  <c r="FL27" i="39"/>
  <c r="FM27" i="39"/>
  <c r="FN27" i="39"/>
  <c r="FO27" i="39"/>
  <c r="FQ27" i="39"/>
  <c r="FR27" i="39"/>
  <c r="FS27" i="39"/>
  <c r="FT27" i="39"/>
  <c r="FU27" i="39"/>
  <c r="FV27" i="39"/>
  <c r="FW27" i="39"/>
  <c r="FX27" i="39"/>
  <c r="FY27" i="39"/>
  <c r="FZ27" i="39"/>
  <c r="GA27" i="39"/>
  <c r="C28" i="39"/>
  <c r="D28" i="39"/>
  <c r="E28" i="39"/>
  <c r="F28" i="39"/>
  <c r="G28" i="39"/>
  <c r="H28" i="39"/>
  <c r="I28" i="39"/>
  <c r="J28" i="39"/>
  <c r="K28" i="39"/>
  <c r="L28" i="39"/>
  <c r="M28" i="39"/>
  <c r="N28" i="39"/>
  <c r="O28" i="39"/>
  <c r="P28" i="39"/>
  <c r="Q28" i="39"/>
  <c r="AD28" i="39"/>
  <c r="AE28" i="39"/>
  <c r="AF28" i="39"/>
  <c r="AG28" i="39"/>
  <c r="AH28" i="39"/>
  <c r="AI28" i="39"/>
  <c r="AJ28" i="39"/>
  <c r="AL28" i="39"/>
  <c r="AM28" i="39"/>
  <c r="AN28" i="39"/>
  <c r="AO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BC28" i="39"/>
  <c r="BD28" i="39"/>
  <c r="BE28" i="39"/>
  <c r="BF28" i="39"/>
  <c r="BG28" i="39"/>
  <c r="BH28" i="39"/>
  <c r="BI28" i="39"/>
  <c r="BJ28" i="39"/>
  <c r="BK28" i="39"/>
  <c r="BL28" i="39"/>
  <c r="BM28" i="39"/>
  <c r="BN28" i="39"/>
  <c r="BO28" i="39"/>
  <c r="BP28" i="39"/>
  <c r="BQ28" i="39"/>
  <c r="BR28" i="39"/>
  <c r="BS28" i="39"/>
  <c r="BT28" i="39"/>
  <c r="BU28" i="39"/>
  <c r="BV28" i="39"/>
  <c r="BW28" i="39"/>
  <c r="BX28" i="39"/>
  <c r="BY28" i="39"/>
  <c r="BZ28" i="39"/>
  <c r="CA28" i="39"/>
  <c r="CB28" i="39"/>
  <c r="CC28" i="39"/>
  <c r="CD28" i="39"/>
  <c r="CE28" i="39"/>
  <c r="CF28" i="39"/>
  <c r="CG28" i="39"/>
  <c r="CH28" i="39"/>
  <c r="CI28" i="39"/>
  <c r="CJ28" i="39"/>
  <c r="CK28" i="39"/>
  <c r="CL28" i="39"/>
  <c r="CM28" i="39"/>
  <c r="CN28" i="39"/>
  <c r="CO28" i="39"/>
  <c r="CP28" i="39"/>
  <c r="CQ28" i="39"/>
  <c r="CR28" i="39"/>
  <c r="CS28" i="39"/>
  <c r="CT28" i="39"/>
  <c r="CU28" i="39"/>
  <c r="CV28" i="39"/>
  <c r="CW28" i="39"/>
  <c r="CX28" i="39"/>
  <c r="CY28" i="39"/>
  <c r="CZ28" i="39"/>
  <c r="DA28" i="39"/>
  <c r="DB28" i="39"/>
  <c r="DC28" i="39"/>
  <c r="DD28" i="39"/>
  <c r="DE28" i="39"/>
  <c r="DF28" i="39"/>
  <c r="DG28" i="39"/>
  <c r="DH28" i="39"/>
  <c r="DI28" i="39"/>
  <c r="DJ28" i="39"/>
  <c r="DK28" i="39"/>
  <c r="DL28" i="39"/>
  <c r="DM28" i="39"/>
  <c r="DN28" i="39"/>
  <c r="DO28" i="39"/>
  <c r="DP28" i="39"/>
  <c r="DQ28" i="39"/>
  <c r="DR28" i="39"/>
  <c r="DS28" i="39"/>
  <c r="DT28" i="39"/>
  <c r="DU28" i="39"/>
  <c r="DV28" i="39"/>
  <c r="DW28" i="39"/>
  <c r="DX28" i="39"/>
  <c r="DY28" i="39"/>
  <c r="DZ28" i="39"/>
  <c r="EA28" i="39"/>
  <c r="EB28" i="39"/>
  <c r="EC28" i="39"/>
  <c r="ED28" i="39"/>
  <c r="EE28" i="39"/>
  <c r="EF28" i="39"/>
  <c r="EG28" i="39"/>
  <c r="EH28" i="39"/>
  <c r="EI28" i="39"/>
  <c r="EJ28" i="39"/>
  <c r="EK28" i="39"/>
  <c r="EL28" i="39"/>
  <c r="EM28" i="39"/>
  <c r="EN28" i="39"/>
  <c r="EO28" i="39"/>
  <c r="EP28" i="39"/>
  <c r="EQ28" i="39"/>
  <c r="ER28" i="39"/>
  <c r="ES28" i="39"/>
  <c r="ET28" i="39"/>
  <c r="EU28" i="39"/>
  <c r="EV28" i="39"/>
  <c r="EW28" i="39"/>
  <c r="EX28" i="39"/>
  <c r="EY28" i="39"/>
  <c r="EZ28" i="39"/>
  <c r="FA28" i="39"/>
  <c r="FB28" i="39"/>
  <c r="FC28" i="39"/>
  <c r="FD28" i="39"/>
  <c r="FE28" i="39"/>
  <c r="FF28" i="39"/>
  <c r="FG28" i="39"/>
  <c r="FH28" i="39"/>
  <c r="FI28" i="39"/>
  <c r="FJ28" i="39"/>
  <c r="FK28" i="39"/>
  <c r="FL28" i="39"/>
  <c r="FM28" i="39"/>
  <c r="FN28" i="39"/>
  <c r="FO28" i="39"/>
  <c r="FQ28" i="39"/>
  <c r="FR28" i="39"/>
  <c r="FS28" i="39"/>
  <c r="FT28" i="39"/>
  <c r="FU28" i="39"/>
  <c r="FV28" i="39"/>
  <c r="FW28" i="39"/>
  <c r="FX28" i="39"/>
  <c r="FY28" i="39"/>
  <c r="FZ28" i="39"/>
  <c r="GA28" i="39"/>
  <c r="C29" i="39"/>
  <c r="D29" i="39"/>
  <c r="E29" i="39"/>
  <c r="F29" i="39"/>
  <c r="G29" i="39"/>
  <c r="H29" i="39"/>
  <c r="I29" i="39"/>
  <c r="J29" i="39"/>
  <c r="K29" i="39"/>
  <c r="L29" i="39"/>
  <c r="M29" i="39"/>
  <c r="N29" i="39"/>
  <c r="O29" i="39"/>
  <c r="P29" i="39"/>
  <c r="Q29" i="39"/>
  <c r="AD29" i="39"/>
  <c r="AE29" i="39"/>
  <c r="AF29" i="39"/>
  <c r="AG29" i="39"/>
  <c r="AH29" i="39"/>
  <c r="AI29" i="39"/>
  <c r="AJ29" i="39"/>
  <c r="AL29" i="39"/>
  <c r="AM29" i="39"/>
  <c r="AN29" i="39"/>
  <c r="AO29" i="39"/>
  <c r="AP29" i="39"/>
  <c r="AQ29" i="39"/>
  <c r="AR29" i="39"/>
  <c r="AS29" i="39"/>
  <c r="AT29" i="39"/>
  <c r="AU29" i="39"/>
  <c r="AV29" i="39"/>
  <c r="AW29" i="39"/>
  <c r="AX29" i="39"/>
  <c r="AY29" i="39"/>
  <c r="AZ29" i="39"/>
  <c r="BA29" i="39"/>
  <c r="BB29" i="39"/>
  <c r="BC29" i="39"/>
  <c r="BD29" i="39"/>
  <c r="BE29" i="39"/>
  <c r="BF29" i="39"/>
  <c r="BG29" i="39"/>
  <c r="BH29" i="39"/>
  <c r="BI29" i="39"/>
  <c r="BJ29" i="39"/>
  <c r="BK29" i="39"/>
  <c r="BL29" i="39"/>
  <c r="BM29" i="39"/>
  <c r="BN29" i="39"/>
  <c r="BO29" i="39"/>
  <c r="BP29" i="39"/>
  <c r="BQ29" i="39"/>
  <c r="BR29" i="39"/>
  <c r="BS29" i="39"/>
  <c r="BT29" i="39"/>
  <c r="BU29" i="39"/>
  <c r="BV29" i="39"/>
  <c r="BW29" i="39"/>
  <c r="BX29" i="39"/>
  <c r="BY29" i="39"/>
  <c r="BZ29" i="39"/>
  <c r="CA29" i="39"/>
  <c r="CB29" i="39"/>
  <c r="CC29" i="39"/>
  <c r="CD29" i="39"/>
  <c r="CE29" i="39"/>
  <c r="CF29" i="39"/>
  <c r="CG29" i="39"/>
  <c r="CH29" i="39"/>
  <c r="CI29" i="39"/>
  <c r="CJ29" i="39"/>
  <c r="CK29" i="39"/>
  <c r="CL29" i="39"/>
  <c r="CM29" i="39"/>
  <c r="CN29" i="39"/>
  <c r="CO29" i="39"/>
  <c r="CP29" i="39"/>
  <c r="CQ29" i="39"/>
  <c r="CR29" i="39"/>
  <c r="CS29" i="39"/>
  <c r="CT29" i="39"/>
  <c r="CU29" i="39"/>
  <c r="CV29" i="39"/>
  <c r="CW29" i="39"/>
  <c r="CX29" i="39"/>
  <c r="CY29" i="39"/>
  <c r="CZ29" i="39"/>
  <c r="DA29" i="39"/>
  <c r="DB29" i="39"/>
  <c r="DC29" i="39"/>
  <c r="DD29" i="39"/>
  <c r="DE29" i="39"/>
  <c r="DF29" i="39"/>
  <c r="DG29" i="39"/>
  <c r="DH29" i="39"/>
  <c r="DI29" i="39"/>
  <c r="DJ29" i="39"/>
  <c r="DK29" i="39"/>
  <c r="DL29" i="39"/>
  <c r="DM29" i="39"/>
  <c r="DN29" i="39"/>
  <c r="DO29" i="39"/>
  <c r="DP29" i="39"/>
  <c r="DQ29" i="39"/>
  <c r="DR29" i="39"/>
  <c r="DS29" i="39"/>
  <c r="DT29" i="39"/>
  <c r="DU29" i="39"/>
  <c r="DV29" i="39"/>
  <c r="DW29" i="39"/>
  <c r="DX29" i="39"/>
  <c r="DY29" i="39"/>
  <c r="DZ29" i="39"/>
  <c r="EA29" i="39"/>
  <c r="EB29" i="39"/>
  <c r="EC29" i="39"/>
  <c r="ED29" i="39"/>
  <c r="EE29" i="39"/>
  <c r="EF29" i="39"/>
  <c r="EG29" i="39"/>
  <c r="EH29" i="39"/>
  <c r="EI29" i="39"/>
  <c r="EJ29" i="39"/>
  <c r="EK29" i="39"/>
  <c r="EL29" i="39"/>
  <c r="EM29" i="39"/>
  <c r="EN29" i="39"/>
  <c r="EO29" i="39"/>
  <c r="EP29" i="39"/>
  <c r="EQ29" i="39"/>
  <c r="ER29" i="39"/>
  <c r="ES29" i="39"/>
  <c r="ET29" i="39"/>
  <c r="EU29" i="39"/>
  <c r="EV29" i="39"/>
  <c r="EW29" i="39"/>
  <c r="EX29" i="39"/>
  <c r="EY29" i="39"/>
  <c r="EZ29" i="39"/>
  <c r="FA29" i="39"/>
  <c r="FB29" i="39"/>
  <c r="FC29" i="39"/>
  <c r="FD29" i="39"/>
  <c r="FE29" i="39"/>
  <c r="FF29" i="39"/>
  <c r="FG29" i="39"/>
  <c r="FH29" i="39"/>
  <c r="FI29" i="39"/>
  <c r="FJ29" i="39"/>
  <c r="FK29" i="39"/>
  <c r="FL29" i="39"/>
  <c r="FM29" i="39"/>
  <c r="FN29" i="39"/>
  <c r="FO29" i="39"/>
  <c r="FQ29" i="39"/>
  <c r="FR29" i="39"/>
  <c r="FS29" i="39"/>
  <c r="FT29" i="39"/>
  <c r="FU29" i="39"/>
  <c r="FV29" i="39"/>
  <c r="FW29" i="39"/>
  <c r="FX29" i="39"/>
  <c r="FY29" i="39"/>
  <c r="FZ29" i="39"/>
  <c r="GA29" i="39"/>
  <c r="C30" i="39"/>
  <c r="D30" i="39"/>
  <c r="E30" i="39"/>
  <c r="F30" i="39"/>
  <c r="G30" i="39"/>
  <c r="H30" i="39"/>
  <c r="I30" i="39"/>
  <c r="J30" i="39"/>
  <c r="K30" i="39"/>
  <c r="L30" i="39"/>
  <c r="M30" i="39"/>
  <c r="N30" i="39"/>
  <c r="O30" i="39"/>
  <c r="P30" i="39"/>
  <c r="Q30" i="39"/>
  <c r="AD30" i="39"/>
  <c r="AE30" i="39"/>
  <c r="AF30" i="39"/>
  <c r="AG30" i="39"/>
  <c r="AH30" i="39"/>
  <c r="AI30" i="39"/>
  <c r="AJ30" i="39"/>
  <c r="AL30" i="39"/>
  <c r="AM30" i="39"/>
  <c r="AN30" i="39"/>
  <c r="AO30" i="39"/>
  <c r="AP30" i="39"/>
  <c r="AQ30" i="39"/>
  <c r="AR30" i="39"/>
  <c r="AS30" i="39"/>
  <c r="AT30" i="39"/>
  <c r="AU30" i="39"/>
  <c r="AV30" i="39"/>
  <c r="AW30" i="39"/>
  <c r="AX30" i="39"/>
  <c r="AY30" i="39"/>
  <c r="AZ30" i="39"/>
  <c r="BA30" i="39"/>
  <c r="BB30" i="39"/>
  <c r="BC30" i="39"/>
  <c r="BD30" i="39"/>
  <c r="BE30" i="39"/>
  <c r="BF30" i="39"/>
  <c r="BG30" i="39"/>
  <c r="BH30" i="39"/>
  <c r="BI30" i="39"/>
  <c r="BJ30" i="39"/>
  <c r="BK30" i="39"/>
  <c r="BL30" i="39"/>
  <c r="BM30" i="39"/>
  <c r="BN30" i="39"/>
  <c r="BO30" i="39"/>
  <c r="BP30" i="39"/>
  <c r="BQ30" i="39"/>
  <c r="BR30" i="39"/>
  <c r="BS30" i="39"/>
  <c r="BT30" i="39"/>
  <c r="BU30" i="39"/>
  <c r="BV30" i="39"/>
  <c r="BW30" i="39"/>
  <c r="BX30" i="39"/>
  <c r="BY30" i="39"/>
  <c r="BZ30" i="39"/>
  <c r="CA30" i="39"/>
  <c r="CB30" i="39"/>
  <c r="CC30" i="39"/>
  <c r="CD30" i="39"/>
  <c r="CE30" i="39"/>
  <c r="CF30" i="39"/>
  <c r="CG30" i="39"/>
  <c r="CH30" i="39"/>
  <c r="CI30" i="39"/>
  <c r="CJ30" i="39"/>
  <c r="CK30" i="39"/>
  <c r="CL30" i="39"/>
  <c r="CM30" i="39"/>
  <c r="CN30" i="39"/>
  <c r="CO30" i="39"/>
  <c r="CP30" i="39"/>
  <c r="CQ30" i="39"/>
  <c r="CR30" i="39"/>
  <c r="CS30" i="39"/>
  <c r="CT30" i="39"/>
  <c r="CU30" i="39"/>
  <c r="CV30" i="39"/>
  <c r="CW30" i="39"/>
  <c r="CX30" i="39"/>
  <c r="CY30" i="39"/>
  <c r="CZ30" i="39"/>
  <c r="DA30" i="39"/>
  <c r="DB30" i="39"/>
  <c r="DC30" i="39"/>
  <c r="DD30" i="39"/>
  <c r="DE30" i="39"/>
  <c r="DF30" i="39"/>
  <c r="DG30" i="39"/>
  <c r="DH30" i="39"/>
  <c r="DI30" i="39"/>
  <c r="DJ30" i="39"/>
  <c r="DK30" i="39"/>
  <c r="DL30" i="39"/>
  <c r="DM30" i="39"/>
  <c r="DN30" i="39"/>
  <c r="DO30" i="39"/>
  <c r="DP30" i="39"/>
  <c r="DQ30" i="39"/>
  <c r="DR30" i="39"/>
  <c r="DS30" i="39"/>
  <c r="DT30" i="39"/>
  <c r="DU30" i="39"/>
  <c r="DV30" i="39"/>
  <c r="DW30" i="39"/>
  <c r="DX30" i="39"/>
  <c r="DY30" i="39"/>
  <c r="DZ30" i="39"/>
  <c r="EA30" i="39"/>
  <c r="EB30" i="39"/>
  <c r="EC30" i="39"/>
  <c r="ED30" i="39"/>
  <c r="EE30" i="39"/>
  <c r="EF30" i="39"/>
  <c r="EG30" i="39"/>
  <c r="EH30" i="39"/>
  <c r="EI30" i="39"/>
  <c r="EJ30" i="39"/>
  <c r="EK30" i="39"/>
  <c r="EL30" i="39"/>
  <c r="EM30" i="39"/>
  <c r="EN30" i="39"/>
  <c r="EO30" i="39"/>
  <c r="EP30" i="39"/>
  <c r="EQ30" i="39"/>
  <c r="ER30" i="39"/>
  <c r="ES30" i="39"/>
  <c r="ET30" i="39"/>
  <c r="EU30" i="39"/>
  <c r="EV30" i="39"/>
  <c r="EW30" i="39"/>
  <c r="EX30" i="39"/>
  <c r="EY30" i="39"/>
  <c r="EZ30" i="39"/>
  <c r="FA30" i="39"/>
  <c r="FB30" i="39"/>
  <c r="FC30" i="39"/>
  <c r="FD30" i="39"/>
  <c r="FE30" i="39"/>
  <c r="FF30" i="39"/>
  <c r="FG30" i="39"/>
  <c r="FH30" i="39"/>
  <c r="FI30" i="39"/>
  <c r="FJ30" i="39"/>
  <c r="FK30" i="39"/>
  <c r="FL30" i="39"/>
  <c r="FM30" i="39"/>
  <c r="FN30" i="39"/>
  <c r="FO30" i="39"/>
  <c r="FQ30" i="39"/>
  <c r="FR30" i="39"/>
  <c r="FS30" i="39"/>
  <c r="FT30" i="39"/>
  <c r="FU30" i="39"/>
  <c r="FV30" i="39"/>
  <c r="FW30" i="39"/>
  <c r="FX30" i="39"/>
  <c r="FY30" i="39"/>
  <c r="FZ30" i="39"/>
  <c r="GA30" i="39"/>
  <c r="FY7" i="39"/>
  <c r="FZ7" i="39"/>
  <c r="GA7" i="39"/>
  <c r="FX7" i="39"/>
  <c r="FU7" i="39"/>
  <c r="FV7" i="39"/>
  <c r="FW7" i="39"/>
  <c r="FT7" i="39"/>
  <c r="FS7" i="39"/>
  <c r="FR7" i="39"/>
  <c r="FQ7" i="39"/>
  <c r="FN7" i="39"/>
  <c r="BG7" i="39"/>
  <c r="BH7" i="39"/>
  <c r="BI7" i="39"/>
  <c r="BJ7" i="39"/>
  <c r="BK7" i="39"/>
  <c r="BL7" i="39"/>
  <c r="BM7" i="39"/>
  <c r="BN7" i="39"/>
  <c r="BO7" i="39"/>
  <c r="BP7" i="39"/>
  <c r="BQ7" i="39"/>
  <c r="BR7" i="39"/>
  <c r="BS7" i="39"/>
  <c r="BT7" i="39"/>
  <c r="BU7" i="39"/>
  <c r="BV7" i="39"/>
  <c r="BW7" i="39"/>
  <c r="BX7" i="39"/>
  <c r="BY7" i="39"/>
  <c r="BZ7" i="39"/>
  <c r="CA7" i="39"/>
  <c r="CB7" i="39"/>
  <c r="CC7" i="39"/>
  <c r="CD7" i="39"/>
  <c r="CE7" i="39"/>
  <c r="CF7" i="39"/>
  <c r="CG7" i="39"/>
  <c r="CH7" i="39"/>
  <c r="CI7" i="39"/>
  <c r="CJ7" i="39"/>
  <c r="CK7" i="39"/>
  <c r="CL7" i="39"/>
  <c r="CM7" i="39"/>
  <c r="CN7" i="39"/>
  <c r="CO7" i="39"/>
  <c r="CP7" i="39"/>
  <c r="CQ7" i="39"/>
  <c r="CR7" i="39"/>
  <c r="CS7" i="39"/>
  <c r="CT7" i="39"/>
  <c r="CU7" i="39"/>
  <c r="CV7" i="39"/>
  <c r="CW7" i="39"/>
  <c r="CX7" i="39"/>
  <c r="CY7" i="39"/>
  <c r="CZ7" i="39"/>
  <c r="DA7" i="39"/>
  <c r="DB7" i="39"/>
  <c r="DC7" i="39"/>
  <c r="DD7" i="39"/>
  <c r="DE7" i="39"/>
  <c r="DF7" i="39"/>
  <c r="DG7" i="39"/>
  <c r="DH7" i="39"/>
  <c r="DI7" i="39"/>
  <c r="DJ7" i="39"/>
  <c r="DK7" i="39"/>
  <c r="DL7" i="39"/>
  <c r="DM7" i="39"/>
  <c r="DN7" i="39"/>
  <c r="DO7" i="39"/>
  <c r="DP7" i="39"/>
  <c r="DQ7" i="39"/>
  <c r="DR7" i="39"/>
  <c r="DS7" i="39"/>
  <c r="DT7" i="39"/>
  <c r="DU7" i="39"/>
  <c r="DV7" i="39"/>
  <c r="DW7" i="39"/>
  <c r="DX7" i="39"/>
  <c r="DY7" i="39"/>
  <c r="DZ7" i="39"/>
  <c r="EA7" i="39"/>
  <c r="EB7" i="39"/>
  <c r="EC7" i="39"/>
  <c r="ED7" i="39"/>
  <c r="EE7" i="39"/>
  <c r="EF7" i="39"/>
  <c r="EG7" i="39"/>
  <c r="EH7" i="39"/>
  <c r="EI7" i="39"/>
  <c r="EJ7" i="39"/>
  <c r="EK7" i="39"/>
  <c r="EL7" i="39"/>
  <c r="EM7" i="39"/>
  <c r="EN7" i="39"/>
  <c r="EO7" i="39"/>
  <c r="EP7" i="39"/>
  <c r="EQ7" i="39"/>
  <c r="ER7" i="39"/>
  <c r="ES7" i="39"/>
  <c r="ET7" i="39"/>
  <c r="EU7" i="39"/>
  <c r="EV7" i="39"/>
  <c r="EW7" i="39"/>
  <c r="EX7" i="39"/>
  <c r="EY7" i="39"/>
  <c r="EZ7" i="39"/>
  <c r="FA7" i="39"/>
  <c r="FB7" i="39"/>
  <c r="FC7" i="39"/>
  <c r="FD7" i="39"/>
  <c r="FE7" i="39"/>
  <c r="FF7" i="39"/>
  <c r="FG7" i="39"/>
  <c r="FH7" i="39"/>
  <c r="FI7" i="39"/>
  <c r="FJ7" i="39"/>
  <c r="FK7" i="39"/>
  <c r="FL7" i="39"/>
  <c r="FM7" i="39"/>
  <c r="FO7" i="39"/>
  <c r="AU7" i="39"/>
  <c r="AV7" i="39"/>
  <c r="AW7" i="39"/>
  <c r="AX7" i="39"/>
  <c r="AY7" i="39"/>
  <c r="AZ7" i="39"/>
  <c r="BA7" i="39"/>
  <c r="BB7" i="39"/>
  <c r="BC7" i="39"/>
  <c r="BD7" i="39"/>
  <c r="BE7" i="39"/>
  <c r="BF7" i="39"/>
  <c r="AT7" i="39"/>
  <c r="AS7" i="39"/>
  <c r="AR7" i="39"/>
  <c r="AQ7" i="39"/>
  <c r="AP7" i="39"/>
  <c r="AO7" i="39"/>
  <c r="I44" i="33"/>
  <c r="AN7" i="39"/>
  <c r="AM7" i="39"/>
  <c r="AL7" i="39"/>
  <c r="AJ7" i="39"/>
  <c r="AI7" i="39"/>
  <c r="AH7" i="39"/>
  <c r="AG7" i="39"/>
  <c r="AF7" i="39"/>
  <c r="AE7" i="39"/>
  <c r="AD7" i="39"/>
  <c r="Q7" i="39"/>
  <c r="P7" i="39"/>
  <c r="O7" i="39"/>
  <c r="N7" i="39"/>
  <c r="M7" i="39"/>
  <c r="L7" i="39"/>
  <c r="K7" i="39"/>
  <c r="J7" i="39"/>
  <c r="I7" i="39"/>
  <c r="H7" i="39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V6" i="4"/>
  <c r="AW6" i="4"/>
  <c r="AX6" i="4"/>
  <c r="AY6" i="4"/>
  <c r="AZ6" i="4"/>
  <c r="BA6" i="4"/>
  <c r="BB6" i="4"/>
  <c r="BC6" i="4"/>
  <c r="BD6" i="4"/>
  <c r="BE6" i="4"/>
  <c r="BF6" i="4"/>
  <c r="BG6" i="4"/>
  <c r="BH6" i="4"/>
  <c r="BI6" i="4"/>
  <c r="BJ6" i="4"/>
  <c r="BK6" i="4"/>
  <c r="BL6" i="4"/>
  <c r="BM6" i="4"/>
  <c r="BN6" i="4"/>
  <c r="BO6" i="4"/>
  <c r="BP6" i="4"/>
  <c r="BQ6" i="4"/>
  <c r="BR6" i="4"/>
  <c r="BS6" i="4"/>
  <c r="BT6" i="4"/>
  <c r="BU6" i="4"/>
  <c r="BV6" i="4"/>
  <c r="BW6" i="4"/>
  <c r="BX6" i="4"/>
  <c r="BY6" i="4"/>
  <c r="BZ6" i="4"/>
  <c r="CA6" i="4"/>
  <c r="CB6" i="4"/>
  <c r="CC6" i="4"/>
  <c r="CD6" i="4"/>
  <c r="CE6" i="4"/>
  <c r="CF6" i="4"/>
  <c r="CG6" i="4"/>
  <c r="CH6" i="4"/>
  <c r="CI6" i="4"/>
  <c r="CJ6" i="4"/>
  <c r="CK6" i="4"/>
  <c r="CL6" i="4"/>
  <c r="CM6" i="4"/>
  <c r="CN6" i="4"/>
  <c r="CO6" i="4"/>
  <c r="CP6" i="4"/>
  <c r="CQ6" i="4"/>
  <c r="CR6" i="4"/>
  <c r="CS6" i="4"/>
  <c r="CT6" i="4"/>
  <c r="CU6" i="4"/>
  <c r="CV6" i="4"/>
  <c r="CW6" i="4"/>
  <c r="CX6" i="4"/>
  <c r="CY6" i="4"/>
  <c r="CZ6" i="4"/>
  <c r="DA6" i="4"/>
  <c r="DB6" i="4"/>
  <c r="DC6" i="4"/>
  <c r="DD6" i="4"/>
  <c r="DE6" i="4"/>
  <c r="DF6" i="4"/>
  <c r="DG6" i="4"/>
  <c r="DH6" i="4"/>
  <c r="DI6" i="4"/>
  <c r="DJ6" i="4"/>
  <c r="DK6" i="4"/>
  <c r="DL6" i="4"/>
  <c r="DM6" i="4"/>
  <c r="DN6" i="4"/>
  <c r="DO6" i="4"/>
  <c r="DP6" i="4"/>
  <c r="DQ6" i="4"/>
  <c r="DR6" i="4"/>
  <c r="DS6" i="4"/>
  <c r="DT6" i="4"/>
  <c r="DU6" i="4"/>
  <c r="DV6" i="4"/>
  <c r="DW6" i="4"/>
  <c r="DX6" i="4"/>
  <c r="DY6" i="4"/>
  <c r="DZ6" i="4"/>
  <c r="EA6" i="4"/>
  <c r="EB6" i="4"/>
  <c r="EC6" i="4"/>
  <c r="ED6" i="4"/>
  <c r="EE6" i="4"/>
  <c r="EF6" i="4"/>
  <c r="EG6" i="4"/>
  <c r="EH6" i="4"/>
  <c r="EI6" i="4"/>
  <c r="EJ6" i="4"/>
  <c r="EK6" i="4"/>
  <c r="EL6" i="4"/>
  <c r="EM6" i="4"/>
  <c r="EN6" i="4"/>
  <c r="EO6" i="4"/>
  <c r="EP6" i="4"/>
  <c r="EQ6" i="4"/>
  <c r="ER6" i="4"/>
  <c r="ES6" i="4"/>
  <c r="ET6" i="4"/>
  <c r="EU6" i="4"/>
  <c r="D7" i="39"/>
  <c r="E7" i="39"/>
  <c r="F7" i="39"/>
  <c r="G7" i="39"/>
  <c r="C7" i="39"/>
  <c r="I63" i="33"/>
  <c r="J63" i="37"/>
  <c r="I63" i="37"/>
  <c r="H64" i="37"/>
  <c r="H63" i="37"/>
  <c r="H62" i="37"/>
  <c r="I186" i="37"/>
  <c r="I185" i="37"/>
  <c r="I184" i="37"/>
  <c r="I183" i="37"/>
  <c r="I182" i="37"/>
  <c r="I181" i="37"/>
  <c r="I180" i="37"/>
  <c r="I179" i="37"/>
  <c r="I178" i="37"/>
  <c r="I177" i="37"/>
  <c r="I176" i="37"/>
  <c r="I174" i="37"/>
  <c r="I173" i="37"/>
  <c r="I172" i="37"/>
  <c r="I171" i="37"/>
  <c r="I170" i="37"/>
  <c r="I169" i="37"/>
  <c r="I168" i="37"/>
  <c r="I167" i="37"/>
  <c r="I166" i="37"/>
  <c r="I165" i="37"/>
  <c r="I164" i="37"/>
  <c r="I163" i="37"/>
  <c r="I162" i="37"/>
  <c r="I161" i="37"/>
  <c r="I160" i="37"/>
  <c r="I159" i="37"/>
  <c r="I158" i="37"/>
  <c r="I157" i="37"/>
  <c r="I156" i="37"/>
  <c r="I155" i="37"/>
  <c r="I154" i="37"/>
  <c r="I153" i="37"/>
  <c r="I152" i="37"/>
  <c r="I151" i="37"/>
  <c r="I150" i="37"/>
  <c r="I149" i="37"/>
  <c r="I148" i="37"/>
  <c r="I147" i="37"/>
  <c r="I146" i="37"/>
  <c r="I145" i="37"/>
  <c r="I144" i="37"/>
  <c r="I143" i="37"/>
  <c r="I142" i="37"/>
  <c r="I141" i="37"/>
  <c r="I140" i="37"/>
  <c r="I139" i="37"/>
  <c r="I138" i="37"/>
  <c r="I137" i="37"/>
  <c r="I136" i="37"/>
  <c r="I135" i="37"/>
  <c r="I134" i="37"/>
  <c r="I133" i="37"/>
  <c r="I132" i="37"/>
  <c r="I131" i="37"/>
  <c r="I130" i="37"/>
  <c r="I129" i="37"/>
  <c r="I128" i="37"/>
  <c r="I127" i="37"/>
  <c r="I126" i="37"/>
  <c r="I125" i="37"/>
  <c r="I124" i="37"/>
  <c r="I123" i="37"/>
  <c r="I122" i="37"/>
  <c r="I121" i="37"/>
  <c r="I120" i="37"/>
  <c r="I119" i="37"/>
  <c r="I118" i="37"/>
  <c r="I117" i="37"/>
  <c r="I116" i="37"/>
  <c r="I115" i="37"/>
  <c r="I114" i="37"/>
  <c r="I113" i="37"/>
  <c r="I112" i="37"/>
  <c r="I111" i="37"/>
  <c r="I110" i="37"/>
  <c r="I109" i="37"/>
  <c r="I108" i="37"/>
  <c r="I107" i="37"/>
  <c r="I106" i="37"/>
  <c r="I105" i="37"/>
  <c r="I104" i="37"/>
  <c r="I103" i="37"/>
  <c r="I102" i="37"/>
  <c r="I101" i="37"/>
  <c r="I100" i="37"/>
  <c r="I99" i="37"/>
  <c r="I98" i="37"/>
  <c r="I97" i="37"/>
  <c r="I96" i="37"/>
  <c r="I95" i="37"/>
  <c r="I94" i="37"/>
  <c r="I93" i="37"/>
  <c r="I92" i="37"/>
  <c r="I91" i="37"/>
  <c r="I90" i="37"/>
  <c r="I89" i="37"/>
  <c r="I88" i="37"/>
  <c r="I87" i="37"/>
  <c r="I86" i="37"/>
  <c r="I85" i="37"/>
  <c r="I84" i="37"/>
  <c r="I83" i="37"/>
  <c r="I82" i="37"/>
  <c r="I81" i="37"/>
  <c r="I80" i="37"/>
  <c r="I79" i="37"/>
  <c r="I78" i="37"/>
  <c r="I77" i="37"/>
  <c r="I76" i="37"/>
  <c r="I75" i="37"/>
  <c r="I74" i="37"/>
  <c r="I73" i="37"/>
  <c r="I72" i="37"/>
  <c r="I71" i="37"/>
  <c r="I70" i="37"/>
  <c r="I69" i="37"/>
  <c r="I68" i="37"/>
  <c r="I67" i="37"/>
  <c r="I66" i="37"/>
  <c r="I65" i="37"/>
  <c r="I64" i="37"/>
  <c r="I62" i="37"/>
  <c r="I61" i="37"/>
  <c r="I60" i="37"/>
  <c r="I59" i="37"/>
  <c r="I58" i="37"/>
  <c r="I57" i="37"/>
  <c r="I56" i="37"/>
  <c r="I55" i="37"/>
  <c r="I54" i="37"/>
  <c r="I53" i="37"/>
  <c r="I52" i="37"/>
  <c r="I51" i="37"/>
  <c r="I50" i="37"/>
  <c r="I49" i="37"/>
  <c r="I48" i="37"/>
  <c r="I47" i="37"/>
  <c r="I46" i="37"/>
  <c r="I45" i="37"/>
  <c r="I44" i="37"/>
  <c r="I43" i="37"/>
  <c r="I42" i="37"/>
  <c r="I41" i="37"/>
  <c r="I38" i="37"/>
  <c r="I37" i="37"/>
  <c r="I36" i="37"/>
  <c r="I35" i="37"/>
  <c r="I34" i="37"/>
  <c r="I33" i="37"/>
  <c r="I20" i="37"/>
  <c r="I19" i="37"/>
  <c r="I18" i="37"/>
  <c r="I17" i="37"/>
  <c r="I16" i="37"/>
  <c r="I15" i="37"/>
  <c r="I14" i="37"/>
  <c r="I13" i="37"/>
  <c r="I12" i="37"/>
  <c r="I11" i="37"/>
  <c r="I10" i="37"/>
  <c r="I9" i="37"/>
  <c r="I8" i="37"/>
  <c r="I7" i="37"/>
  <c r="I6" i="37"/>
  <c r="H186" i="37"/>
  <c r="H185" i="37"/>
  <c r="H184" i="37"/>
  <c r="H183" i="37"/>
  <c r="H182" i="37"/>
  <c r="H181" i="37"/>
  <c r="H180" i="37"/>
  <c r="H179" i="37"/>
  <c r="H178" i="37"/>
  <c r="H177" i="37"/>
  <c r="H176" i="37"/>
  <c r="H174" i="37"/>
  <c r="H173" i="37"/>
  <c r="H172" i="37"/>
  <c r="H171" i="37"/>
  <c r="H170" i="37"/>
  <c r="H169" i="37"/>
  <c r="H168" i="37"/>
  <c r="H167" i="37"/>
  <c r="H166" i="37"/>
  <c r="H165" i="37"/>
  <c r="H164" i="37"/>
  <c r="H163" i="37"/>
  <c r="H162" i="37"/>
  <c r="H161" i="37"/>
  <c r="H160" i="37"/>
  <c r="H159" i="37"/>
  <c r="H158" i="37"/>
  <c r="H157" i="37"/>
  <c r="H156" i="37"/>
  <c r="H155" i="37"/>
  <c r="H154" i="37"/>
  <c r="H153" i="37"/>
  <c r="H152" i="37"/>
  <c r="H151" i="37"/>
  <c r="H150" i="37"/>
  <c r="H149" i="37"/>
  <c r="H148" i="37"/>
  <c r="H147" i="37"/>
  <c r="H146" i="37"/>
  <c r="H145" i="37"/>
  <c r="H144" i="37"/>
  <c r="H143" i="37"/>
  <c r="H142" i="37"/>
  <c r="H141" i="37"/>
  <c r="H140" i="37"/>
  <c r="H139" i="37"/>
  <c r="H138" i="37"/>
  <c r="H137" i="37"/>
  <c r="H136" i="37"/>
  <c r="H135" i="37"/>
  <c r="H134" i="37"/>
  <c r="H133" i="37"/>
  <c r="H132" i="37"/>
  <c r="H131" i="37"/>
  <c r="H130" i="37"/>
  <c r="H129" i="37"/>
  <c r="H128" i="37"/>
  <c r="H127" i="37"/>
  <c r="H126" i="37"/>
  <c r="H125" i="37"/>
  <c r="H124" i="37"/>
  <c r="H123" i="37"/>
  <c r="H122" i="37"/>
  <c r="H121" i="37"/>
  <c r="H120" i="37"/>
  <c r="H119" i="37"/>
  <c r="H118" i="37"/>
  <c r="H117" i="37"/>
  <c r="H116" i="37"/>
  <c r="H115" i="37"/>
  <c r="H114" i="37"/>
  <c r="H113" i="37"/>
  <c r="H112" i="37"/>
  <c r="H111" i="37"/>
  <c r="H110" i="37"/>
  <c r="H109" i="37"/>
  <c r="H108" i="37"/>
  <c r="H107" i="37"/>
  <c r="H106" i="37"/>
  <c r="H105" i="37"/>
  <c r="H104" i="37"/>
  <c r="H103" i="37"/>
  <c r="H102" i="37"/>
  <c r="H101" i="37"/>
  <c r="H100" i="37"/>
  <c r="H99" i="37"/>
  <c r="H98" i="37"/>
  <c r="H97" i="37"/>
  <c r="H96" i="37"/>
  <c r="H95" i="37"/>
  <c r="H94" i="37"/>
  <c r="H93" i="37"/>
  <c r="H92" i="37"/>
  <c r="H91" i="37"/>
  <c r="H90" i="37"/>
  <c r="H89" i="37"/>
  <c r="H88" i="37"/>
  <c r="H87" i="37"/>
  <c r="H86" i="37"/>
  <c r="H85" i="37"/>
  <c r="H84" i="37"/>
  <c r="H83" i="37"/>
  <c r="H82" i="37"/>
  <c r="H81" i="37"/>
  <c r="H80" i="37"/>
  <c r="H79" i="37"/>
  <c r="H78" i="37"/>
  <c r="H77" i="37"/>
  <c r="H76" i="37"/>
  <c r="H75" i="37"/>
  <c r="H74" i="37"/>
  <c r="H73" i="37"/>
  <c r="H72" i="37"/>
  <c r="H71" i="37"/>
  <c r="H70" i="37"/>
  <c r="H69" i="37"/>
  <c r="H68" i="37"/>
  <c r="H67" i="37"/>
  <c r="H66" i="37"/>
  <c r="H65" i="37"/>
  <c r="H61" i="37"/>
  <c r="H60" i="37"/>
  <c r="H59" i="37"/>
  <c r="H58" i="37"/>
  <c r="H57" i="37"/>
  <c r="H56" i="37"/>
  <c r="H55" i="37"/>
  <c r="H54" i="37"/>
  <c r="H53" i="37"/>
  <c r="H52" i="37"/>
  <c r="H51" i="37"/>
  <c r="H50" i="37"/>
  <c r="H49" i="37"/>
  <c r="H48" i="37"/>
  <c r="H47" i="37"/>
  <c r="H46" i="37"/>
  <c r="H45" i="37"/>
  <c r="H44" i="37"/>
  <c r="H43" i="37"/>
  <c r="H42" i="37"/>
  <c r="H41" i="37"/>
  <c r="H38" i="37"/>
  <c r="H37" i="37"/>
  <c r="H36" i="37"/>
  <c r="H35" i="37"/>
  <c r="H34" i="37"/>
  <c r="H33" i="37"/>
  <c r="H20" i="37"/>
  <c r="H19" i="37"/>
  <c r="H18" i="37"/>
  <c r="H17" i="37"/>
  <c r="H16" i="37"/>
  <c r="H15" i="37"/>
  <c r="H14" i="37"/>
  <c r="H13" i="37"/>
  <c r="H12" i="37"/>
  <c r="H11" i="37"/>
  <c r="H10" i="37"/>
  <c r="H9" i="37"/>
  <c r="H8" i="37"/>
  <c r="H7" i="37"/>
  <c r="H6" i="37"/>
  <c r="J186" i="37"/>
  <c r="J185" i="37"/>
  <c r="J184" i="37"/>
  <c r="J183" i="37"/>
  <c r="J182" i="37"/>
  <c r="J181" i="37"/>
  <c r="J180" i="37"/>
  <c r="J179" i="37"/>
  <c r="J178" i="37"/>
  <c r="J177" i="37"/>
  <c r="J176" i="37"/>
  <c r="J174" i="37"/>
  <c r="J173" i="37"/>
  <c r="J172" i="37"/>
  <c r="J171" i="37"/>
  <c r="J170" i="37"/>
  <c r="J169" i="37"/>
  <c r="J168" i="37"/>
  <c r="J167" i="37"/>
  <c r="J166" i="37"/>
  <c r="J165" i="37"/>
  <c r="J164" i="37"/>
  <c r="J163" i="37"/>
  <c r="J162" i="37"/>
  <c r="J161" i="37"/>
  <c r="J160" i="37"/>
  <c r="J159" i="37"/>
  <c r="J158" i="37"/>
  <c r="J157" i="37"/>
  <c r="J156" i="37"/>
  <c r="J155" i="37"/>
  <c r="J154" i="37"/>
  <c r="J153" i="37"/>
  <c r="J152" i="37"/>
  <c r="J151" i="37"/>
  <c r="J150" i="37"/>
  <c r="J149" i="37"/>
  <c r="J148" i="37"/>
  <c r="J147" i="37"/>
  <c r="J146" i="37"/>
  <c r="J145" i="37"/>
  <c r="J144" i="37"/>
  <c r="J143" i="37"/>
  <c r="J142" i="37"/>
  <c r="J141" i="37"/>
  <c r="J140" i="37"/>
  <c r="J139" i="37"/>
  <c r="J138" i="37"/>
  <c r="J137" i="37"/>
  <c r="J136" i="37"/>
  <c r="J135" i="37"/>
  <c r="J134" i="37"/>
  <c r="J133" i="37"/>
  <c r="J132" i="37"/>
  <c r="J131" i="37"/>
  <c r="J130" i="37"/>
  <c r="J129" i="37"/>
  <c r="J128" i="37"/>
  <c r="J127" i="37"/>
  <c r="J126" i="37"/>
  <c r="J125" i="37"/>
  <c r="J124" i="37"/>
  <c r="J123" i="37"/>
  <c r="J122" i="37"/>
  <c r="J121" i="37"/>
  <c r="J120" i="37"/>
  <c r="J119" i="37"/>
  <c r="J118" i="37"/>
  <c r="J117" i="37"/>
  <c r="J116" i="37"/>
  <c r="J115" i="37"/>
  <c r="J114" i="37"/>
  <c r="J113" i="37"/>
  <c r="J112" i="37"/>
  <c r="J111" i="37"/>
  <c r="J110" i="37"/>
  <c r="J109" i="37"/>
  <c r="J108" i="37"/>
  <c r="J107" i="37"/>
  <c r="J106" i="37"/>
  <c r="J105" i="37"/>
  <c r="J104" i="37"/>
  <c r="J103" i="37"/>
  <c r="J102" i="37"/>
  <c r="J101" i="37"/>
  <c r="J100" i="37"/>
  <c r="J99" i="37"/>
  <c r="J98" i="37"/>
  <c r="J97" i="37"/>
  <c r="J96" i="37"/>
  <c r="J95" i="37"/>
  <c r="J94" i="37"/>
  <c r="J93" i="37"/>
  <c r="J92" i="37"/>
  <c r="J91" i="37"/>
  <c r="J90" i="37"/>
  <c r="J89" i="37"/>
  <c r="J88" i="37"/>
  <c r="J87" i="37"/>
  <c r="J86" i="37"/>
  <c r="J85" i="37"/>
  <c r="J84" i="37"/>
  <c r="J83" i="37"/>
  <c r="J82" i="37"/>
  <c r="J81" i="37"/>
  <c r="J80" i="37"/>
  <c r="J79" i="37"/>
  <c r="J78" i="37"/>
  <c r="J77" i="37"/>
  <c r="J76" i="37"/>
  <c r="J75" i="37"/>
  <c r="J74" i="37"/>
  <c r="J73" i="37"/>
  <c r="J72" i="37"/>
  <c r="J71" i="37"/>
  <c r="J70" i="37"/>
  <c r="J69" i="37"/>
  <c r="J68" i="37"/>
  <c r="J67" i="37"/>
  <c r="J66" i="37"/>
  <c r="J65" i="37"/>
  <c r="J64" i="37"/>
  <c r="J62" i="37"/>
  <c r="J61" i="37"/>
  <c r="J60" i="37"/>
  <c r="J59" i="37"/>
  <c r="J58" i="37"/>
  <c r="J57" i="37"/>
  <c r="J56" i="37"/>
  <c r="J55" i="37"/>
  <c r="J54" i="37"/>
  <c r="J53" i="37"/>
  <c r="J52" i="37"/>
  <c r="J51" i="37"/>
  <c r="J50" i="37"/>
  <c r="J49" i="37"/>
  <c r="J48" i="37"/>
  <c r="J47" i="37"/>
  <c r="J46" i="37"/>
  <c r="J45" i="37"/>
  <c r="J44" i="37"/>
  <c r="J43" i="37"/>
  <c r="J42" i="37"/>
  <c r="J41" i="37"/>
  <c r="J38" i="37"/>
  <c r="J37" i="37"/>
  <c r="J36" i="37"/>
  <c r="J35" i="37"/>
  <c r="J34" i="37"/>
  <c r="J33" i="37"/>
  <c r="J20" i="37"/>
  <c r="J19" i="37"/>
  <c r="J18" i="37"/>
  <c r="J17" i="37"/>
  <c r="J16" i="37"/>
  <c r="J15" i="37"/>
  <c r="J14" i="37"/>
  <c r="J13" i="37"/>
  <c r="J12" i="37"/>
  <c r="J11" i="37"/>
  <c r="J10" i="37"/>
  <c r="J9" i="37"/>
  <c r="J8" i="37"/>
  <c r="J7" i="37"/>
  <c r="J6" i="37"/>
  <c r="J324" i="43"/>
  <c r="J323" i="43"/>
  <c r="J322" i="43"/>
  <c r="J321" i="43"/>
  <c r="J320" i="43"/>
  <c r="J319" i="43"/>
  <c r="J318" i="43"/>
  <c r="J317" i="43"/>
  <c r="J316" i="43"/>
  <c r="J315" i="43"/>
  <c r="J314" i="43"/>
  <c r="J313" i="43"/>
  <c r="J312" i="43"/>
  <c r="J311" i="43"/>
  <c r="J310" i="43"/>
  <c r="J309" i="43"/>
  <c r="J308" i="43"/>
  <c r="J307" i="43"/>
  <c r="J306" i="43"/>
  <c r="J305" i="43"/>
  <c r="J304" i="43"/>
  <c r="J303" i="43"/>
  <c r="J302" i="43"/>
  <c r="J301" i="43"/>
  <c r="J300" i="43"/>
  <c r="J299" i="43"/>
  <c r="J298" i="43"/>
  <c r="J297" i="43"/>
  <c r="J296" i="43"/>
  <c r="J295" i="43"/>
  <c r="J294" i="43"/>
  <c r="J293" i="43"/>
  <c r="J292" i="43"/>
  <c r="J291" i="43"/>
  <c r="J290" i="43"/>
  <c r="J289" i="43"/>
  <c r="J288" i="43"/>
  <c r="J287" i="43"/>
  <c r="J286" i="43"/>
  <c r="J285" i="43"/>
  <c r="J284" i="43"/>
  <c r="J283" i="43"/>
  <c r="J282" i="43"/>
  <c r="J281" i="43"/>
  <c r="J280" i="43"/>
  <c r="J279" i="43"/>
  <c r="J278" i="43"/>
  <c r="J277" i="43"/>
  <c r="J276" i="43"/>
  <c r="J275" i="43"/>
  <c r="J274" i="43"/>
  <c r="J273" i="43"/>
  <c r="J272" i="43"/>
  <c r="J271" i="43"/>
  <c r="J270" i="43"/>
  <c r="J269" i="43"/>
  <c r="J268" i="43"/>
  <c r="J267" i="43"/>
  <c r="J266" i="43"/>
  <c r="J265" i="43"/>
  <c r="J264" i="43"/>
  <c r="J263" i="43"/>
  <c r="J262" i="43"/>
  <c r="J261" i="43"/>
  <c r="J260" i="43"/>
  <c r="J259" i="43"/>
  <c r="J258" i="43"/>
  <c r="J257" i="43"/>
  <c r="J256" i="43"/>
  <c r="J255" i="43"/>
  <c r="J254" i="43"/>
  <c r="J253" i="43"/>
  <c r="J252" i="43"/>
  <c r="J251" i="43"/>
  <c r="J250" i="43"/>
  <c r="J249" i="43"/>
  <c r="J248" i="43"/>
  <c r="J247" i="43"/>
  <c r="J246" i="43"/>
  <c r="J245" i="43"/>
  <c r="J244" i="43"/>
  <c r="J243" i="43"/>
  <c r="J242" i="43"/>
  <c r="J241" i="43"/>
  <c r="J240" i="43"/>
  <c r="J239" i="43"/>
  <c r="J238" i="43"/>
  <c r="J237" i="43"/>
  <c r="J236" i="43"/>
  <c r="J235" i="43"/>
  <c r="J234" i="43"/>
  <c r="J233" i="43"/>
  <c r="J232" i="43"/>
  <c r="J231" i="43"/>
  <c r="J230" i="43"/>
  <c r="J229" i="43"/>
  <c r="J228" i="43"/>
  <c r="J227" i="43"/>
  <c r="J226" i="43"/>
  <c r="J225" i="43"/>
  <c r="J224" i="43"/>
  <c r="J223" i="43"/>
  <c r="J222" i="43"/>
  <c r="J221" i="43"/>
  <c r="J220" i="43"/>
  <c r="J219" i="43"/>
  <c r="J218" i="43"/>
  <c r="J217" i="43"/>
  <c r="J216" i="43"/>
  <c r="J215" i="43"/>
  <c r="J214" i="43"/>
  <c r="J213" i="43"/>
  <c r="J212" i="43"/>
  <c r="J211" i="43"/>
  <c r="J210" i="43"/>
  <c r="J209" i="43"/>
  <c r="J208" i="43"/>
  <c r="J207" i="43"/>
  <c r="J206" i="43"/>
  <c r="J205" i="43"/>
  <c r="J204" i="43"/>
  <c r="J203" i="43"/>
  <c r="J202" i="43"/>
  <c r="J201" i="43"/>
  <c r="J200" i="43"/>
  <c r="J199" i="43"/>
  <c r="J198" i="43"/>
  <c r="J197" i="43"/>
  <c r="J196" i="43"/>
  <c r="J195" i="43"/>
  <c r="J194" i="43"/>
  <c r="J193" i="43"/>
  <c r="J192" i="43"/>
  <c r="J191" i="43"/>
  <c r="J190" i="43"/>
  <c r="J189" i="43"/>
  <c r="J188" i="43"/>
  <c r="J187" i="43"/>
  <c r="J186" i="43"/>
  <c r="J185" i="43"/>
  <c r="J184" i="43"/>
  <c r="J183" i="43"/>
  <c r="J182" i="43"/>
  <c r="J181" i="43"/>
  <c r="J180" i="43"/>
  <c r="J179" i="43"/>
  <c r="J178" i="43"/>
  <c r="J177" i="43"/>
  <c r="J176" i="43"/>
  <c r="J175" i="43"/>
  <c r="J174" i="43"/>
  <c r="J173" i="43"/>
  <c r="J172" i="43"/>
  <c r="J171" i="43"/>
  <c r="J170" i="43"/>
  <c r="J169" i="43"/>
  <c r="J168" i="43"/>
  <c r="J167" i="43"/>
  <c r="J166" i="43"/>
  <c r="J165" i="43"/>
  <c r="J164" i="43"/>
  <c r="J163" i="43"/>
  <c r="J162" i="43"/>
  <c r="J161" i="43"/>
  <c r="J160" i="43"/>
  <c r="J159" i="43"/>
  <c r="J158" i="43"/>
  <c r="J157" i="43"/>
  <c r="J156" i="43"/>
  <c r="J155" i="43"/>
  <c r="J154" i="43"/>
  <c r="J153" i="43"/>
  <c r="J152" i="43"/>
  <c r="J151" i="43"/>
  <c r="J150" i="43"/>
  <c r="J149" i="43"/>
  <c r="J148" i="43"/>
  <c r="J147" i="43"/>
  <c r="J146" i="43"/>
  <c r="J145" i="43"/>
  <c r="J144" i="43"/>
  <c r="J143" i="43"/>
  <c r="J142" i="43"/>
  <c r="J141" i="43"/>
  <c r="J140" i="43"/>
  <c r="J139" i="43"/>
  <c r="J138" i="43"/>
  <c r="J137" i="43"/>
  <c r="J136" i="43"/>
  <c r="J135" i="43"/>
  <c r="J134" i="43"/>
  <c r="J133" i="43"/>
  <c r="J132" i="43"/>
  <c r="J131" i="43"/>
  <c r="J130" i="43"/>
  <c r="J129" i="43"/>
  <c r="J128" i="43"/>
  <c r="J127" i="43"/>
  <c r="J126" i="43"/>
  <c r="J125" i="43"/>
  <c r="J124" i="43"/>
  <c r="J123" i="43"/>
  <c r="J122" i="43"/>
  <c r="J121" i="43"/>
  <c r="J120" i="43"/>
  <c r="J119" i="43"/>
  <c r="J118" i="43"/>
  <c r="J117" i="43"/>
  <c r="J116" i="43"/>
  <c r="J115" i="43"/>
  <c r="J114" i="43"/>
  <c r="J113" i="43"/>
  <c r="J112" i="43"/>
  <c r="J111" i="43"/>
  <c r="J110" i="43"/>
  <c r="J109" i="43"/>
  <c r="J108" i="43"/>
  <c r="J107" i="43"/>
  <c r="J106" i="43"/>
  <c r="J105" i="43"/>
  <c r="J104" i="43"/>
  <c r="J103" i="43"/>
  <c r="J102" i="43"/>
  <c r="J101" i="43"/>
  <c r="J100" i="43"/>
  <c r="J99" i="43"/>
  <c r="J98" i="43"/>
  <c r="J97" i="43"/>
  <c r="J96" i="43"/>
  <c r="J95" i="43"/>
  <c r="J94" i="43"/>
  <c r="J93" i="43"/>
  <c r="J92" i="43"/>
  <c r="J91" i="43"/>
  <c r="J90" i="43"/>
  <c r="J89" i="43"/>
  <c r="J88" i="43"/>
  <c r="J87" i="43"/>
  <c r="J86" i="43"/>
  <c r="J85" i="43"/>
  <c r="J84" i="43"/>
  <c r="J83" i="43"/>
  <c r="J82" i="43"/>
  <c r="J81" i="43"/>
  <c r="J80" i="43"/>
  <c r="J79" i="43"/>
  <c r="J78" i="43"/>
  <c r="J77" i="43"/>
  <c r="J76" i="43"/>
  <c r="J75" i="43"/>
  <c r="J74" i="43"/>
  <c r="J73" i="43"/>
  <c r="J72" i="43"/>
  <c r="J71" i="43"/>
  <c r="J70" i="43"/>
  <c r="J69" i="43"/>
  <c r="J68" i="43"/>
  <c r="J67" i="43"/>
  <c r="J66" i="43"/>
  <c r="J65" i="43"/>
  <c r="J64" i="43"/>
  <c r="J63" i="43"/>
  <c r="J62" i="43"/>
  <c r="J61" i="43"/>
  <c r="J60" i="43"/>
  <c r="J59" i="43"/>
  <c r="J58" i="43"/>
  <c r="J57" i="43"/>
  <c r="J56" i="43"/>
  <c r="J55" i="43"/>
  <c r="J54" i="43"/>
  <c r="J53" i="43"/>
  <c r="J52" i="43"/>
  <c r="J51" i="43"/>
  <c r="J50" i="43"/>
  <c r="J49" i="43"/>
  <c r="J48" i="43"/>
  <c r="J47" i="43"/>
  <c r="J46" i="43"/>
  <c r="J45" i="43"/>
  <c r="J44" i="43"/>
  <c r="J43" i="43"/>
  <c r="J42" i="43"/>
  <c r="J41" i="43"/>
  <c r="J40" i="43"/>
  <c r="J39" i="43"/>
  <c r="J38" i="43"/>
  <c r="J37" i="43"/>
  <c r="J36" i="43"/>
  <c r="J35" i="43"/>
  <c r="J34" i="43"/>
  <c r="J33" i="43"/>
  <c r="J32" i="43"/>
  <c r="J31" i="43"/>
  <c r="J30" i="43"/>
  <c r="J29" i="43"/>
  <c r="J28" i="43"/>
  <c r="J27" i="43"/>
  <c r="J26" i="43"/>
  <c r="J25" i="43"/>
  <c r="J24" i="43"/>
  <c r="J23" i="43"/>
  <c r="J22" i="43"/>
  <c r="J21" i="43"/>
  <c r="J20" i="43"/>
  <c r="J19" i="43"/>
  <c r="J18" i="43"/>
  <c r="J17" i="43"/>
  <c r="J16" i="43"/>
  <c r="J15" i="43"/>
  <c r="J14" i="43"/>
  <c r="J13" i="43"/>
  <c r="J12" i="43"/>
  <c r="J11" i="43"/>
  <c r="J10" i="43"/>
  <c r="J9" i="43"/>
  <c r="J8" i="43"/>
  <c r="J7" i="43"/>
  <c r="J6" i="43"/>
  <c r="J5" i="43"/>
  <c r="J4" i="43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82" i="42"/>
  <c r="J81" i="42"/>
  <c r="J80" i="42"/>
  <c r="J79" i="42"/>
  <c r="J78" i="42"/>
  <c r="J77" i="42"/>
  <c r="J76" i="42"/>
  <c r="J75" i="42"/>
  <c r="J74" i="42"/>
  <c r="J73" i="42"/>
  <c r="J72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J10" i="42"/>
  <c r="J9" i="42"/>
  <c r="J8" i="42"/>
  <c r="J7" i="42"/>
  <c r="J6" i="42"/>
  <c r="J5" i="42"/>
  <c r="J4" i="42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82" i="41"/>
  <c r="J81" i="41"/>
  <c r="J80" i="41"/>
  <c r="J79" i="41"/>
  <c r="J78" i="41"/>
  <c r="J77" i="41"/>
  <c r="J76" i="41"/>
  <c r="J75" i="41"/>
  <c r="J74" i="41"/>
  <c r="J73" i="41"/>
  <c r="J72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J10" i="41"/>
  <c r="J9" i="41"/>
  <c r="J8" i="41"/>
  <c r="J7" i="41"/>
  <c r="J6" i="41"/>
  <c r="J5" i="41"/>
  <c r="J4" i="41"/>
  <c r="B2" i="39"/>
  <c r="I186" i="38"/>
  <c r="I185" i="38"/>
  <c r="I184" i="38"/>
  <c r="I183" i="38"/>
  <c r="I182" i="38"/>
  <c r="I181" i="38"/>
  <c r="I180" i="38"/>
  <c r="I179" i="38"/>
  <c r="I178" i="38"/>
  <c r="I177" i="38"/>
  <c r="I48" i="38"/>
  <c r="I20" i="38"/>
  <c r="I19" i="38"/>
  <c r="I18" i="38"/>
  <c r="I17" i="38"/>
  <c r="I16" i="38"/>
  <c r="I15" i="38"/>
  <c r="I11" i="38"/>
  <c r="J1" i="38"/>
  <c r="H27" i="37" l="1"/>
  <c r="H32" i="37"/>
  <c r="K35" i="37"/>
  <c r="H23" i="37"/>
  <c r="I23" i="37"/>
  <c r="H31" i="37"/>
  <c r="H29" i="37"/>
  <c r="H24" i="37"/>
  <c r="H26" i="37"/>
  <c r="H28" i="37"/>
  <c r="K185" i="37"/>
  <c r="J29" i="37"/>
  <c r="J27" i="37"/>
  <c r="J31" i="37"/>
  <c r="I21" i="37"/>
  <c r="I29" i="37"/>
  <c r="I24" i="37"/>
  <c r="I22" i="37"/>
  <c r="I26" i="37"/>
  <c r="I27" i="37"/>
  <c r="I28" i="37"/>
  <c r="I30" i="37"/>
  <c r="I31" i="37"/>
  <c r="I32" i="37"/>
  <c r="H25" i="37"/>
  <c r="K48" i="37"/>
  <c r="H21" i="37"/>
  <c r="K186" i="37"/>
  <c r="K178" i="37"/>
  <c r="K182" i="37"/>
  <c r="K181" i="37"/>
  <c r="K7" i="36"/>
  <c r="L7" i="36" s="1"/>
  <c r="K19" i="36"/>
  <c r="L19" i="36" s="1"/>
  <c r="K27" i="36"/>
  <c r="L27" i="36" s="1"/>
  <c r="K39" i="36"/>
  <c r="L39" i="36" s="1"/>
  <c r="K63" i="36"/>
  <c r="L63" i="36" s="1"/>
  <c r="K79" i="36"/>
  <c r="L79" i="36" s="1"/>
  <c r="K87" i="36"/>
  <c r="L87" i="36" s="1"/>
  <c r="K95" i="36"/>
  <c r="L95" i="36" s="1"/>
  <c r="K111" i="36"/>
  <c r="L111" i="36" s="1"/>
  <c r="K115" i="36"/>
  <c r="L115" i="36" s="1"/>
  <c r="K4" i="36"/>
  <c r="L4" i="36" s="1"/>
  <c r="K8" i="36"/>
  <c r="L8" i="36" s="1"/>
  <c r="K12" i="36"/>
  <c r="L12" i="36" s="1"/>
  <c r="K16" i="36"/>
  <c r="L16" i="36" s="1"/>
  <c r="K20" i="36"/>
  <c r="L20" i="36" s="1"/>
  <c r="K24" i="36"/>
  <c r="L24" i="36" s="1"/>
  <c r="K28" i="36"/>
  <c r="L28" i="36" s="1"/>
  <c r="K32" i="36"/>
  <c r="L32" i="36" s="1"/>
  <c r="K36" i="36"/>
  <c r="L36" i="36" s="1"/>
  <c r="K40" i="36"/>
  <c r="L40" i="36" s="1"/>
  <c r="K44" i="36"/>
  <c r="L44" i="36" s="1"/>
  <c r="K48" i="36"/>
  <c r="L48" i="36" s="1"/>
  <c r="K52" i="36"/>
  <c r="L52" i="36" s="1"/>
  <c r="K56" i="36"/>
  <c r="L56" i="36" s="1"/>
  <c r="K60" i="36"/>
  <c r="L60" i="36" s="1"/>
  <c r="K64" i="36"/>
  <c r="L64" i="36" s="1"/>
  <c r="K68" i="36"/>
  <c r="L68" i="36" s="1"/>
  <c r="K72" i="36"/>
  <c r="L72" i="36" s="1"/>
  <c r="K76" i="36"/>
  <c r="L76" i="36" s="1"/>
  <c r="K80" i="36"/>
  <c r="L80" i="36" s="1"/>
  <c r="K84" i="36"/>
  <c r="L84" i="36" s="1"/>
  <c r="K88" i="36"/>
  <c r="L88" i="36" s="1"/>
  <c r="K92" i="36"/>
  <c r="L92" i="36" s="1"/>
  <c r="K100" i="36"/>
  <c r="L100" i="36" s="1"/>
  <c r="K104" i="36"/>
  <c r="L104" i="36" s="1"/>
  <c r="K108" i="36"/>
  <c r="L108" i="36" s="1"/>
  <c r="K112" i="36"/>
  <c r="L112" i="36" s="1"/>
  <c r="K116" i="36"/>
  <c r="L116" i="36" s="1"/>
  <c r="K120" i="36"/>
  <c r="L120" i="36" s="1"/>
  <c r="K11" i="36"/>
  <c r="L11" i="36" s="1"/>
  <c r="K23" i="36"/>
  <c r="L23" i="36" s="1"/>
  <c r="K31" i="36"/>
  <c r="L31" i="36" s="1"/>
  <c r="K55" i="36"/>
  <c r="L55" i="36" s="1"/>
  <c r="K75" i="36"/>
  <c r="L75" i="36" s="1"/>
  <c r="K83" i="36"/>
  <c r="L83" i="36" s="1"/>
  <c r="K91" i="36"/>
  <c r="L91" i="36" s="1"/>
  <c r="K103" i="36"/>
  <c r="L103" i="36" s="1"/>
  <c r="K119" i="36"/>
  <c r="L119" i="36" s="1"/>
  <c r="H30" i="37"/>
  <c r="K5" i="36"/>
  <c r="L5" i="36" s="1"/>
  <c r="K9" i="36"/>
  <c r="L9" i="36" s="1"/>
  <c r="K13" i="36"/>
  <c r="L13" i="36" s="1"/>
  <c r="K17" i="36"/>
  <c r="L17" i="36" s="1"/>
  <c r="K21" i="36"/>
  <c r="L21" i="36" s="1"/>
  <c r="K25" i="36"/>
  <c r="L25" i="36" s="1"/>
  <c r="K29" i="36"/>
  <c r="L29" i="36" s="1"/>
  <c r="K33" i="36"/>
  <c r="L33" i="36" s="1"/>
  <c r="K37" i="36"/>
  <c r="L37" i="36" s="1"/>
  <c r="K41" i="36"/>
  <c r="L41" i="36" s="1"/>
  <c r="K45" i="36"/>
  <c r="L45" i="36" s="1"/>
  <c r="K49" i="36"/>
  <c r="L49" i="36" s="1"/>
  <c r="K53" i="36"/>
  <c r="L53" i="36" s="1"/>
  <c r="K57" i="36"/>
  <c r="L57" i="36" s="1"/>
  <c r="K61" i="36"/>
  <c r="L61" i="36" s="1"/>
  <c r="K65" i="36"/>
  <c r="L65" i="36" s="1"/>
  <c r="K69" i="36"/>
  <c r="L69" i="36" s="1"/>
  <c r="K73" i="36"/>
  <c r="L73" i="36" s="1"/>
  <c r="K77" i="36"/>
  <c r="L77" i="36" s="1"/>
  <c r="K85" i="36"/>
  <c r="L85" i="36" s="1"/>
  <c r="K89" i="36"/>
  <c r="L89" i="36" s="1"/>
  <c r="K93" i="36"/>
  <c r="L93" i="36" s="1"/>
  <c r="K97" i="36"/>
  <c r="L97" i="36" s="1"/>
  <c r="K101" i="36"/>
  <c r="L101" i="36" s="1"/>
  <c r="K105" i="36"/>
  <c r="L105" i="36" s="1"/>
  <c r="K109" i="36"/>
  <c r="L109" i="36" s="1"/>
  <c r="K113" i="36"/>
  <c r="L113" i="36" s="1"/>
  <c r="K117" i="36"/>
  <c r="L117" i="36" s="1"/>
  <c r="K121" i="36"/>
  <c r="L121" i="36" s="1"/>
  <c r="H22" i="37"/>
  <c r="K51" i="36"/>
  <c r="L51" i="36" s="1"/>
  <c r="K3" i="36"/>
  <c r="L3" i="36" s="1"/>
  <c r="K15" i="36"/>
  <c r="L15" i="36" s="1"/>
  <c r="K35" i="36"/>
  <c r="L35" i="36" s="1"/>
  <c r="K47" i="36"/>
  <c r="L47" i="36" s="1"/>
  <c r="K59" i="36"/>
  <c r="L59" i="36" s="1"/>
  <c r="K99" i="36"/>
  <c r="L99" i="36" s="1"/>
  <c r="K2" i="36"/>
  <c r="L2" i="36" s="1"/>
  <c r="K6" i="36"/>
  <c r="L6" i="36" s="1"/>
  <c r="K10" i="36"/>
  <c r="L10" i="36" s="1"/>
  <c r="K14" i="36"/>
  <c r="L14" i="36" s="1"/>
  <c r="K18" i="36"/>
  <c r="L18" i="36" s="1"/>
  <c r="K22" i="36"/>
  <c r="L22" i="36" s="1"/>
  <c r="K26" i="36"/>
  <c r="L26" i="36" s="1"/>
  <c r="K30" i="36"/>
  <c r="L30" i="36" s="1"/>
  <c r="K34" i="36"/>
  <c r="L34" i="36" s="1"/>
  <c r="K38" i="36"/>
  <c r="L38" i="36" s="1"/>
  <c r="K42" i="36"/>
  <c r="L42" i="36" s="1"/>
  <c r="K46" i="36"/>
  <c r="L46" i="36" s="1"/>
  <c r="K50" i="36"/>
  <c r="L50" i="36" s="1"/>
  <c r="K54" i="36"/>
  <c r="L54" i="36" s="1"/>
  <c r="K58" i="36"/>
  <c r="L58" i="36" s="1"/>
  <c r="K62" i="36"/>
  <c r="L62" i="36" s="1"/>
  <c r="K66" i="36"/>
  <c r="L66" i="36" s="1"/>
  <c r="K70" i="36"/>
  <c r="L70" i="36" s="1"/>
  <c r="K74" i="36"/>
  <c r="L74" i="36" s="1"/>
  <c r="K78" i="36"/>
  <c r="L78" i="36" s="1"/>
  <c r="K82" i="36"/>
  <c r="L82" i="36" s="1"/>
  <c r="K86" i="36"/>
  <c r="L86" i="36" s="1"/>
  <c r="K90" i="36"/>
  <c r="L90" i="36" s="1"/>
  <c r="K94" i="36"/>
  <c r="L94" i="36" s="1"/>
  <c r="K98" i="36"/>
  <c r="L98" i="36" s="1"/>
  <c r="K102" i="36"/>
  <c r="L102" i="36" s="1"/>
  <c r="K106" i="36"/>
  <c r="L106" i="36" s="1"/>
  <c r="K110" i="36"/>
  <c r="L110" i="36" s="1"/>
  <c r="K114" i="36"/>
  <c r="L114" i="36" s="1"/>
  <c r="K118" i="36"/>
  <c r="L118" i="36" s="1"/>
  <c r="J25" i="37"/>
  <c r="J28" i="37"/>
  <c r="J21" i="37"/>
  <c r="K96" i="36"/>
  <c r="L96" i="36" s="1"/>
  <c r="K43" i="36"/>
  <c r="L43" i="36" s="1"/>
  <c r="J30" i="37"/>
  <c r="K107" i="36"/>
  <c r="L107" i="36" s="1"/>
  <c r="K71" i="36"/>
  <c r="L71" i="36" s="1"/>
  <c r="K67" i="36"/>
  <c r="L67" i="36" s="1"/>
  <c r="J22" i="37"/>
  <c r="J23" i="37"/>
  <c r="J26" i="37"/>
  <c r="K81" i="36"/>
  <c r="L81" i="36" s="1"/>
  <c r="R39" i="45"/>
  <c r="H21" i="38" s="1"/>
  <c r="F23" i="28" s="1"/>
  <c r="GD7" i="45"/>
  <c r="GB39" i="45"/>
  <c r="I25" i="37"/>
  <c r="GC7" i="39"/>
  <c r="K180" i="37"/>
  <c r="GB7" i="39"/>
  <c r="GC22" i="39"/>
  <c r="GC20" i="39"/>
  <c r="GC18" i="39"/>
  <c r="GB17" i="39"/>
  <c r="GB15" i="39"/>
  <c r="GB14" i="39"/>
  <c r="GB13" i="39"/>
  <c r="GB12" i="39"/>
  <c r="GB11" i="39"/>
  <c r="GB10" i="39"/>
  <c r="GC9" i="39"/>
  <c r="GB9" i="39"/>
  <c r="GC29" i="39"/>
  <c r="GC28" i="39"/>
  <c r="GC27" i="39"/>
  <c r="GB27" i="39"/>
  <c r="GC26" i="39"/>
  <c r="GC25" i="39"/>
  <c r="GB25" i="39"/>
  <c r="GC24" i="39"/>
  <c r="GC23" i="39"/>
  <c r="GB23" i="39"/>
  <c r="GC21" i="39"/>
  <c r="GB21" i="39"/>
  <c r="GC19" i="39"/>
  <c r="GB19" i="39"/>
  <c r="GC17" i="39"/>
  <c r="GC16" i="39"/>
  <c r="GC15" i="39"/>
  <c r="GC14" i="39"/>
  <c r="GC13" i="39"/>
  <c r="GC12" i="39"/>
  <c r="GC11" i="39"/>
  <c r="GC10" i="39"/>
  <c r="GC8" i="39"/>
  <c r="GC30" i="39"/>
  <c r="GB30" i="39"/>
  <c r="GB29" i="39"/>
  <c r="GB28" i="39"/>
  <c r="GB26" i="39"/>
  <c r="GB24" i="39"/>
  <c r="GB22" i="39"/>
  <c r="GB20" i="39"/>
  <c r="GB18" i="39"/>
  <c r="GB16" i="39"/>
  <c r="GB8" i="39"/>
  <c r="K46" i="37"/>
  <c r="K20" i="37"/>
  <c r="K19" i="37"/>
  <c r="K33" i="37"/>
  <c r="K184" i="37"/>
  <c r="K183" i="37"/>
  <c r="K177" i="37"/>
  <c r="K11" i="37"/>
  <c r="K179" i="37"/>
  <c r="K15" i="37"/>
  <c r="K164" i="37"/>
  <c r="K141" i="37"/>
  <c r="K119" i="37"/>
  <c r="K93" i="37"/>
  <c r="K41" i="37"/>
  <c r="K72" i="37"/>
  <c r="K62" i="37"/>
  <c r="K44" i="37"/>
  <c r="K49" i="37"/>
  <c r="L6" i="37"/>
  <c r="H187" i="37" s="1"/>
  <c r="K12" i="37"/>
  <c r="K16" i="37"/>
  <c r="K17" i="37"/>
  <c r="K18" i="37"/>
  <c r="K6" i="37"/>
  <c r="I33" i="38"/>
  <c r="I141" i="38"/>
  <c r="I46" i="38"/>
  <c r="I72" i="38"/>
  <c r="I41" i="38"/>
  <c r="I6" i="38"/>
  <c r="J6" i="38"/>
  <c r="H187" i="38" s="1"/>
  <c r="I62" i="38"/>
  <c r="I119" i="38"/>
  <c r="I164" i="38"/>
  <c r="I49" i="38"/>
  <c r="I93" i="38"/>
  <c r="I12" i="38"/>
  <c r="I35" i="38"/>
  <c r="I44" i="38"/>
  <c r="J16" i="38"/>
  <c r="H188" i="38" s="1"/>
  <c r="J183" i="38"/>
  <c r="J179" i="38"/>
  <c r="K21" i="37" l="1"/>
  <c r="L21" i="37"/>
  <c r="GE7" i="45"/>
  <c r="GE39" i="45" s="1"/>
  <c r="GD39" i="45"/>
  <c r="GD7" i="39"/>
  <c r="GE7" i="39" s="1"/>
  <c r="GD30" i="39"/>
  <c r="GE30" i="39" s="1"/>
  <c r="GD29" i="39"/>
  <c r="GE29" i="39" s="1"/>
  <c r="GD28" i="39"/>
  <c r="GE28" i="39" s="1"/>
  <c r="GD27" i="39"/>
  <c r="GE27" i="39" s="1"/>
  <c r="GD26" i="39"/>
  <c r="GE26" i="39" s="1"/>
  <c r="GD25" i="39"/>
  <c r="GE25" i="39" s="1"/>
  <c r="GD24" i="39"/>
  <c r="GE24" i="39" s="1"/>
  <c r="GD23" i="39"/>
  <c r="GE23" i="39" s="1"/>
  <c r="GD22" i="39"/>
  <c r="GE22" i="39" s="1"/>
  <c r="GD21" i="39"/>
  <c r="GE21" i="39" s="1"/>
  <c r="GD20" i="39"/>
  <c r="GE20" i="39" s="1"/>
  <c r="GD19" i="39"/>
  <c r="GE19" i="39" s="1"/>
  <c r="GD18" i="39"/>
  <c r="GE18" i="39" s="1"/>
  <c r="GD16" i="39"/>
  <c r="GE16" i="39" s="1"/>
  <c r="GD9" i="39"/>
  <c r="GE9" i="39" s="1"/>
  <c r="GD8" i="39"/>
  <c r="GE8" i="39" s="1"/>
  <c r="GD13" i="39"/>
  <c r="GE13" i="39" s="1"/>
  <c r="GD10" i="39"/>
  <c r="GE10" i="39" s="1"/>
  <c r="GD14" i="39"/>
  <c r="GE14" i="39" s="1"/>
  <c r="GD11" i="39"/>
  <c r="GE11" i="39" s="1"/>
  <c r="GD15" i="39"/>
  <c r="GE15" i="39" s="1"/>
  <c r="GD12" i="39"/>
  <c r="GE12" i="39" s="1"/>
  <c r="GD17" i="39"/>
  <c r="GE17" i="39" s="1"/>
  <c r="L183" i="37"/>
  <c r="M6" i="37"/>
  <c r="K12" i="38"/>
  <c r="K48" i="38"/>
  <c r="K179" i="38"/>
  <c r="K177" i="38"/>
  <c r="K46" i="38"/>
  <c r="K183" i="38"/>
  <c r="K44" i="38"/>
  <c r="K178" i="38"/>
  <c r="K141" i="38"/>
  <c r="H189" i="38"/>
  <c r="H190" i="38" s="1"/>
  <c r="K35" i="38"/>
  <c r="K93" i="38"/>
  <c r="K119" i="38"/>
  <c r="K16" i="38"/>
  <c r="K15" i="38"/>
  <c r="K49" i="38"/>
  <c r="K62" i="38"/>
  <c r="K11" i="38"/>
  <c r="K164" i="38"/>
  <c r="K33" i="38"/>
  <c r="K17" i="38"/>
  <c r="K41" i="38"/>
  <c r="K20" i="38"/>
  <c r="K18" i="38"/>
  <c r="K72" i="38"/>
  <c r="K6" i="38"/>
  <c r="K19" i="38"/>
  <c r="L1" i="37"/>
  <c r="I7" i="33"/>
  <c r="I8" i="33"/>
  <c r="I9" i="33"/>
  <c r="I10" i="33"/>
  <c r="I6" i="33"/>
  <c r="I21" i="33" l="1"/>
  <c r="B18" i="27" s="1"/>
  <c r="I30" i="33"/>
  <c r="B27" i="27" s="1"/>
  <c r="J6" i="33"/>
  <c r="L179" i="37"/>
  <c r="I23" i="33"/>
  <c r="B20" i="27" s="1"/>
  <c r="I27" i="33"/>
  <c r="B24" i="27" s="1"/>
  <c r="I24" i="33"/>
  <c r="B21" i="27" s="1"/>
  <c r="I28" i="33"/>
  <c r="B25" i="27" s="1"/>
  <c r="I25" i="33"/>
  <c r="B22" i="27" s="1"/>
  <c r="I29" i="33"/>
  <c r="B26" i="27" s="1"/>
  <c r="I32" i="33"/>
  <c r="B29" i="27" s="1"/>
  <c r="I31" i="33"/>
  <c r="B28" i="27" s="1"/>
  <c r="I22" i="33"/>
  <c r="B19" i="27" s="1"/>
  <c r="I26" i="33"/>
  <c r="B23" i="27" s="1"/>
  <c r="L16" i="37"/>
  <c r="H188" i="37" s="1"/>
  <c r="H189" i="37" s="1"/>
  <c r="A11" i="27"/>
  <c r="B11" i="27"/>
  <c r="C20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AH20" i="21"/>
  <c r="AI20" i="21"/>
  <c r="AJ20" i="21"/>
  <c r="AK20" i="21"/>
  <c r="AL20" i="21"/>
  <c r="AM20" i="21"/>
  <c r="AN20" i="21"/>
  <c r="AO20" i="21"/>
  <c r="AP20" i="21"/>
  <c r="AQ20" i="21"/>
  <c r="AR20" i="21"/>
  <c r="AS20" i="21"/>
  <c r="AT20" i="21"/>
  <c r="AU20" i="21"/>
  <c r="AV20" i="21"/>
  <c r="AW20" i="21"/>
  <c r="AX20" i="21"/>
  <c r="AY20" i="21"/>
  <c r="AZ20" i="21"/>
  <c r="BA20" i="21"/>
  <c r="BB20" i="21"/>
  <c r="BC20" i="21"/>
  <c r="BD20" i="21"/>
  <c r="BE20" i="21"/>
  <c r="BF20" i="21"/>
  <c r="BG20" i="21"/>
  <c r="BH20" i="21"/>
  <c r="BI20" i="21"/>
  <c r="BJ20" i="21"/>
  <c r="BK20" i="21"/>
  <c r="BL20" i="21"/>
  <c r="BM20" i="21"/>
  <c r="BN20" i="21"/>
  <c r="BO20" i="21"/>
  <c r="BP20" i="21"/>
  <c r="BQ20" i="21"/>
  <c r="BR20" i="21"/>
  <c r="BS20" i="21"/>
  <c r="BT20" i="21"/>
  <c r="BU20" i="21"/>
  <c r="BV20" i="21"/>
  <c r="BW20" i="21"/>
  <c r="BX20" i="21"/>
  <c r="BY20" i="21"/>
  <c r="BZ20" i="21"/>
  <c r="CA20" i="21"/>
  <c r="CB20" i="21"/>
  <c r="CC20" i="21"/>
  <c r="CD20" i="21"/>
  <c r="CE20" i="21"/>
  <c r="CF20" i="21"/>
  <c r="CG20" i="21"/>
  <c r="CH20" i="21"/>
  <c r="CI20" i="21"/>
  <c r="CJ20" i="21"/>
  <c r="CK20" i="21"/>
  <c r="CL20" i="21"/>
  <c r="CM20" i="21"/>
  <c r="CN20" i="21"/>
  <c r="CO20" i="21"/>
  <c r="CP20" i="21"/>
  <c r="CQ20" i="21"/>
  <c r="CR20" i="21"/>
  <c r="CS20" i="21"/>
  <c r="CT20" i="21"/>
  <c r="CU20" i="21"/>
  <c r="CV20" i="21"/>
  <c r="CW20" i="21"/>
  <c r="CX20" i="21"/>
  <c r="CY20" i="21"/>
  <c r="CZ20" i="21"/>
  <c r="DA20" i="21"/>
  <c r="DB20" i="21"/>
  <c r="DC20" i="21"/>
  <c r="DD20" i="21"/>
  <c r="DE20" i="21"/>
  <c r="DF20" i="21"/>
  <c r="DG20" i="21"/>
  <c r="DH20" i="21"/>
  <c r="DI20" i="21"/>
  <c r="DJ20" i="21"/>
  <c r="DK20" i="21"/>
  <c r="DL20" i="21"/>
  <c r="DM20" i="21"/>
  <c r="DN20" i="21"/>
  <c r="DO20" i="21"/>
  <c r="DP20" i="21"/>
  <c r="DQ20" i="21"/>
  <c r="DR20" i="21"/>
  <c r="DS20" i="21"/>
  <c r="DT20" i="21"/>
  <c r="DU20" i="21"/>
  <c r="DV20" i="21"/>
  <c r="DW20" i="21"/>
  <c r="DX20" i="21"/>
  <c r="DY20" i="21"/>
  <c r="DZ20" i="21"/>
  <c r="EA20" i="21"/>
  <c r="EB20" i="21"/>
  <c r="EC20" i="21"/>
  <c r="ED20" i="21"/>
  <c r="EE20" i="21"/>
  <c r="EF20" i="21"/>
  <c r="EG20" i="21"/>
  <c r="EH20" i="21"/>
  <c r="EI20" i="21"/>
  <c r="EJ20" i="21"/>
  <c r="EK20" i="21"/>
  <c r="EL20" i="21"/>
  <c r="EM20" i="21"/>
  <c r="EN20" i="21"/>
  <c r="EO20" i="21"/>
  <c r="EP20" i="21"/>
  <c r="EQ20" i="21"/>
  <c r="ER20" i="21"/>
  <c r="ES20" i="21"/>
  <c r="ET20" i="21"/>
  <c r="EU20" i="21"/>
  <c r="EV20" i="21"/>
  <c r="EW20" i="21"/>
  <c r="EX20" i="21"/>
  <c r="EY20" i="21"/>
  <c r="EZ20" i="21"/>
  <c r="FA20" i="21"/>
  <c r="FB20" i="21"/>
  <c r="FC20" i="21"/>
  <c r="FD20" i="21"/>
  <c r="FE20" i="21"/>
  <c r="FF20" i="21"/>
  <c r="FG20" i="21"/>
  <c r="FH20" i="21"/>
  <c r="FI20" i="21"/>
  <c r="FJ20" i="21"/>
  <c r="FK20" i="21"/>
  <c r="FL20" i="21"/>
  <c r="FM20" i="21"/>
  <c r="FN20" i="21"/>
  <c r="FO20" i="21"/>
  <c r="FP20" i="21"/>
  <c r="FQ20" i="21"/>
  <c r="FR20" i="21"/>
  <c r="FS20" i="21"/>
  <c r="FT20" i="21"/>
  <c r="FU20" i="21"/>
  <c r="FV20" i="21"/>
  <c r="FW20" i="21"/>
  <c r="FX20" i="21"/>
  <c r="FY20" i="21"/>
  <c r="FZ20" i="21"/>
  <c r="GA20" i="21"/>
  <c r="GB20" i="21"/>
  <c r="GC20" i="21"/>
  <c r="GD20" i="21"/>
  <c r="GE20" i="21"/>
  <c r="GF20" i="21"/>
  <c r="GG20" i="21"/>
  <c r="GH20" i="21"/>
  <c r="GI20" i="21"/>
  <c r="GJ20" i="21"/>
  <c r="GK20" i="21"/>
  <c r="GL20" i="21"/>
  <c r="GM20" i="21"/>
  <c r="GN20" i="21"/>
  <c r="GO20" i="21"/>
  <c r="GP20" i="21"/>
  <c r="GQ20" i="21"/>
  <c r="GR20" i="21"/>
  <c r="GS20" i="21"/>
  <c r="C20" i="31"/>
  <c r="D20" i="31"/>
  <c r="E20" i="31"/>
  <c r="F20" i="31"/>
  <c r="G20" i="31"/>
  <c r="H20" i="31"/>
  <c r="I20" i="31"/>
  <c r="J20" i="31"/>
  <c r="K20" i="31"/>
  <c r="L20" i="31"/>
  <c r="M20" i="31"/>
  <c r="N20" i="31"/>
  <c r="O20" i="31"/>
  <c r="P20" i="31"/>
  <c r="Q20" i="31"/>
  <c r="R20" i="31"/>
  <c r="S20" i="31"/>
  <c r="T20" i="31"/>
  <c r="U20" i="31"/>
  <c r="V20" i="31"/>
  <c r="W20" i="31"/>
  <c r="X20" i="31"/>
  <c r="Y20" i="31"/>
  <c r="Z20" i="31"/>
  <c r="AA20" i="31"/>
  <c r="AB20" i="31"/>
  <c r="AC20" i="31"/>
  <c r="AD20" i="31"/>
  <c r="AE20" i="31"/>
  <c r="AF20" i="31"/>
  <c r="AG20" i="31"/>
  <c r="AH20" i="31"/>
  <c r="AI20" i="31"/>
  <c r="AJ20" i="31"/>
  <c r="AK20" i="31"/>
  <c r="AL20" i="31"/>
  <c r="AM20" i="31"/>
  <c r="AN20" i="31"/>
  <c r="AO20" i="3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I3" i="28"/>
  <c r="C4" i="28"/>
  <c r="F8" i="28"/>
  <c r="F7" i="28"/>
  <c r="F6" i="28"/>
  <c r="C3" i="28"/>
  <c r="I15" i="33"/>
  <c r="B6" i="27" s="1"/>
  <c r="I33" i="33"/>
  <c r="I184" i="33"/>
  <c r="J184" i="33" s="1"/>
  <c r="I185" i="33"/>
  <c r="J185" i="33" s="1"/>
  <c r="I186" i="33"/>
  <c r="J186" i="33" s="1"/>
  <c r="I183" i="33"/>
  <c r="J183" i="33" s="1"/>
  <c r="I181" i="33"/>
  <c r="J181" i="33" s="1"/>
  <c r="I182" i="33"/>
  <c r="J182" i="33" s="1"/>
  <c r="I180" i="33"/>
  <c r="J180" i="33" s="1"/>
  <c r="I179" i="33"/>
  <c r="J179" i="33" s="1"/>
  <c r="I178" i="33"/>
  <c r="J178" i="33" s="1"/>
  <c r="I177" i="33"/>
  <c r="J177" i="33" s="1"/>
  <c r="I50" i="33"/>
  <c r="I73" i="33"/>
  <c r="I75" i="33"/>
  <c r="I76" i="33"/>
  <c r="I77" i="33"/>
  <c r="I78" i="33"/>
  <c r="I79" i="33"/>
  <c r="I80" i="33"/>
  <c r="I81" i="33"/>
  <c r="I82" i="33"/>
  <c r="I83" i="33"/>
  <c r="I84" i="33"/>
  <c r="I85" i="33"/>
  <c r="I86" i="33"/>
  <c r="I87" i="33"/>
  <c r="I88" i="33"/>
  <c r="I89" i="33"/>
  <c r="I90" i="33"/>
  <c r="I91" i="33"/>
  <c r="I92" i="33"/>
  <c r="I93" i="33"/>
  <c r="I94" i="33"/>
  <c r="I95" i="33"/>
  <c r="I96" i="33"/>
  <c r="I97" i="33"/>
  <c r="I98" i="33"/>
  <c r="I99" i="33"/>
  <c r="I100" i="33"/>
  <c r="I101" i="33"/>
  <c r="I102" i="33"/>
  <c r="I103" i="33"/>
  <c r="I104" i="33"/>
  <c r="I105" i="33"/>
  <c r="I106" i="33"/>
  <c r="I107" i="33"/>
  <c r="I108" i="33"/>
  <c r="I109" i="33"/>
  <c r="I110" i="33"/>
  <c r="I111" i="33"/>
  <c r="I112" i="33"/>
  <c r="I113" i="33"/>
  <c r="I114" i="33"/>
  <c r="I115" i="33"/>
  <c r="I116" i="33"/>
  <c r="I117" i="33"/>
  <c r="I118" i="33"/>
  <c r="I119" i="33"/>
  <c r="I120" i="33"/>
  <c r="I121" i="33"/>
  <c r="I122" i="33"/>
  <c r="I123" i="33"/>
  <c r="I124" i="33"/>
  <c r="I125" i="33"/>
  <c r="I126" i="33"/>
  <c r="I127" i="33"/>
  <c r="I128" i="33"/>
  <c r="I129" i="33"/>
  <c r="I130" i="33"/>
  <c r="I131" i="33"/>
  <c r="I132" i="33"/>
  <c r="I133" i="33"/>
  <c r="I134" i="33"/>
  <c r="I135" i="33"/>
  <c r="I136" i="33"/>
  <c r="I137" i="33"/>
  <c r="I138" i="33"/>
  <c r="I139" i="33"/>
  <c r="I140" i="33"/>
  <c r="I141" i="33"/>
  <c r="I142" i="33"/>
  <c r="I143" i="33"/>
  <c r="I144" i="33"/>
  <c r="I145" i="33"/>
  <c r="I146" i="33"/>
  <c r="I147" i="33"/>
  <c r="I148" i="33"/>
  <c r="I149" i="33"/>
  <c r="I150" i="33"/>
  <c r="I151" i="33"/>
  <c r="I152" i="33"/>
  <c r="I153" i="33"/>
  <c r="I154" i="33"/>
  <c r="I155" i="33"/>
  <c r="I156" i="33"/>
  <c r="I157" i="33"/>
  <c r="I158" i="33"/>
  <c r="I159" i="33"/>
  <c r="I160" i="33"/>
  <c r="I161" i="33"/>
  <c r="I162" i="33"/>
  <c r="I163" i="33"/>
  <c r="I164" i="33"/>
  <c r="I165" i="33"/>
  <c r="I166" i="33"/>
  <c r="I167" i="33"/>
  <c r="I168" i="33"/>
  <c r="I169" i="33"/>
  <c r="I170" i="33"/>
  <c r="I171" i="33"/>
  <c r="I172" i="33"/>
  <c r="I173" i="33"/>
  <c r="I174" i="33"/>
  <c r="I176" i="33"/>
  <c r="I74" i="33"/>
  <c r="I72" i="33"/>
  <c r="B30" i="27" l="1"/>
  <c r="J26" i="33"/>
  <c r="J21" i="33"/>
  <c r="K21" i="33"/>
  <c r="K26" i="37"/>
  <c r="M26" i="37" s="1"/>
  <c r="J21" i="38"/>
  <c r="I21" i="38"/>
  <c r="M46" i="37"/>
  <c r="M20" i="37"/>
  <c r="M62" i="37"/>
  <c r="M179" i="37"/>
  <c r="M12" i="37"/>
  <c r="M119" i="37"/>
  <c r="M49" i="37"/>
  <c r="M11" i="37"/>
  <c r="M164" i="37"/>
  <c r="H190" i="37"/>
  <c r="M48" i="37"/>
  <c r="M19" i="37"/>
  <c r="M33" i="37"/>
  <c r="M93" i="37"/>
  <c r="M141" i="37"/>
  <c r="M18" i="37"/>
  <c r="I26" i="38"/>
  <c r="K26" i="38" s="1"/>
  <c r="M35" i="37"/>
  <c r="M178" i="37"/>
  <c r="M177" i="37"/>
  <c r="M41" i="37"/>
  <c r="M183" i="37"/>
  <c r="M72" i="37"/>
  <c r="M16" i="37"/>
  <c r="M44" i="37"/>
  <c r="M17" i="37"/>
  <c r="M15" i="37"/>
  <c r="K179" i="33"/>
  <c r="K183" i="33"/>
  <c r="J164" i="33"/>
  <c r="J141" i="33"/>
  <c r="J119" i="33"/>
  <c r="J93" i="33"/>
  <c r="J72" i="33"/>
  <c r="I43" i="33"/>
  <c r="I42" i="33"/>
  <c r="I45" i="33"/>
  <c r="J44" i="33" s="1"/>
  <c r="I51" i="33"/>
  <c r="I52" i="33"/>
  <c r="I53" i="33"/>
  <c r="I54" i="33"/>
  <c r="I55" i="33"/>
  <c r="I56" i="33"/>
  <c r="I57" i="33"/>
  <c r="I58" i="33"/>
  <c r="I59" i="33"/>
  <c r="I60" i="33"/>
  <c r="I61" i="33"/>
  <c r="I49" i="33"/>
  <c r="I48" i="33"/>
  <c r="J48" i="33" s="1"/>
  <c r="I47" i="33"/>
  <c r="I46" i="33"/>
  <c r="I41" i="33"/>
  <c r="I71" i="33"/>
  <c r="I70" i="33"/>
  <c r="I69" i="33"/>
  <c r="I68" i="33"/>
  <c r="I67" i="33"/>
  <c r="I66" i="33"/>
  <c r="I65" i="33"/>
  <c r="I64" i="33"/>
  <c r="I62" i="33"/>
  <c r="I39" i="33"/>
  <c r="I38" i="33"/>
  <c r="I37" i="33"/>
  <c r="I36" i="33"/>
  <c r="I35" i="33"/>
  <c r="I34" i="33"/>
  <c r="I20" i="33"/>
  <c r="J20" i="33" s="1"/>
  <c r="I19" i="33"/>
  <c r="J19" i="33" s="1"/>
  <c r="I18" i="33"/>
  <c r="J18" i="33" s="1"/>
  <c r="I17" i="33"/>
  <c r="J17" i="33" s="1"/>
  <c r="I16" i="33"/>
  <c r="J16" i="33" s="1"/>
  <c r="J15" i="33"/>
  <c r="I14" i="33"/>
  <c r="I13" i="33"/>
  <c r="I12" i="33"/>
  <c r="I11" i="33"/>
  <c r="J35" i="33" l="1"/>
  <c r="K6" i="33"/>
  <c r="G187" i="33" s="1"/>
  <c r="J11" i="33"/>
  <c r="K16" i="33"/>
  <c r="G188" i="33" s="1"/>
  <c r="J46" i="33"/>
  <c r="J33" i="33"/>
  <c r="J62" i="33"/>
  <c r="J49" i="33"/>
  <c r="J41" i="33"/>
  <c r="J12" i="33"/>
  <c r="EQ6" i="31"/>
  <c r="EQ6" i="21"/>
  <c r="EQ6" i="32"/>
  <c r="L35" i="33" l="1"/>
  <c r="G189" i="33"/>
  <c r="G190" i="33" s="1"/>
  <c r="B20" i="31"/>
  <c r="B20" i="21"/>
  <c r="EQ40" i="32"/>
  <c r="EP40" i="32"/>
  <c r="EO40" i="32"/>
  <c r="EN40" i="32"/>
  <c r="EM40" i="32"/>
  <c r="EL40" i="32"/>
  <c r="EK40" i="32"/>
  <c r="EJ40" i="32"/>
  <c r="EI40" i="32"/>
  <c r="EH40" i="32"/>
  <c r="EG40" i="32"/>
  <c r="EF40" i="32"/>
  <c r="EE40" i="32"/>
  <c r="ED40" i="32"/>
  <c r="EC40" i="32"/>
  <c r="EB40" i="32"/>
  <c r="EA40" i="32"/>
  <c r="DZ40" i="32"/>
  <c r="DY40" i="32"/>
  <c r="DX40" i="32"/>
  <c r="DW40" i="32"/>
  <c r="DV40" i="32"/>
  <c r="DU40" i="32"/>
  <c r="DT40" i="32"/>
  <c r="DS40" i="32"/>
  <c r="DR40" i="32"/>
  <c r="DQ40" i="32"/>
  <c r="DP40" i="32"/>
  <c r="DO40" i="32"/>
  <c r="DN40" i="32"/>
  <c r="DM40" i="32"/>
  <c r="DL40" i="32"/>
  <c r="DK40" i="32"/>
  <c r="DJ40" i="32"/>
  <c r="DI40" i="32"/>
  <c r="DH40" i="32"/>
  <c r="DG40" i="32"/>
  <c r="DF40" i="32"/>
  <c r="DE40" i="32"/>
  <c r="DD40" i="32"/>
  <c r="DC40" i="32"/>
  <c r="DB40" i="32"/>
  <c r="DA40" i="32"/>
  <c r="CZ40" i="32"/>
  <c r="CY40" i="32"/>
  <c r="CX40" i="32"/>
  <c r="CW40" i="32"/>
  <c r="CV40" i="32"/>
  <c r="CU40" i="32"/>
  <c r="CT40" i="32"/>
  <c r="CS40" i="32"/>
  <c r="CR40" i="32"/>
  <c r="CQ40" i="32"/>
  <c r="CP40" i="32"/>
  <c r="CO40" i="32"/>
  <c r="CN40" i="32"/>
  <c r="CM40" i="32"/>
  <c r="CL40" i="32"/>
  <c r="CK40" i="32"/>
  <c r="CJ40" i="32"/>
  <c r="CI40" i="32"/>
  <c r="CH40" i="32"/>
  <c r="CG40" i="32"/>
  <c r="CF40" i="32"/>
  <c r="CE40" i="32"/>
  <c r="CD40" i="32"/>
  <c r="CC40" i="32"/>
  <c r="CB40" i="32"/>
  <c r="CA40" i="32"/>
  <c r="BZ40" i="32"/>
  <c r="BY40" i="32"/>
  <c r="BX40" i="32"/>
  <c r="BW40" i="32"/>
  <c r="BV40" i="32"/>
  <c r="BU40" i="32"/>
  <c r="BT40" i="32"/>
  <c r="BS40" i="32"/>
  <c r="BR40" i="32"/>
  <c r="BQ40" i="32"/>
  <c r="BP40" i="32"/>
  <c r="BO40" i="32"/>
  <c r="BN40" i="32"/>
  <c r="BM40" i="32"/>
  <c r="BL40" i="32"/>
  <c r="BK40" i="32"/>
  <c r="BJ40" i="32"/>
  <c r="BI40" i="32"/>
  <c r="BH40" i="32"/>
  <c r="BG40" i="32"/>
  <c r="BF40" i="32"/>
  <c r="BE40" i="32"/>
  <c r="BD40" i="32"/>
  <c r="BC40" i="32"/>
  <c r="BB40" i="32"/>
  <c r="BA40" i="32"/>
  <c r="AZ40" i="32"/>
  <c r="AY40" i="32"/>
  <c r="AX40" i="32"/>
  <c r="AW40" i="32"/>
  <c r="AV40" i="32"/>
  <c r="AU40" i="32"/>
  <c r="AT40" i="32"/>
  <c r="AS40" i="32"/>
  <c r="AR40" i="32"/>
  <c r="AQ40" i="32"/>
  <c r="AP40" i="32"/>
  <c r="AO40" i="32"/>
  <c r="AN40" i="32"/>
  <c r="AM40" i="32"/>
  <c r="AL40" i="32"/>
  <c r="AK40" i="32"/>
  <c r="AJ40" i="32"/>
  <c r="AI40" i="32"/>
  <c r="AH40" i="32"/>
  <c r="AG40" i="32"/>
  <c r="AF40" i="32"/>
  <c r="AE40" i="32"/>
  <c r="AD40" i="32"/>
  <c r="AC40" i="32"/>
  <c r="AB40" i="32"/>
  <c r="AA40" i="32"/>
  <c r="Z40" i="32"/>
  <c r="Y40" i="32"/>
  <c r="X40" i="32"/>
  <c r="W40" i="32"/>
  <c r="V40" i="32"/>
  <c r="U40" i="32"/>
  <c r="T40" i="32"/>
  <c r="S40" i="32"/>
  <c r="R40" i="32"/>
  <c r="Q40" i="32"/>
  <c r="P40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C40" i="32"/>
  <c r="B40" i="32"/>
  <c r="B5" i="32"/>
  <c r="A6" i="31"/>
  <c r="CW40" i="19"/>
  <c r="CX40" i="19"/>
  <c r="CY40" i="19"/>
  <c r="CZ40" i="19"/>
  <c r="DA40" i="19"/>
  <c r="DB40" i="19"/>
  <c r="DC40" i="19"/>
  <c r="DD40" i="19"/>
  <c r="DE40" i="19"/>
  <c r="DF40" i="19"/>
  <c r="DG40" i="19"/>
  <c r="DH40" i="19"/>
  <c r="DI40" i="19"/>
  <c r="DJ40" i="19"/>
  <c r="DK40" i="19"/>
  <c r="DL40" i="19"/>
  <c r="DM40" i="19"/>
  <c r="DN40" i="19"/>
  <c r="DO40" i="19"/>
  <c r="DP40" i="19"/>
  <c r="DQ40" i="19"/>
  <c r="DR40" i="19"/>
  <c r="DS40" i="19"/>
  <c r="DT40" i="19"/>
  <c r="DU40" i="19"/>
  <c r="DV40" i="19"/>
  <c r="DW40" i="19"/>
  <c r="DX40" i="19"/>
  <c r="DY40" i="19"/>
  <c r="DZ40" i="19"/>
  <c r="EA40" i="19"/>
  <c r="EB40" i="19"/>
  <c r="EC40" i="19"/>
  <c r="ED40" i="19"/>
  <c r="EE40" i="19"/>
  <c r="EF40" i="19"/>
  <c r="EG40" i="19"/>
  <c r="EH40" i="19"/>
  <c r="EI40" i="19"/>
  <c r="EJ40" i="19"/>
  <c r="EK40" i="19"/>
  <c r="EL40" i="19"/>
  <c r="EM40" i="19"/>
  <c r="EN40" i="19"/>
  <c r="EO40" i="19"/>
  <c r="EP40" i="19"/>
  <c r="EQ40" i="19"/>
  <c r="B5" i="19"/>
  <c r="EQ6" i="19"/>
  <c r="CV40" i="19"/>
  <c r="CU40" i="19"/>
  <c r="CR40" i="19"/>
  <c r="CP40" i="19"/>
  <c r="CN40" i="19"/>
  <c r="CM40" i="19"/>
  <c r="CJ40" i="19"/>
  <c r="CH40" i="19"/>
  <c r="CF40" i="19"/>
  <c r="CE40" i="19"/>
  <c r="CB40" i="19"/>
  <c r="BZ40" i="19"/>
  <c r="BX40" i="19"/>
  <c r="BW40" i="19"/>
  <c r="BT40" i="19"/>
  <c r="BR40" i="19"/>
  <c r="BP40" i="19"/>
  <c r="BO40" i="19"/>
  <c r="BL40" i="19"/>
  <c r="BJ40" i="19"/>
  <c r="BH40" i="19"/>
  <c r="BG40" i="19"/>
  <c r="BD40" i="19"/>
  <c r="BB40" i="19"/>
  <c r="AZ40" i="19"/>
  <c r="AY40" i="19"/>
  <c r="AV40" i="19"/>
  <c r="AT40" i="19"/>
  <c r="AR40" i="19"/>
  <c r="AQ40" i="19"/>
  <c r="AN40" i="19"/>
  <c r="AL40" i="19"/>
  <c r="AJ40" i="19"/>
  <c r="AI40" i="19"/>
  <c r="AF40" i="19"/>
  <c r="AD40" i="19"/>
  <c r="AB40" i="19"/>
  <c r="AA40" i="19"/>
  <c r="X40" i="19"/>
  <c r="V40" i="19"/>
  <c r="T40" i="19"/>
  <c r="S40" i="19"/>
  <c r="P40" i="19"/>
  <c r="N40" i="19"/>
  <c r="L40" i="19"/>
  <c r="K40" i="19"/>
  <c r="H40" i="19"/>
  <c r="F40" i="19"/>
  <c r="D40" i="19"/>
  <c r="C40" i="19"/>
  <c r="CT40" i="19"/>
  <c r="CS40" i="19"/>
  <c r="CQ40" i="19"/>
  <c r="CO40" i="19"/>
  <c r="CL40" i="19"/>
  <c r="CK40" i="19"/>
  <c r="CI40" i="19"/>
  <c r="CG40" i="19"/>
  <c r="CD40" i="19"/>
  <c r="CC40" i="19"/>
  <c r="CA40" i="19"/>
  <c r="BY40" i="19"/>
  <c r="BV40" i="19"/>
  <c r="BU40" i="19"/>
  <c r="BS40" i="19"/>
  <c r="BQ40" i="19"/>
  <c r="BN40" i="19"/>
  <c r="BM40" i="19"/>
  <c r="BK40" i="19"/>
  <c r="BI40" i="19"/>
  <c r="BF40" i="19"/>
  <c r="BE40" i="19"/>
  <c r="BC40" i="19"/>
  <c r="BA40" i="19"/>
  <c r="AX40" i="19"/>
  <c r="AW40" i="19"/>
  <c r="AU40" i="19"/>
  <c r="AS40" i="19"/>
  <c r="AP40" i="19"/>
  <c r="AO40" i="19"/>
  <c r="AM40" i="19"/>
  <c r="AK40" i="19"/>
  <c r="AH40" i="19"/>
  <c r="AG40" i="19"/>
  <c r="AE40" i="19"/>
  <c r="AC40" i="19"/>
  <c r="Z40" i="19"/>
  <c r="Y40" i="19"/>
  <c r="W40" i="19"/>
  <c r="U40" i="19"/>
  <c r="R40" i="19"/>
  <c r="Q40" i="19"/>
  <c r="O40" i="19"/>
  <c r="M40" i="19"/>
  <c r="J40" i="19"/>
  <c r="I40" i="19"/>
  <c r="G40" i="19"/>
  <c r="F4" i="28" s="1"/>
  <c r="E40" i="19"/>
  <c r="B40" i="19"/>
  <c r="A1" i="27"/>
  <c r="B14" i="27"/>
  <c r="B13" i="27"/>
  <c r="B12" i="27"/>
  <c r="B10" i="27"/>
  <c r="B9" i="27"/>
  <c r="B8" i="27"/>
  <c r="B7" i="27"/>
  <c r="A13" i="27"/>
  <c r="A14" i="27"/>
  <c r="A12" i="27"/>
  <c r="A8" i="27"/>
  <c r="A9" i="27"/>
  <c r="A10" i="27"/>
  <c r="A7" i="27"/>
  <c r="D7" i="27" l="1"/>
  <c r="C8" i="28"/>
  <c r="C7" i="28"/>
  <c r="C6" i="28"/>
  <c r="F3" i="28"/>
  <c r="C5" i="28"/>
  <c r="D8" i="27"/>
  <c r="D6" i="27"/>
  <c r="F5" i="28"/>
  <c r="B15" i="27"/>
  <c r="A6" i="32" l="1"/>
  <c r="F6" i="20"/>
  <c r="G6" i="20"/>
  <c r="F7" i="20"/>
  <c r="G7" i="20"/>
  <c r="F8" i="20"/>
  <c r="G8" i="20"/>
  <c r="F9" i="20"/>
  <c r="G9" i="20"/>
  <c r="F10" i="20"/>
  <c r="G10" i="20"/>
  <c r="F11" i="20"/>
  <c r="G11" i="20"/>
  <c r="F12" i="20"/>
  <c r="G12" i="20"/>
  <c r="F13" i="20"/>
  <c r="G13" i="20"/>
  <c r="F14" i="20"/>
  <c r="G14" i="20"/>
  <c r="F15" i="20"/>
  <c r="G15" i="20"/>
  <c r="F16" i="20"/>
  <c r="G16" i="20"/>
  <c r="F17" i="20"/>
  <c r="G17" i="20"/>
  <c r="F18" i="20"/>
  <c r="G18" i="20"/>
  <c r="F19" i="20"/>
  <c r="G19" i="20"/>
  <c r="F20" i="20"/>
  <c r="G20" i="20"/>
  <c r="F21" i="20"/>
  <c r="G21" i="20"/>
  <c r="F22" i="20"/>
  <c r="G22" i="20"/>
  <c r="F23" i="20"/>
  <c r="G23" i="20"/>
  <c r="F24" i="20"/>
  <c r="G24" i="20"/>
  <c r="F25" i="20"/>
  <c r="G25" i="20"/>
  <c r="F26" i="20"/>
  <c r="G26" i="20"/>
  <c r="F27" i="20"/>
  <c r="G27" i="20"/>
  <c r="F28" i="20"/>
  <c r="G28" i="20"/>
  <c r="F29" i="20"/>
  <c r="G29" i="20"/>
  <c r="F30" i="20"/>
  <c r="G30" i="20"/>
  <c r="F31" i="20"/>
  <c r="G31" i="20"/>
  <c r="F32" i="20"/>
  <c r="G32" i="20"/>
  <c r="F33" i="20"/>
  <c r="G33" i="20"/>
  <c r="F34" i="20"/>
  <c r="G34" i="20"/>
  <c r="F35" i="20"/>
  <c r="G35" i="20"/>
  <c r="F36" i="20"/>
  <c r="G36" i="20"/>
  <c r="F5" i="20"/>
  <c r="G5" i="20"/>
  <c r="L15" i="33" l="1"/>
  <c r="L178" i="33"/>
  <c r="L177" i="33"/>
  <c r="L18" i="33"/>
  <c r="L183" i="33"/>
  <c r="L19" i="33"/>
  <c r="L93" i="33"/>
  <c r="L20" i="33"/>
  <c r="L16" i="33"/>
  <c r="L72" i="33"/>
  <c r="L119" i="33"/>
  <c r="L48" i="33"/>
  <c r="L164" i="33"/>
  <c r="L141" i="33"/>
  <c r="L17" i="33"/>
  <c r="L179" i="33"/>
  <c r="L44" i="33"/>
  <c r="L62" i="33"/>
  <c r="L41" i="33"/>
  <c r="L26" i="33"/>
  <c r="L33" i="33"/>
  <c r="L46" i="33"/>
  <c r="L49" i="33"/>
  <c r="L6" i="33"/>
  <c r="L11" i="33"/>
  <c r="L12" i="33"/>
  <c r="H33" i="20"/>
  <c r="H19" i="20"/>
  <c r="H25" i="20"/>
  <c r="H21" i="20"/>
  <c r="H15" i="20"/>
  <c r="H9" i="20"/>
  <c r="H7" i="20"/>
  <c r="H35" i="20"/>
  <c r="H36" i="20"/>
  <c r="H28" i="20"/>
  <c r="H26" i="20"/>
  <c r="H8" i="20"/>
  <c r="H34" i="20"/>
  <c r="H32" i="20"/>
  <c r="H31" i="20"/>
  <c r="H30" i="20"/>
  <c r="H29" i="20"/>
  <c r="H27" i="20"/>
  <c r="H24" i="20"/>
  <c r="H23" i="20"/>
  <c r="H22" i="20"/>
  <c r="H20" i="20"/>
  <c r="H18" i="20"/>
  <c r="H17" i="20"/>
  <c r="H16" i="20"/>
  <c r="H14" i="20"/>
  <c r="H13" i="20"/>
  <c r="H12" i="20"/>
  <c r="H11" i="20"/>
  <c r="H10" i="20"/>
  <c r="H6" i="20"/>
  <c r="H5" i="20"/>
  <c r="O6" i="22"/>
  <c r="N6" i="22"/>
  <c r="M6" i="22"/>
  <c r="L6" i="22"/>
  <c r="K6" i="22"/>
  <c r="J6" i="22"/>
  <c r="I6" i="22"/>
  <c r="H6" i="22"/>
  <c r="G6" i="22"/>
  <c r="F6" i="22"/>
  <c r="E6" i="22"/>
  <c r="D6" i="22"/>
  <c r="C6" i="22"/>
  <c r="B6" i="22"/>
  <c r="A6" i="22"/>
  <c r="A6" i="21" l="1"/>
  <c r="C33" i="20" l="1"/>
  <c r="I33" i="20" s="1"/>
  <c r="C5" i="20" l="1"/>
  <c r="I5" i="20" s="1"/>
  <c r="C6" i="20"/>
  <c r="I6" i="20" s="1"/>
  <c r="C7" i="20"/>
  <c r="I7" i="20" s="1"/>
  <c r="C8" i="20"/>
  <c r="I8" i="20" s="1"/>
  <c r="C9" i="20"/>
  <c r="I9" i="20" s="1"/>
  <c r="C10" i="20"/>
  <c r="I10" i="20" s="1"/>
  <c r="C11" i="20"/>
  <c r="I11" i="20" s="1"/>
  <c r="C12" i="20"/>
  <c r="I12" i="20" s="1"/>
  <c r="C13" i="20"/>
  <c r="I13" i="20" s="1"/>
  <c r="C14" i="20"/>
  <c r="I14" i="20" s="1"/>
  <c r="C15" i="20"/>
  <c r="I15" i="20" s="1"/>
  <c r="C16" i="20"/>
  <c r="I16" i="20" s="1"/>
  <c r="C17" i="20"/>
  <c r="I17" i="20" s="1"/>
  <c r="C18" i="20"/>
  <c r="I18" i="20" s="1"/>
  <c r="C19" i="20"/>
  <c r="I19" i="20" s="1"/>
  <c r="C20" i="20"/>
  <c r="I20" i="20" s="1"/>
  <c r="C21" i="20"/>
  <c r="I21" i="20" s="1"/>
  <c r="C22" i="20"/>
  <c r="I22" i="20" s="1"/>
  <c r="C23" i="20"/>
  <c r="I23" i="20" s="1"/>
  <c r="C24" i="20"/>
  <c r="I24" i="20" s="1"/>
  <c r="C25" i="20"/>
  <c r="I25" i="20" s="1"/>
  <c r="C26" i="20"/>
  <c r="I26" i="20" s="1"/>
  <c r="C27" i="20"/>
  <c r="I27" i="20" s="1"/>
  <c r="C28" i="20"/>
  <c r="I28" i="20" s="1"/>
  <c r="C29" i="20"/>
  <c r="I29" i="20" s="1"/>
  <c r="C30" i="20"/>
  <c r="I30" i="20" s="1"/>
  <c r="C31" i="20"/>
  <c r="I31" i="20" s="1"/>
  <c r="C32" i="20"/>
  <c r="I32" i="20" s="1"/>
  <c r="C34" i="20"/>
  <c r="I34" i="20" s="1"/>
  <c r="C35" i="20"/>
  <c r="I35" i="20" s="1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D19" i="20" l="1"/>
  <c r="D35" i="20"/>
  <c r="D31" i="20"/>
  <c r="D27" i="20"/>
  <c r="D23" i="20"/>
  <c r="D15" i="20"/>
  <c r="D11" i="20"/>
  <c r="D7" i="20"/>
  <c r="D32" i="20"/>
  <c r="D28" i="20"/>
  <c r="D24" i="20"/>
  <c r="D20" i="20"/>
  <c r="D16" i="20"/>
  <c r="D12" i="20"/>
  <c r="D8" i="20"/>
  <c r="C36" i="20"/>
  <c r="I36" i="20" s="1"/>
  <c r="D34" i="20"/>
  <c r="D30" i="20"/>
  <c r="D26" i="20"/>
  <c r="D22" i="20"/>
  <c r="D18" i="20"/>
  <c r="D14" i="20"/>
  <c r="D10" i="20"/>
  <c r="D6" i="20"/>
  <c r="B36" i="20"/>
  <c r="D33" i="20"/>
  <c r="D29" i="20"/>
  <c r="D25" i="20"/>
  <c r="D21" i="20"/>
  <c r="D17" i="20"/>
  <c r="D13" i="20"/>
  <c r="D9" i="20"/>
  <c r="D5" i="20"/>
  <c r="G4" i="20"/>
  <c r="F4" i="20"/>
  <c r="C4" i="20"/>
  <c r="B4" i="20"/>
  <c r="A4" i="20"/>
  <c r="D36" i="20" l="1"/>
  <c r="P2" i="18"/>
  <c r="O2" i="18"/>
  <c r="N2" i="18"/>
  <c r="M2" i="18"/>
  <c r="L2" i="18"/>
  <c r="K2" i="18"/>
  <c r="J2" i="18"/>
  <c r="I2" i="18"/>
  <c r="H2" i="18"/>
  <c r="G2" i="18"/>
  <c r="F2" i="18"/>
  <c r="E2" i="18"/>
  <c r="D2" i="18"/>
  <c r="C2" i="18"/>
  <c r="O40" i="17" l="1"/>
  <c r="C40" i="17"/>
  <c r="D40" i="17"/>
  <c r="E40" i="17"/>
  <c r="F40" i="17"/>
  <c r="G40" i="17"/>
  <c r="H40" i="17"/>
  <c r="I40" i="17"/>
  <c r="J40" i="17"/>
  <c r="K40" i="17"/>
  <c r="L40" i="17"/>
  <c r="M40" i="17"/>
  <c r="N40" i="17"/>
  <c r="B40" i="17"/>
  <c r="A6" i="17"/>
  <c r="O6" i="17"/>
  <c r="C6" i="17"/>
  <c r="D6" i="17"/>
  <c r="E6" i="17"/>
  <c r="F6" i="17"/>
  <c r="G6" i="17"/>
  <c r="H6" i="17"/>
  <c r="I6" i="17"/>
  <c r="J6" i="17"/>
  <c r="K6" i="17"/>
  <c r="L6" i="17"/>
  <c r="M6" i="17"/>
  <c r="N6" i="17"/>
  <c r="B6" i="17"/>
  <c r="P2" i="16" l="1"/>
  <c r="O2" i="16"/>
  <c r="N2" i="16"/>
  <c r="M2" i="16"/>
  <c r="L2" i="16"/>
  <c r="K2" i="16"/>
  <c r="J2" i="16"/>
  <c r="I2" i="16"/>
  <c r="H2" i="16"/>
  <c r="G2" i="16"/>
  <c r="F2" i="16"/>
  <c r="E2" i="16"/>
  <c r="D2" i="16"/>
  <c r="C2" i="16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B98" i="8"/>
  <c r="B98" i="9" s="1"/>
  <c r="B97" i="8"/>
  <c r="B97" i="9" s="1"/>
  <c r="B96" i="8"/>
  <c r="B96" i="9" s="1"/>
  <c r="B95" i="8"/>
  <c r="B95" i="9" s="1"/>
  <c r="B94" i="8"/>
  <c r="B94" i="9" s="1"/>
  <c r="B93" i="8"/>
  <c r="B93" i="9" s="1"/>
  <c r="B92" i="8"/>
  <c r="B92" i="9" s="1"/>
  <c r="B91" i="8"/>
  <c r="B91" i="9" s="1"/>
  <c r="B90" i="8"/>
  <c r="B90" i="9" s="1"/>
  <c r="B89" i="8"/>
  <c r="B89" i="9" s="1"/>
  <c r="B88" i="8"/>
  <c r="B88" i="9" s="1"/>
  <c r="B87" i="8"/>
  <c r="B87" i="9" s="1"/>
  <c r="B86" i="8"/>
  <c r="B86" i="9" s="1"/>
  <c r="B85" i="8"/>
  <c r="B85" i="9" s="1"/>
  <c r="B84" i="8"/>
  <c r="B84" i="9" s="1"/>
  <c r="B83" i="8"/>
  <c r="B83" i="9" s="1"/>
  <c r="B82" i="8"/>
  <c r="B82" i="9" s="1"/>
  <c r="B81" i="8"/>
  <c r="B81" i="9" s="1"/>
  <c r="B80" i="8"/>
  <c r="B80" i="9" s="1"/>
  <c r="B79" i="8"/>
  <c r="B79" i="9" s="1"/>
  <c r="B78" i="8"/>
  <c r="B78" i="9" s="1"/>
  <c r="B77" i="8"/>
  <c r="B77" i="9" s="1"/>
  <c r="B76" i="8"/>
  <c r="B76" i="9" s="1"/>
  <c r="B75" i="8"/>
  <c r="B75" i="9" s="1"/>
  <c r="B74" i="8"/>
  <c r="B74" i="9" s="1"/>
  <c r="B73" i="8"/>
  <c r="B73" i="9" s="1"/>
  <c r="B72" i="8"/>
  <c r="B72" i="9" s="1"/>
  <c r="B71" i="8"/>
  <c r="B71" i="9" s="1"/>
  <c r="B70" i="8"/>
  <c r="B70" i="9" s="1"/>
  <c r="B69" i="8"/>
  <c r="B69" i="9" s="1"/>
  <c r="B68" i="8"/>
  <c r="B68" i="9" s="1"/>
  <c r="B67" i="8"/>
  <c r="B67" i="9" s="1"/>
  <c r="B66" i="8"/>
  <c r="B66" i="9" s="1"/>
  <c r="B65" i="8"/>
  <c r="B65" i="9" s="1"/>
  <c r="B64" i="8"/>
  <c r="B64" i="9" s="1"/>
  <c r="B63" i="8"/>
  <c r="B63" i="9" s="1"/>
  <c r="B62" i="8"/>
  <c r="B62" i="9" s="1"/>
  <c r="B61" i="8"/>
  <c r="B61" i="9" s="1"/>
  <c r="B60" i="8"/>
  <c r="B60" i="9" s="1"/>
  <c r="B59" i="8"/>
  <c r="B59" i="9" s="1"/>
  <c r="B58" i="8"/>
  <c r="B58" i="9" s="1"/>
  <c r="B57" i="8"/>
  <c r="B57" i="9" s="1"/>
  <c r="B56" i="8"/>
  <c r="B56" i="9" s="1"/>
  <c r="B55" i="8"/>
  <c r="B55" i="9" s="1"/>
  <c r="B54" i="8"/>
  <c r="B54" i="9" s="1"/>
  <c r="B53" i="8"/>
  <c r="B53" i="9" s="1"/>
  <c r="B52" i="8"/>
  <c r="B52" i="9" s="1"/>
  <c r="B51" i="8"/>
  <c r="B51" i="9" s="1"/>
  <c r="B50" i="8"/>
  <c r="B50" i="9" s="1"/>
  <c r="B49" i="8"/>
  <c r="B49" i="9" s="1"/>
  <c r="B48" i="8"/>
  <c r="B48" i="9" s="1"/>
  <c r="B47" i="8"/>
  <c r="B47" i="9" s="1"/>
  <c r="B46" i="8"/>
  <c r="B46" i="9" s="1"/>
  <c r="B45" i="8"/>
  <c r="B45" i="9" s="1"/>
  <c r="B44" i="8"/>
  <c r="B44" i="9" s="1"/>
  <c r="B43" i="8"/>
  <c r="B43" i="9" s="1"/>
  <c r="B42" i="8"/>
  <c r="B42" i="9" s="1"/>
  <c r="B41" i="8"/>
  <c r="B41" i="9" s="1"/>
  <c r="B40" i="8"/>
  <c r="B40" i="9" s="1"/>
  <c r="B39" i="8"/>
  <c r="B39" i="9" s="1"/>
  <c r="B38" i="8"/>
  <c r="B38" i="9" s="1"/>
  <c r="B37" i="8"/>
  <c r="B37" i="9" s="1"/>
  <c r="B36" i="8"/>
  <c r="B36" i="9" s="1"/>
  <c r="B35" i="8"/>
  <c r="B35" i="9" s="1"/>
  <c r="B34" i="8"/>
  <c r="B34" i="9" s="1"/>
  <c r="B33" i="8"/>
  <c r="B33" i="9" s="1"/>
  <c r="B32" i="8"/>
  <c r="B32" i="9" s="1"/>
  <c r="B31" i="8"/>
  <c r="B31" i="9" s="1"/>
  <c r="B30" i="8"/>
  <c r="B30" i="9" s="1"/>
  <c r="B29" i="8"/>
  <c r="B29" i="9" s="1"/>
  <c r="B28" i="8"/>
  <c r="B28" i="9" s="1"/>
  <c r="B27" i="8"/>
  <c r="B27" i="9" s="1"/>
  <c r="B26" i="8"/>
  <c r="B26" i="9" s="1"/>
  <c r="B25" i="8"/>
  <c r="B25" i="9" s="1"/>
  <c r="B24" i="8"/>
  <c r="B24" i="9" s="1"/>
  <c r="B23" i="8"/>
  <c r="B23" i="9" s="1"/>
  <c r="B22" i="8"/>
  <c r="B22" i="9" s="1"/>
  <c r="B21" i="8"/>
  <c r="B21" i="9" s="1"/>
  <c r="B20" i="8"/>
  <c r="B20" i="9" s="1"/>
  <c r="B19" i="8"/>
  <c r="B19" i="9" s="1"/>
  <c r="B18" i="8"/>
  <c r="B18" i="9" s="1"/>
  <c r="B17" i="8"/>
  <c r="B17" i="9" s="1"/>
  <c r="B16" i="8"/>
  <c r="B16" i="9" s="1"/>
  <c r="B15" i="8"/>
  <c r="B15" i="9" s="1"/>
  <c r="B14" i="8"/>
  <c r="B14" i="9" s="1"/>
  <c r="B13" i="8"/>
  <c r="B13" i="9" s="1"/>
  <c r="B12" i="8"/>
  <c r="B12" i="9" s="1"/>
  <c r="B11" i="8"/>
  <c r="B11" i="9" s="1"/>
  <c r="B10" i="8"/>
  <c r="B10" i="9" s="1"/>
  <c r="B9" i="8"/>
  <c r="B9" i="9" s="1"/>
  <c r="B8" i="8"/>
  <c r="B8" i="9" s="1"/>
  <c r="B7" i="8"/>
  <c r="B7" i="9" s="1"/>
  <c r="B6" i="8"/>
  <c r="B6" i="9" s="1"/>
  <c r="B5" i="8"/>
  <c r="B5" i="9" s="1"/>
  <c r="B4" i="8"/>
  <c r="B4" i="9" s="1"/>
  <c r="B3" i="8"/>
  <c r="B3" i="9" s="1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B6" i="4"/>
  <c r="A6" i="4"/>
  <c r="A2" i="8" s="1"/>
  <c r="A2" i="9" s="1"/>
  <c r="J17" i="2"/>
  <c r="B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B2" i="7" l="1"/>
  <c r="A2" i="18"/>
  <c r="A2" i="13"/>
  <c r="A2" i="12"/>
  <c r="A2" i="16"/>
  <c r="A2" i="11"/>
  <c r="A2" i="15"/>
  <c r="A2" i="10"/>
  <c r="A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PMI</author>
  </authors>
  <commentList>
    <comment ref="I2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 DG_EMY.DG_AUXILIARY_PANEL
2 MLTP1.P-09_PDB_FIRE_HYDRANT
3 MLTP1.P-10_PDB_WATER_SUPPLY
4 MLTP5.CAP_INCOMER_WS-4_
5 MLTP4.CAPACITOR_INCOMER
6 MLTP3.CAPACITOR_INCOMER
7 MLTP2.CAPACITOR_INCOMER
8 MLTP1.CAPACITOR_INCOMER
9 DG_EMY.UTILITY_SDB
10 DG_EMY.UPS_PANEL
11 DG_EMY.PDB_STP
12 DG_EMY.PDB_HSD
13 MLTP1.DG_AUXILIARY_PANEL
14 MLTP1.PDB_UTILITY
15 MLTP3.UPS_AC-04
16 MLTP3.UPS_AC-03
17 MLTP3.UPS_AC-02
18 MLTP3.UPS_AC-01</t>
        </r>
      </text>
    </comment>
    <comment ref="I22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19 DG_EMY.1L1-1_SDB_LIGHT_OFFICE_G_F
20 DG_EMY.1L3_SDB_POWER_G_F_OFFICE
21 DG_EMY.2L2_SDB_POWER_CANTEEN
22 DG_EMY.2L2_SDB_LIGHT_CANTEEN
23 DG_EMY.1L2_PASSAGE_POWER_LIGHT_G_F
24 DG_EMY.EXT_OUT_DOOR_SDB
25 DG_EMY.2L1_PASSAGE_POWER_LIGHT_F_F
26 MLDB.L-4_SDB_FACTORY_1
27 MLDB.CRECHE_SDB
28 MLDB.SDB-1_W_HOUSE
29 MLDB.L-1_SDB_FACTORY
30 MLDB.SDB_L5
31 MLDB.L-3_SDB_FACTORY
32 MLDB.L-4_SDB_FACTORY_2
33 MLTP3.SDB-1_NEW_WAREHOUSE
34 MLTP3.P-3_PDB_PROCESS_C_T
35 MLDB.SDB-_L2</t>
        </r>
      </text>
    </comment>
    <comment ref="I23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36 MLTP1.CRECH-AC_VENTILATION
37 MLTP5.1P1_PDB_OFFICE_AC_GF_QA_ROOM
38 MLTP5.AIR_WASHER_SQD_AC
39 MLTP5.2P1_CANTEEN_PDB</t>
        </r>
      </text>
    </comment>
    <comment ref="I24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40 MLTP1.COMPRESSOR_PANEL-01
41 MLTP4.COMPRESSOR_PANE
</t>
        </r>
      </text>
    </comment>
    <comment ref="I25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42 MLTP3.P-5_PDB_AHU_PANEL-2_ON_MAZZFLOOR
43 MLTP3.PDB_AC_CHILLER_PANEL
44 MLTP3.PDB-4_AHU
45 MLTP5.CHILLER-2
46 MLTP5.CHILLER-1
47 MLTP5.CHILLER-5
48 MLTP5.CHILLER-3
49 MLTP5.CHILLER-4
50 MLTP5.WAREHOUSE_AC_PANEL
</t>
        </r>
      </text>
    </comment>
    <comment ref="I26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51 MLTP2.P-T4-2_PROCESS_PANEL
52 MLTP4.PT_4-1
53 MLTP2.P-T3-2_PROCESS_PANEL
54 MLTP2.P-T1-1_PROCESS_PANEL
55 MLTP2.P-T1-2_PROCESS_PANEL
56 MLTP2.P-T17-1
57 MLTP3.P-T17-2
58 MLTP3.P-T3-1_PROCESS_PANEL
59 MLTP4.P-T7-1_PROCESS_PANEL
60 MLTP2.P-T7-2_PROCESS_PANEL
61 MLTP3.P-T18-1
62 MLTP3.P-T18-2</t>
        </r>
      </text>
    </comment>
    <comment ref="I27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63 MLTP2.P-T-14_PROCESS_PANEL
64 MLTP2.P-T19
65 MLTP2.P-T-13_PROCESS_PANEL
66 MLTP2.P-T-10_PROCESS_PANEL
67 MLTP2.P-T-09_PROCESS_PANEL
68 MLTP2.P-T12_PROCESS_PANEL
69 MLTP3.P-T16_PROCESS_PANEL
</t>
        </r>
      </text>
    </comment>
    <comment ref="I28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70 MLTP2.PP-5
71 MLTP2.PP-4
72 MLTP2.PP-3
73 MLTP2.PP-1
74 MLTP2.PP-2
75 MLTP4.PA-W3_PP_LINK_LINE-5_13_</t>
        </r>
      </text>
    </comment>
    <comment ref="I2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76 MLTP4.BF_23_LINE
77 MLTP4.PDB_SUBPANEL
78 MLTP3.PAF-2_DP-2_
79 MLTP3.PAF-1_DP-1_
</t>
        </r>
      </text>
    </comment>
    <comment ref="I30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80 MLTP4.PAF-4_DP-4_
81 MLTP4.PAF-3_DP-3_
82 MLTP2.MACHINE-5
83 MLTP2.B-Pt_WELDING_M_C
84 MLTP4.PA-W21_PP_REARMOTER_ASSY
85 MLTP4.PA-W10_PP_STATOR_LINE_2_3_13
86 MLTP4.PA-W27_PP_PANUC_ROBODRILL
87 MLTP4.PA-W7_PP_MOTER_ASSY
88 MLTP4.PA-W56
89 MLTP4.PA-B3
90 MLTP4.B-13_PROCESS_PANEL
91 MLTP4.PA-B14
92 MLTP4.PA-B2_PP_HOUSEING_SUB_ASSY_13
93 MLTP3.PA-B12_PP_MOTER_ASSY_13
94 MLTP4.PA-B1
</t>
        </r>
      </text>
    </comment>
    <comment ref="I31" authorId="0" shapeId="0" xr:uid="{C9132576-E97F-496A-A8B7-D53D0811D813}">
      <text>
        <r>
          <rPr>
            <b/>
            <sz val="9"/>
            <color indexed="81"/>
            <rFont val="Tahoma"/>
          </rPr>
          <t>PMI:</t>
        </r>
        <r>
          <rPr>
            <sz val="9"/>
            <color indexed="81"/>
            <rFont val="Tahoma"/>
          </rPr>
          <t xml:space="preserve">
95 MLTP1.P-S2_PDB_R_SHUTTER_3_DELTA_
96 MLTP1.P-S3_PDB_R_SHUTTER_3Q
97 MLTP1.PS-5_PDB_R_SHUTTER
98 MLTP1.P-C_CRANE_PANEL_SUPPLY_TO_CRANE
99 MLTP4.P-6_PDB_PRESS_EXHAUST
100 MLTP4.P-7_PDB_PRESS_EXHAUST_
101 MLTP1.PDB-01_WAREHOUSE
102 MLTP4.QA_ROOM
103 MLTP2.Q_A_CHAMBER_M_C
104 MLTP1.PCD_OFFICE_AC_PANEL
</t>
        </r>
      </text>
    </comment>
    <comment ref="I32" authorId="0" shapeId="0" xr:uid="{E39ECD16-2219-4CB0-834E-BB4F78298AD6}">
      <text>
        <r>
          <rPr>
            <b/>
            <sz val="9"/>
            <color indexed="81"/>
            <rFont val="Tahoma"/>
            <charset val="1"/>
          </rPr>
          <t>PMI:</t>
        </r>
        <r>
          <rPr>
            <sz val="9"/>
            <color indexed="81"/>
            <rFont val="Tahoma"/>
            <charset val="1"/>
          </rPr>
          <t xml:space="preserve">
105 MLDB.SPARE_2
106 MLTP1.SPARE_1
107 MLTP1.SPARE_2
108 MLTP1.SPARE_3
109 MLTP1.SPARE_4
110 MLTP1.SPARE_5
111 MLTP1.SPARE_6
112 MLTP2.SPARE_1
113 MLTP2.SPARE_2
114 MLTP2.SPARE_3
115 MLTP2.SPARE_4
116 MLTP3.SPARE_1
117 MLTP3.SPARE_2
118 MLTP3.SPARE_3
119 MLTP5.SPARE-1
120 MLTP5.SPARE-6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PMI</author>
  </authors>
  <commentList>
    <comment ref="J21" authorId="0" shapeId="0" xr:uid="{6380D10B-2724-4FE0-92FB-9D0280D75EA5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 DG_EMY.DG_AUXILIARY_PANEL
2 MLTP1.P-09_PDB_FIRE_HYDRANT
3 MLTP1.P-10_PDB_WATER_SUPPLY
4 MLTP5.CAP_INCOMER_WS-4_
5 MLTP4.CAPACITOR_INCOMER
6 MLTP3.CAPACITOR_INCOMER
7 MLTP2.CAPACITOR_INCOMER
8 MLTP1.CAPACITOR_INCOMER
9 DG_EMY.UTILITY_SDB
10 DG_EMY.UPS_PANEL
11 DG_EMY.PDB_STP
12 DG_EMY.PDB_HSD
13 MLTP1.DG_AUXILIARY_PANEL
14 MLTP1.PDB_UTILITY
15 MLTP3.UPS_AC-04
16 MLTP3.UPS_AC-03
17 MLTP3.UPS_AC-02
18 MLTP3.UPS_AC-01</t>
        </r>
      </text>
    </comment>
    <comment ref="J22" authorId="0" shapeId="0" xr:uid="{60009AE9-E4BA-4D7E-99CE-4D08974057F3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19 DG_EMY.1L1-1_SDB_LIGHT_OFFICE_G_F
20 DG_EMY.1L3_SDB_POWER_G_F_OFFICE
21 DG_EMY.2L2_SDB_POWER_CANTEEN
22 DG_EMY.2L2_SDB_LIGHT_CANTEEN
23 DG_EMY.1L2_PASSAGE_POWER_LIGHT_G_F
24 DG_EMY.EXT_OUT_DOOR_SDB
25 DG_EMY.2L1_PASSAGE_POWER_LIGHT_F_F
26 MLDB.L-4_SDB_FACTORY_1
27 MLDB.CRECHE_SDB
28 MLDB.SDB-1_W_HOUSE
29 MLDB.L-1_SDB_FACTORY
30 MLDB.SDB_L5
31 MLDB.L-3_SDB_FACTORY
32 MLDB.L-4_SDB_FACTORY_2
33 MLTP3.SDB-1_NEW_WAREHOUSE
34 MLTP3.P-3_PDB_PROCESS_C_T
35 MLDB.SDB-_L2</t>
        </r>
      </text>
    </comment>
    <comment ref="J23" authorId="0" shapeId="0" xr:uid="{F09AC202-086D-4A7B-BEF3-9B2B705BCE0D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36 MLTP1.CRECH-AC_VENTILATION
37 MLTP5.1P1_PDB_OFFICE_AC_GF_QA_ROOM
38 MLTP5.AIR_WASHER_SQD_AC
39 MLTP5.2P1_CANTEEN_PDB</t>
        </r>
      </text>
    </comment>
    <comment ref="J24" authorId="0" shapeId="0" xr:uid="{2FE34EFB-EC16-4C45-B5BE-42D2FB8CFB3D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40 MLTP1.COMPRESSOR_PANEL-01
41 MLTP4.COMPRESSOR_PANE
</t>
        </r>
      </text>
    </comment>
    <comment ref="J25" authorId="0" shapeId="0" xr:uid="{F74820C2-7153-4117-89D0-8E9A2EEE98D1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42 MLTP3.P-5_PDB_AHU_PANEL-2_ON_MAZZFLOOR
43 MLTP3.PDB_AC_CHILLER_PANEL
44 MLTP3.PDB-4_AHU
45 MLTP5.CHILLER-2
46 MLTP5.CHILLER-1
47 MLTP5.CHILLER-5
48 MLTP5.CHILLER-3
49 MLTP5.CHILLER-4
50 MLTP5.WAREHOUSE_AC_PANEL
</t>
        </r>
      </text>
    </comment>
    <comment ref="J26" authorId="0" shapeId="0" xr:uid="{481D194B-E828-4F95-B5D9-3BB686B9911F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51 MLTP2.P-T4-2_PROCESS_PANEL
52 MLTP4.PT_4-1
53 MLTP2.P-T3-2_PROCESS_PANEL
54 MLTP2.P-T1-1_PROCESS_PANEL
55 MLTP2.P-T1-2_PROCESS_PANEL
56 MLTP2.P-T17-1
57 MLTP3.P-T17-2
58 MLTP3.P-T3-1_PROCESS_PANEL
59 MLTP4.P-T7-1_PROCESS_PANEL
60 MLTP2.P-T7-2_PROCESS_PANEL
61 MLTP3.P-T18-1
62 MLTP3.P-T18-2</t>
        </r>
      </text>
    </comment>
    <comment ref="J27" authorId="0" shapeId="0" xr:uid="{869B218A-4F52-45EE-891F-61D1B4423885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63 MLTP2.P-T-14_PROCESS_PANEL
64 MLTP2.P-T19
65 MLTP2.P-T-13_PROCESS_PANEL
66 MLTP2.P-T-10_PROCESS_PANEL
67 MLTP2.P-T-09_PROCESS_PANEL
68 MLTP2.P-T12_PROCESS_PANEL
69 MLTP3.P-T16_PROCESS_PANEL
</t>
        </r>
      </text>
    </comment>
    <comment ref="J28" authorId="0" shapeId="0" xr:uid="{2BCB72E3-597C-4B58-8357-2EC0E8552092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70 MLTP2.PP-5
71 MLTP2.PP-4
72 MLTP2.PP-3
73 MLTP2.PP-1
74 MLTP2.PP-2
75 MLTP4.PA-W3_PP_LINK_LINE-5_13_</t>
        </r>
      </text>
    </comment>
    <comment ref="J29" authorId="0" shapeId="0" xr:uid="{8D0537E9-B59F-46C7-BECA-94358281D28E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76 MLTP4.BF_23_LINE
77 MLTP4.PDB_SUBPANEL
78 MLTP3.PAF-2_DP-2_
79 MLTP3.PAF-1_DP-1_
</t>
        </r>
      </text>
    </comment>
    <comment ref="J30" authorId="0" shapeId="0" xr:uid="{9C6C0483-7B6D-4CA6-AD55-3C27EE1F56D3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80 MLTP4.PAF-4_DP-4_
81 MLTP4.PAF-3_DP-3_
82 MLTP2.MACHINE-5
83 MLTP2.B-Pt_WELDING_M_C
84 MLTP4.PA-W21_PP_REARMOTER_ASSY
85 MLTP4.PA-W10_PP_STATOR_LINE_2_3_13
86 MLTP4.PA-W27_PP_PANUC_ROBODRILL
87 MLTP4.PA-W7_PP_MOTER_ASSY
88 MLTP4.PA-W56
89 MLTP4.PA-B3
90 MLTP4.B-13_PROCESS_PANEL
91 MLTP4.PA-B14
92 MLTP4.PA-B2_PP_HOUSEING_SUB_ASSY_13
93 MLTP3.PA-B12_PP_MOTER_ASSY_13
94 MLTP4.PA-B1
</t>
        </r>
      </text>
    </comment>
    <comment ref="J31" authorId="0" shapeId="0" xr:uid="{1407EE4A-CB46-47AF-A9F7-B96A62DE3018}">
      <text>
        <r>
          <rPr>
            <b/>
            <sz val="9"/>
            <color indexed="81"/>
            <rFont val="Tahoma"/>
          </rPr>
          <t>PMI:</t>
        </r>
        <r>
          <rPr>
            <sz val="9"/>
            <color indexed="81"/>
            <rFont val="Tahoma"/>
          </rPr>
          <t xml:space="preserve">
95 MLTP1.P-S2_PDB_R_SHUTTER_3_DELTA_
96 MLTP1.P-S3_PDB_R_SHUTTER_3Q
97 MLTP1.PS-5_PDB_R_SHUTTER
98 MLTP1.P-C_CRANE_PANEL_SUPPLY_TO_CRANE
99 MLTP4.P-6_PDB_PRESS_EXHAUST
100 MLTP4.P-7_PDB_PRESS_EXHAUST_
101 MLTP1.PDB-01_WAREHOUSE
102 MLTP4.QA_ROOM
103 MLTP2.Q_A_CHAMBER_M_C
104 MLTP1.PCD_OFFICE_AC_PANEL
</t>
        </r>
      </text>
    </comment>
    <comment ref="J32" authorId="0" shapeId="0" xr:uid="{E51B5038-C266-4CF6-B1D1-1202BEFC502C}">
      <text>
        <r>
          <rPr>
            <b/>
            <sz val="9"/>
            <color indexed="81"/>
            <rFont val="Tahoma"/>
            <charset val="1"/>
          </rPr>
          <t>PMI:</t>
        </r>
        <r>
          <rPr>
            <sz val="9"/>
            <color indexed="81"/>
            <rFont val="Tahoma"/>
            <charset val="1"/>
          </rPr>
          <t xml:space="preserve">
105 MLDB.SPARE_2
106 MLTP1.SPARE_1
107 MLTP1.SPARE_2
108 MLTP1.SPARE_3
109 MLTP1.SPARE_4
110 MLTP1.SPARE_5
111 MLTP1.SPARE_6
112 MLTP2.SPARE_1
113 MLTP2.SPARE_2
114 MLTP2.SPARE_3
115 MLTP2.SPARE_4
116 MLTP3.SPARE_1
117 MLTP3.SPARE_2
118 MLTP3.SPARE_3
119 MLTP5.SPARE-1
120 MLTP5.SPARE-6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PMI</author>
  </authors>
  <commentList>
    <comment ref="R7" authorId="0" shapeId="0" xr:uid="{FBA209D8-4332-430A-BDD9-CE850CB03BAA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 DG_EMY.DG_AUXILIARY_PANEL
2 MLTP1.P-09_PDB_FIRE_HYDRANT
3 MLTP1.P-10_PDB_WATER_SUPPLY
4 MLTP5.CAP_INCOMER_WS-4_
5 MLTP4.CAPACITOR_INCOMER
6 MLTP3.CAPACITOR_INCOMER
7 MLTP2.CAPACITOR_INCOMER
8 MLTP1.CAPACITOR_INCOMER
9 DG_EMY.UTILITY_SDB
10 DG_EMY.UPS_PANEL
11 DG_EMY.PDB_STP
12 DG_EMY.PDB_HSD
13 MLTP1.DG_AUXILIARY_PANEL
14 MLTP1.PDB_UTILITY
15 MLTP3.UPS_AC-04
16 MLTP3.UPS_AC-03
17 MLTP3.UPS_AC-02
18 MLTP3.UPS_AC-01</t>
        </r>
      </text>
    </comment>
    <comment ref="S7" authorId="0" shapeId="0" xr:uid="{7771FC1E-86E6-4684-AF8F-C745B835476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19 DG_EMY.1L1-1_SDB_LIGHT_OFFICE_G_F
20 DG_EMY.1L3_SDB_POWER_G_F_OFFICE
21 DG_EMY.2L2_SDB_POWER_CANTEEN
22 DG_EMY.2L2_SDB_LIGHT_CANTEEN
23 DG_EMY.1L2_PASSAGE_POWER_LIGHT_G_F
24 DG_EMY.EXT_OUT_DOOR_SDB
25 DG_EMY.2L1_PASSAGE_POWER_LIGHT_F_F
26 MLDB.L-4_SDB_FACTORY_1
27 MLDB.CRECHE_SDB
28 MLDB.SDB-1_W_HOUSE
29 MLDB.L-1_SDB_FACTORY
30 MLDB.SDB_L5
31 MLDB.L-3_SDB_FACTORY
32 MLDB.L-4_SDB_FACTORY_2
33 MLTP3.SDB-1_NEW_WAREHOUSE
34 MLTP3.P-3_PDB_PROCESS_C_T
35 MLDB.SDB-_L2</t>
        </r>
      </text>
    </comment>
    <comment ref="T7" authorId="0" shapeId="0" xr:uid="{09D5CBF2-6B42-4E7C-8D09-BD8B5BF687A2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36 MLTP1.CRECH-AC_VENTILATION
37 MLTP5.1P1_PDB_OFFICE_AC_GF_QA_ROOM
38 MLTP5.AIR_WASHER_SQD_AC
39 MLTP5.2P1_CANTEEN_PDB</t>
        </r>
      </text>
    </comment>
    <comment ref="U7" authorId="0" shapeId="0" xr:uid="{564CC8CC-5761-4EAF-9316-B206181C133F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40 MLTP1.COMPRESSOR_PANEL-01
41 MLTP4.COMPRESSOR_PANE
</t>
        </r>
      </text>
    </comment>
    <comment ref="V7" authorId="0" shapeId="0" xr:uid="{C805BD62-62B3-40E7-9924-CC69F69512CA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42 MLTP3.P-5_PDB_AHU_PANEL-2_ON_MAZZFLOOR
43 MLTP3.PDB_AC_CHILLER_PANEL
44 MLTP3.PDB-4_AHU
45 MLTP5.CHILLER-2
46 MLTP5.CHILLER-1
47 MLTP5.CHILLER-5
48 MLTP5.CHILLER-3
49 MLTP5.CHILLER-4
50 MLTP5.WAREHOUSE_AC_PANEL
</t>
        </r>
      </text>
    </comment>
    <comment ref="W7" authorId="0" shapeId="0" xr:uid="{A8640104-86D8-40A8-B3BD-67747BB107CB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51 MLTP2.P-T4-2_PROCESS_PANEL
52 MLTP4.PT_4-1
53 MLTP2.P-T3-2_PROCESS_PANEL
54 MLTP2.P-T1-1_PROCESS_PANEL
55 MLTP2.P-T1-2_PROCESS_PANEL
56 MLTP2.P-T17-1
57 MLTP3.P-T17-2
58 MLTP3.P-T3-1_PROCESS_PANEL
59 MLTP4.P-T7-1_PROCESS_PANEL
60 MLTP2.P-T7-2_PROCESS_PANEL
61 MLTP3.P-T18-1
62 MLTP3.P-T18-2</t>
        </r>
      </text>
    </comment>
    <comment ref="X7" authorId="0" shapeId="0" xr:uid="{F0A2BA59-B483-4E7D-B212-93C5E1CEFE6A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63 MLTP2.P-T-14_PROCESS_PANEL
64 MLTP2.P-T19
65 MLTP2.P-T-13_PROCESS_PANEL
66 MLTP2.P-T-10_PROCESS_PANEL
67 MLTP2.P-T-09_PROCESS_PANEL
68 MLTP2.P-T12_PROCESS_PANEL
69 MLTP3.P-T16_PROCESS_PANEL
</t>
        </r>
      </text>
    </comment>
    <comment ref="Y7" authorId="0" shapeId="0" xr:uid="{4F296839-7341-44E6-B291-B5F57596586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70 MLTP2.PP-5
71 MLTP2.PP-4
72 MLTP2.PP-3
73 MLTP2.PP-1
74 MLTP2.PP-2
75 MLTP4.PA-W3_PP_LINK_LINE-5_13_</t>
        </r>
      </text>
    </comment>
    <comment ref="Z7" authorId="0" shapeId="0" xr:uid="{B2586EFE-B9E4-45CE-8FD7-E8DD95ED5395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76 MLTP4.BF_23_LINE
77 MLTP4.PDB_SUBPANEL
78 MLTP3.PAF-2_DP-2_
79 MLTP3.PAF-1_DP-1_
</t>
        </r>
      </text>
    </comment>
    <comment ref="AA7" authorId="0" shapeId="0" xr:uid="{5C80BAC8-8E87-4868-9FE4-43F35BC4774E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80 MLTP4.PAF-4_DP-4_
81 MLTP4.PAF-3_DP-3_
82 MLTP2.MACHINE-5
83 MLTP2.B-Pt_WELDING_M_C
84 MLTP4.PA-W21_PP_REARMOTER_ASSY
85 MLTP4.PA-W10_PP_STATOR_LINE_2_3_13
86 MLTP4.PA-W27_PP_PANUC_ROBODRILL
87 MLTP4.PA-W7_PP_MOTER_ASSY
88 MLTP4.PA-W56
89 MLTP4.PA-B3
90 MLTP4.B-13_PROCESS_PANEL
91 MLTP4.PA-B14
92 MLTP4.PA-B2_PP_HOUSEING_SUB_ASSY_13
93 MLTP3.PA-B12_PP_MOTER_ASSY_13
94 MLTP4.PA-B1
</t>
        </r>
      </text>
    </comment>
    <comment ref="AB7" authorId="0" shapeId="0" xr:uid="{32093B9D-7831-4D9D-9D20-B321745E58AB}">
      <text>
        <r>
          <rPr>
            <b/>
            <sz val="9"/>
            <color indexed="81"/>
            <rFont val="Tahoma"/>
          </rPr>
          <t>PMI:</t>
        </r>
        <r>
          <rPr>
            <sz val="9"/>
            <color indexed="81"/>
            <rFont val="Tahoma"/>
          </rPr>
          <t xml:space="preserve">
95 MLTP1.P-S2_PDB_R_SHUTTER_3_DELTA_
96 MLTP1.P-S3_PDB_R_SHUTTER_3Q
97 MLTP1.PS-5_PDB_R_SHUTTER
98 MLTP1.P-C_CRANE_PANEL_SUPPLY_TO_CRANE
99 MLTP4.P-6_PDB_PRESS_EXHAUST
100 MLTP4.P-7_PDB_PRESS_EXHAUST_
101 MLTP1.PDB-01_WAREHOUSE
102 MLTP4.QA_ROOM
103 MLTP2.Q_A_CHAMBER_M_C
104 MLTP1.PCD_OFFICE_AC_PANEL
</t>
        </r>
      </text>
    </comment>
    <comment ref="AC7" authorId="0" shapeId="0" xr:uid="{4A37DA16-6138-4465-B77B-5B761C6487E1}">
      <text>
        <r>
          <rPr>
            <b/>
            <sz val="9"/>
            <color indexed="81"/>
            <rFont val="Tahoma"/>
            <charset val="1"/>
          </rPr>
          <t>PMI:</t>
        </r>
        <r>
          <rPr>
            <sz val="9"/>
            <color indexed="81"/>
            <rFont val="Tahoma"/>
            <charset val="1"/>
          </rPr>
          <t xml:space="preserve">
105 MLDB.SPARE_2
106 MLTP1.SPARE_1
107 MLTP1.SPARE_2
108 MLTP1.SPARE_3
109 MLTP1.SPARE_4
110 MLTP1.SPARE_5
111 MLTP1.SPARE_6
112 MLTP2.SPARE_1
113 MLTP2.SPARE_2
114 MLTP2.SPARE_3
115 MLTP2.SPARE_4
116 MLTP3.SPARE_1
117 MLTP3.SPARE_2
118 MLTP3.SPARE_3
119 MLTP5.SPARE-1
120 MLTP5.SPARE-6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PMI</author>
  </authors>
  <commentList>
    <comment ref="R7" authorId="0" shapeId="0" xr:uid="{D11E699F-9602-4428-96CA-CEA6CFE7E91C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 DG_EMY.DG_AUXILIARY_PANEL
2 MLTP1.P-09_PDB_FIRE_HYDRANT
3 MLTP1.P-10_PDB_WATER_SUPPLY
4 MLTP5.CAP_INCOMER_WS-4_
5 MLTP4.CAPACITOR_INCOMER
6 MLTP3.CAPACITOR_INCOMER
7 MLTP2.CAPACITOR_INCOMER
8 MLTP1.CAPACITOR_INCOMER
9 DG_EMY.UTILITY_SDB
10 DG_EMY.UPS_PANEL
11 DG_EMY.PDB_STP
12 DG_EMY.PDB_HSD
13 MLTP1.DG_AUXILIARY_PANEL
14 MLTP1.PDB_UTILITY
15 MLTP3.UPS_AC-04
16 MLTP3.UPS_AC-03
17 MLTP3.UPS_AC-02
18 MLTP3.UPS_AC-01</t>
        </r>
      </text>
    </comment>
    <comment ref="S7" authorId="0" shapeId="0" xr:uid="{176A2BD7-9B52-4950-A91E-8A7B3D07A022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19 DG_EMY.1L1-1_SDB_LIGHT_OFFICE_G_F
20 DG_EMY.1L3_SDB_POWER_G_F_OFFICE
21 DG_EMY.2L2_SDB_POWER_CANTEEN
22 DG_EMY.2L2_SDB_LIGHT_CANTEEN
23 DG_EMY.1L2_PASSAGE_POWER_LIGHT_G_F
24 DG_EMY.EXT_OUT_DOOR_SDB
25 DG_EMY.2L1_PASSAGE_POWER_LIGHT_F_F
26 MLDB.L-4_SDB_FACTORY_1
27 MLDB.CRECHE_SDB
28 MLDB.SDB-1_W_HOUSE
29 MLDB.L-1_SDB_FACTORY
30 MLDB.SDB_L5
31 MLDB.L-3_SDB_FACTORY
32 MLDB.L-4_SDB_FACTORY_2
33 MLTP3.SDB-1_NEW_WAREHOUSE
34 MLTP3.P-3_PDB_PROCESS_C_T
35 MLDB.SDB-_L2</t>
        </r>
      </text>
    </comment>
    <comment ref="T7" authorId="0" shapeId="0" xr:uid="{FFB96397-58CA-4FE7-A734-5BC13583CC89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36 MLTP1.CRECH-AC_VENTILATION
37 MLTP5.1P1_PDB_OFFICE_AC_GF_QA_ROOM
38 MLTP5.AIR_WASHER_SQD_AC
39 MLTP5.2P1_CANTEEN_PDB</t>
        </r>
      </text>
    </comment>
    <comment ref="U7" authorId="0" shapeId="0" xr:uid="{31A85B6E-6FE1-474A-ABC9-369CA9DA34E4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40 MLTP1.COMPRESSOR_PANEL-01
41 MLTP4.COMPRESSOR_PANE
</t>
        </r>
      </text>
    </comment>
    <comment ref="V7" authorId="0" shapeId="0" xr:uid="{7B3D44B1-935D-4D02-A5AF-B74B1C4F76E2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42 MLTP3.P-5_PDB_AHU_PANEL-2_ON_MAZZFLOOR
43 MLTP3.PDB_AC_CHILLER_PANEL
44 MLTP3.PDB-4_AHU
45 MLTP5.CHILLER-2
46 MLTP5.CHILLER-1
47 MLTP5.CHILLER-5
48 MLTP5.CHILLER-3
49 MLTP5.CHILLER-4
50 MLTP5.WAREHOUSE_AC_PANEL
</t>
        </r>
      </text>
    </comment>
    <comment ref="W7" authorId="0" shapeId="0" xr:uid="{23AFBE37-6AE6-4958-A69D-A1BB839B7960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51 MLTP2.P-T4-2_PROCESS_PANEL
52 MLTP4.PT_4-1
53 MLTP2.P-T3-2_PROCESS_PANEL
54 MLTP2.P-T1-1_PROCESS_PANEL
55 MLTP2.P-T1-2_PROCESS_PANEL
56 MLTP2.P-T17-1
57 MLTP3.P-T17-2
58 MLTP3.P-T3-1_PROCESS_PANEL
59 MLTP4.P-T7-1_PROCESS_PANEL
60 MLTP2.P-T7-2_PROCESS_PANEL
61 MLTP3.P-T18-1
62 MLTP3.P-T18-2</t>
        </r>
      </text>
    </comment>
    <comment ref="X7" authorId="0" shapeId="0" xr:uid="{507884F5-BA76-40ED-B7DE-9539ACBCF1FA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63 MLTP2.P-T-14_PROCESS_PANEL
64 MLTP2.P-T19
65 MLTP2.P-T-13_PROCESS_PANEL
66 MLTP2.P-T-10_PROCESS_PANEL
67 MLTP2.P-T-09_PROCESS_PANEL
68 MLTP2.P-T12_PROCESS_PANEL
69 MLTP3.P-T16_PROCESS_PANEL
</t>
        </r>
      </text>
    </comment>
    <comment ref="Y7" authorId="0" shapeId="0" xr:uid="{283BADA2-7F62-4F83-AF98-0ACF0D3BE399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70 MLTP2.PP-5
71 MLTP2.PP-4
72 MLTP2.PP-3
73 MLTP2.PP-1
74 MLTP2.PP-2
75 MLTP4.PA-W3_PP_LINK_LINE-5_13_</t>
        </r>
      </text>
    </comment>
    <comment ref="Z7" authorId="0" shapeId="0" xr:uid="{97C7949A-069C-4811-92EA-FD99CB7B741E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76 MLTP4.BF_23_LINE
77 MLTP4.PDB_SUBPANEL
78 MLTP3.PAF-2_DP-2_
79 MLTP3.PAF-1_DP-1_
</t>
        </r>
      </text>
    </comment>
    <comment ref="AA7" authorId="0" shapeId="0" xr:uid="{801D6875-AE5B-42C3-8422-2B7CCC8570A3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80 MLTP4.PAF-4_DP-4_
81 MLTP4.PAF-3_DP-3_
82 MLTP2.MACHINE-5
83 MLTP2.B-Pt_WELDING_M_C
84 MLTP4.PA-W21_PP_REARMOTER_ASSY
85 MLTP4.PA-W10_PP_STATOR_LINE_2_3_13
86 MLTP4.PA-W27_PP_PANUC_ROBODRILL
87 MLTP4.PA-W7_PP_MOTER_ASSY
88 MLTP4.PA-W56
89 MLTP4.PA-B3
90 MLTP4.B-13_PROCESS_PANEL
91 MLTP4.PA-B14
92 MLTP4.PA-B2_PP_HOUSEING_SUB_ASSY_13
93 MLTP3.PA-B12_PP_MOTER_ASSY_13
94 MLTP4.PA-B1
</t>
        </r>
      </text>
    </comment>
    <comment ref="AB7" authorId="0" shapeId="0" xr:uid="{9350B5DD-19F3-4496-9864-475D8508031C}">
      <text>
        <r>
          <rPr>
            <b/>
            <sz val="9"/>
            <color indexed="81"/>
            <rFont val="Tahoma"/>
          </rPr>
          <t>PMI:</t>
        </r>
        <r>
          <rPr>
            <sz val="9"/>
            <color indexed="81"/>
            <rFont val="Tahoma"/>
          </rPr>
          <t xml:space="preserve">
95 MLTP1.P-S2_PDB_R_SHUTTER_3_DELTA_
96 MLTP1.P-S3_PDB_R_SHUTTER_3Q
97 MLTP1.PS-5_PDB_R_SHUTTER
98 MLTP1.P-C_CRANE_PANEL_SUPPLY_TO_CRANE
99 MLTP4.P-6_PDB_PRESS_EXHAUST
100 MLTP4.P-7_PDB_PRESS_EXHAUST_
101 MLTP1.PDB-01_WAREHOUSE
102 MLTP4.QA_ROOM
103 MLTP2.Q_A_CHAMBER_M_C
104 MLTP1.PCD_OFFICE_AC_PANEL
</t>
        </r>
      </text>
    </comment>
    <comment ref="AC7" authorId="0" shapeId="0" xr:uid="{33CADA8E-2C90-47DD-BB78-3F4BC94E084F}">
      <text>
        <r>
          <rPr>
            <b/>
            <sz val="9"/>
            <color indexed="81"/>
            <rFont val="Tahoma"/>
            <charset val="1"/>
          </rPr>
          <t>PMI:</t>
        </r>
        <r>
          <rPr>
            <sz val="9"/>
            <color indexed="81"/>
            <rFont val="Tahoma"/>
            <charset val="1"/>
          </rPr>
          <t xml:space="preserve">
105 MLDB.SPARE_2
106 MLTP1.SPARE_1
107 MLTP1.SPARE_2
108 MLTP1.SPARE_3
109 MLTP1.SPARE_4
110 MLTP1.SPARE_5
111 MLTP1.SPARE_6
112 MLTP2.SPARE_1
113 MLTP2.SPARE_2
114 MLTP2.SPARE_3
115 MLTP2.SPARE_4
116 MLTP3.SPARE_1
117 MLTP3.SPARE_2
118 MLTP3.SPARE_3
119 MLTP5.SPARE-1
120 MLTP5.SPARE-6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PMI</author>
  </authors>
  <commentList>
    <comment ref="R7" authorId="0" shapeId="0" xr:uid="{6A789947-CFEB-4948-9A88-A8A1A739B80D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 DG_EMY.DG_AUXILIARY_PANEL
2 MLTP1.P-09_PDB_FIRE_HYDRANT
3 MLTP1.P-10_PDB_WATER_SUPPLY
4 MLTP5.CAP_INCOMER_WS-4_
5 MLTP4.CAPACITOR_INCOMER
6 MLTP3.CAPACITOR_INCOMER
7 MLTP2.CAPACITOR_INCOMER
8 MLTP1.CAPACITOR_INCOMER
9 DG_EMY.UTILITY_SDB
10 DG_EMY.UPS_PANEL
11 DG_EMY.PDB_STP
12 DG_EMY.PDB_HSD
13 MLTP1.DG_AUXILIARY_PANEL
14 MLTP1.PDB_UTILITY
15 MLTP3.UPS_AC-04
16 MLTP3.UPS_AC-03
17 MLTP3.UPS_AC-02
18 MLTP3.UPS_AC-01</t>
        </r>
      </text>
    </comment>
    <comment ref="S7" authorId="0" shapeId="0" xr:uid="{7C6E462D-B620-45E6-80F9-B43F99B6F7A4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19 DG_EMY.1L1-1_SDB_LIGHT_OFFICE_G_F
20 DG_EMY.1L3_SDB_POWER_G_F_OFFICE
21 DG_EMY.2L2_SDB_POWER_CANTEEN
22 DG_EMY.2L2_SDB_LIGHT_CANTEEN
23 DG_EMY.1L2_PASSAGE_POWER_LIGHT_G_F
24 DG_EMY.EXT_OUT_DOOR_SDB
25 DG_EMY.2L1_PASSAGE_POWER_LIGHT_F_F
26 MLDB.L-4_SDB_FACTORY_1
27 MLDB.CRECHE_SDB
28 MLDB.SDB-1_W_HOUSE
29 MLDB.L-1_SDB_FACTORY
30 MLDB.SDB_L5
31 MLDB.L-3_SDB_FACTORY
32 MLDB.L-4_SDB_FACTORY_2
33 MLTP3.SDB-1_NEW_WAREHOUSE
34 MLTP3.P-3_PDB_PROCESS_C_T
35 MLDB.SDB-_L2</t>
        </r>
      </text>
    </comment>
    <comment ref="T7" authorId="0" shapeId="0" xr:uid="{7E9FAF33-88A8-410A-83C7-65CE12B43F08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36 MLTP1.CRECH-AC_VENTILATION
37 MLTP5.1P1_PDB_OFFICE_AC_GF_QA_ROOM
38 MLTP5.AIR_WASHER_SQD_AC
39 MLTP5.2P1_CANTEEN_PDB</t>
        </r>
      </text>
    </comment>
    <comment ref="U7" authorId="0" shapeId="0" xr:uid="{7DA9C636-9E01-4E6C-A741-B5E20422F50C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40 MLTP1.COMPRESSOR_PANEL-01
41 MLTP4.COMPRESSOR_PANE
</t>
        </r>
      </text>
    </comment>
    <comment ref="V7" authorId="0" shapeId="0" xr:uid="{5811627C-ADA2-4389-A652-3CB12689F63A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42 MLTP3.P-5_PDB_AHU_PANEL-2_ON_MAZZFLOOR
43 MLTP3.PDB_AC_CHILLER_PANEL
44 MLTP3.PDB-4_AHU
45 MLTP5.CHILLER-2
46 MLTP5.CHILLER-1
47 MLTP5.CHILLER-5
48 MLTP5.CHILLER-3
49 MLTP5.CHILLER-4
50 MLTP5.WAREHOUSE_AC_PANEL
</t>
        </r>
      </text>
    </comment>
    <comment ref="W7" authorId="0" shapeId="0" xr:uid="{AC34552F-42F7-4288-865C-E1EAA3AAC844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51 MLTP2.P-T4-2_PROCESS_PANEL
52 MLTP4.PT_4-1
53 MLTP2.P-T3-2_PROCESS_PANEL
54 MLTP2.P-T1-1_PROCESS_PANEL
55 MLTP2.P-T1-2_PROCESS_PANEL
56 MLTP2.P-T17-1
57 MLTP3.P-T17-2
58 MLTP3.P-T3-1_PROCESS_PANEL
59 MLTP4.P-T7-1_PROCESS_PANEL
60 MLTP2.P-T7-2_PROCESS_PANEL
61 MLTP3.P-T18-1
62 MLTP3.P-T18-2</t>
        </r>
      </text>
    </comment>
    <comment ref="X7" authorId="0" shapeId="0" xr:uid="{35F37794-4E7B-4331-A356-D7FF166F71D9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63 MLTP2.P-T-14_PROCESS_PANEL
64 MLTP2.P-T19
65 MLTP2.P-T-13_PROCESS_PANEL
66 MLTP2.P-T-10_PROCESS_PANEL
67 MLTP2.P-T-09_PROCESS_PANEL
68 MLTP2.P-T12_PROCESS_PANEL
69 MLTP3.P-T16_PROCESS_PANEL
</t>
        </r>
      </text>
    </comment>
    <comment ref="Y7" authorId="0" shapeId="0" xr:uid="{32A81464-47F9-457F-96BC-F622B433E6DF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70 MLTP2.PP-5
71 MLTP2.PP-4
72 MLTP2.PP-3
73 MLTP2.PP-1
74 MLTP2.PP-2
75 MLTP4.PA-W3_PP_LINK_LINE-5_13_</t>
        </r>
      </text>
    </comment>
    <comment ref="Z7" authorId="0" shapeId="0" xr:uid="{0914E66C-B29D-454A-A315-6F14C70C7823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76 MLTP4.BF_23_LINE
77 MLTP4.PDB_SUBPANEL
78 MLTP3.PAF-2_DP-2_
79 MLTP3.PAF-1_DP-1_
</t>
        </r>
      </text>
    </comment>
    <comment ref="AA7" authorId="0" shapeId="0" xr:uid="{940F266E-A22C-4D72-B788-4EC97C0E5942}">
      <text>
        <r>
          <rPr>
            <b/>
            <sz val="9"/>
            <color indexed="81"/>
            <rFont val="Tahoma"/>
            <family val="2"/>
          </rPr>
          <t>PMI:</t>
        </r>
        <r>
          <rPr>
            <sz val="9"/>
            <color indexed="81"/>
            <rFont val="Tahoma"/>
            <family val="2"/>
          </rPr>
          <t xml:space="preserve">
80 MLTP4.PAF-4_DP-4_
81 MLTP4.PAF-3_DP-3_
82 MLTP2.MACHINE-5
83 MLTP2.B-Pt_WELDING_M_C
84 MLTP4.PA-W21_PP_REARMOTER_ASSY
85 MLTP4.PA-W10_PP_STATOR_LINE_2_3_13
86 MLTP4.PA-W27_PP_PANUC_ROBODRILL
87 MLTP4.PA-W7_PP_MOTER_ASSY
88 MLTP4.PA-W56
89 MLTP4.PA-B3
90 MLTP4.B-13_PROCESS_PANEL
91 MLTP4.PA-B14
92 MLTP4.PA-B2_PP_HOUSEING_SUB_ASSY_13
93 MLTP3.PA-B12_PP_MOTER_ASSY_13
94 MLTP4.PA-B1
</t>
        </r>
      </text>
    </comment>
    <comment ref="AB7" authorId="0" shapeId="0" xr:uid="{C80B7366-7EF7-4AD9-B562-262BE2DB0040}">
      <text>
        <r>
          <rPr>
            <b/>
            <sz val="9"/>
            <color indexed="81"/>
            <rFont val="Tahoma"/>
          </rPr>
          <t>PMI:</t>
        </r>
        <r>
          <rPr>
            <sz val="9"/>
            <color indexed="81"/>
            <rFont val="Tahoma"/>
          </rPr>
          <t xml:space="preserve">
95 MLTP1.P-S2_PDB_R_SHUTTER_3_DELTA_
96 MLTP1.P-S3_PDB_R_SHUTTER_3Q
97 MLTP1.PS-5_PDB_R_SHUTTER
98 MLTP1.P-C_CRANE_PANEL_SUPPLY_TO_CRANE
99 MLTP4.P-6_PDB_PRESS_EXHAUST
100 MLTP4.P-7_PDB_PRESS_EXHAUST_
101 MLTP1.PDB-01_WAREHOUSE
102 MLTP4.QA_ROOM
103 MLTP2.Q_A_CHAMBER_M_C
104 MLTP1.PCD_OFFICE_AC_PANEL
</t>
        </r>
      </text>
    </comment>
    <comment ref="AC7" authorId="0" shapeId="0" xr:uid="{9DA7A0E3-5242-48FD-B146-179C9A750D12}">
      <text>
        <r>
          <rPr>
            <b/>
            <sz val="9"/>
            <color indexed="81"/>
            <rFont val="Tahoma"/>
            <charset val="1"/>
          </rPr>
          <t>PMI:</t>
        </r>
        <r>
          <rPr>
            <sz val="9"/>
            <color indexed="81"/>
            <rFont val="Tahoma"/>
            <charset val="1"/>
          </rPr>
          <t xml:space="preserve">
105 MLDB.SPARE_2
106 MLTP1.SPARE_1
107 MLTP1.SPARE_2
108 MLTP1.SPARE_3
109 MLTP1.SPARE_4
110 MLTP1.SPARE_5
111 MLTP1.SPARE_6
112 MLTP2.SPARE_1
113 MLTP2.SPARE_2
114 MLTP2.SPARE_3
115 MLTP2.SPARE_4
116 MLTP3.SPARE_1
117 MLTP3.SPARE_2
118 MLTP3.SPARE_3
119 MLTP5.SPARE-1
120 MLTP5.SPARE-6
</t>
        </r>
      </text>
    </comment>
  </commentList>
</comments>
</file>

<file path=xl/sharedStrings.xml><?xml version="1.0" encoding="utf-8"?>
<sst xmlns="http://schemas.openxmlformats.org/spreadsheetml/2006/main" count="4120" uniqueCount="728">
  <si>
    <t>FINAL BEFORE RESET</t>
  </si>
  <si>
    <t>INTIAL BEFORE RESET</t>
  </si>
  <si>
    <t>CONS</t>
  </si>
  <si>
    <t>FINAL</t>
  </si>
  <si>
    <t>INITIAL</t>
  </si>
  <si>
    <t xml:space="preserve">SF6 BREAKER </t>
  </si>
  <si>
    <t>SL</t>
  </si>
  <si>
    <t>Date</t>
  </si>
  <si>
    <t>KWH</t>
  </si>
  <si>
    <t>Feeder Names
(SCADA)</t>
  </si>
  <si>
    <t>Feeder Names (Vertical)</t>
  </si>
  <si>
    <t>METER ROOM VCB</t>
  </si>
  <si>
    <t>COMM. MAIN VCB</t>
  </si>
  <si>
    <t>MAIN ACB M. SHOP HTT-1</t>
  </si>
  <si>
    <t>MAIN ACB HT SHOP HTT-2</t>
  </si>
  <si>
    <t>HT SHOP (HTT-2)</t>
  </si>
  <si>
    <t>CNC SHOP(HTT-2)</t>
  </si>
  <si>
    <t>DG-1 ACB 750kVA</t>
  </si>
  <si>
    <t>DG-2 ACB 1000kVA</t>
  </si>
  <si>
    <t>DG-3 ACB 750kVA</t>
  </si>
  <si>
    <t>DG-4 ACB 1010kVA</t>
  </si>
  <si>
    <t>AIR COMPRESSOR 425CFM</t>
  </si>
  <si>
    <t>AIR COMPRESSOR 560CFM</t>
  </si>
  <si>
    <t>AIR COMPRESSOR 412CFM</t>
  </si>
  <si>
    <t>SPARE</t>
  </si>
  <si>
    <t xml:space="preserve">                   Hourly Consumption Report</t>
  </si>
  <si>
    <t>00:00 - 01:00</t>
  </si>
  <si>
    <t>01:00 - 02:00</t>
  </si>
  <si>
    <t xml:space="preserve">02:00 - 03:00 </t>
  </si>
  <si>
    <t xml:space="preserve">03:00 - 04:00 </t>
  </si>
  <si>
    <t>04:00 - 05:00</t>
  </si>
  <si>
    <t>05:00 - 06:00</t>
  </si>
  <si>
    <t>06:00 - 07:00</t>
  </si>
  <si>
    <t>07:00 - 08:00</t>
  </si>
  <si>
    <t>08:00 - 09:00</t>
  </si>
  <si>
    <t>09:00 - 10:00</t>
  </si>
  <si>
    <t>10:00 - 11:00</t>
  </si>
  <si>
    <t>11:00 - 12:00</t>
  </si>
  <si>
    <t>12:00 - 13:00</t>
  </si>
  <si>
    <t>13:00 - 14:00</t>
  </si>
  <si>
    <t>14:00 - 15:00</t>
  </si>
  <si>
    <t>15:00 - 16:00</t>
  </si>
  <si>
    <t>16:00 - 17:00</t>
  </si>
  <si>
    <t>17:00 - 18:00</t>
  </si>
  <si>
    <t>18:00 - 19:00</t>
  </si>
  <si>
    <t>19:00 - 20:00</t>
  </si>
  <si>
    <t>20:00 - 21:00</t>
  </si>
  <si>
    <t>21:00 - 22:00</t>
  </si>
  <si>
    <t>22:00 - 23:00</t>
  </si>
  <si>
    <t>23:00 - 00:00</t>
  </si>
  <si>
    <t>Total</t>
  </si>
  <si>
    <t xml:space="preserve">                       Energy Interval Report</t>
  </si>
  <si>
    <t xml:space="preserve">                                                        Current Interval Report</t>
  </si>
  <si>
    <t xml:space="preserve">                                                     Voltage Interval Report</t>
  </si>
  <si>
    <t xml:space="preserve">                                                Current Interval Report</t>
  </si>
  <si>
    <t xml:space="preserve">                                        Current Interval Report</t>
  </si>
  <si>
    <t xml:space="preserve">                                     Current Interval Report</t>
  </si>
  <si>
    <t xml:space="preserve">                                          Current Interval Report</t>
  </si>
  <si>
    <t xml:space="preserve">                                    Current Interval Report</t>
  </si>
  <si>
    <t>Daily Consumption Report (kVAh)</t>
  </si>
  <si>
    <t>F_HT.METER_ROOM_VCB</t>
  </si>
  <si>
    <t>F_EQUI.AIR_COMPRESSOR_425CFM</t>
  </si>
  <si>
    <t>F_EQUI.AIR_COMPRESSOR_560CFM</t>
  </si>
  <si>
    <t>F_EQUI.AIR_COMPRESSOR_412CFM</t>
  </si>
  <si>
    <t>F_HT.COMM_MAIN_VCB</t>
  </si>
  <si>
    <t>F_LT.MAIN_ACB_MACHINE_SHOP_HTT-1</t>
  </si>
  <si>
    <t>F_LT.MAIN_ACB_HT_SHOP_HTT-2</t>
  </si>
  <si>
    <t>F_LT.HT_SHOP_HTT2</t>
  </si>
  <si>
    <t>F_LT.CNC_SHOP_HTT2</t>
  </si>
  <si>
    <t>F_DG.DG1</t>
  </si>
  <si>
    <t>F_DG.DG2</t>
  </si>
  <si>
    <t>F_DG.DG3</t>
  </si>
  <si>
    <t>F_DG.DG4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</si>
  <si>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</si>
  <si>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</si>
  <si>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</si>
  <si>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</si>
  <si>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</si>
  <si>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</si>
  <si>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</si>
  <si>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</si>
  <si>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</si>
  <si>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</si>
  <si>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</si>
  <si>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</si>
  <si>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AVR losses</t>
  </si>
  <si>
    <t>LOSSES</t>
  </si>
  <si>
    <t>kW</t>
  </si>
  <si>
    <t>Feeder Name</t>
  </si>
  <si>
    <t>MD KVA Max</t>
  </si>
  <si>
    <t>MD KW Max</t>
  </si>
  <si>
    <t>kVA</t>
  </si>
  <si>
    <t>PF</t>
  </si>
  <si>
    <t>AVG</t>
  </si>
  <si>
    <t>MIN</t>
  </si>
  <si>
    <t>MAX</t>
  </si>
  <si>
    <t>DG-5</t>
  </si>
  <si>
    <t>INCOMER</t>
  </si>
  <si>
    <t>TRF-INCOMER-2</t>
  </si>
  <si>
    <t>P-T17-1</t>
  </si>
  <si>
    <t>MACHINE-5</t>
  </si>
  <si>
    <t>PP-5</t>
  </si>
  <si>
    <t>PP-1</t>
  </si>
  <si>
    <t>PP-4</t>
  </si>
  <si>
    <t>PP-3</t>
  </si>
  <si>
    <t>P-T19</t>
  </si>
  <si>
    <t>PP-2</t>
  </si>
  <si>
    <t>TRF-INCOMER-3</t>
  </si>
  <si>
    <t>P-T17-2</t>
  </si>
  <si>
    <t>P-T18-1</t>
  </si>
  <si>
    <t>P-T18-2</t>
  </si>
  <si>
    <t>TRF-INCOMER-4</t>
  </si>
  <si>
    <t>PA-B1</t>
  </si>
  <si>
    <t>PA-W56</t>
  </si>
  <si>
    <t>PA-B3</t>
  </si>
  <si>
    <t>PA-B14</t>
  </si>
  <si>
    <t>SPARE-1</t>
  </si>
  <si>
    <t>CHILLER-2</t>
  </si>
  <si>
    <t>CHILLER-1</t>
  </si>
  <si>
    <t>CHILLER-5</t>
  </si>
  <si>
    <t>CHILLER-3</t>
  </si>
  <si>
    <t>CHILLER-4</t>
  </si>
  <si>
    <t>MLTP-1</t>
  </si>
  <si>
    <t>MLTP-2</t>
  </si>
  <si>
    <t>MLTP-3</t>
  </si>
  <si>
    <t>MLTP-4</t>
  </si>
  <si>
    <t>MLTP-5</t>
  </si>
  <si>
    <t>SPARE-6</t>
  </si>
  <si>
    <t>MLDB.INCOMER</t>
  </si>
  <si>
    <t>MLDB.SPARE_1</t>
  </si>
  <si>
    <t>MLDB.CRECHE_SDB</t>
  </si>
  <si>
    <t>MLDB.SPARE_2</t>
  </si>
  <si>
    <t>MLDB.SDB-1_W_HOUSE</t>
  </si>
  <si>
    <t>MLDB.L-1_SDB_FACTORY</t>
  </si>
  <si>
    <t>MLDB.SDB_L5</t>
  </si>
  <si>
    <t>MLDB.L-3_SDB_FACTORY</t>
  </si>
  <si>
    <t>MLDB.L-4_SDB_FACTORY</t>
  </si>
  <si>
    <t>MLDB.SDB-_L2</t>
  </si>
  <si>
    <t>DG_EMY.INCOMER</t>
  </si>
  <si>
    <t>DG_EMY.UTILITY_SDB</t>
  </si>
  <si>
    <t>DG_EMY.1L1-1_SDB_LIGHT_OFFICE_G_F</t>
  </si>
  <si>
    <t>DG_EMY.1L3_SDB_POWER_G_F_OFFICE</t>
  </si>
  <si>
    <t>DG_EMY.2L2_SDB_POWER_CANTEEN</t>
  </si>
  <si>
    <t>DG_EMY.2L2_SDB_LIGHT_CANTEEN</t>
  </si>
  <si>
    <t>DG_EMY.1L2_PASSAGE_POWER_LIGHT_G_F</t>
  </si>
  <si>
    <t>DG_EMY.UPS_PANEL</t>
  </si>
  <si>
    <t>DG_EMY.EXT_OUT_DOOR_SDB</t>
  </si>
  <si>
    <t>DG_EMY.2L1_PASSAGE_POWER_LIGHT_F_F</t>
  </si>
  <si>
    <t>DG_EMY.PDB_STP</t>
  </si>
  <si>
    <t>DG_EMY.DG_AUXILIARY_PANEL</t>
  </si>
  <si>
    <t>DG_EMY.PDB_HSD</t>
  </si>
  <si>
    <t>CRECHE SDB</t>
  </si>
  <si>
    <t>SDB-1(W.HOUSE)</t>
  </si>
  <si>
    <t>L-1 SDB FACTORY</t>
  </si>
  <si>
    <t>SDB - L5</t>
  </si>
  <si>
    <t>L-3 SDB FACTORY</t>
  </si>
  <si>
    <t>SDB- L2</t>
  </si>
  <si>
    <t>UTILITY SDB</t>
  </si>
  <si>
    <t>1L1-1 SDB LIGHT OFFICE G.F</t>
  </si>
  <si>
    <t>1L3 SDB POWER G.F OFFICE</t>
  </si>
  <si>
    <t>2L2 SDB POWER CANTEEN</t>
  </si>
  <si>
    <t>2L2 SDB LIGHT CANTEEN</t>
  </si>
  <si>
    <t>1L2 PASSAGE POWER LIGHT G.F</t>
  </si>
  <si>
    <t>UPS PANEL</t>
  </si>
  <si>
    <t>EXT. (OUT DOOR) SDB</t>
  </si>
  <si>
    <t>2L1 PASSAGE POWER LIGHT F.F</t>
  </si>
  <si>
    <t>PDB STP</t>
  </si>
  <si>
    <t>DG AUXILIARY PANEL</t>
  </si>
  <si>
    <t>PDB HSD</t>
  </si>
  <si>
    <t>TRF. INCOME-1</t>
  </si>
  <si>
    <t>CRECH-AC &amp; VENTILATION</t>
  </si>
  <si>
    <t>PDB-01 WAREHOUSE</t>
  </si>
  <si>
    <t>PS-5(PDB) R SHUTTER</t>
  </si>
  <si>
    <t>COMPRESSOR PANEL-01</t>
  </si>
  <si>
    <t>PDB UTILITY</t>
  </si>
  <si>
    <t>P-S2(PDB) R SHUTTER 3 (DELTA)</t>
  </si>
  <si>
    <t>P-S3(PDB) R SHUTTER 3Q</t>
  </si>
  <si>
    <t>P-C CRANE PANEL SUPPLY TO CRANE</t>
  </si>
  <si>
    <t>PCD. OFFICE AC PANEL</t>
  </si>
  <si>
    <t>EMERGNECY POWER PANEL</t>
  </si>
  <si>
    <t>P-09(PDB) FIRE HYDRANT</t>
  </si>
  <si>
    <t>P-10(PDB) WATER SUPPLY</t>
  </si>
  <si>
    <t>CAPACITOR INCOMER</t>
  </si>
  <si>
    <t>P-T-10 PROCESS PANEL</t>
  </si>
  <si>
    <t>P-T-13 PROCESS PANEL</t>
  </si>
  <si>
    <t>P-T-14 PROCESS PANEL</t>
  </si>
  <si>
    <t>P-T-09 PROCESS PANEL</t>
  </si>
  <si>
    <t>P-T1-2 PROCESS PANEL</t>
  </si>
  <si>
    <t>P-T4-2 PROCESS PANEL</t>
  </si>
  <si>
    <t>P-T12 PROCESS PANEL</t>
  </si>
  <si>
    <t>B-Pt. WELDING M/C</t>
  </si>
  <si>
    <t>P-T7-2 PROCESS PANEL</t>
  </si>
  <si>
    <t>Q.A. CHAMBER M/C</t>
  </si>
  <si>
    <t>P-T3-2 PROCESS PANEL</t>
  </si>
  <si>
    <t>P-T1-1 PROCESS PANEL</t>
  </si>
  <si>
    <t>SDB-1 NEW WAREHOUSE</t>
  </si>
  <si>
    <t>P-5 (PDB) AHU PANEL-2 ON MAZZFLOOR</t>
  </si>
  <si>
    <t>PAF-2(DP-2)</t>
  </si>
  <si>
    <t>P-3 PDB PROCESS C/T</t>
  </si>
  <si>
    <t>PA-B12(PP) MOTER ASSY :13</t>
  </si>
  <si>
    <t>P-T16 PROCESS PANEL</t>
  </si>
  <si>
    <t>UPS AC-04</t>
  </si>
  <si>
    <t>UPS AC-03</t>
  </si>
  <si>
    <t>PDB AC CHILLER PANEL</t>
  </si>
  <si>
    <t>PDB-4 AHU</t>
  </si>
  <si>
    <t>UPS AC-02</t>
  </si>
  <si>
    <t>UPS AC-01</t>
  </si>
  <si>
    <t>P-T3-1 PROCESS PANEL</t>
  </si>
  <si>
    <t>PAF-1(DP-1)</t>
  </si>
  <si>
    <t>PAF-4 (DP-4)</t>
  </si>
  <si>
    <t>P-6 (PDB) PRESS EXHAUST</t>
  </si>
  <si>
    <t xml:space="preserve">P-7(PDB)PRESS EXHAUST </t>
  </si>
  <si>
    <t>QA ROOM</t>
  </si>
  <si>
    <t>PA-W7(PP) MOTER ASSY</t>
  </si>
  <si>
    <t>PAF-3 (DP-3)</t>
  </si>
  <si>
    <t>PA-W10(PP) STATOR LINE 2,3:13</t>
  </si>
  <si>
    <t>PT# 4-1</t>
  </si>
  <si>
    <t>COMPRESSOR PANEL</t>
  </si>
  <si>
    <t>PA-W3(PP) (LINK LINE-5:13)</t>
  </si>
  <si>
    <t>PA-W21 (PP) REARMOTER ASSY</t>
  </si>
  <si>
    <t>PA-B2(PP) HOUSEING SUB ASSY. 13</t>
  </si>
  <si>
    <t>P-T7-1 PROCESS PANEL</t>
  </si>
  <si>
    <t>B-13 PROCESS PANEL</t>
  </si>
  <si>
    <t>PA-W27 (PP) PANUC ROBODRILL</t>
  </si>
  <si>
    <t>BF 23 LINE</t>
  </si>
  <si>
    <t>PDB SUBPANEL</t>
  </si>
  <si>
    <t>1P1 (PDB) OFFICE AC GF QA ROOM</t>
  </si>
  <si>
    <t>2P1 CANTEEN PDB</t>
  </si>
  <si>
    <t>AIR WASHER &amp; SQD AC</t>
  </si>
  <si>
    <t>CAP. INCOMER (WS-4)</t>
  </si>
  <si>
    <t>DG INC</t>
  </si>
  <si>
    <t>site name</t>
  </si>
  <si>
    <t>DAILY ENERGY CONSUMPTION-PIE CHART</t>
  </si>
  <si>
    <t>ENERGY CONSUMPTION SUMMARY</t>
  </si>
  <si>
    <t>TOTAL SOURCE USAGE (KWH)</t>
  </si>
  <si>
    <t>Area Wise Energy Consumption</t>
  </si>
  <si>
    <t>HVAC</t>
  </si>
  <si>
    <t>Total Consumption (kWh)</t>
  </si>
  <si>
    <t>HT.GRID_VCB</t>
  </si>
  <si>
    <t>HT.TRAFO-1</t>
  </si>
  <si>
    <t>HT.TRAFO-2</t>
  </si>
  <si>
    <t>HT.TRAFO-3</t>
  </si>
  <si>
    <t>HT.TRAFO-4</t>
  </si>
  <si>
    <t>DG.DG_INC</t>
  </si>
  <si>
    <t>DG.DG-5</t>
  </si>
  <si>
    <t>DG.GD-4</t>
  </si>
  <si>
    <t>DG.DG-3</t>
  </si>
  <si>
    <t>DG.DG-2</t>
  </si>
  <si>
    <t>DG.DG-1</t>
  </si>
  <si>
    <t>DG.VCB_OUTGOING</t>
  </si>
  <si>
    <t>SOLAR.SOLAR-1</t>
  </si>
  <si>
    <t>SOLAR.SOLAR-2</t>
  </si>
  <si>
    <t>SOLAR.SOLAR-3</t>
  </si>
  <si>
    <t>TR-ACB.TR-1_INC</t>
  </si>
  <si>
    <t>TR-ACB.TR-2_INC</t>
  </si>
  <si>
    <t>TR-ACB.TR-3_INC</t>
  </si>
  <si>
    <t>TR-ACB.TR-4_INC</t>
  </si>
  <si>
    <t>MLTP1.TRF_INCOME-1</t>
  </si>
  <si>
    <t>MLTP1.CRECH-AC_VENTILATION</t>
  </si>
  <si>
    <t>MLTP1.SPARE_1</t>
  </si>
  <si>
    <t>MLTP1.PDB-01_WAREHOUSE</t>
  </si>
  <si>
    <t>MLTP1.PS-5_PDB_R_SHUTTER</t>
  </si>
  <si>
    <t>MLTP1.COMPRESSOR_PANEL-01</t>
  </si>
  <si>
    <t>MLTP1.SPARE_2</t>
  </si>
  <si>
    <t>MLTP1.PDB_UTILITY</t>
  </si>
  <si>
    <t>MLTP1.P-S2_PDB_R_SHUTTER_3_DELTA_</t>
  </si>
  <si>
    <t>MLTP1.SPARE_3</t>
  </si>
  <si>
    <t>MLTP1.SPARE_4</t>
  </si>
  <si>
    <t>MLTP1.SPARE_5</t>
  </si>
  <si>
    <t>MLTP1.P-S3_PDB_R_SHUTTER_3Q</t>
  </si>
  <si>
    <t>MLTP1.DG_AUXILIARY_PANEL</t>
  </si>
  <si>
    <t>MLTP1.SPARE_6</t>
  </si>
  <si>
    <t>MLTP1.P-C_CRANE_PANEL_SUPPLY_TO_CRANE</t>
  </si>
  <si>
    <t>MLTP1.PCD_OFFICE_AC_PANEL</t>
  </si>
  <si>
    <t>MLTP1.EMERGNECY_POWER_PANEL</t>
  </si>
  <si>
    <t>MLTP1.P-09_PDB_FIRE_HYDRANT</t>
  </si>
  <si>
    <t>MLTP1.P-10_PDB_WATER_SUPPLY</t>
  </si>
  <si>
    <t>MLTP1.CAPACITOR_INCOMER</t>
  </si>
  <si>
    <t>MLTP2.TRF-INCOMER-2</t>
  </si>
  <si>
    <t>MLTP2.SPARE_1</t>
  </si>
  <si>
    <t>MLTP2.P-T17-1</t>
  </si>
  <si>
    <t>MLTP2.P-T-10_PROCESS_PANEL</t>
  </si>
  <si>
    <t>MLTP2.MACHINE-5</t>
  </si>
  <si>
    <t>MLTP2.P-T-13_PROCESS_PANEL</t>
  </si>
  <si>
    <t>MLTP2.P-T-14_PROCESS_PANEL</t>
  </si>
  <si>
    <t>MLTP2.PP-5</t>
  </si>
  <si>
    <t>MLTP2.P-T-09_PROCESS_PANEL</t>
  </si>
  <si>
    <t>MLTP2.P-T1-2_PROCESS_PANEL</t>
  </si>
  <si>
    <t>MLTP2.P-T4-2_PROCESS_PANEL</t>
  </si>
  <si>
    <t>MLTP2.P-T12_PROCESS_PANEL</t>
  </si>
  <si>
    <t>MLTP2.B-Pt_WELDING_M_C</t>
  </si>
  <si>
    <t>MLTP2.PP-1</t>
  </si>
  <si>
    <t>MLTP2.PP-4</t>
  </si>
  <si>
    <t>MLTP2.P-T7-2_PROCESS_PANEL</t>
  </si>
  <si>
    <t>MLTP2.Q_A_CHAMBER_M_C</t>
  </si>
  <si>
    <t>MLTP2.SPARE_2</t>
  </si>
  <si>
    <t>MLTP2.SPARE_3</t>
  </si>
  <si>
    <t>MLTP2.PP-3</t>
  </si>
  <si>
    <t>MLTP2.P-T3-2_PROCESS_PANEL</t>
  </si>
  <si>
    <t>MLTP2.P-T19</t>
  </si>
  <si>
    <t>MLTP2.P-T1-1_PROCESS_PANEL</t>
  </si>
  <si>
    <t>MLTP2.SPARE_4</t>
  </si>
  <si>
    <t>MLTP2.PP-2</t>
  </si>
  <si>
    <t>MLTP2.CAPACITOR_INCOMER</t>
  </si>
  <si>
    <t>MLTP3.TRF-INCOMER-3</t>
  </si>
  <si>
    <t>MLTP3.SDB-1_NEW_WAREHOUSE</t>
  </si>
  <si>
    <t>MLTP3.P-5_PDB_AHU_PANEL-2_ON_MAZZFLOOR</t>
  </si>
  <si>
    <t>MLTP3.SPARE_1</t>
  </si>
  <si>
    <t>MLTP3.PAF-2_DP-2_</t>
  </si>
  <si>
    <t>MLTP3.P-3_PDB_PROCESS_C_T</t>
  </si>
  <si>
    <t>MLTP3.SPARE_2</t>
  </si>
  <si>
    <t>MLTP3.PA-B12_PP_MOTER_ASSY_13</t>
  </si>
  <si>
    <t>MLTP3.SPARE_3</t>
  </si>
  <si>
    <t>MLTP3.P-T16_PROCESS_PANEL</t>
  </si>
  <si>
    <t>MLTP3.P-T17-2</t>
  </si>
  <si>
    <t>MLTP3.UPS_AC-04</t>
  </si>
  <si>
    <t>MLTP3.UPS_AC-03</t>
  </si>
  <si>
    <t>MLTP3.P-T18-1</t>
  </si>
  <si>
    <t>MLTP3.PDB_AC_CHILLER_PANEL</t>
  </si>
  <si>
    <t>MLTP3.PDB-4_AHU</t>
  </si>
  <si>
    <t>MLTP3.UPS_AC-02</t>
  </si>
  <si>
    <t>MLTP3.UPS_AC-01</t>
  </si>
  <si>
    <t>MLTP3.P-T3-1_PROCESS_PANEL</t>
  </si>
  <si>
    <t>MLTP3.PAF-1_DP-1_</t>
  </si>
  <si>
    <t>MLTP3.P-T18-2</t>
  </si>
  <si>
    <t>MLTP3.CAPACITOR_INCOMER</t>
  </si>
  <si>
    <t>MLTP4.TRF-INCOMER-4</t>
  </si>
  <si>
    <t>MLTP4.PAF-4_DP-4_</t>
  </si>
  <si>
    <t>MLTP4.P-6_PDB_PRESS_EXHAUST</t>
  </si>
  <si>
    <t>MLTP4.P-7_PDB_PRESS_EXHAUST_</t>
  </si>
  <si>
    <t>MLTP4.QA_ROOM</t>
  </si>
  <si>
    <t>MLTP4.PA-B1</t>
  </si>
  <si>
    <t>MLTP4.PA-W7_PP_MOTER_ASSY</t>
  </si>
  <si>
    <t>MLTP4.PAF-3_DP-3_</t>
  </si>
  <si>
    <t>MLTP4.PA-W10_PP_STATOR_LINE_2_3_13</t>
  </si>
  <si>
    <t>MLTP4.PT_4-1</t>
  </si>
  <si>
    <t>MLTP4.COMPRESSOR_PANEL</t>
  </si>
  <si>
    <t>MLTP4.PA-W3_PP_LINK_LINE-5_13_</t>
  </si>
  <si>
    <t>MLTP4.PA-W21_PP_REARMOTER_ASSY</t>
  </si>
  <si>
    <t>MLTP4.PA-B2_PP_HOUSEING_SUB_ASSY_13</t>
  </si>
  <si>
    <t>MLTP4.P-T7-1_PROCESS_PANEL</t>
  </si>
  <si>
    <t>MLTP4.PA-W56</t>
  </si>
  <si>
    <t>MLTP4.PA-B3</t>
  </si>
  <si>
    <t>MLTP4.B-13_PROCESS_PANEL</t>
  </si>
  <si>
    <t>MLTP4.PA-W27_PP_PANUC_ROBODRILL</t>
  </si>
  <si>
    <t>MLTP4.BF_23_LINE</t>
  </si>
  <si>
    <t>MLTP4.PDB_SUBPANEL</t>
  </si>
  <si>
    <t>MLTP4.PA-B14</t>
  </si>
  <si>
    <t>MLTP4.CAPACITOR_INCOMER</t>
  </si>
  <si>
    <t>MLTP5.INCOMER</t>
  </si>
  <si>
    <t>MLTP5.SPARE-1</t>
  </si>
  <si>
    <t>MLTP5.1P1_PDB_OFFICE_AC_GF_QA_ROOM</t>
  </si>
  <si>
    <t>MLTP5.2P1_CANTEEN_PDB</t>
  </si>
  <si>
    <t>MLTP5.AIR_WASHER_SQD_AC</t>
  </si>
  <si>
    <t>MLTP5.CHILLER-2</t>
  </si>
  <si>
    <t>MLTP5.CHILLER-1</t>
  </si>
  <si>
    <t>MLTP5.CHILLER-5</t>
  </si>
  <si>
    <t>MLTP5.CHILLER-3</t>
  </si>
  <si>
    <t>MLTP5.CHILLER-4</t>
  </si>
  <si>
    <t>MLTP5.CAP_INCOMER_WS-4_</t>
  </si>
  <si>
    <t>MLTP5.SPARE-6</t>
  </si>
  <si>
    <t>Yesterday</t>
  </si>
  <si>
    <t>This month</t>
  </si>
  <si>
    <t>Last Month</t>
  </si>
  <si>
    <t>This Year</t>
  </si>
  <si>
    <t>Last Year</t>
  </si>
  <si>
    <t xml:space="preserve">grid </t>
  </si>
  <si>
    <t>current Month</t>
  </si>
  <si>
    <t>Solar Set</t>
  </si>
  <si>
    <t>Loss ( % )</t>
  </si>
  <si>
    <t xml:space="preserve">Difference </t>
  </si>
  <si>
    <t xml:space="preserve">Total Consumption Power </t>
  </si>
  <si>
    <t xml:space="preserve">Total Power Generation </t>
  </si>
  <si>
    <t>TR ACB-4</t>
  </si>
  <si>
    <t>TR ACB-3</t>
  </si>
  <si>
    <t>TR ACB-2</t>
  </si>
  <si>
    <t>TR ACB-1</t>
  </si>
  <si>
    <t>Transformer ACB Panel</t>
  </si>
  <si>
    <t>TR VCB -4</t>
  </si>
  <si>
    <t>TR VCB -3</t>
  </si>
  <si>
    <t>TR VCB -2</t>
  </si>
  <si>
    <t>TR VCB -1</t>
  </si>
  <si>
    <t>Transformer VCB Panel</t>
  </si>
  <si>
    <t>DG Incomer</t>
  </si>
  <si>
    <t>DG Outgoing</t>
  </si>
  <si>
    <t>Reference</t>
  </si>
  <si>
    <t>Site_3.UC_Injector</t>
  </si>
  <si>
    <t>Site_3.Incommer_4</t>
  </si>
  <si>
    <t>Site_1.Incommer_3</t>
  </si>
  <si>
    <t>Site_1.Incommer_2</t>
  </si>
  <si>
    <t>Site_1.Incommer_1</t>
  </si>
  <si>
    <t>Site_3.100_KVA_AMF</t>
  </si>
  <si>
    <t>Site_2.MMD_PDB</t>
  </si>
  <si>
    <t>Site_2.MCC_11_HVAC_AHU</t>
  </si>
  <si>
    <t>Site_2.MCC_10_QAD_GASOLINE_BUILDING</t>
  </si>
  <si>
    <t>Site_5.Busway_C1-Piller_9</t>
  </si>
  <si>
    <t>Site_2.PDB_P3_QAD_GASOLINE_BUILDING</t>
  </si>
  <si>
    <t>Site_2.PDB_5_4_6_5_4_5_PRD_ECU</t>
  </si>
  <si>
    <t>Site_1.PDB_5_1_A_5_1_B_5_1_C_5_1_D_PRD_ECU</t>
  </si>
  <si>
    <t>Site_1.PDB_5_4_3_PRD_ECU</t>
  </si>
  <si>
    <t>Site_1.PDB_5_4_2_PRD_ECU</t>
  </si>
  <si>
    <t>Site_1.PDB_5_4_1_PRD_ECU</t>
  </si>
  <si>
    <t>Site_3.MCC_7C_HVAC_CHILLER</t>
  </si>
  <si>
    <t>Site_2.MCC_7B_HVAC_CHILLER</t>
  </si>
  <si>
    <t>Site_1.MCC_7A_HVAC_CHILLER</t>
  </si>
  <si>
    <t>Site_1.MCC_1_1_HVAC_CHILLER</t>
  </si>
  <si>
    <t>Site_1.PDB_11PRD_ETB</t>
  </si>
  <si>
    <t>Site_5.TRANSFORMER_2-150_KVA_CRS_LINE</t>
  </si>
  <si>
    <t>Site_5.TRANSFORMER_150_KVA_CRS_LINE</t>
  </si>
  <si>
    <t>Site_1.PDB_P_4_2_PRD_O2_INJ_MEAS_ROOM</t>
  </si>
  <si>
    <t>Site_5.Busway_A2_TRF_250_KVA</t>
  </si>
  <si>
    <t>Site_5.TRANSFORMER_9_UC-PHASE_II_ROOM</t>
  </si>
  <si>
    <t>Site_5.TRANSFORMER_8</t>
  </si>
  <si>
    <t>Site_5.Spare</t>
  </si>
  <si>
    <t>Site_6.PDB_16_OIL-DELIVERY_ROOM</t>
  </si>
  <si>
    <t>Site_5.PDB_15_injector_electrical_room</t>
  </si>
  <si>
    <t>Site_5.PDB_12_injector_electrical_room</t>
  </si>
  <si>
    <t>Site_1.Busway_1_PRD_FP_ANODIZING</t>
  </si>
  <si>
    <t>Site_2.MCC12_WATER_TREATMENT</t>
  </si>
  <si>
    <t>Site_2.MCC_9_UTILITY_WASTE_WATER_PLANT</t>
  </si>
  <si>
    <t>Site_1.DG_priming_Panel</t>
  </si>
  <si>
    <t>Site_1.MCC_13_14</t>
  </si>
  <si>
    <t>Site_3.GG_4_MCC</t>
  </si>
  <si>
    <t>Site_3.MCC_8A_UTILITY_GENERATOR</t>
  </si>
  <si>
    <t>Site_1.MCC_8</t>
  </si>
  <si>
    <t>MLDB</t>
  </si>
  <si>
    <t>Site_6.Solar</t>
  </si>
  <si>
    <t>Site_3.MLDB_2_LIGHTING_POWER</t>
  </si>
  <si>
    <t>Site_1.MLDB_1_LIGHTING_POWER</t>
  </si>
  <si>
    <t>Emergency Panel</t>
  </si>
  <si>
    <t>Site_2.Fire_fighting</t>
  </si>
  <si>
    <t>Fire Fighting</t>
  </si>
  <si>
    <t>Site_1.MCC_5_HVAC_CHILLER</t>
  </si>
  <si>
    <t xml:space="preserve">AHU PDB-5 (AHU-6~10) </t>
  </si>
  <si>
    <t>Site_2.Chiller_R_2_HVAC_CHILLER</t>
  </si>
  <si>
    <t>AHU PDB-4  (AHU-1 to 5 ,11&amp;12)</t>
  </si>
  <si>
    <t xml:space="preserve">AHU's </t>
  </si>
  <si>
    <t>Emergency Power Panel</t>
  </si>
  <si>
    <t>Lighting MLDB+ Emergency Power Panel</t>
  </si>
  <si>
    <t>UPS room Aircon</t>
  </si>
  <si>
    <t>Office Area VRV</t>
  </si>
  <si>
    <t>Canteen VRV</t>
  </si>
  <si>
    <t xml:space="preserve">Others Air Cond. </t>
  </si>
  <si>
    <t>Site_1.MCC_7_HVAC_CHILLER</t>
  </si>
  <si>
    <t>Chiller-5</t>
  </si>
  <si>
    <t>Chiller-4</t>
  </si>
  <si>
    <t>Chiller-3</t>
  </si>
  <si>
    <t>Chiller-2</t>
  </si>
  <si>
    <t>Chiller-1</t>
  </si>
  <si>
    <t xml:space="preserve">Chiller </t>
  </si>
  <si>
    <t>Site_1.Compressor_1_2_COMPRESSED_AIR</t>
  </si>
  <si>
    <t>Compressor Panel-2</t>
  </si>
  <si>
    <t>Site_1.Compressor_1_1_COMPRESSED_AIR</t>
  </si>
  <si>
    <t>Compressor Panel-1</t>
  </si>
  <si>
    <t>Wiper</t>
  </si>
  <si>
    <t>EFM</t>
  </si>
  <si>
    <t>PW</t>
  </si>
  <si>
    <t>Molding</t>
  </si>
  <si>
    <t>PRD</t>
  </si>
  <si>
    <t>Plant Aircon</t>
  </si>
  <si>
    <t>Air comp.</t>
  </si>
  <si>
    <t>Office Area VRV+Canteen Aircon</t>
  </si>
  <si>
    <t>Lighting</t>
  </si>
  <si>
    <t>Site_4.DHNA_HT_O_G_VCB_23</t>
  </si>
  <si>
    <t>Utility</t>
  </si>
  <si>
    <t>Area wise Consumption Summary</t>
  </si>
  <si>
    <t xml:space="preserve">MLTP Panel's </t>
  </si>
  <si>
    <t>Consumption Summary</t>
  </si>
  <si>
    <t>Site_4.GOVT_IC</t>
  </si>
  <si>
    <t>Govt Supply (Incomer)</t>
  </si>
  <si>
    <t>Govt. Supply</t>
  </si>
  <si>
    <t>Solar 1000 kWP Phase-2 roof top</t>
  </si>
  <si>
    <t>Solar 1000 kWP Phase-1 roof top</t>
  </si>
  <si>
    <t>Solar 100 kWP Ground Mount</t>
  </si>
  <si>
    <t>Solar
(2100  kWP)</t>
  </si>
  <si>
    <t>DG 200 kVA</t>
  </si>
  <si>
    <t>Emergency DG</t>
  </si>
  <si>
    <t>DG # 4</t>
  </si>
  <si>
    <t>DG # 3</t>
  </si>
  <si>
    <t>Site_3.DG_2</t>
  </si>
  <si>
    <t>DG # 2</t>
  </si>
  <si>
    <t>Site_3.DG_1</t>
  </si>
  <si>
    <t>DG # 1</t>
  </si>
  <si>
    <t>DG Generation (DG-1~5)</t>
  </si>
  <si>
    <t>Generation</t>
  </si>
  <si>
    <t>TOTAL%</t>
  </si>
  <si>
    <t>GRANT TOTAL</t>
  </si>
  <si>
    <t>Sub Total</t>
  </si>
  <si>
    <t>METER NAME</t>
  </si>
  <si>
    <t>S. NO.</t>
  </si>
  <si>
    <t>Source</t>
  </si>
  <si>
    <t>Category</t>
  </si>
  <si>
    <t xml:space="preserve">       DAILY (KWH) ENERGY MONITORING REPORT</t>
  </si>
  <si>
    <t>L-4 SDB FACTORY-1</t>
  </si>
  <si>
    <t>L-4 SDB FACTORY-2</t>
  </si>
  <si>
    <t>MLTP's</t>
  </si>
  <si>
    <t>Compressor Panel-&amp;2</t>
  </si>
  <si>
    <t xml:space="preserve"> (7:00AM-7:00AM)
</t>
  </si>
  <si>
    <t>Utility Miscellaneous</t>
  </si>
  <si>
    <t>SOLAR-1,2 &amp; #</t>
  </si>
  <si>
    <t>Totad GRID</t>
  </si>
  <si>
    <t>TODAY DG INC</t>
  </si>
  <si>
    <t>TODAY SOLAR 1</t>
  </si>
  <si>
    <t>TODAY SOLAR 2</t>
  </si>
  <si>
    <t>TODAY SOLAR 3</t>
  </si>
  <si>
    <t>Others</t>
  </si>
  <si>
    <t>DG-1,2,3,4 &amp; 5</t>
  </si>
  <si>
    <t>DAILY_ENERGY!E72</t>
  </si>
  <si>
    <t>DAILY_ENERGY!E4</t>
  </si>
  <si>
    <t>DAILY_ENERGY!E5</t>
  </si>
  <si>
    <t>DAILY_ENERGY!E6</t>
  </si>
  <si>
    <t>DAILY_ENERGY!E7</t>
  </si>
  <si>
    <t>DAILY_ENERGY!E8</t>
  </si>
  <si>
    <t>DAILY_ENERGY!E9</t>
  </si>
  <si>
    <t>DAILY_ENERGY!E10</t>
  </si>
  <si>
    <t>DAILY_ENERGY!E11</t>
  </si>
  <si>
    <t>DAILY_ENERGY!E12</t>
  </si>
  <si>
    <t>DAILY_ENERGY!E13</t>
  </si>
  <si>
    <t>DAILY_ENERGY!E14</t>
  </si>
  <si>
    <t>DAILY_ENERGY!E15</t>
  </si>
  <si>
    <t>DAILY_ENERGY!E16</t>
  </si>
  <si>
    <t>DAILY_ENERGY!E17</t>
  </si>
  <si>
    <t>DAILY_ENERGY!E18</t>
  </si>
  <si>
    <t>DAILY_ENERGY!E19</t>
  </si>
  <si>
    <t>DAILY_ENERGY!E20</t>
  </si>
  <si>
    <t>DAILY_ENERGY!E21</t>
  </si>
  <si>
    <t>DAILY_ENERGY!E22</t>
  </si>
  <si>
    <t>DAILY_ENERGY!E23</t>
  </si>
  <si>
    <t>DAILY_ENERGY!E24</t>
  </si>
  <si>
    <t>DAILY_ENERGY!E25</t>
  </si>
  <si>
    <t>DAILY_ENERGY!E26</t>
  </si>
  <si>
    <t>DAILY_ENERGY!E27</t>
  </si>
  <si>
    <t>DAILY_ENERGY!E28</t>
  </si>
  <si>
    <t>DAILY_ENERGY!E29</t>
  </si>
  <si>
    <t>DAILY_ENERGY!E30</t>
  </si>
  <si>
    <t>DAILY_ENERGY!E31</t>
  </si>
  <si>
    <t>DAILY_ENERGY!E32</t>
  </si>
  <si>
    <t>DAILY_ENERGY!E33</t>
  </si>
  <si>
    <t>DAILY_ENERGY!E34</t>
  </si>
  <si>
    <t>DAILY_ENERGY!E35</t>
  </si>
  <si>
    <t>DAILY_ENERGY!E36</t>
  </si>
  <si>
    <t>DAILY_ENERGY!E37</t>
  </si>
  <si>
    <t>DAILY_ENERGY!E38</t>
  </si>
  <si>
    <t>DAILY_ENERGY!E39</t>
  </si>
  <si>
    <t>DAILY_ENERGY!E40</t>
  </si>
  <si>
    <t>DAILY_ENERGY!E41</t>
  </si>
  <si>
    <t>DAILY_ENERGY!E42</t>
  </si>
  <si>
    <t>DAILY_ENERGY!E43</t>
  </si>
  <si>
    <t>DAILY_ENERGY!E44</t>
  </si>
  <si>
    <t>DAILY_ENERGY!E45</t>
  </si>
  <si>
    <t>DAILY_ENERGY!E46</t>
  </si>
  <si>
    <t>DAILY_ENERGY!E47</t>
  </si>
  <si>
    <t>DAILY_ENERGY!E48</t>
  </si>
  <si>
    <t>DAILY_ENERGY!E49</t>
  </si>
  <si>
    <t>DAILY_ENERGY!E50</t>
  </si>
  <si>
    <t>DAILY_ENERGY!E51</t>
  </si>
  <si>
    <t>DAILY_ENERGY!E52</t>
  </si>
  <si>
    <t>DAILY_ENERGY!E53</t>
  </si>
  <si>
    <t>DAILY_ENERGY!E54</t>
  </si>
  <si>
    <t>DAILY_ENERGY!E55</t>
  </si>
  <si>
    <t>DAILY_ENERGY!E56</t>
  </si>
  <si>
    <t>DAILY_ENERGY!E57</t>
  </si>
  <si>
    <t>DAILY_ENERGY!E58</t>
  </si>
  <si>
    <t>DAILY_ENERGY!E59</t>
  </si>
  <si>
    <t>DAILY_ENERGY!E60</t>
  </si>
  <si>
    <t>DAILY_ENERGY!E61</t>
  </si>
  <si>
    <t>DAILY_ENERGY!E62</t>
  </si>
  <si>
    <t>DAILY_ENERGY!E63</t>
  </si>
  <si>
    <t>DAILY_ENERGY!E64</t>
  </si>
  <si>
    <t>DAILY_ENERGY!E65</t>
  </si>
  <si>
    <t>DAILY_ENERGY!E66</t>
  </si>
  <si>
    <t>DAILY_ENERGY!E67</t>
  </si>
  <si>
    <t>DAILY_ENERGY!E68</t>
  </si>
  <si>
    <t>DAILY_ENERGY!E69</t>
  </si>
  <si>
    <t>DAILY_ENERGY!E70</t>
  </si>
  <si>
    <t>DAILY_ENERGY!E71</t>
  </si>
  <si>
    <t>DAILY_ENERGY!E73</t>
  </si>
  <si>
    <t>DAILY_ENERGY!E74</t>
  </si>
  <si>
    <t>DAILY_ENERGY!E75</t>
  </si>
  <si>
    <t>DAILY_ENERGY!E76</t>
  </si>
  <si>
    <t>DAILY_ENERGY!E77</t>
  </si>
  <si>
    <t>DAILY_ENERGY!E78</t>
  </si>
  <si>
    <t>DAILY_ENERGY!E79</t>
  </si>
  <si>
    <t>DAILY_ENERGY!E80</t>
  </si>
  <si>
    <t>DAILY_ENERGY!E81</t>
  </si>
  <si>
    <t>DAILY_ENERGY!E82</t>
  </si>
  <si>
    <t>DAILY_ENERGY!E83</t>
  </si>
  <si>
    <t>DAILY_ENERGY!E84</t>
  </si>
  <si>
    <t>DAILY_ENERGY!E85</t>
  </si>
  <si>
    <t>DAILY_ENERGY!E86</t>
  </si>
  <si>
    <t>DAILY_ENERGY!E87</t>
  </si>
  <si>
    <t>DAILY_ENERGY!E88</t>
  </si>
  <si>
    <t>DAILY_ENERGY!E89</t>
  </si>
  <si>
    <t>DAILY_ENERGY!E90</t>
  </si>
  <si>
    <t>DAILY_ENERGY!E91</t>
  </si>
  <si>
    <t>DAILY_ENERGY!E92</t>
  </si>
  <si>
    <t>DAILY_ENERGY!E93</t>
  </si>
  <si>
    <t>DAILY_ENERGY!E94</t>
  </si>
  <si>
    <t>DAILY_ENERGY!E95</t>
  </si>
  <si>
    <t>DAILY_ENERGY!E96</t>
  </si>
  <si>
    <t>DAILY_ENERGY!E97</t>
  </si>
  <si>
    <t>DAILY_ENERGY!E98</t>
  </si>
  <si>
    <t>DAILY_ENERGY!E99</t>
  </si>
  <si>
    <t>DAILY_ENERGY!E100</t>
  </si>
  <si>
    <t>DAILY_ENERGY!E101</t>
  </si>
  <si>
    <t>DAILY_ENERGY!E102</t>
  </si>
  <si>
    <t>DAILY_ENERGY!E103</t>
  </si>
  <si>
    <t>DAILY_ENERGY!E104</t>
  </si>
  <si>
    <t>DAILY_ENERGY!E105</t>
  </si>
  <si>
    <t>DAILY_ENERGY!E106</t>
  </si>
  <si>
    <t>DAILY_ENERGY!E107</t>
  </si>
  <si>
    <t>DAILY_ENERGY!E108</t>
  </si>
  <si>
    <t>DAILY_ENERGY!E109</t>
  </si>
  <si>
    <t>DAILY_ENERGY!E110</t>
  </si>
  <si>
    <t>DAILY_ENERGY!E111</t>
  </si>
  <si>
    <t>DAILY_ENERGY!E112</t>
  </si>
  <si>
    <t>DAILY_ENERGY!E113</t>
  </si>
  <si>
    <t>DAILY_ENERGY!E114</t>
  </si>
  <si>
    <t>DAILY_ENERGY!E115</t>
  </si>
  <si>
    <t>DAILY_ENERGY!E116</t>
  </si>
  <si>
    <t>DAILY_ENERGY!E117</t>
  </si>
  <si>
    <t>DAILY_ENERGY!E118</t>
  </si>
  <si>
    <t>DAILY_ENERGY!E119</t>
  </si>
  <si>
    <t>DAILY_ENERGY!E120</t>
  </si>
  <si>
    <t>DAILY_ENERGY!E121</t>
  </si>
  <si>
    <t>DAILY_ENERGY!E122</t>
  </si>
  <si>
    <t>DAILY_ENERGY!E123</t>
  </si>
  <si>
    <t>DAILY_ENERGY!E124</t>
  </si>
  <si>
    <t>DAILY_ENERGY!E125</t>
  </si>
  <si>
    <t>DAILY_ENERGY!E126</t>
  </si>
  <si>
    <t>DAILY_ENERGY!E127</t>
  </si>
  <si>
    <t>DAILY_ENERGY!E128</t>
  </si>
  <si>
    <t>DAILY_ENERGY!E129</t>
  </si>
  <si>
    <t>DAILY_ENERGY!E130</t>
  </si>
  <si>
    <t>DAILY_ENERGY!E131</t>
  </si>
  <si>
    <t>DAILY_ENERGY!E132</t>
  </si>
  <si>
    <t>DAILY_ENERGY!E133</t>
  </si>
  <si>
    <t>DAILY_ENERGY!E134</t>
  </si>
  <si>
    <t>DAILY_ENERGY!E135</t>
  </si>
  <si>
    <t>DAILY_ENERGY!E136</t>
  </si>
  <si>
    <t>DAILY_ENERGY!E137</t>
  </si>
  <si>
    <t>DAILY_ENERGY!E138</t>
  </si>
  <si>
    <t>DAILY_ENERGY!E139</t>
  </si>
  <si>
    <t>DAILY_ENERGY!E140</t>
  </si>
  <si>
    <t>DAILY_ENERGY!E141</t>
  </si>
  <si>
    <t>DAILY_ENERGY!E142</t>
  </si>
  <si>
    <t>DAILY_ENERGY!E143</t>
  </si>
  <si>
    <t>DAILY_ENERGY!E144</t>
  </si>
  <si>
    <t>DAILY_ENERGY!E145</t>
  </si>
  <si>
    <t>DAILY_ENERGY!E146</t>
  </si>
  <si>
    <t>DAILY_ENERGY!E147</t>
  </si>
  <si>
    <t>DAILY_ENERGY!E148</t>
  </si>
  <si>
    <t>DAILY_ENERGY!E149</t>
  </si>
  <si>
    <t>MLTP5.WAREHOUSE_AC_PANEL</t>
  </si>
  <si>
    <t>WAREHOUSE AC PANEL</t>
  </si>
  <si>
    <t>Utility Misslaneuous</t>
  </si>
  <si>
    <t>Production Mislaneous</t>
  </si>
  <si>
    <t>Other's</t>
  </si>
  <si>
    <t xml:space="preserve">A-Shift (7AM-3PM)
</t>
  </si>
  <si>
    <t xml:space="preserve">B-Shift  (3PM-11PM)
</t>
  </si>
  <si>
    <t xml:space="preserve">C-Shift (11PM-7AM)
</t>
  </si>
  <si>
    <t xml:space="preserve">    Energy Generation And Consumption Hourly (KWH) Report</t>
  </si>
  <si>
    <t>Hour</t>
  </si>
  <si>
    <t>06:00 to 07:00</t>
  </si>
  <si>
    <t>07:00 to 08:00</t>
  </si>
  <si>
    <t>08:00 to 09:00</t>
  </si>
  <si>
    <t>09:00 to 10:00</t>
  </si>
  <si>
    <t>10:00 to 11:00</t>
  </si>
  <si>
    <t>11:00 to 12:00</t>
  </si>
  <si>
    <t>12:00 to 13:00</t>
  </si>
  <si>
    <t>13:00 to 14:00</t>
  </si>
  <si>
    <t>14:00 to 15:00</t>
  </si>
  <si>
    <t>15:00 to 16:00</t>
  </si>
  <si>
    <t>16:00 to 17:00</t>
  </si>
  <si>
    <t>17:00 to 18:00</t>
  </si>
  <si>
    <t>18:00 to 19:00</t>
  </si>
  <si>
    <t>19:00 to 20:00</t>
  </si>
  <si>
    <t>20:00 to 21:00</t>
  </si>
  <si>
    <t>21:00 to 22:00</t>
  </si>
  <si>
    <t>22:00 to 23:00</t>
  </si>
  <si>
    <t>23:00 to 00:00</t>
  </si>
  <si>
    <t>00:00 to 01:00</t>
  </si>
  <si>
    <t>01:00 to 02:00</t>
  </si>
  <si>
    <t>02:00 to 03:00</t>
  </si>
  <si>
    <t>03:00 to 04:00</t>
  </si>
  <si>
    <t>04:00 to 05:00</t>
  </si>
  <si>
    <t>05:00 to 06:00</t>
  </si>
  <si>
    <t>MLDB.L-4_SDB_FACTORY_2</t>
  </si>
  <si>
    <t>MLDB.L-4_SDB_FACTORY_1</t>
  </si>
  <si>
    <t>Daily Data</t>
  </si>
  <si>
    <t>Shiftwise Data</t>
  </si>
  <si>
    <t>HOURLY</t>
  </si>
  <si>
    <t>Hourly_kWh!DR7</t>
  </si>
  <si>
    <t>Hourly_kWh!DS7</t>
  </si>
  <si>
    <t>Hourly_kWh!DT7</t>
  </si>
  <si>
    <t>Hourly_kWh!DU7</t>
  </si>
  <si>
    <t>Hourly_kWh!DV7</t>
  </si>
  <si>
    <t>Hourly_kWh!DW7</t>
  </si>
  <si>
    <t>Hourly_kWh!DX7</t>
  </si>
  <si>
    <t>Hourly_kWh!DY7</t>
  </si>
  <si>
    <t>Hourly_kWh!DZ7</t>
  </si>
  <si>
    <t>Hourly_kWh!EA7</t>
  </si>
  <si>
    <t>Hourly_kWh!EB7</t>
  </si>
  <si>
    <t>Hourly_kWh!EC7</t>
  </si>
  <si>
    <t>Hourly_kWh!ED7</t>
  </si>
  <si>
    <t>Hourly_kWh!EE7</t>
  </si>
  <si>
    <t>Hourly_kWh!EF7</t>
  </si>
  <si>
    <t>Hourly_kWh!EG7</t>
  </si>
  <si>
    <t>Hourly_kWh!EH7</t>
  </si>
  <si>
    <t>Hourly_kWh!EI7</t>
  </si>
  <si>
    <t>Hourly_kWh!EJ7</t>
  </si>
  <si>
    <t>Hourly_kWh!EK7</t>
  </si>
  <si>
    <t>Hourly_kWh!EL7</t>
  </si>
  <si>
    <t>Hourly_kWh!EM7</t>
  </si>
  <si>
    <t>Hourly_kWh!EN7</t>
  </si>
  <si>
    <t>Hourly_kWh!EO7</t>
  </si>
  <si>
    <t>Hourly_kWh!EP7</t>
  </si>
  <si>
    <t>Hourly_kWh!EQ7</t>
  </si>
  <si>
    <t>Hourly_kWh!ER7</t>
  </si>
  <si>
    <t>Day</t>
  </si>
  <si>
    <t xml:space="preserve">    Energy Generation And Consumption Monthly (KWH) Report</t>
  </si>
  <si>
    <t>Monthly</t>
  </si>
  <si>
    <t>REP</t>
  </si>
  <si>
    <t xml:space="preserve">       Monthly (KWH) ENERGY MONITORING REPORT</t>
  </si>
  <si>
    <t xml:space="preserve">    Energy Generation And Consumption Yearly (KWH) Report</t>
  </si>
  <si>
    <t>Month</t>
  </si>
  <si>
    <t>Yearly</t>
  </si>
  <si>
    <t>Plant Energy 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</si>
</sst>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164" formatCode="[$-409]d/mmm/yyyy;@"/>
    <numFmt numFmtId="165" formatCode="[$-F400]h:mm:ss\ AM/PM"/>
    <numFmt numFmtId="166" formatCode="mmm/yyyy"/>
    <numFmt numFmtId="167" formatCode="&quot; &quot;[$-C09]dddd\,\ d\ mmmm\ yyyy;@"/>
    <numFmt numFmtId="168" formatCode="[$-409]mmmm\-yy;@"/>
    <numFmt numFmtId="169" formatCode="0_);[Red]\(0\)"/>
    <numFmt numFmtId="170" formatCode="0.0%"/>
    <numFmt numFmtId="171" formatCode="dd\ mmm\,yy\ hh:mm:ss;@"/>
    <numFmt numFmtId="172" formatCode="[$-409]dd/mmm/yyyy;@"/>
    <numFmt numFmtId="173" formatCode="0.000_);[Red]\(0.000\)"/>
    <numFmt numFmtId="174" formatCode="0.000"/>
    <numFmt numFmtId="175" formatCode="0.00_);[Red]\(0.00\)"/>
    <numFmt numFmtId="176" formatCode="0.00000"/>
    <numFmt numFmtId="177" formatCode="0.000000"/>
    <numFmt numFmtId="178" formatCode="0.0000000"/>
    <numFmt numFmtId="179" formatCode="0.000000000"/>
    <numFmt numFmtId="180" formatCode="[$-409]mmm/yyyy;@"/>
    <numFmt numFmtId="181" formatCode="yyyy"/>
  </numFmts>
  <fonts count="5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indexed="9"/>
      <name val="Arial"/>
      <family val="2"/>
    </font>
    <font>
      <b/>
      <sz val="9"/>
      <name val="Arial"/>
      <family val="2"/>
    </font>
    <font>
      <b/>
      <sz val="15"/>
      <name val="Arial"/>
      <family val="2"/>
    </font>
    <font>
      <sz val="10.5"/>
      <name val="Bookman Old Style"/>
      <family val="1"/>
    </font>
    <font>
      <b/>
      <sz val="10"/>
      <color theme="0"/>
      <name val="Arial"/>
      <family val="2"/>
    </font>
    <font>
      <sz val="10"/>
      <name val="Bookman Old Style"/>
      <family val="1"/>
    </font>
    <font>
      <sz val="10"/>
      <color theme="1" tint="4.9989318521683403E-2"/>
      <name val="Bookman Old Style"/>
      <family val="1"/>
    </font>
    <font>
      <sz val="10"/>
      <color theme="1"/>
      <name val="Bookman Old Style"/>
      <family val="1"/>
    </font>
    <font>
      <b/>
      <sz val="10"/>
      <color indexed="8"/>
      <name val="Bookman Old Style"/>
      <family val="1"/>
    </font>
    <font>
      <sz val="16"/>
      <color theme="0"/>
      <name val="Times New Roman"/>
      <family val="1"/>
    </font>
    <font>
      <b/>
      <sz val="14"/>
      <color theme="0"/>
      <name val="Arial"/>
      <family val="2"/>
    </font>
    <font>
      <b/>
      <sz val="10"/>
      <color theme="3"/>
      <name val="Arial"/>
      <family val="2"/>
    </font>
    <font>
      <b/>
      <sz val="10"/>
      <color theme="1"/>
      <name val="Arial"/>
      <family val="2"/>
    </font>
    <font>
      <b/>
      <sz val="10"/>
      <name val="Calibri"/>
      <family val="2"/>
      <scheme val="minor"/>
    </font>
    <font>
      <b/>
      <sz val="12"/>
      <color rgb="FF002060"/>
      <name val="Arial"/>
      <family val="2"/>
    </font>
    <font>
      <sz val="12"/>
      <color theme="0"/>
      <name val="Arial"/>
      <family val="2"/>
    </font>
    <font>
      <sz val="10"/>
      <name val="Arial"/>
    </font>
    <font>
      <sz val="10"/>
      <color theme="1"/>
      <name val="Arial"/>
      <family val="2"/>
    </font>
    <font>
      <b/>
      <u/>
      <sz val="16"/>
      <color theme="0"/>
      <name val="Calibri"/>
      <family val="2"/>
      <scheme val="minor"/>
    </font>
    <font>
      <b/>
      <u/>
      <sz val="12"/>
      <color theme="5"/>
      <name val="Arial"/>
      <family val="2"/>
    </font>
    <font>
      <sz val="12"/>
      <color theme="1"/>
      <name val="Calibri"/>
      <family val="2"/>
      <charset val="1"/>
      <scheme val="minor"/>
    </font>
    <font>
      <sz val="10"/>
      <name val="Calibri"/>
      <family val="2"/>
      <scheme val="minor"/>
    </font>
    <font>
      <b/>
      <sz val="7"/>
      <color rgb="FF5F6368"/>
      <name val="Arial"/>
      <family val="2"/>
    </font>
    <font>
      <b/>
      <sz val="16"/>
      <color theme="0"/>
      <name val="Arial"/>
      <family val="2"/>
    </font>
    <font>
      <b/>
      <sz val="14"/>
      <name val="Arial"/>
      <family val="2"/>
    </font>
    <font>
      <b/>
      <sz val="12"/>
      <color theme="0"/>
      <name val="Arial"/>
      <family val="2"/>
    </font>
    <font>
      <sz val="12"/>
      <name val="Arial"/>
      <family val="2"/>
    </font>
    <font>
      <b/>
      <sz val="11"/>
      <color theme="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28"/>
      <color indexed="8"/>
      <name val="Calibri"/>
      <family val="2"/>
      <scheme val="minor"/>
    </font>
    <font>
      <sz val="12"/>
      <color theme="1"/>
      <name val="Arial"/>
      <family val="2"/>
    </font>
    <font>
      <sz val="36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8"/>
      <name val="Arial"/>
    </font>
    <font>
      <sz val="48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  <font>
      <sz val="10"/>
      <color theme="0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theme="8" tint="0.59999389629810485"/>
      </patternFill>
    </fill>
    <fill>
      <patternFill patternType="solid">
        <fgColor indexed="6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7D7D"/>
      </left>
      <right/>
      <top style="thin">
        <color rgb="FFFF7D7D"/>
      </top>
      <bottom/>
      <diagonal/>
    </border>
  </borders>
  <cellStyleXfs count="12">
    <xf numFmtId="0" fontId="0" fillId="0" borderId="0"/>
    <xf numFmtId="0" fontId="3" fillId="0" borderId="0"/>
    <xf numFmtId="0" fontId="21" fillId="0" borderId="0"/>
    <xf numFmtId="0" fontId="3" fillId="0" borderId="0"/>
    <xf numFmtId="164" fontId="2" fillId="0" borderId="0"/>
    <xf numFmtId="9" fontId="2" fillId="0" borderId="0" applyFont="0" applyFill="0" applyBorder="0" applyAlignment="0" applyProtection="0"/>
    <xf numFmtId="164" fontId="3" fillId="0" borderId="0"/>
    <xf numFmtId="0" fontId="2" fillId="0" borderId="0"/>
    <xf numFmtId="164" fontId="2" fillId="0" borderId="0"/>
    <xf numFmtId="164" fontId="1" fillId="0" borderId="0"/>
    <xf numFmtId="0" fontId="1" fillId="0" borderId="0"/>
    <xf numFmtId="9" fontId="21" fillId="0" borderId="0" applyFont="0" applyFill="0" applyBorder="0" applyAlignment="0" applyProtection="0"/>
  </cellStyleXfs>
  <cellXfs count="345">
    <xf numFmtId="0" fontId="0" fillId="0" borderId="0" xfId="0"/>
    <xf numFmtId="0" fontId="3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0" fillId="0" borderId="1" xfId="0" applyBorder="1"/>
    <xf numFmtId="0" fontId="0" fillId="0" borderId="2" xfId="0" applyBorder="1" applyAlignment="1">
      <alignment horizontal="center"/>
    </xf>
    <xf numFmtId="0" fontId="3" fillId="2" borderId="0" xfId="0" applyFont="1" applyFill="1" applyAlignment="1">
      <alignment horizontal="center" vertical="center"/>
    </xf>
    <xf numFmtId="1" fontId="0" fillId="3" borderId="1" xfId="0" applyNumberFormat="1" applyFill="1" applyBorder="1"/>
    <xf numFmtId="0" fontId="3" fillId="2" borderId="1" xfId="0" applyFont="1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0" xfId="0" applyNumberFormat="1" applyFont="1" applyFill="1"/>
    <xf numFmtId="0" fontId="0" fillId="2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2" fontId="5" fillId="4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22" fontId="3" fillId="2" borderId="1" xfId="0" applyNumberFormat="1" applyFont="1" applyFill="1" applyBorder="1" applyAlignment="1">
      <alignment horizontal="center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center"/>
    </xf>
    <xf numFmtId="22" fontId="7" fillId="6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center"/>
    </xf>
    <xf numFmtId="1" fontId="0" fillId="0" borderId="1" xfId="0" applyNumberFormat="1" applyBorder="1"/>
    <xf numFmtId="49" fontId="8" fillId="7" borderId="1" xfId="1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49" fontId="10" fillId="0" borderId="1" xfId="1" applyNumberFormat="1" applyFont="1" applyBorder="1" applyAlignment="1">
      <alignment horizontal="center" vertical="center" wrapText="1"/>
    </xf>
    <xf numFmtId="49" fontId="10" fillId="8" borderId="1" xfId="1" applyNumberFormat="1" applyFont="1" applyFill="1" applyBorder="1" applyAlignment="1">
      <alignment horizontal="center" vertical="center" wrapText="1"/>
    </xf>
    <xf numFmtId="49" fontId="11" fillId="8" borderId="1" xfId="1" applyNumberFormat="1" applyFont="1" applyFill="1" applyBorder="1" applyAlignment="1">
      <alignment horizontal="center" vertical="center" wrapText="1"/>
    </xf>
    <xf numFmtId="49" fontId="12" fillId="8" borderId="1" xfId="1" applyNumberFormat="1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3" fillId="0" borderId="0" xfId="0" applyFont="1"/>
    <xf numFmtId="0" fontId="14" fillId="0" borderId="7" xfId="0" applyFont="1" applyBorder="1" applyAlignment="1">
      <alignment vertical="center" wrapText="1"/>
    </xf>
    <xf numFmtId="0" fontId="15" fillId="9" borderId="0" xfId="0" applyFont="1" applyFill="1" applyAlignment="1">
      <alignment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15" fillId="9" borderId="0" xfId="0" applyFont="1" applyFill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5" fontId="0" fillId="1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10" borderId="1" xfId="0" applyFont="1" applyFill="1" applyBorder="1" applyAlignment="1">
      <alignment horizontal="center" wrapText="1"/>
    </xf>
    <xf numFmtId="19" fontId="0" fillId="12" borderId="1" xfId="0" applyNumberFormat="1" applyFill="1" applyBorder="1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165" fontId="0" fillId="12" borderId="1" xfId="0" applyNumberFormat="1" applyFill="1" applyBorder="1"/>
    <xf numFmtId="165" fontId="0" fillId="12" borderId="5" xfId="0" applyNumberFormat="1" applyFill="1" applyBorder="1"/>
    <xf numFmtId="19" fontId="0" fillId="12" borderId="1" xfId="0" applyNumberFormat="1" applyFill="1" applyBorder="1"/>
    <xf numFmtId="0" fontId="4" fillId="1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2" borderId="0" xfId="0" applyFont="1" applyFill="1"/>
    <xf numFmtId="49" fontId="0" fillId="0" borderId="0" xfId="0" applyNumberFormat="1"/>
    <xf numFmtId="49" fontId="0" fillId="0" borderId="0" xfId="0" applyNumberFormat="1" applyAlignment="1">
      <alignment wrapText="1"/>
    </xf>
    <xf numFmtId="22" fontId="0" fillId="0" borderId="0" xfId="0" applyNumberFormat="1"/>
    <xf numFmtId="0" fontId="19" fillId="0" borderId="0" xfId="0" applyFont="1"/>
    <xf numFmtId="166" fontId="19" fillId="0" borderId="0" xfId="0" applyNumberFormat="1" applyFont="1" applyAlignment="1">
      <alignment wrapText="1"/>
    </xf>
    <xf numFmtId="0" fontId="0" fillId="0" borderId="0" xfId="0" applyAlignment="1">
      <alignment wrapText="1"/>
    </xf>
    <xf numFmtId="49" fontId="19" fillId="12" borderId="0" xfId="0" applyNumberFormat="1" applyFont="1" applyFill="1" applyAlignment="1">
      <alignment wrapText="1"/>
    </xf>
    <xf numFmtId="0" fontId="19" fillId="12" borderId="0" xfId="0" applyFont="1" applyFill="1" applyAlignment="1">
      <alignment wrapText="1"/>
    </xf>
    <xf numFmtId="0" fontId="19" fillId="12" borderId="0" xfId="0" applyFont="1" applyFill="1"/>
    <xf numFmtId="22" fontId="20" fillId="11" borderId="1" xfId="0" applyNumberFormat="1" applyFont="1" applyFill="1" applyBorder="1" applyAlignment="1">
      <alignment horizontal="right" vertical="center"/>
    </xf>
    <xf numFmtId="0" fontId="20" fillId="11" borderId="1" xfId="0" applyFont="1" applyFill="1" applyBorder="1" applyAlignment="1">
      <alignment horizontal="right" vertical="center"/>
    </xf>
    <xf numFmtId="49" fontId="4" fillId="12" borderId="1" xfId="0" applyNumberFormat="1" applyFont="1" applyFill="1" applyBorder="1" applyAlignment="1">
      <alignment wrapText="1"/>
    </xf>
    <xf numFmtId="0" fontId="21" fillId="0" borderId="0" xfId="2" applyAlignment="1">
      <alignment horizontal="center" vertical="center"/>
    </xf>
    <xf numFmtId="0" fontId="18" fillId="15" borderId="3" xfId="2" applyFont="1" applyFill="1" applyBorder="1" applyAlignment="1">
      <alignment horizontal="center" vertical="center"/>
    </xf>
    <xf numFmtId="0" fontId="18" fillId="15" borderId="1" xfId="2" applyFont="1" applyFill="1" applyBorder="1" applyAlignment="1">
      <alignment horizontal="center" vertical="center"/>
    </xf>
    <xf numFmtId="0" fontId="21" fillId="15" borderId="1" xfId="2" applyFill="1" applyBorder="1" applyAlignment="1">
      <alignment horizontal="center" vertical="center"/>
    </xf>
    <xf numFmtId="2" fontId="26" fillId="0" borderId="1" xfId="2" applyNumberFormat="1" applyFont="1" applyBorder="1" applyAlignment="1">
      <alignment horizontal="center" vertical="center"/>
    </xf>
    <xf numFmtId="0" fontId="21" fillId="0" borderId="1" xfId="2" applyBorder="1" applyAlignment="1">
      <alignment horizontal="center" vertical="center"/>
    </xf>
    <xf numFmtId="0" fontId="21" fillId="0" borderId="0" xfId="2" applyAlignment="1">
      <alignment horizontal="left" vertical="center"/>
    </xf>
    <xf numFmtId="1" fontId="25" fillId="0" borderId="1" xfId="2" applyNumberFormat="1" applyFont="1" applyBorder="1"/>
    <xf numFmtId="1" fontId="25" fillId="12" borderId="1" xfId="2" applyNumberFormat="1" applyFont="1" applyFill="1" applyBorder="1"/>
    <xf numFmtId="2" fontId="26" fillId="12" borderId="1" xfId="2" applyNumberFormat="1" applyFont="1" applyFill="1" applyBorder="1" applyAlignment="1">
      <alignment horizontal="center" vertical="center"/>
    </xf>
    <xf numFmtId="0" fontId="21" fillId="12" borderId="1" xfId="2" applyFill="1" applyBorder="1" applyAlignment="1">
      <alignment horizontal="center" vertical="center"/>
    </xf>
    <xf numFmtId="0" fontId="21" fillId="12" borderId="0" xfId="2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7" fillId="0" borderId="0" xfId="0" applyFont="1"/>
    <xf numFmtId="0" fontId="3" fillId="17" borderId="0" xfId="1" applyFill="1"/>
    <xf numFmtId="0" fontId="3" fillId="0" borderId="0" xfId="1"/>
    <xf numFmtId="0" fontId="31" fillId="17" borderId="0" xfId="1" applyFont="1" applyFill="1" applyAlignment="1">
      <alignment vertical="center"/>
    </xf>
    <xf numFmtId="0" fontId="9" fillId="9" borderId="23" xfId="1" applyFont="1" applyFill="1" applyBorder="1" applyAlignment="1">
      <alignment vertical="center"/>
    </xf>
    <xf numFmtId="0" fontId="17" fillId="0" borderId="0" xfId="1" applyFont="1" applyAlignment="1">
      <alignment vertical="center"/>
    </xf>
    <xf numFmtId="1" fontId="22" fillId="0" borderId="0" xfId="1" applyNumberFormat="1" applyFont="1" applyAlignment="1">
      <alignment horizontal="center" vertical="center"/>
    </xf>
    <xf numFmtId="0" fontId="30" fillId="9" borderId="27" xfId="1" applyFont="1" applyFill="1" applyBorder="1" applyAlignment="1">
      <alignment vertical="center"/>
    </xf>
    <xf numFmtId="0" fontId="33" fillId="0" borderId="0" xfId="0" applyFont="1" applyAlignment="1">
      <alignment vertical="center"/>
    </xf>
    <xf numFmtId="0" fontId="17" fillId="20" borderId="21" xfId="1" applyFont="1" applyFill="1" applyBorder="1" applyAlignment="1">
      <alignment vertical="center"/>
    </xf>
    <xf numFmtId="0" fontId="0" fillId="0" borderId="0" xfId="0" applyProtection="1">
      <protection locked="0" hidden="1"/>
    </xf>
    <xf numFmtId="0" fontId="14" fillId="0" borderId="28" xfId="0" applyFont="1" applyBorder="1" applyAlignment="1" applyProtection="1">
      <alignment vertical="center" wrapText="1"/>
      <protection locked="0" hidden="1"/>
    </xf>
    <xf numFmtId="168" fontId="4" fillId="0" borderId="1" xfId="0" applyNumberFormat="1" applyFont="1" applyBorder="1" applyAlignment="1" applyProtection="1">
      <alignment horizontal="center" vertical="center"/>
      <protection hidden="1"/>
    </xf>
    <xf numFmtId="0" fontId="4" fillId="0" borderId="0" xfId="0" applyFont="1"/>
    <xf numFmtId="0" fontId="4" fillId="10" borderId="1" xfId="0" applyFont="1" applyFill="1" applyBorder="1" applyAlignment="1" applyProtection="1">
      <alignment horizontal="center" vertical="center"/>
      <protection locked="0" hidden="1"/>
    </xf>
    <xf numFmtId="1" fontId="3" fillId="16" borderId="1" xfId="0" applyNumberFormat="1" applyFont="1" applyFill="1" applyBorder="1" applyAlignment="1">
      <alignment horizontal="center" vertical="center"/>
    </xf>
    <xf numFmtId="0" fontId="3" fillId="0" borderId="0" xfId="0" applyFont="1" applyProtection="1">
      <protection locked="0" hidden="1"/>
    </xf>
    <xf numFmtId="0" fontId="4" fillId="12" borderId="1" xfId="0" applyFont="1" applyFill="1" applyBorder="1" applyAlignment="1" applyProtection="1">
      <alignment horizontal="center"/>
      <protection locked="0" hidden="1"/>
    </xf>
    <xf numFmtId="1" fontId="4" fillId="12" borderId="1" xfId="0" applyNumberFormat="1" applyFont="1" applyFill="1" applyBorder="1" applyAlignment="1">
      <alignment horizontal="center"/>
    </xf>
    <xf numFmtId="0" fontId="15" fillId="9" borderId="6" xfId="0" applyFont="1" applyFill="1" applyBorder="1" applyAlignment="1">
      <alignment vertical="center" wrapText="1"/>
    </xf>
    <xf numFmtId="1" fontId="0" fillId="0" borderId="0" xfId="0" applyNumberFormat="1"/>
    <xf numFmtId="0" fontId="20" fillId="11" borderId="0" xfId="0" applyFont="1" applyFill="1" applyAlignment="1">
      <alignment horizontal="right" vertical="center"/>
    </xf>
    <xf numFmtId="164" fontId="2" fillId="17" borderId="0" xfId="4" applyFill="1" applyAlignment="1">
      <alignment wrapText="1"/>
    </xf>
    <xf numFmtId="164" fontId="2" fillId="17" borderId="0" xfId="4" applyFill="1" applyAlignment="1">
      <alignment vertical="center" wrapText="1"/>
    </xf>
    <xf numFmtId="164" fontId="36" fillId="0" borderId="0" xfId="4" applyFont="1" applyAlignment="1">
      <alignment wrapText="1"/>
    </xf>
    <xf numFmtId="164" fontId="36" fillId="17" borderId="0" xfId="4" applyFont="1" applyFill="1" applyAlignment="1">
      <alignment wrapText="1"/>
    </xf>
    <xf numFmtId="171" fontId="36" fillId="0" borderId="0" xfId="7" applyNumberFormat="1" applyFont="1"/>
    <xf numFmtId="164" fontId="37" fillId="0" borderId="1" xfId="6" applyFont="1" applyBorder="1" applyAlignment="1">
      <alignment horizontal="left" vertical="center" wrapText="1"/>
    </xf>
    <xf numFmtId="0" fontId="36" fillId="0" borderId="1" xfId="4" applyNumberFormat="1" applyFont="1" applyBorder="1" applyAlignment="1">
      <alignment horizontal="center" vertical="center" wrapText="1"/>
    </xf>
    <xf numFmtId="0" fontId="2" fillId="17" borderId="0" xfId="4" applyNumberFormat="1" applyFill="1" applyAlignment="1">
      <alignment wrapText="1"/>
    </xf>
    <xf numFmtId="164" fontId="38" fillId="17" borderId="0" xfId="6" applyFont="1" applyFill="1" applyAlignment="1">
      <alignment vertical="center" textRotation="90" wrapText="1"/>
    </xf>
    <xf numFmtId="164" fontId="37" fillId="0" borderId="32" xfId="6" applyFont="1" applyBorder="1" applyAlignment="1">
      <alignment horizontal="left" vertical="center" wrapText="1"/>
    </xf>
    <xf numFmtId="164" fontId="37" fillId="0" borderId="9" xfId="6" applyFont="1" applyBorder="1" applyAlignment="1">
      <alignment horizontal="left" vertical="center" wrapText="1"/>
    </xf>
    <xf numFmtId="164" fontId="2" fillId="17" borderId="0" xfId="4" applyFill="1" applyAlignment="1">
      <alignment horizontal="center" vertical="center" wrapText="1"/>
    </xf>
    <xf numFmtId="164" fontId="37" fillId="0" borderId="1" xfId="4" applyFont="1" applyBorder="1" applyAlignment="1">
      <alignment horizontal="center" vertical="center" wrapText="1"/>
    </xf>
    <xf numFmtId="164" fontId="36" fillId="0" borderId="1" xfId="8" applyFont="1" applyBorder="1" applyAlignment="1">
      <alignment horizontal="center" vertical="center" wrapText="1"/>
    </xf>
    <xf numFmtId="164" fontId="36" fillId="0" borderId="1" xfId="4" applyFont="1" applyBorder="1" applyAlignment="1">
      <alignment vertical="center" wrapText="1"/>
    </xf>
    <xf numFmtId="164" fontId="40" fillId="17" borderId="0" xfId="4" applyFont="1" applyFill="1" applyAlignment="1">
      <alignment wrapText="1"/>
    </xf>
    <xf numFmtId="164" fontId="41" fillId="17" borderId="0" xfId="4" applyFont="1" applyFill="1" applyAlignment="1">
      <alignment vertical="center" wrapText="1"/>
    </xf>
    <xf numFmtId="164" fontId="2" fillId="17" borderId="39" xfId="4" applyFill="1" applyBorder="1" applyAlignment="1">
      <alignment wrapText="1"/>
    </xf>
    <xf numFmtId="1" fontId="3" fillId="17" borderId="0" xfId="1" applyNumberFormat="1" applyFill="1"/>
    <xf numFmtId="167" fontId="6" fillId="18" borderId="19" xfId="3" applyNumberFormat="1" applyFont="1" applyFill="1" applyBorder="1" applyAlignment="1">
      <alignment horizontal="right" vertical="center"/>
    </xf>
    <xf numFmtId="173" fontId="37" fillId="0" borderId="1" xfId="6" applyNumberFormat="1" applyFont="1" applyBorder="1" applyAlignment="1">
      <alignment horizontal="center" vertical="center" wrapText="1"/>
    </xf>
    <xf numFmtId="173" fontId="36" fillId="0" borderId="32" xfId="4" applyNumberFormat="1" applyFont="1" applyBorder="1" applyAlignment="1">
      <alignment horizontal="center" vertical="center" wrapText="1"/>
    </xf>
    <xf numFmtId="173" fontId="37" fillId="0" borderId="5" xfId="6" applyNumberFormat="1" applyFont="1" applyBorder="1" applyAlignment="1">
      <alignment horizontal="center" vertical="center" wrapText="1"/>
    </xf>
    <xf numFmtId="173" fontId="36" fillId="0" borderId="1" xfId="4" applyNumberFormat="1" applyFont="1" applyBorder="1" applyAlignment="1">
      <alignment horizontal="center" vertical="center" wrapText="1"/>
    </xf>
    <xf numFmtId="173" fontId="37" fillId="17" borderId="1" xfId="6" applyNumberFormat="1" applyFont="1" applyFill="1" applyBorder="1" applyAlignment="1">
      <alignment horizontal="center" vertical="center" wrapText="1"/>
    </xf>
    <xf numFmtId="173" fontId="37" fillId="0" borderId="1" xfId="4" applyNumberFormat="1" applyFont="1" applyBorder="1" applyAlignment="1">
      <alignment horizontal="center" vertical="center" wrapText="1"/>
    </xf>
    <xf numFmtId="173" fontId="36" fillId="0" borderId="1" xfId="4" applyNumberFormat="1" applyFont="1" applyBorder="1" applyAlignment="1">
      <alignment vertical="center" wrapText="1"/>
    </xf>
    <xf numFmtId="174" fontId="22" fillId="20" borderId="22" xfId="1" applyNumberFormat="1" applyFont="1" applyFill="1" applyBorder="1" applyAlignment="1">
      <alignment horizontal="center" vertical="center"/>
    </xf>
    <xf numFmtId="174" fontId="32" fillId="9" borderId="24" xfId="1" applyNumberFormat="1" applyFont="1" applyFill="1" applyBorder="1" applyAlignment="1">
      <alignment horizontal="center" vertical="center"/>
    </xf>
    <xf numFmtId="174" fontId="22" fillId="11" borderId="22" xfId="1" applyNumberFormat="1" applyFont="1" applyFill="1" applyBorder="1" applyAlignment="1">
      <alignment horizontal="center" vertical="center"/>
    </xf>
    <xf numFmtId="174" fontId="30" fillId="9" borderId="24" xfId="1" applyNumberFormat="1" applyFont="1" applyFill="1" applyBorder="1" applyAlignment="1">
      <alignment horizontal="center" vertical="center"/>
    </xf>
    <xf numFmtId="174" fontId="3" fillId="2" borderId="0" xfId="0" applyNumberFormat="1" applyFont="1" applyFill="1" applyAlignment="1">
      <alignment horizontal="center" vertical="center"/>
    </xf>
    <xf numFmtId="174" fontId="3" fillId="2" borderId="1" xfId="0" applyNumberFormat="1" applyFont="1" applyFill="1" applyBorder="1" applyAlignment="1">
      <alignment horizontal="center" vertical="center"/>
    </xf>
    <xf numFmtId="174" fontId="3" fillId="16" borderId="1" xfId="0" applyNumberFormat="1" applyFont="1" applyFill="1" applyBorder="1" applyAlignment="1">
      <alignment horizontal="center" vertical="center"/>
    </xf>
    <xf numFmtId="174" fontId="3" fillId="0" borderId="0" xfId="0" applyNumberFormat="1" applyFont="1"/>
    <xf numFmtId="0" fontId="17" fillId="23" borderId="21" xfId="1" applyFont="1" applyFill="1" applyBorder="1" applyAlignment="1">
      <alignment vertical="center"/>
    </xf>
    <xf numFmtId="174" fontId="22" fillId="23" borderId="22" xfId="1" applyNumberFormat="1" applyFont="1" applyFill="1" applyBorder="1" applyAlignment="1">
      <alignment horizontal="center" vertical="center"/>
    </xf>
    <xf numFmtId="0" fontId="17" fillId="11" borderId="21" xfId="1" applyFont="1" applyFill="1" applyBorder="1" applyAlignment="1">
      <alignment vertical="center"/>
    </xf>
    <xf numFmtId="174" fontId="4" fillId="12" borderId="1" xfId="0" applyNumberFormat="1" applyFont="1" applyFill="1" applyBorder="1" applyAlignment="1">
      <alignment horizontal="center"/>
    </xf>
    <xf numFmtId="174" fontId="0" fillId="0" borderId="1" xfId="0" applyNumberFormat="1" applyBorder="1"/>
    <xf numFmtId="0" fontId="3" fillId="17" borderId="0" xfId="1" applyFill="1" applyAlignment="1">
      <alignment horizontal="right"/>
    </xf>
    <xf numFmtId="174" fontId="0" fillId="0" borderId="0" xfId="0" applyNumberFormat="1"/>
    <xf numFmtId="0" fontId="0" fillId="14" borderId="1" xfId="0" applyFill="1" applyBorder="1" applyAlignment="1">
      <alignment horizontal="center"/>
    </xf>
    <xf numFmtId="0" fontId="0" fillId="14" borderId="0" xfId="0" applyFill="1" applyAlignment="1">
      <alignment horizontal="left" vertical="center"/>
    </xf>
    <xf numFmtId="0" fontId="3" fillId="14" borderId="5" xfId="0" applyFont="1" applyFill="1" applyBorder="1" applyAlignment="1">
      <alignment horizontal="left" vertical="center"/>
    </xf>
    <xf numFmtId="0" fontId="0" fillId="14" borderId="5" xfId="0" applyFill="1" applyBorder="1"/>
    <xf numFmtId="0" fontId="3" fillId="0" borderId="5" xfId="0" applyFont="1" applyBorder="1" applyAlignment="1">
      <alignment horizontal="left" vertical="center"/>
    </xf>
    <xf numFmtId="174" fontId="0" fillId="14" borderId="1" xfId="0" applyNumberFormat="1" applyFill="1" applyBorder="1"/>
    <xf numFmtId="164" fontId="0" fillId="17" borderId="0" xfId="9" applyFont="1" applyFill="1"/>
    <xf numFmtId="164" fontId="0" fillId="17" borderId="0" xfId="9" applyFont="1" applyFill="1" applyAlignment="1">
      <alignment horizontal="center"/>
    </xf>
    <xf numFmtId="164" fontId="48" fillId="24" borderId="3" xfId="9" applyFont="1" applyFill="1" applyBorder="1" applyAlignment="1">
      <alignment horizontal="center" vertical="center"/>
    </xf>
    <xf numFmtId="164" fontId="50" fillId="17" borderId="0" xfId="9" applyFont="1" applyFill="1" applyAlignment="1">
      <alignment horizontal="center" vertical="center"/>
    </xf>
    <xf numFmtId="164" fontId="50" fillId="17" borderId="0" xfId="9" applyFont="1" applyFill="1" applyAlignment="1">
      <alignment horizontal="center" vertical="center" wrapText="1"/>
    </xf>
    <xf numFmtId="164" fontId="49" fillId="24" borderId="1" xfId="9" applyFont="1" applyFill="1" applyBorder="1" applyAlignment="1">
      <alignment horizontal="center" vertical="center"/>
    </xf>
    <xf numFmtId="175" fontId="36" fillId="0" borderId="1" xfId="9" applyNumberFormat="1" applyFont="1" applyBorder="1" applyAlignment="1">
      <alignment horizontal="center" vertical="center"/>
    </xf>
    <xf numFmtId="164" fontId="51" fillId="17" borderId="0" xfId="9" applyFont="1" applyFill="1" applyAlignment="1">
      <alignment horizontal="center" vertical="center"/>
    </xf>
    <xf numFmtId="0" fontId="3" fillId="0" borderId="35" xfId="0" applyFont="1" applyBorder="1" applyAlignment="1">
      <alignment vertical="center"/>
    </xf>
    <xf numFmtId="0" fontId="3" fillId="0" borderId="0" xfId="0" applyFont="1" applyAlignment="1">
      <alignment wrapText="1"/>
    </xf>
    <xf numFmtId="0" fontId="15" fillId="9" borderId="8" xfId="0" applyFont="1" applyFill="1" applyBorder="1" applyAlignment="1">
      <alignment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20" fontId="4" fillId="11" borderId="1" xfId="0" applyNumberFormat="1" applyFont="1" applyFill="1" applyBorder="1" applyAlignment="1">
      <alignment horizont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1" fontId="3" fillId="12" borderId="1" xfId="0" applyNumberFormat="1" applyFont="1" applyFill="1" applyBorder="1" applyAlignment="1">
      <alignment horizontal="center" vertical="center" wrapText="1"/>
    </xf>
    <xf numFmtId="9" fontId="36" fillId="0" borderId="1" xfId="11" applyFont="1" applyBorder="1" applyAlignment="1">
      <alignment horizontal="center" vertical="center"/>
    </xf>
    <xf numFmtId="173" fontId="36" fillId="0" borderId="1" xfId="9" applyNumberFormat="1" applyFont="1" applyBorder="1" applyAlignment="1">
      <alignment horizontal="center" vertical="center"/>
    </xf>
    <xf numFmtId="0" fontId="0" fillId="0" borderId="33" xfId="0" applyBorder="1" applyAlignment="1">
      <alignment horizontal="center"/>
    </xf>
    <xf numFmtId="174" fontId="0" fillId="0" borderId="0" xfId="0" applyNumberFormat="1" applyAlignment="1">
      <alignment wrapText="1"/>
    </xf>
    <xf numFmtId="179" fontId="0" fillId="0" borderId="0" xfId="0" applyNumberFormat="1" applyAlignment="1">
      <alignment wrapText="1"/>
    </xf>
    <xf numFmtId="176" fontId="0" fillId="0" borderId="0" xfId="0" applyNumberFormat="1"/>
    <xf numFmtId="177" fontId="3" fillId="2" borderId="1" xfId="0" applyNumberFormat="1" applyFont="1" applyFill="1" applyBorder="1" applyAlignment="1">
      <alignment horizontal="center" vertical="center"/>
    </xf>
    <xf numFmtId="178" fontId="3" fillId="2" borderId="1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6" fillId="0" borderId="1" xfId="4" applyNumberFormat="1" applyFont="1" applyBorder="1" applyAlignment="1">
      <alignment horizontal="center" vertical="center"/>
    </xf>
    <xf numFmtId="164" fontId="0" fillId="17" borderId="0" xfId="4" applyFont="1" applyFill="1"/>
    <xf numFmtId="169" fontId="36" fillId="0" borderId="1" xfId="4" applyNumberFormat="1" applyFont="1" applyBorder="1" applyAlignment="1">
      <alignment horizontal="center" vertical="center"/>
    </xf>
    <xf numFmtId="174" fontId="36" fillId="25" borderId="1" xfId="4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75" fontId="36" fillId="0" borderId="30" xfId="9" applyNumberFormat="1" applyFont="1" applyBorder="1" applyAlignment="1">
      <alignment horizontal="center" vertical="center"/>
    </xf>
    <xf numFmtId="164" fontId="37" fillId="0" borderId="1" xfId="6" applyFont="1" applyBorder="1" applyAlignment="1">
      <alignment horizontal="left" vertical="center"/>
    </xf>
    <xf numFmtId="164" fontId="37" fillId="0" borderId="30" xfId="6" applyFont="1" applyBorder="1" applyAlignment="1">
      <alignment horizontal="left" vertical="center"/>
    </xf>
    <xf numFmtId="20" fontId="0" fillId="0" borderId="0" xfId="0" applyNumberFormat="1"/>
    <xf numFmtId="174" fontId="54" fillId="22" borderId="22" xfId="1" applyNumberFormat="1" applyFont="1" applyFill="1" applyBorder="1" applyAlignment="1">
      <alignment horizontal="center" vertical="center"/>
    </xf>
    <xf numFmtId="174" fontId="54" fillId="21" borderId="22" xfId="1" applyNumberFormat="1" applyFont="1" applyFill="1" applyBorder="1" applyAlignment="1">
      <alignment horizontal="center" vertical="center"/>
    </xf>
    <xf numFmtId="174" fontId="54" fillId="28" borderId="22" xfId="1" applyNumberFormat="1" applyFont="1" applyFill="1" applyBorder="1" applyAlignment="1">
      <alignment horizontal="center" vertical="center"/>
    </xf>
    <xf numFmtId="174" fontId="54" fillId="29" borderId="22" xfId="1" applyNumberFormat="1" applyFont="1" applyFill="1" applyBorder="1" applyAlignment="1">
      <alignment horizontal="center" vertical="center"/>
    </xf>
    <xf numFmtId="174" fontId="54" fillId="26" borderId="22" xfId="1" applyNumberFormat="1" applyFont="1" applyFill="1" applyBorder="1" applyAlignment="1">
      <alignment horizontal="center" vertical="center"/>
    </xf>
    <xf numFmtId="174" fontId="54" fillId="30" borderId="22" xfId="1" applyNumberFormat="1" applyFont="1" applyFill="1" applyBorder="1" applyAlignment="1">
      <alignment horizontal="center" vertical="center"/>
    </xf>
    <xf numFmtId="174" fontId="54" fillId="27" borderId="22" xfId="1" applyNumberFormat="1" applyFont="1" applyFill="1" applyBorder="1" applyAlignment="1">
      <alignment horizontal="center" vertical="center"/>
    </xf>
    <xf numFmtId="174" fontId="54" fillId="31" borderId="22" xfId="1" applyNumberFormat="1" applyFont="1" applyFill="1" applyBorder="1" applyAlignment="1">
      <alignment horizontal="center" vertical="center"/>
    </xf>
    <xf numFmtId="174" fontId="54" fillId="32" borderId="22" xfId="1" applyNumberFormat="1" applyFont="1" applyFill="1" applyBorder="1" applyAlignment="1">
      <alignment horizontal="center" vertical="center"/>
    </xf>
    <xf numFmtId="174" fontId="54" fillId="33" borderId="22" xfId="1" applyNumberFormat="1" applyFont="1" applyFill="1" applyBorder="1" applyAlignment="1">
      <alignment horizontal="center" vertical="center"/>
    </xf>
    <xf numFmtId="174" fontId="54" fillId="6" borderId="22" xfId="1" applyNumberFormat="1" applyFont="1" applyFill="1" applyBorder="1" applyAlignment="1">
      <alignment horizontal="center" vertical="center"/>
    </xf>
    <xf numFmtId="174" fontId="54" fillId="34" borderId="22" xfId="1" applyNumberFormat="1" applyFont="1" applyFill="1" applyBorder="1" applyAlignment="1">
      <alignment horizontal="center" vertical="center"/>
    </xf>
    <xf numFmtId="174" fontId="9" fillId="22" borderId="22" xfId="1" applyNumberFormat="1" applyFont="1" applyFill="1" applyBorder="1" applyAlignment="1">
      <alignment horizontal="left" vertical="center"/>
    </xf>
    <xf numFmtId="174" fontId="9" fillId="21" borderId="22" xfId="1" applyNumberFormat="1" applyFont="1" applyFill="1" applyBorder="1" applyAlignment="1">
      <alignment horizontal="left" vertical="center"/>
    </xf>
    <xf numFmtId="174" fontId="9" fillId="28" borderId="22" xfId="1" applyNumberFormat="1" applyFont="1" applyFill="1" applyBorder="1" applyAlignment="1">
      <alignment horizontal="left" vertical="center"/>
    </xf>
    <xf numFmtId="174" fontId="9" fillId="29" borderId="22" xfId="1" applyNumberFormat="1" applyFont="1" applyFill="1" applyBorder="1" applyAlignment="1">
      <alignment horizontal="left" vertical="center"/>
    </xf>
    <xf numFmtId="174" fontId="9" fillId="26" borderId="22" xfId="1" applyNumberFormat="1" applyFont="1" applyFill="1" applyBorder="1" applyAlignment="1">
      <alignment horizontal="left" vertical="center"/>
    </xf>
    <xf numFmtId="174" fontId="9" fillId="30" borderId="22" xfId="1" applyNumberFormat="1" applyFont="1" applyFill="1" applyBorder="1" applyAlignment="1">
      <alignment horizontal="left" vertical="center"/>
    </xf>
    <xf numFmtId="174" fontId="9" fillId="27" borderId="22" xfId="1" applyNumberFormat="1" applyFont="1" applyFill="1" applyBorder="1" applyAlignment="1">
      <alignment horizontal="left" vertical="center"/>
    </xf>
    <xf numFmtId="174" fontId="9" fillId="31" borderId="22" xfId="1" applyNumberFormat="1" applyFont="1" applyFill="1" applyBorder="1" applyAlignment="1">
      <alignment horizontal="left" vertical="center"/>
    </xf>
    <xf numFmtId="174" fontId="9" fillId="32" borderId="22" xfId="1" applyNumberFormat="1" applyFont="1" applyFill="1" applyBorder="1" applyAlignment="1">
      <alignment horizontal="left" vertical="center"/>
    </xf>
    <xf numFmtId="174" fontId="9" fillId="33" borderId="22" xfId="1" applyNumberFormat="1" applyFont="1" applyFill="1" applyBorder="1" applyAlignment="1">
      <alignment horizontal="left" vertical="center"/>
    </xf>
    <xf numFmtId="174" fontId="9" fillId="6" borderId="22" xfId="1" applyNumberFormat="1" applyFont="1" applyFill="1" applyBorder="1" applyAlignment="1">
      <alignment horizontal="left" vertical="center"/>
    </xf>
    <xf numFmtId="174" fontId="9" fillId="34" borderId="22" xfId="1" applyNumberFormat="1" applyFont="1" applyFill="1" applyBorder="1" applyAlignment="1">
      <alignment horizontal="left" vertical="center"/>
    </xf>
    <xf numFmtId="164" fontId="44" fillId="17" borderId="6" xfId="4" applyFont="1" applyFill="1" applyBorder="1" applyAlignment="1">
      <alignment wrapText="1"/>
    </xf>
    <xf numFmtId="164" fontId="44" fillId="17" borderId="33" xfId="4" applyFont="1" applyFill="1" applyBorder="1" applyAlignment="1">
      <alignment wrapText="1"/>
    </xf>
    <xf numFmtId="0" fontId="36" fillId="0" borderId="0" xfId="4" applyNumberFormat="1" applyFont="1" applyAlignment="1">
      <alignment horizontal="center" vertical="center"/>
    </xf>
    <xf numFmtId="0" fontId="28" fillId="9" borderId="17" xfId="1" applyFont="1" applyFill="1" applyBorder="1" applyAlignment="1">
      <alignment horizontal="center" vertical="center" wrapText="1"/>
    </xf>
    <xf numFmtId="0" fontId="28" fillId="9" borderId="15" xfId="1" applyFont="1" applyFill="1" applyBorder="1" applyAlignment="1">
      <alignment horizontal="center" vertical="center" wrapText="1"/>
    </xf>
    <xf numFmtId="0" fontId="28" fillId="9" borderId="16" xfId="1" applyFont="1" applyFill="1" applyBorder="1" applyAlignment="1">
      <alignment horizontal="center" vertical="center" wrapText="1"/>
    </xf>
    <xf numFmtId="167" fontId="6" fillId="18" borderId="17" xfId="3" applyNumberFormat="1" applyFont="1" applyFill="1" applyBorder="1" applyAlignment="1">
      <alignment horizontal="right" vertical="center"/>
    </xf>
    <xf numFmtId="167" fontId="6" fillId="18" borderId="16" xfId="3" applyNumberFormat="1" applyFont="1" applyFill="1" applyBorder="1" applyAlignment="1">
      <alignment horizontal="right" vertical="center"/>
    </xf>
    <xf numFmtId="0" fontId="29" fillId="19" borderId="18" xfId="1" applyFont="1" applyFill="1" applyBorder="1" applyAlignment="1">
      <alignment horizontal="center" vertical="center"/>
    </xf>
    <xf numFmtId="0" fontId="29" fillId="19" borderId="19" xfId="1" applyFont="1" applyFill="1" applyBorder="1" applyAlignment="1">
      <alignment horizontal="center" vertical="center"/>
    </xf>
    <xf numFmtId="0" fontId="29" fillId="19" borderId="20" xfId="1" applyFont="1" applyFill="1" applyBorder="1" applyAlignment="1">
      <alignment horizontal="center" vertical="center"/>
    </xf>
    <xf numFmtId="0" fontId="30" fillId="9" borderId="12" xfId="1" applyFont="1" applyFill="1" applyBorder="1" applyAlignment="1">
      <alignment horizontal="center" vertical="center"/>
    </xf>
    <xf numFmtId="0" fontId="30" fillId="9" borderId="14" xfId="1" applyFont="1" applyFill="1" applyBorder="1" applyAlignment="1">
      <alignment horizontal="center" vertical="center"/>
    </xf>
    <xf numFmtId="0" fontId="30" fillId="9" borderId="25" xfId="1" applyFont="1" applyFill="1" applyBorder="1" applyAlignment="1">
      <alignment horizontal="center" vertical="center"/>
    </xf>
    <xf numFmtId="0" fontId="30" fillId="9" borderId="26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7" fillId="6" borderId="0" xfId="0" applyFont="1" applyFill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169" fontId="36" fillId="0" borderId="1" xfId="4" applyNumberFormat="1" applyFont="1" applyBorder="1" applyAlignment="1">
      <alignment horizontal="center" vertical="center" wrapText="1"/>
    </xf>
    <xf numFmtId="10" fontId="36" fillId="0" borderId="1" xfId="5" applyNumberFormat="1" applyFont="1" applyFill="1" applyBorder="1" applyAlignment="1">
      <alignment horizontal="center" vertical="center" wrapText="1"/>
    </xf>
    <xf numFmtId="164" fontId="42" fillId="0" borderId="37" xfId="4" applyFont="1" applyBorder="1" applyAlignment="1">
      <alignment horizontal="center" wrapText="1"/>
    </xf>
    <xf numFmtId="164" fontId="42" fillId="0" borderId="38" xfId="4" applyFont="1" applyBorder="1" applyAlignment="1">
      <alignment horizontal="center" wrapText="1"/>
    </xf>
    <xf numFmtId="164" fontId="42" fillId="0" borderId="36" xfId="4" applyFont="1" applyBorder="1" applyAlignment="1">
      <alignment horizontal="center" wrapText="1"/>
    </xf>
    <xf numFmtId="164" fontId="42" fillId="0" borderId="31" xfId="4" applyFont="1" applyBorder="1" applyAlignment="1">
      <alignment horizontal="center" wrapText="1"/>
    </xf>
    <xf numFmtId="164" fontId="42" fillId="0" borderId="0" xfId="4" applyFont="1" applyAlignment="1">
      <alignment horizontal="center" wrapText="1"/>
    </xf>
    <xf numFmtId="164" fontId="42" fillId="0" borderId="35" xfId="4" applyFont="1" applyBorder="1" applyAlignment="1">
      <alignment horizontal="center" wrapText="1"/>
    </xf>
    <xf numFmtId="164" fontId="42" fillId="0" borderId="34" xfId="4" applyFont="1" applyBorder="1" applyAlignment="1">
      <alignment horizontal="center" wrapText="1"/>
    </xf>
    <xf numFmtId="164" fontId="42" fillId="0" borderId="6" xfId="4" applyFont="1" applyBorder="1" applyAlignment="1">
      <alignment horizontal="center" wrapText="1"/>
    </xf>
    <xf numFmtId="164" fontId="42" fillId="0" borderId="33" xfId="4" applyFont="1" applyBorder="1" applyAlignment="1">
      <alignment horizontal="center" wrapText="1"/>
    </xf>
    <xf numFmtId="170" fontId="36" fillId="0" borderId="5" xfId="5" applyNumberFormat="1" applyFont="1" applyFill="1" applyBorder="1" applyAlignment="1">
      <alignment horizontal="center" vertical="center" wrapText="1"/>
    </xf>
    <xf numFmtId="170" fontId="36" fillId="0" borderId="3" xfId="5" applyNumberFormat="1" applyFont="1" applyFill="1" applyBorder="1" applyAlignment="1">
      <alignment horizontal="center" vertical="center" wrapText="1"/>
    </xf>
    <xf numFmtId="164" fontId="39" fillId="0" borderId="32" xfId="4" applyFont="1" applyBorder="1" applyAlignment="1">
      <alignment horizontal="center" vertical="center" textRotation="90" wrapText="1"/>
    </xf>
    <xf numFmtId="164" fontId="39" fillId="0" borderId="30" xfId="4" applyFont="1" applyBorder="1" applyAlignment="1">
      <alignment horizontal="center" vertical="center" textRotation="90" wrapText="1"/>
    </xf>
    <xf numFmtId="164" fontId="39" fillId="0" borderId="9" xfId="4" applyFont="1" applyBorder="1" applyAlignment="1">
      <alignment horizontal="center" vertical="center" textRotation="90" wrapText="1"/>
    </xf>
    <xf numFmtId="164" fontId="36" fillId="0" borderId="32" xfId="4" applyFont="1" applyBorder="1" applyAlignment="1">
      <alignment horizontal="center" vertical="center" textRotation="90" wrapText="1"/>
    </xf>
    <xf numFmtId="164" fontId="36" fillId="0" borderId="30" xfId="4" applyFont="1" applyBorder="1" applyAlignment="1">
      <alignment horizontal="center" vertical="center" textRotation="90" wrapText="1"/>
    </xf>
    <xf numFmtId="164" fontId="36" fillId="0" borderId="9" xfId="4" applyFont="1" applyBorder="1" applyAlignment="1">
      <alignment horizontal="center" vertical="center" textRotation="90" wrapText="1"/>
    </xf>
    <xf numFmtId="173" fontId="36" fillId="0" borderId="1" xfId="4" applyNumberFormat="1" applyFont="1" applyBorder="1" applyAlignment="1">
      <alignment horizontal="center" vertical="center" wrapText="1"/>
    </xf>
    <xf numFmtId="170" fontId="36" fillId="0" borderId="37" xfId="5" applyNumberFormat="1" applyFont="1" applyFill="1" applyBorder="1" applyAlignment="1">
      <alignment horizontal="center" vertical="center" wrapText="1"/>
    </xf>
    <xf numFmtId="170" fontId="36" fillId="0" borderId="36" xfId="5" applyNumberFormat="1" applyFont="1" applyFill="1" applyBorder="1" applyAlignment="1">
      <alignment horizontal="center" vertical="center" wrapText="1"/>
    </xf>
    <xf numFmtId="170" fontId="36" fillId="0" borderId="31" xfId="5" applyNumberFormat="1" applyFont="1" applyFill="1" applyBorder="1" applyAlignment="1">
      <alignment horizontal="center" vertical="center" wrapText="1"/>
    </xf>
    <xf numFmtId="170" fontId="36" fillId="0" borderId="35" xfId="5" applyNumberFormat="1" applyFont="1" applyFill="1" applyBorder="1" applyAlignment="1">
      <alignment horizontal="center" vertical="center" wrapText="1"/>
    </xf>
    <xf numFmtId="170" fontId="36" fillId="0" borderId="34" xfId="5" applyNumberFormat="1" applyFont="1" applyFill="1" applyBorder="1" applyAlignment="1">
      <alignment horizontal="center" vertical="center" wrapText="1"/>
    </xf>
    <xf numFmtId="170" fontId="36" fillId="0" borderId="33" xfId="5" applyNumberFormat="1" applyFont="1" applyFill="1" applyBorder="1" applyAlignment="1">
      <alignment horizontal="center" vertical="center" wrapText="1"/>
    </xf>
    <xf numFmtId="170" fontId="36" fillId="0" borderId="1" xfId="5" applyNumberFormat="1" applyFont="1" applyFill="1" applyBorder="1" applyAlignment="1">
      <alignment horizontal="center" vertical="center" wrapText="1"/>
    </xf>
    <xf numFmtId="173" fontId="36" fillId="0" borderId="32" xfId="4" applyNumberFormat="1" applyFont="1" applyBorder="1" applyAlignment="1">
      <alignment horizontal="center" vertical="center" wrapText="1"/>
    </xf>
    <xf numFmtId="173" fontId="36" fillId="0" borderId="30" xfId="4" applyNumberFormat="1" applyFont="1" applyBorder="1" applyAlignment="1">
      <alignment horizontal="center" vertical="center" wrapText="1"/>
    </xf>
    <xf numFmtId="173" fontId="36" fillId="0" borderId="9" xfId="4" applyNumberFormat="1" applyFont="1" applyBorder="1" applyAlignment="1">
      <alignment horizontal="center" vertical="center" wrapText="1"/>
    </xf>
    <xf numFmtId="164" fontId="36" fillId="0" borderId="1" xfId="4" applyFont="1" applyBorder="1" applyAlignment="1">
      <alignment horizontal="center" vertical="center" wrapText="1"/>
    </xf>
    <xf numFmtId="164" fontId="39" fillId="0" borderId="1" xfId="4" applyFont="1" applyBorder="1" applyAlignment="1">
      <alignment horizontal="center" vertical="center" textRotation="90" wrapText="1"/>
    </xf>
    <xf numFmtId="164" fontId="39" fillId="0" borderId="31" xfId="4" applyFont="1" applyBorder="1" applyAlignment="1">
      <alignment horizontal="center" vertical="center" textRotation="90" wrapText="1"/>
    </xf>
    <xf numFmtId="164" fontId="39" fillId="0" borderId="35" xfId="4" applyFont="1" applyBorder="1" applyAlignment="1">
      <alignment horizontal="center" vertical="center" textRotation="90" wrapText="1"/>
    </xf>
    <xf numFmtId="164" fontId="39" fillId="0" borderId="34" xfId="4" applyFont="1" applyBorder="1" applyAlignment="1">
      <alignment horizontal="center" vertical="center" textRotation="90" wrapText="1"/>
    </xf>
    <xf numFmtId="164" fontId="39" fillId="0" borderId="33" xfId="4" applyFont="1" applyBorder="1" applyAlignment="1">
      <alignment horizontal="center" vertical="center" textRotation="90" wrapText="1"/>
    </xf>
    <xf numFmtId="164" fontId="36" fillId="0" borderId="5" xfId="4" applyFont="1" applyBorder="1" applyAlignment="1">
      <alignment horizontal="center" vertical="center" wrapText="1"/>
    </xf>
    <xf numFmtId="164" fontId="36" fillId="0" borderId="3" xfId="4" applyFont="1" applyBorder="1" applyAlignment="1">
      <alignment horizontal="center" vertical="center" wrapText="1"/>
    </xf>
    <xf numFmtId="164" fontId="36" fillId="0" borderId="37" xfId="4" applyFont="1" applyBorder="1" applyAlignment="1">
      <alignment horizontal="center" vertical="center" wrapText="1"/>
    </xf>
    <xf numFmtId="164" fontId="36" fillId="0" borderId="36" xfId="4" applyFont="1" applyBorder="1" applyAlignment="1">
      <alignment horizontal="center" vertical="center" wrapText="1"/>
    </xf>
    <xf numFmtId="164" fontId="36" fillId="0" borderId="31" xfId="4" applyFont="1" applyBorder="1" applyAlignment="1">
      <alignment horizontal="center" vertical="center" wrapText="1"/>
    </xf>
    <xf numFmtId="164" fontId="36" fillId="0" borderId="35" xfId="4" applyFont="1" applyBorder="1" applyAlignment="1">
      <alignment horizontal="center" vertical="center" wrapText="1"/>
    </xf>
    <xf numFmtId="164" fontId="36" fillId="0" borderId="34" xfId="4" applyFont="1" applyBorder="1" applyAlignment="1">
      <alignment horizontal="center" vertical="center" wrapText="1"/>
    </xf>
    <xf numFmtId="164" fontId="36" fillId="0" borderId="33" xfId="4" applyFont="1" applyBorder="1" applyAlignment="1">
      <alignment horizontal="center" vertical="center" wrapText="1"/>
    </xf>
    <xf numFmtId="173" fontId="36" fillId="0" borderId="36" xfId="4" applyNumberFormat="1" applyFont="1" applyBorder="1" applyAlignment="1">
      <alignment horizontal="center" vertical="center" wrapText="1"/>
    </xf>
    <xf numFmtId="173" fontId="36" fillId="0" borderId="35" xfId="4" applyNumberFormat="1" applyFont="1" applyBorder="1" applyAlignment="1">
      <alignment horizontal="center" vertical="center" wrapText="1"/>
    </xf>
    <xf numFmtId="173" fontId="36" fillId="0" borderId="33" xfId="4" applyNumberFormat="1" applyFont="1" applyBorder="1" applyAlignment="1">
      <alignment horizontal="center" vertical="center" wrapText="1"/>
    </xf>
    <xf numFmtId="170" fontId="36" fillId="0" borderId="37" xfId="5" quotePrefix="1" applyNumberFormat="1" applyFont="1" applyFill="1" applyBorder="1" applyAlignment="1">
      <alignment horizontal="center" vertical="center" wrapText="1"/>
    </xf>
    <xf numFmtId="170" fontId="36" fillId="0" borderId="36" xfId="5" quotePrefix="1" applyNumberFormat="1" applyFont="1" applyFill="1" applyBorder="1" applyAlignment="1">
      <alignment horizontal="center" vertical="center" wrapText="1"/>
    </xf>
    <xf numFmtId="170" fontId="36" fillId="0" borderId="31" xfId="5" quotePrefix="1" applyNumberFormat="1" applyFont="1" applyFill="1" applyBorder="1" applyAlignment="1">
      <alignment horizontal="center" vertical="center" wrapText="1"/>
    </xf>
    <xf numFmtId="170" fontId="36" fillId="0" borderId="35" xfId="5" quotePrefix="1" applyNumberFormat="1" applyFont="1" applyFill="1" applyBorder="1" applyAlignment="1">
      <alignment horizontal="center" vertical="center" wrapText="1"/>
    </xf>
    <xf numFmtId="170" fontId="36" fillId="0" borderId="34" xfId="5" quotePrefix="1" applyNumberFormat="1" applyFont="1" applyFill="1" applyBorder="1" applyAlignment="1">
      <alignment horizontal="center" vertical="center" wrapText="1"/>
    </xf>
    <xf numFmtId="170" fontId="36" fillId="0" borderId="33" xfId="5" quotePrefix="1" applyNumberFormat="1" applyFont="1" applyFill="1" applyBorder="1" applyAlignment="1">
      <alignment horizontal="center" vertical="center" wrapText="1"/>
    </xf>
    <xf numFmtId="173" fontId="37" fillId="0" borderId="32" xfId="4" applyNumberFormat="1" applyFont="1" applyBorder="1" applyAlignment="1">
      <alignment horizontal="center" vertical="center" wrapText="1"/>
    </xf>
    <xf numFmtId="173" fontId="37" fillId="0" borderId="30" xfId="4" applyNumberFormat="1" applyFont="1" applyBorder="1" applyAlignment="1">
      <alignment horizontal="center" vertical="center" wrapText="1"/>
    </xf>
    <xf numFmtId="172" fontId="43" fillId="17" borderId="37" xfId="4" applyNumberFormat="1" applyFont="1" applyFill="1" applyBorder="1" applyAlignment="1">
      <alignment horizontal="center" wrapText="1"/>
    </xf>
    <xf numFmtId="172" fontId="43" fillId="17" borderId="38" xfId="4" applyNumberFormat="1" applyFont="1" applyFill="1" applyBorder="1" applyAlignment="1">
      <alignment horizontal="center" wrapText="1"/>
    </xf>
    <xf numFmtId="172" fontId="43" fillId="17" borderId="36" xfId="4" applyNumberFormat="1" applyFont="1" applyFill="1" applyBorder="1" applyAlignment="1">
      <alignment horizontal="center" wrapText="1"/>
    </xf>
    <xf numFmtId="164" fontId="37" fillId="0" borderId="5" xfId="4" applyFont="1" applyBorder="1" applyAlignment="1">
      <alignment horizontal="center" vertical="center" wrapText="1"/>
    </xf>
    <xf numFmtId="164" fontId="37" fillId="0" borderId="3" xfId="4" applyFont="1" applyBorder="1" applyAlignment="1">
      <alignment horizontal="center" vertical="center" wrapText="1"/>
    </xf>
    <xf numFmtId="164" fontId="36" fillId="0" borderId="5" xfId="4" applyFont="1" applyBorder="1" applyAlignment="1">
      <alignment horizontal="left" vertical="center" wrapText="1"/>
    </xf>
    <xf numFmtId="164" fontId="36" fillId="0" borderId="4" xfId="4" applyFont="1" applyBorder="1" applyAlignment="1">
      <alignment horizontal="left" vertical="center" wrapText="1"/>
    </xf>
    <xf numFmtId="164" fontId="36" fillId="0" borderId="3" xfId="4" applyFont="1" applyBorder="1" applyAlignment="1">
      <alignment horizontal="left" vertical="center" wrapText="1"/>
    </xf>
    <xf numFmtId="164" fontId="36" fillId="0" borderId="1" xfId="4" applyFont="1" applyBorder="1" applyAlignment="1">
      <alignment horizontal="center" vertical="center" textRotation="90" wrapText="1"/>
    </xf>
    <xf numFmtId="164" fontId="44" fillId="17" borderId="6" xfId="4" applyFont="1" applyFill="1" applyBorder="1" applyAlignment="1">
      <alignment horizontal="center" wrapText="1"/>
    </xf>
    <xf numFmtId="164" fontId="44" fillId="17" borderId="33" xfId="4" applyFont="1" applyFill="1" applyBorder="1" applyAlignment="1">
      <alignment horizontal="center" wrapText="1"/>
    </xf>
    <xf numFmtId="164" fontId="42" fillId="0" borderId="1" xfId="4" applyFont="1" applyBorder="1" applyAlignment="1">
      <alignment horizontal="center" wrapText="1"/>
    </xf>
    <xf numFmtId="164" fontId="36" fillId="24" borderId="5" xfId="9" applyFont="1" applyFill="1" applyBorder="1" applyAlignment="1">
      <alignment horizontal="right" vertical="center"/>
    </xf>
    <xf numFmtId="164" fontId="36" fillId="24" borderId="4" xfId="9" applyFont="1" applyFill="1" applyBorder="1" applyAlignment="1">
      <alignment horizontal="right" vertical="center"/>
    </xf>
    <xf numFmtId="164" fontId="36" fillId="24" borderId="3" xfId="9" applyFont="1" applyFill="1" applyBorder="1" applyAlignment="1">
      <alignment horizontal="right" vertical="center"/>
    </xf>
    <xf numFmtId="164" fontId="39" fillId="0" borderId="1" xfId="4" applyFont="1" applyBorder="1" applyAlignment="1">
      <alignment horizontal="center" vertical="center" wrapText="1"/>
    </xf>
    <xf numFmtId="164" fontId="49" fillId="24" borderId="32" xfId="9" applyFont="1" applyFill="1" applyBorder="1" applyAlignment="1">
      <alignment horizontal="center" vertical="center"/>
    </xf>
    <xf numFmtId="164" fontId="49" fillId="24" borderId="30" xfId="9" applyFont="1" applyFill="1" applyBorder="1" applyAlignment="1">
      <alignment horizontal="center" vertical="center"/>
    </xf>
    <xf numFmtId="164" fontId="49" fillId="24" borderId="9" xfId="9" applyFont="1" applyFill="1" applyBorder="1" applyAlignment="1">
      <alignment horizontal="center" vertical="center"/>
    </xf>
    <xf numFmtId="164" fontId="42" fillId="24" borderId="31" xfId="9" applyFont="1" applyFill="1" applyBorder="1" applyAlignment="1">
      <alignment horizontal="left" vertical="center"/>
    </xf>
    <xf numFmtId="164" fontId="42" fillId="24" borderId="0" xfId="9" applyFont="1" applyFill="1" applyAlignment="1">
      <alignment horizontal="left" vertical="center"/>
    </xf>
    <xf numFmtId="10" fontId="36" fillId="0" borderId="5" xfId="5" applyNumberFormat="1" applyFont="1" applyFill="1" applyBorder="1" applyAlignment="1">
      <alignment horizontal="center" vertical="center" wrapText="1"/>
    </xf>
    <xf numFmtId="10" fontId="36" fillId="0" borderId="4" xfId="5" applyNumberFormat="1" applyFont="1" applyFill="1" applyBorder="1" applyAlignment="1">
      <alignment horizontal="center" vertical="center" wrapText="1"/>
    </xf>
    <xf numFmtId="10" fontId="36" fillId="0" borderId="3" xfId="5" applyNumberFormat="1" applyFont="1" applyFill="1" applyBorder="1" applyAlignment="1">
      <alignment horizontal="center" vertical="center" wrapText="1"/>
    </xf>
    <xf numFmtId="169" fontId="36" fillId="0" borderId="5" xfId="4" applyNumberFormat="1" applyFont="1" applyBorder="1" applyAlignment="1">
      <alignment horizontal="center" vertical="center" wrapText="1"/>
    </xf>
    <xf numFmtId="169" fontId="36" fillId="0" borderId="4" xfId="4" applyNumberFormat="1" applyFont="1" applyBorder="1" applyAlignment="1">
      <alignment horizontal="center" vertical="center" wrapText="1"/>
    </xf>
    <xf numFmtId="169" fontId="36" fillId="0" borderId="3" xfId="4" applyNumberFormat="1" applyFont="1" applyBorder="1" applyAlignment="1">
      <alignment horizontal="center" vertical="center" wrapText="1"/>
    </xf>
    <xf numFmtId="0" fontId="15" fillId="9" borderId="6" xfId="0" applyFont="1" applyFill="1" applyBorder="1" applyAlignment="1">
      <alignment horizontal="left" vertical="center" wrapText="1"/>
    </xf>
    <xf numFmtId="0" fontId="15" fillId="9" borderId="29" xfId="0" applyFont="1" applyFill="1" applyBorder="1" applyAlignment="1">
      <alignment horizontal="center" vertical="center" wrapText="1"/>
    </xf>
    <xf numFmtId="0" fontId="15" fillId="9" borderId="6" xfId="0" applyFont="1" applyFill="1" applyBorder="1" applyAlignment="1">
      <alignment horizontal="center" vertical="center" wrapText="1"/>
    </xf>
    <xf numFmtId="0" fontId="0" fillId="0" borderId="0" xfId="0" applyAlignment="1" applyProtection="1">
      <alignment horizontal="center"/>
      <protection locked="0" hidden="1"/>
    </xf>
    <xf numFmtId="0" fontId="0" fillId="0" borderId="6" xfId="0" applyBorder="1" applyAlignment="1" applyProtection="1">
      <alignment horizontal="center"/>
      <protection locked="0" hidden="1"/>
    </xf>
    <xf numFmtId="180" fontId="36" fillId="24" borderId="5" xfId="4" applyNumberFormat="1" applyFont="1" applyFill="1" applyBorder="1" applyAlignment="1">
      <alignment horizontal="right" vertical="center"/>
    </xf>
    <xf numFmtId="180" fontId="36" fillId="24" borderId="4" xfId="4" applyNumberFormat="1" applyFont="1" applyFill="1" applyBorder="1" applyAlignment="1">
      <alignment horizontal="right" vertical="center"/>
    </xf>
    <xf numFmtId="180" fontId="36" fillId="24" borderId="3" xfId="4" applyNumberFormat="1" applyFont="1" applyFill="1" applyBorder="1" applyAlignment="1">
      <alignment horizontal="right" vertical="center"/>
    </xf>
    <xf numFmtId="181" fontId="36" fillId="24" borderId="5" xfId="4" applyNumberFormat="1" applyFont="1" applyFill="1" applyBorder="1" applyAlignment="1">
      <alignment horizontal="center" vertical="center"/>
    </xf>
    <xf numFmtId="181" fontId="36" fillId="24" borderId="4" xfId="4" applyNumberFormat="1" applyFont="1" applyFill="1" applyBorder="1" applyAlignment="1">
      <alignment horizontal="center" vertical="center"/>
    </xf>
    <xf numFmtId="181" fontId="36" fillId="24" borderId="3" xfId="4" applyNumberFormat="1" applyFont="1" applyFill="1" applyBorder="1" applyAlignment="1">
      <alignment horizontal="center" vertical="center"/>
    </xf>
    <xf numFmtId="0" fontId="0" fillId="14" borderId="1" xfId="0" applyFill="1" applyBorder="1" applyAlignment="1">
      <alignment horizontal="left" vertical="center"/>
    </xf>
    <xf numFmtId="0" fontId="0" fillId="0" borderId="3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5" xfId="0" applyFont="1" applyBorder="1" applyAlignment="1">
      <alignment horizontal="center" vertic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0" borderId="30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14" borderId="32" xfId="0" applyFont="1" applyFill="1" applyBorder="1" applyAlignment="1">
      <alignment horizontal="left" vertical="center"/>
    </xf>
    <xf numFmtId="0" fontId="0" fillId="14" borderId="30" xfId="0" applyFill="1" applyBorder="1" applyAlignment="1">
      <alignment horizontal="left" vertical="center"/>
    </xf>
    <xf numFmtId="0" fontId="0" fillId="14" borderId="9" xfId="0" applyFill="1" applyBorder="1" applyAlignment="1">
      <alignment horizontal="left" vertical="center"/>
    </xf>
    <xf numFmtId="0" fontId="0" fillId="14" borderId="32" xfId="0" applyFill="1" applyBorder="1" applyAlignment="1">
      <alignment horizontal="center" vertical="center"/>
    </xf>
    <xf numFmtId="0" fontId="0" fillId="14" borderId="30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14" borderId="1" xfId="0" applyFill="1" applyBorder="1" applyAlignment="1">
      <alignment horizontal="left" vertical="center" wrapText="1"/>
    </xf>
    <xf numFmtId="0" fontId="22" fillId="14" borderId="1" xfId="2" applyFont="1" applyFill="1" applyBorder="1" applyAlignment="1">
      <alignment horizontal="center" vertical="center"/>
    </xf>
    <xf numFmtId="0" fontId="23" fillId="13" borderId="1" xfId="2" applyFont="1" applyFill="1" applyBorder="1" applyAlignment="1">
      <alignment horizontal="center" vertical="center"/>
    </xf>
    <xf numFmtId="0" fontId="24" fillId="14" borderId="12" xfId="2" applyFont="1" applyFill="1" applyBorder="1" applyAlignment="1">
      <alignment horizontal="center" vertical="center"/>
    </xf>
    <xf numFmtId="0" fontId="24" fillId="14" borderId="13" xfId="2" applyFont="1" applyFill="1" applyBorder="1" applyAlignment="1">
      <alignment horizontal="center" vertical="center"/>
    </xf>
    <xf numFmtId="0" fontId="24" fillId="14" borderId="14" xfId="2" applyFont="1" applyFill="1" applyBorder="1" applyAlignment="1">
      <alignment horizontal="center" vertical="center"/>
    </xf>
    <xf numFmtId="0" fontId="22" fillId="14" borderId="1" xfId="2" applyFont="1" applyFill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0" fontId="56" fillId="12" borderId="0" xfId="1" applyFont="1" applyFill="1"/>
    <xf numFmtId="9" fontId="55" fillId="12" borderId="0" xfId="11" applyFont="1" applyFill="1"/>
  </cellXfs>
  <cellStyles count="12">
    <cellStyle name="Normal" xfId="0" builtinId="0"/>
    <cellStyle name="Normal 114" xfId="3" xr:uid="{00000000-0005-0000-0000-000001000000}"/>
    <cellStyle name="Normal 133" xfId="7" xr:uid="{00000000-0005-0000-0000-000002000000}"/>
    <cellStyle name="Normal 133 2" xfId="10" xr:uid="{4333A78B-2874-4037-8ECB-ECE4B91E1940}"/>
    <cellStyle name="Normal 2" xfId="2" xr:uid="{00000000-0005-0000-0000-000003000000}"/>
    <cellStyle name="Normal 2 2" xfId="1" xr:uid="{00000000-0005-0000-0000-000004000000}"/>
    <cellStyle name="Normal 2 2 32" xfId="4" xr:uid="{00000000-0005-0000-0000-000005000000}"/>
    <cellStyle name="Normal 2 2 32 2" xfId="9" xr:uid="{2EE6FBFA-529B-40CD-BE6D-F21E57939665}"/>
    <cellStyle name="Normal 2 63" xfId="6" xr:uid="{00000000-0005-0000-0000-000006000000}"/>
    <cellStyle name="Normal 5 5" xfId="8" xr:uid="{00000000-0005-0000-0000-000007000000}"/>
    <cellStyle name="Percent" xfId="11" builtinId="5"/>
    <cellStyle name="Percent 10" xfId="5" xr:uid="{00000000-0005-0000-0000-000009000000}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6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externalLink" Target="externalLinks/externalLink4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7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externalLink" Target="externalLinks/externalLink2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ENERGY CONSUMPTION 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4"/>
          <c:order val="0"/>
          <c:dPt>
            <c:idx val="0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22EB-4942-BCE7-19EC4AC17066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22EB-4942-BCE7-19EC4AC17066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22EB-4942-BCE7-19EC4AC1706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Summary!$C$6:$C$8</c:f>
              <c:strCache>
                <c:ptCount val="3"/>
                <c:pt idx="0">
                  <c:v>Govt Supply (Incomer)</c:v>
                </c:pt>
                <c:pt idx="1">
                  <c:v>DG-1,2,3,4 &amp; 5</c:v>
                </c:pt>
                <c:pt idx="2">
                  <c:v>SOLAR-1,2 &amp; #</c:v>
                </c:pt>
              </c:strCache>
            </c:strRef>
          </c:cat>
          <c:val>
            <c:numRef>
              <c:f>Summary!$D$6:$D$8</c:f>
              <c:numCache>
                <c:formatCode>0</c:formatCode>
                <c:ptCount val="3"/>
                <c:pt idx="0">
                  <c:v>22.303374999999999</c:v>
                </c:pt>
                <c:pt idx="1">
                  <c:v>0</c:v>
                </c:pt>
                <c:pt idx="2">
                  <c:v>4.9013030000000128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EB-4942-BCE7-19EC4AC17066}"/>
            </c:ext>
          </c:extLst>
        </c:ser>
        <c:ser>
          <c:idx val="5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8-22EB-4942-BCE7-19EC4AC170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A-22EB-4942-BCE7-19EC4AC170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C-22EB-4942-BCE7-19EC4AC1706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Summary!$C$6:$C$8</c:f>
              <c:strCache>
                <c:ptCount val="3"/>
                <c:pt idx="0">
                  <c:v>Govt Supply (Incomer)</c:v>
                </c:pt>
                <c:pt idx="1">
                  <c:v>DG-1,2,3,4 &amp; 5</c:v>
                </c:pt>
                <c:pt idx="2">
                  <c:v>SOLAR-1,2 &amp; #</c:v>
                </c:pt>
              </c:strCache>
            </c:strRef>
          </c:cat>
          <c:val>
            <c:numRef>
              <c:f>Summary!$D$6:$D$8</c:f>
              <c:numCache>
                <c:formatCode>0</c:formatCode>
                <c:ptCount val="3"/>
                <c:pt idx="0">
                  <c:v>22.303374999999999</c:v>
                </c:pt>
                <c:pt idx="1">
                  <c:v>0</c:v>
                </c:pt>
                <c:pt idx="2">
                  <c:v>4.9013030000000128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EB-4942-BCE7-19EC4AC17066}"/>
            </c:ext>
          </c:extLst>
        </c:ser>
        <c:ser>
          <c:idx val="6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22EB-4942-BCE7-19EC4AC170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22EB-4942-BCE7-19EC4AC170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22EB-4942-BCE7-19EC4AC1706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Summary!$C$6:$C$8</c:f>
              <c:strCache>
                <c:ptCount val="3"/>
                <c:pt idx="0">
                  <c:v>Govt Supply (Incomer)</c:v>
                </c:pt>
                <c:pt idx="1">
                  <c:v>DG-1,2,3,4 &amp; 5</c:v>
                </c:pt>
                <c:pt idx="2">
                  <c:v>SOLAR-1,2 &amp; #</c:v>
                </c:pt>
              </c:strCache>
            </c:strRef>
          </c:cat>
          <c:val>
            <c:numRef>
              <c:f>Summary!$D$6:$D$8</c:f>
              <c:numCache>
                <c:formatCode>0</c:formatCode>
                <c:ptCount val="3"/>
                <c:pt idx="0">
                  <c:v>22.303374999999999</c:v>
                </c:pt>
                <c:pt idx="1">
                  <c:v>0</c:v>
                </c:pt>
                <c:pt idx="2">
                  <c:v>4.9013030000000128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2EB-4942-BCE7-19EC4AC17066}"/>
            </c:ext>
          </c:extLst>
        </c:ser>
        <c:ser>
          <c:idx val="7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6-22EB-4942-BCE7-19EC4AC170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8-22EB-4942-BCE7-19EC4AC170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A-22EB-4942-BCE7-19EC4AC1706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Summary!$C$6:$C$8</c:f>
              <c:strCache>
                <c:ptCount val="3"/>
                <c:pt idx="0">
                  <c:v>Govt Supply (Incomer)</c:v>
                </c:pt>
                <c:pt idx="1">
                  <c:v>DG-1,2,3,4 &amp; 5</c:v>
                </c:pt>
                <c:pt idx="2">
                  <c:v>SOLAR-1,2 &amp; #</c:v>
                </c:pt>
              </c:strCache>
            </c:strRef>
          </c:cat>
          <c:val>
            <c:numRef>
              <c:f>Summary!$D$6:$D$8</c:f>
              <c:numCache>
                <c:formatCode>0</c:formatCode>
                <c:ptCount val="3"/>
                <c:pt idx="0">
                  <c:v>22.303374999999999</c:v>
                </c:pt>
                <c:pt idx="1">
                  <c:v>0</c:v>
                </c:pt>
                <c:pt idx="2">
                  <c:v>4.9013030000000128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22EB-4942-BCE7-19EC4AC17066}"/>
            </c:ext>
          </c:extLst>
        </c:ser>
        <c:ser>
          <c:idx val="2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D-22EB-4942-BCE7-19EC4AC170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F-22EB-4942-BCE7-19EC4AC170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1-22EB-4942-BCE7-19EC4AC1706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Summary!$C$6:$C$8</c:f>
              <c:strCache>
                <c:ptCount val="3"/>
                <c:pt idx="0">
                  <c:v>Govt Supply (Incomer)</c:v>
                </c:pt>
                <c:pt idx="1">
                  <c:v>DG-1,2,3,4 &amp; 5</c:v>
                </c:pt>
                <c:pt idx="2">
                  <c:v>SOLAR-1,2 &amp; #</c:v>
                </c:pt>
              </c:strCache>
            </c:strRef>
          </c:cat>
          <c:val>
            <c:numRef>
              <c:f>Summary!$D$6:$D$8</c:f>
              <c:numCache>
                <c:formatCode>0</c:formatCode>
                <c:ptCount val="3"/>
                <c:pt idx="0">
                  <c:v>22.303374999999999</c:v>
                </c:pt>
                <c:pt idx="1">
                  <c:v>0</c:v>
                </c:pt>
                <c:pt idx="2">
                  <c:v>4.9013030000000128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22EB-4942-BCE7-19EC4AC17066}"/>
            </c:ext>
          </c:extLst>
        </c:ser>
        <c:ser>
          <c:idx val="3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4-22EB-4942-BCE7-19EC4AC170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6-22EB-4942-BCE7-19EC4AC170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8-22EB-4942-BCE7-19EC4AC1706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Summary!$C$6:$C$8</c:f>
              <c:strCache>
                <c:ptCount val="3"/>
                <c:pt idx="0">
                  <c:v>Govt Supply (Incomer)</c:v>
                </c:pt>
                <c:pt idx="1">
                  <c:v>DG-1,2,3,4 &amp; 5</c:v>
                </c:pt>
                <c:pt idx="2">
                  <c:v>SOLAR-1,2 &amp; #</c:v>
                </c:pt>
              </c:strCache>
            </c:strRef>
          </c:cat>
          <c:val>
            <c:numRef>
              <c:f>Summary!$D$6:$D$8</c:f>
              <c:numCache>
                <c:formatCode>0</c:formatCode>
                <c:ptCount val="3"/>
                <c:pt idx="0">
                  <c:v>22.303374999999999</c:v>
                </c:pt>
                <c:pt idx="1">
                  <c:v>0</c:v>
                </c:pt>
                <c:pt idx="2">
                  <c:v>4.9013030000000128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22EB-4942-BCE7-19EC4AC17066}"/>
            </c:ext>
          </c:extLst>
        </c:ser>
        <c:ser>
          <c:idx val="1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B-22EB-4942-BCE7-19EC4AC170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D-22EB-4942-BCE7-19EC4AC170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2F-22EB-4942-BCE7-19EC4AC1706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Summary!$C$6:$C$8</c:f>
              <c:strCache>
                <c:ptCount val="3"/>
                <c:pt idx="0">
                  <c:v>Govt Supply (Incomer)</c:v>
                </c:pt>
                <c:pt idx="1">
                  <c:v>DG-1,2,3,4 &amp; 5</c:v>
                </c:pt>
                <c:pt idx="2">
                  <c:v>SOLAR-1,2 &amp; #</c:v>
                </c:pt>
              </c:strCache>
            </c:strRef>
          </c:cat>
          <c:val>
            <c:numRef>
              <c:f>Summary!$D$6:$D$8</c:f>
              <c:numCache>
                <c:formatCode>0</c:formatCode>
                <c:ptCount val="3"/>
                <c:pt idx="0">
                  <c:v>22.303374999999999</c:v>
                </c:pt>
                <c:pt idx="1">
                  <c:v>0</c:v>
                </c:pt>
                <c:pt idx="2">
                  <c:v>4.9013030000000128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22EB-4942-BCE7-19EC4AC17066}"/>
            </c:ext>
          </c:extLst>
        </c:ser>
        <c:ser>
          <c:idx val="0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2-22EB-4942-BCE7-19EC4AC1706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4-22EB-4942-BCE7-19EC4AC1706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36-22EB-4942-BCE7-19EC4AC1706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Summary!$C$6:$C$8</c:f>
              <c:strCache>
                <c:ptCount val="3"/>
                <c:pt idx="0">
                  <c:v>Govt Supply (Incomer)</c:v>
                </c:pt>
                <c:pt idx="1">
                  <c:v>DG-1,2,3,4 &amp; 5</c:v>
                </c:pt>
                <c:pt idx="2">
                  <c:v>SOLAR-1,2 &amp; #</c:v>
                </c:pt>
              </c:strCache>
            </c:strRef>
          </c:cat>
          <c:val>
            <c:numRef>
              <c:f>Summary!$D$6:$D$8</c:f>
              <c:numCache>
                <c:formatCode>0</c:formatCode>
                <c:ptCount val="3"/>
                <c:pt idx="0">
                  <c:v>22.303374999999999</c:v>
                </c:pt>
                <c:pt idx="1">
                  <c:v>0</c:v>
                </c:pt>
                <c:pt idx="2">
                  <c:v>4.9013030000000128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22EB-4942-BCE7-19EC4AC1706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2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Area Wise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D5ED-46C6-B50D-BDA92E31D6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D5ED-46C6-B50D-BDA92E31D6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D5ED-46C6-B50D-BDA92E31D61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D5ED-46C6-B50D-BDA92E31D616}"/>
              </c:ext>
            </c:extLst>
          </c:dPt>
          <c:dPt>
            <c:idx val="4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D5ED-46C6-B50D-BDA92E31D61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D5ED-46C6-B50D-BDA92E31D61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D5ED-46C6-B50D-BDA92E31D61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E-F9EB-4241-A674-7A1F0390FAB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E555-485B-B1ED-5483DCBF2CC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E555-485B-B1ED-5483DCBF2CC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5-E555-485B-B1ED-5483DCBF2CC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7-E555-485B-B1ED-5483DCBF2CC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Summary!$A$18:$A$29</c:f>
              <c:strCache>
                <c:ptCount val="12"/>
                <c:pt idx="0">
                  <c:v>Utility Miscellaneous</c:v>
                </c:pt>
                <c:pt idx="1">
                  <c:v>Lighting</c:v>
                </c:pt>
                <c:pt idx="2">
                  <c:v>Office Area VRV+Canteen Aircon</c:v>
                </c:pt>
                <c:pt idx="3">
                  <c:v>Air comp.</c:v>
                </c:pt>
                <c:pt idx="4">
                  <c:v>Plant Aircon</c:v>
                </c:pt>
                <c:pt idx="5">
                  <c:v>Molding</c:v>
                </c:pt>
                <c:pt idx="6">
                  <c:v>HVAC</c:v>
                </c:pt>
                <c:pt idx="7">
                  <c:v>PW</c:v>
                </c:pt>
                <c:pt idx="8">
                  <c:v>EFM</c:v>
                </c:pt>
                <c:pt idx="9">
                  <c:v>Wiper</c:v>
                </c:pt>
                <c:pt idx="10">
                  <c:v>Production Mislaneous</c:v>
                </c:pt>
                <c:pt idx="11">
                  <c:v>Others</c:v>
                </c:pt>
              </c:strCache>
            </c:strRef>
          </c:cat>
          <c:val>
            <c:numRef>
              <c:f>Summary!$B$18:$B$29</c:f>
              <c:numCache>
                <c:formatCode>0.000</c:formatCode>
                <c:ptCount val="12"/>
                <c:pt idx="0">
                  <c:v>1.0596754999999973</c:v>
                </c:pt>
                <c:pt idx="1">
                  <c:v>2.4475763906249903</c:v>
                </c:pt>
                <c:pt idx="2">
                  <c:v>1.115282999999911</c:v>
                </c:pt>
                <c:pt idx="3">
                  <c:v>2.9892480000000319</c:v>
                </c:pt>
                <c:pt idx="4">
                  <c:v>9.6427999999999585</c:v>
                </c:pt>
                <c:pt idx="5">
                  <c:v>0.56841924999999849</c:v>
                </c:pt>
                <c:pt idx="6">
                  <c:v>3.2040375000000232E-2</c:v>
                </c:pt>
                <c:pt idx="7">
                  <c:v>2.0249427812500107</c:v>
                </c:pt>
                <c:pt idx="8">
                  <c:v>2.0529279999999801</c:v>
                </c:pt>
                <c:pt idx="9">
                  <c:v>0.64403174999999491</c:v>
                </c:pt>
                <c:pt idx="10">
                  <c:v>0.24426916406250171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5ED-46C6-B50D-BDA92E31D61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2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109876</xdr:colOff>
      <xdr:row>2</xdr:row>
      <xdr:rowOff>31003</xdr:rowOff>
    </xdr:from>
    <xdr:to>
      <xdr:col>8</xdr:col>
      <xdr:colOff>517337</xdr:colOff>
      <xdr:row>15</xdr:row>
      <xdr:rowOff>215401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161550</xdr:colOff>
      <xdr:row>16</xdr:row>
      <xdr:rowOff>172322</xdr:rowOff>
    </xdr:from>
    <xdr:to>
      <xdr:col>8</xdr:col>
      <xdr:colOff>547842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38101</xdr:rowOff>
    </xdr:from>
    <xdr:to>
      <xdr:col>0</xdr:col>
      <xdr:colOff>1676400</xdr:colOff>
      <xdr:row>2</xdr:row>
      <xdr:rowOff>0</xdr:rowOff>
    </xdr:to>
    <xdr:pic>
      <xdr:nvPicPr>
        <xdr:cNvPr id="3" name="Picture 2" descr="C:\Users\Mkhan\Downloads\Denso_logo.svg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01"/>
          <a:ext cx="1676400" cy="215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463550</xdr:colOff>
      <xdr:row>2</xdr:row>
      <xdr:rowOff>13970</xdr:rowOff>
    </xdr:to>
    <xdr:pic>
      <xdr:nvPicPr>
        <xdr:cNvPr id="2" name="Picture 1" descr="C:\Users\Mkhan\Downloads\Denso_logo.svg.pn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635125" cy="3378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685800</xdr:colOff>
      <xdr:row>2</xdr:row>
      <xdr:rowOff>31894</xdr:rowOff>
    </xdr:to>
    <xdr:pic>
      <xdr:nvPicPr>
        <xdr:cNvPr id="2" name="Picture 1" descr="Hom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752600" cy="4255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581025</xdr:colOff>
      <xdr:row>2</xdr:row>
      <xdr:rowOff>108094</xdr:rowOff>
    </xdr:to>
    <xdr:pic>
      <xdr:nvPicPr>
        <xdr:cNvPr id="2" name="Picture 1" descr="Home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704975" cy="4319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_msg_02\USERS\USERS\MISCELL\DRC\gen\AUG'0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5128\TIMBERTRAIL\SSG\BUDGET'06\WINDOWS\TEMP\gen\AUG'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DRC\Blue-R\Aug'05-GE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chneider%20Electric\ION%20Enterprise\Config\Reports\Templates\USERS\TarunS\TANU\sch\jan-dec03\AsstBA2100dec2003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511DCA7D\AsstBA2100Mar2003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SESA425576\Desktop\Birla\Templates\Documents%20and%20Settings\GTuser\Local%20Settings\Temporary%20Internet%20Files\OLK1A6\USERS\TarunS\TANU\sch\apr02-mar03\AsstBA2100Mar2003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chneider%20Electric\ION%20Enterprise\Config\Reports\Templates\Documents%20and%20Settings\GTuser\Local%20Settings\Temporary%20Internet%20Files\OLK1A6\USERS\TarunS\TANU\sch\apr02-mar03\AsstBA2100Mar20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rp5128\TIMBERTRAIL\SSG\BUDGET'06\DOCUME~1\hiralaly\LOCALS~1\Temp\gen\AUG'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ibution"/>
      <sheetName val="Profit Plan"/>
      <sheetName val="C"/>
      <sheetName val="Receivable"/>
      <sheetName val="RECANALY"/>
      <sheetName val="EBTreco"/>
      <sheetName val="H"/>
      <sheetName val="COMMRY"/>
      <sheetName val="Profit_Plan"/>
      <sheetName val="DONVIBAN"/>
      <sheetName val="NGUON"/>
      <sheetName val="Eqpmnt Plng"/>
      <sheetName val="ahc"/>
      <sheetName val="fin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51">
          <cell r="L51" t="str">
            <v>Jul</v>
          </cell>
          <cell r="M51" t="str">
            <v>Aug</v>
          </cell>
          <cell r="N51" t="str">
            <v>Sep</v>
          </cell>
          <cell r="O51" t="str">
            <v>Oct</v>
          </cell>
          <cell r="P51" t="str">
            <v>Nov</v>
          </cell>
          <cell r="Q51" t="str">
            <v>Dec'01</v>
          </cell>
          <cell r="R51" t="str">
            <v>Jan'02</v>
          </cell>
          <cell r="S51" t="str">
            <v>Feb</v>
          </cell>
          <cell r="T51" t="str">
            <v>Mar</v>
          </cell>
          <cell r="U51" t="str">
            <v>Apr</v>
          </cell>
          <cell r="V51" t="str">
            <v>May</v>
          </cell>
        </row>
        <row r="52">
          <cell r="L52">
            <v>43</v>
          </cell>
          <cell r="M52">
            <v>39</v>
          </cell>
          <cell r="N52">
            <v>39</v>
          </cell>
          <cell r="O52">
            <v>47</v>
          </cell>
          <cell r="P52">
            <v>51</v>
          </cell>
          <cell r="Q52">
            <v>51</v>
          </cell>
          <cell r="R52">
            <v>55</v>
          </cell>
          <cell r="S52">
            <v>63</v>
          </cell>
          <cell r="T52">
            <v>47</v>
          </cell>
          <cell r="U52">
            <v>47</v>
          </cell>
          <cell r="V52">
            <v>46</v>
          </cell>
        </row>
        <row r="65">
          <cell r="L65" t="str">
            <v>Jul</v>
          </cell>
          <cell r="M65" t="str">
            <v>Aug</v>
          </cell>
          <cell r="N65" t="str">
            <v>Sep</v>
          </cell>
          <cell r="O65" t="str">
            <v>Oct</v>
          </cell>
          <cell r="P65" t="str">
            <v>Nov</v>
          </cell>
          <cell r="Q65" t="str">
            <v>Dec'01</v>
          </cell>
          <cell r="R65" t="str">
            <v>Jan'02</v>
          </cell>
          <cell r="S65" t="str">
            <v>Feb</v>
          </cell>
          <cell r="T65" t="str">
            <v>Mar</v>
          </cell>
          <cell r="U65" t="str">
            <v>Apr</v>
          </cell>
          <cell r="V65" t="str">
            <v>May</v>
          </cell>
        </row>
        <row r="66">
          <cell r="L66">
            <v>85.03</v>
          </cell>
          <cell r="M66">
            <v>92.7</v>
          </cell>
          <cell r="N66">
            <v>99.93</v>
          </cell>
          <cell r="O66">
            <v>82.53</v>
          </cell>
          <cell r="P66">
            <v>79.849999999999994</v>
          </cell>
          <cell r="Q66">
            <v>66</v>
          </cell>
          <cell r="R66">
            <v>72.510000000000005</v>
          </cell>
          <cell r="S66">
            <v>73.14</v>
          </cell>
          <cell r="T66">
            <v>84.98</v>
          </cell>
          <cell r="U66">
            <v>92.01</v>
          </cell>
          <cell r="V66">
            <v>107.00999999999999</v>
          </cell>
        </row>
        <row r="67">
          <cell r="L67">
            <v>75.013999999999996</v>
          </cell>
          <cell r="M67">
            <v>110.49</v>
          </cell>
          <cell r="N67">
            <v>111.66</v>
          </cell>
          <cell r="O67">
            <v>57.14</v>
          </cell>
          <cell r="P67">
            <v>78.14</v>
          </cell>
          <cell r="Q67">
            <v>100</v>
          </cell>
          <cell r="R67">
            <v>42.56</v>
          </cell>
          <cell r="S67">
            <v>80.27</v>
          </cell>
          <cell r="T67">
            <v>110.04</v>
          </cell>
          <cell r="U67">
            <v>100.51</v>
          </cell>
          <cell r="V67">
            <v>140.57000000000002</v>
          </cell>
        </row>
        <row r="100">
          <cell r="L100" t="str">
            <v>Jul</v>
          </cell>
          <cell r="M100" t="str">
            <v>Aug</v>
          </cell>
          <cell r="N100" t="str">
            <v>Sep</v>
          </cell>
          <cell r="O100" t="str">
            <v>Oct</v>
          </cell>
          <cell r="P100" t="str">
            <v>Nov</v>
          </cell>
          <cell r="Q100" t="str">
            <v>Dec'01</v>
          </cell>
          <cell r="R100" t="str">
            <v>Jan'02</v>
          </cell>
          <cell r="S100" t="str">
            <v>Feb</v>
          </cell>
          <cell r="T100" t="str">
            <v>Mar</v>
          </cell>
          <cell r="U100" t="str">
            <v>Apr</v>
          </cell>
          <cell r="V100" t="str">
            <v>May</v>
          </cell>
        </row>
        <row r="101">
          <cell r="L101">
            <v>38</v>
          </cell>
          <cell r="M101">
            <v>42</v>
          </cell>
          <cell r="N101">
            <v>56</v>
          </cell>
          <cell r="O101">
            <v>45</v>
          </cell>
          <cell r="P101">
            <v>42</v>
          </cell>
          <cell r="Q101">
            <v>41</v>
          </cell>
          <cell r="R101">
            <v>38</v>
          </cell>
          <cell r="S101">
            <v>50</v>
          </cell>
          <cell r="T101">
            <v>54</v>
          </cell>
          <cell r="U101">
            <v>53</v>
          </cell>
          <cell r="V101">
            <v>53</v>
          </cell>
        </row>
        <row r="110">
          <cell r="L110" t="str">
            <v>Jul</v>
          </cell>
          <cell r="M110" t="str">
            <v>Aug</v>
          </cell>
          <cell r="N110" t="str">
            <v>Sep</v>
          </cell>
          <cell r="O110" t="str">
            <v>Oct</v>
          </cell>
          <cell r="P110" t="str">
            <v>Nov</v>
          </cell>
          <cell r="Q110" t="str">
            <v>Dec'01</v>
          </cell>
          <cell r="R110" t="str">
            <v>Jan'02</v>
          </cell>
          <cell r="S110" t="str">
            <v>Feb</v>
          </cell>
          <cell r="T110" t="str">
            <v>Mar</v>
          </cell>
          <cell r="U110" t="str">
            <v>Apr</v>
          </cell>
          <cell r="V110" t="str">
            <v>May</v>
          </cell>
        </row>
        <row r="111">
          <cell r="L111">
            <v>15.538090841533993</v>
          </cell>
          <cell r="M111">
            <v>3.6704446381865736</v>
          </cell>
          <cell r="N111">
            <v>3.7828522188711764</v>
          </cell>
          <cell r="O111">
            <v>19.89</v>
          </cell>
          <cell r="P111">
            <v>12.281095644364616</v>
          </cell>
          <cell r="Q111">
            <v>5</v>
          </cell>
          <cell r="R111">
            <v>29</v>
          </cell>
          <cell r="S111">
            <v>9</v>
          </cell>
          <cell r="T111">
            <v>7.6</v>
          </cell>
          <cell r="U111">
            <v>8.4</v>
          </cell>
          <cell r="V111">
            <v>3.0284216335540832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ibution"/>
      <sheetName val="Profit Plan"/>
      <sheetName val="C"/>
      <sheetName val="Receivable"/>
      <sheetName val="RECANALY"/>
      <sheetName val="EBTreco"/>
      <sheetName val="H"/>
      <sheetName val="B"/>
      <sheetName val="ratios"/>
      <sheetName val="wkg cflo"/>
      <sheetName val="SCH 1_2"/>
      <sheetName val="A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 refreshError="1">
        <row r="67">
          <cell r="L67">
            <v>75.013999999999996</v>
          </cell>
          <cell r="M67">
            <v>110.49</v>
          </cell>
          <cell r="N67">
            <v>111.66</v>
          </cell>
          <cell r="O67">
            <v>57.14</v>
          </cell>
          <cell r="P67">
            <v>78.14</v>
          </cell>
          <cell r="Q67">
            <v>100</v>
          </cell>
          <cell r="R67">
            <v>42.56</v>
          </cell>
          <cell r="S67">
            <v>80.27</v>
          </cell>
          <cell r="T67">
            <v>110.04</v>
          </cell>
          <cell r="U67">
            <v>100.51</v>
          </cell>
          <cell r="V67">
            <v>140.57000000000002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RY"/>
      <sheetName val="PP"/>
      <sheetName val="PP Projection"/>
      <sheetName val="Expenses"/>
      <sheetName val="Contribution"/>
      <sheetName val="INTERST"/>
      <sheetName val="Second-sale-INV"/>
      <sheetName val="Mkt inventory"/>
      <sheetName val="THERAP"/>
      <sheetName val="NEWPROD"/>
      <sheetName val="INVENTORY"/>
      <sheetName val="Receivable"/>
      <sheetName val="DSO"/>
      <sheetName val="wor capital"/>
      <sheetName val="SALECOLL"/>
      <sheetName val="AR - BERMUDA - Al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d jan to mar"/>
      <sheetName val="add apr to dec"/>
      <sheetName val="add apr to dec I Tax"/>
      <sheetName val="add jan to dec"/>
      <sheetName val="YTD"/>
      <sheetName val="SUMMARY"/>
      <sheetName val="tfr out"/>
      <sheetName val="tfr 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98">
          <cell r="C198" t="str">
            <v>Air Conditioner</v>
          </cell>
          <cell r="D198">
            <v>1</v>
          </cell>
          <cell r="E198">
            <v>33390</v>
          </cell>
          <cell r="F198">
            <v>21450</v>
          </cell>
          <cell r="K198">
            <v>21450</v>
          </cell>
          <cell r="L198">
            <v>12795.87</v>
          </cell>
          <cell r="M198">
            <v>1105</v>
          </cell>
          <cell r="Q198">
            <v>13900.87</v>
          </cell>
          <cell r="R198">
            <v>8654.1299999999992</v>
          </cell>
          <cell r="S198">
            <v>7549.1299999999992</v>
          </cell>
        </row>
        <row r="199">
          <cell r="C199" t="str">
            <v>Air Conditioner 1.5 TON</v>
          </cell>
          <cell r="D199">
            <v>1</v>
          </cell>
          <cell r="E199">
            <v>33695</v>
          </cell>
          <cell r="F199">
            <v>21950</v>
          </cell>
          <cell r="K199">
            <v>21950</v>
          </cell>
          <cell r="L199">
            <v>12152.122500000001</v>
          </cell>
          <cell r="M199">
            <v>1130</v>
          </cell>
          <cell r="Q199">
            <v>13282.122500000001</v>
          </cell>
          <cell r="R199">
            <v>9797.8774999999987</v>
          </cell>
          <cell r="S199">
            <v>8667.8774999999987</v>
          </cell>
        </row>
        <row r="200">
          <cell r="C200" t="str">
            <v>Air Conditioner 1.5 TON</v>
          </cell>
          <cell r="D200">
            <v>1</v>
          </cell>
          <cell r="E200">
            <v>33635</v>
          </cell>
          <cell r="F200">
            <v>25300</v>
          </cell>
          <cell r="K200">
            <v>25300</v>
          </cell>
          <cell r="L200">
            <v>14223.872500000001</v>
          </cell>
          <cell r="M200">
            <v>1303</v>
          </cell>
          <cell r="Q200">
            <v>15526.872500000001</v>
          </cell>
          <cell r="R200">
            <v>11076.127499999999</v>
          </cell>
          <cell r="S200">
            <v>9773.1274999999987</v>
          </cell>
        </row>
        <row r="201">
          <cell r="C201" t="str">
            <v>Air Conditioner 1.5 TON</v>
          </cell>
          <cell r="E201">
            <v>33086</v>
          </cell>
          <cell r="F201">
            <v>22300</v>
          </cell>
          <cell r="K201">
            <v>22300</v>
          </cell>
          <cell r="L201">
            <v>14259.907500000001</v>
          </cell>
          <cell r="M201">
            <v>1148</v>
          </cell>
          <cell r="Q201">
            <v>15407.907500000001</v>
          </cell>
          <cell r="R201">
            <v>8040.0924999999988</v>
          </cell>
          <cell r="S201">
            <v>6892.0924999999988</v>
          </cell>
        </row>
        <row r="202">
          <cell r="C202" t="str">
            <v>Air Conditioner &amp; Stablizer</v>
          </cell>
          <cell r="D202" t="str">
            <v>1+1</v>
          </cell>
          <cell r="E202">
            <v>33055</v>
          </cell>
          <cell r="F202">
            <v>19550</v>
          </cell>
          <cell r="K202">
            <v>19550</v>
          </cell>
          <cell r="L202">
            <v>12585.362499999999</v>
          </cell>
          <cell r="M202">
            <v>1007</v>
          </cell>
          <cell r="Q202">
            <v>13592.362499999999</v>
          </cell>
          <cell r="R202">
            <v>6964.6375000000007</v>
          </cell>
          <cell r="S202">
            <v>5957.6375000000007</v>
          </cell>
        </row>
        <row r="203">
          <cell r="C203" t="str">
            <v>Air Conditioner &amp; Stablizer</v>
          </cell>
          <cell r="D203" t="str">
            <v>1+1</v>
          </cell>
          <cell r="E203">
            <v>32660</v>
          </cell>
          <cell r="F203">
            <v>17900</v>
          </cell>
          <cell r="K203">
            <v>17900</v>
          </cell>
          <cell r="L203">
            <v>12521.797500000001</v>
          </cell>
          <cell r="M203">
            <v>922</v>
          </cell>
          <cell r="Q203">
            <v>13443.797500000001</v>
          </cell>
          <cell r="R203">
            <v>5378.2024999999994</v>
          </cell>
          <cell r="S203">
            <v>4456.2024999999994</v>
          </cell>
        </row>
        <row r="204">
          <cell r="C204" t="str">
            <v>Air Conditioner &amp; Stablizer</v>
          </cell>
          <cell r="D204" t="str">
            <v>1+1</v>
          </cell>
          <cell r="E204">
            <v>32660</v>
          </cell>
          <cell r="F204">
            <v>19100</v>
          </cell>
          <cell r="K204">
            <v>19100</v>
          </cell>
          <cell r="L204">
            <v>13361.247499999999</v>
          </cell>
          <cell r="M204">
            <v>984</v>
          </cell>
          <cell r="Q204">
            <v>14345.247499999999</v>
          </cell>
          <cell r="R204">
            <v>5738.7525000000005</v>
          </cell>
          <cell r="S204">
            <v>4754.7525000000005</v>
          </cell>
        </row>
        <row r="205">
          <cell r="C205" t="str">
            <v>Air Conditioner (CPD)</v>
          </cell>
          <cell r="F205">
            <v>4950</v>
          </cell>
          <cell r="K205">
            <v>4950</v>
          </cell>
          <cell r="L205">
            <v>4949.9975000000004</v>
          </cell>
          <cell r="Q205">
            <v>4949.9975000000004</v>
          </cell>
          <cell r="R205">
            <v>2.4999999995998223E-3</v>
          </cell>
          <cell r="S205">
            <v>2.4999999995998223E-3</v>
          </cell>
        </row>
        <row r="206">
          <cell r="C206" t="str">
            <v>Air Conditioner (CURADIA)</v>
          </cell>
          <cell r="D206">
            <v>1</v>
          </cell>
          <cell r="E206">
            <v>1986</v>
          </cell>
          <cell r="F206">
            <v>15180</v>
          </cell>
          <cell r="K206">
            <v>15180</v>
          </cell>
          <cell r="L206">
            <v>13329.547500000001</v>
          </cell>
          <cell r="M206">
            <v>782</v>
          </cell>
          <cell r="Q206">
            <v>14111.547500000001</v>
          </cell>
          <cell r="R206">
            <v>1850.4524999999994</v>
          </cell>
          <cell r="S206">
            <v>1068.4524999999994</v>
          </cell>
        </row>
        <row r="207">
          <cell r="C207" t="str">
            <v>A.C. Stablizer</v>
          </cell>
          <cell r="D207">
            <v>1</v>
          </cell>
          <cell r="E207">
            <v>33664</v>
          </cell>
          <cell r="F207">
            <v>1800</v>
          </cell>
          <cell r="K207">
            <v>1800</v>
          </cell>
          <cell r="L207">
            <v>1004.255</v>
          </cell>
          <cell r="M207">
            <v>93</v>
          </cell>
          <cell r="Q207">
            <v>1097.2550000000001</v>
          </cell>
          <cell r="R207">
            <v>795.745</v>
          </cell>
          <cell r="S207">
            <v>702.74499999999989</v>
          </cell>
        </row>
        <row r="208">
          <cell r="C208" t="str">
            <v>A.C. Stablizer</v>
          </cell>
          <cell r="D208">
            <v>1</v>
          </cell>
          <cell r="E208">
            <v>33390</v>
          </cell>
          <cell r="F208">
            <v>2000</v>
          </cell>
          <cell r="K208">
            <v>2000</v>
          </cell>
          <cell r="L208">
            <v>1193.08</v>
          </cell>
          <cell r="M208">
            <v>103</v>
          </cell>
          <cell r="Q208">
            <v>1296.08</v>
          </cell>
          <cell r="R208">
            <v>806.92000000000007</v>
          </cell>
          <cell r="S208">
            <v>703.92000000000007</v>
          </cell>
        </row>
        <row r="209">
          <cell r="C209" t="str">
            <v>A.C. Stablizer (CURADIA)</v>
          </cell>
          <cell r="D209">
            <v>1</v>
          </cell>
          <cell r="E209">
            <v>1986</v>
          </cell>
          <cell r="F209">
            <v>1281</v>
          </cell>
          <cell r="K209">
            <v>1281</v>
          </cell>
          <cell r="L209">
            <v>1124.8275000000001</v>
          </cell>
          <cell r="M209">
            <v>66</v>
          </cell>
          <cell r="Q209">
            <v>1190.8275000000001</v>
          </cell>
          <cell r="R209">
            <v>156.1724999999999</v>
          </cell>
          <cell r="S209">
            <v>90.1724999999999</v>
          </cell>
        </row>
        <row r="210">
          <cell r="C210" t="str">
            <v>A.C. Stablizer</v>
          </cell>
          <cell r="D210">
            <v>1</v>
          </cell>
          <cell r="E210">
            <v>34366</v>
          </cell>
          <cell r="F210">
            <v>2000</v>
          </cell>
          <cell r="K210">
            <v>2000</v>
          </cell>
          <cell r="L210">
            <v>2000</v>
          </cell>
          <cell r="Q210">
            <v>2000</v>
          </cell>
          <cell r="R210">
            <v>0</v>
          </cell>
          <cell r="S210">
            <v>0</v>
          </cell>
        </row>
        <row r="211">
          <cell r="C211" t="str">
            <v>Cooler</v>
          </cell>
          <cell r="D211">
            <v>1</v>
          </cell>
          <cell r="E211">
            <v>33420</v>
          </cell>
          <cell r="F211">
            <v>4500</v>
          </cell>
          <cell r="K211">
            <v>4500</v>
          </cell>
          <cell r="L211">
            <v>2665.1224999999999</v>
          </cell>
          <cell r="M211">
            <v>232</v>
          </cell>
          <cell r="Q211">
            <v>2897.1224999999999</v>
          </cell>
          <cell r="R211">
            <v>1834.8775000000001</v>
          </cell>
          <cell r="S211">
            <v>1602.8775000000001</v>
          </cell>
        </row>
        <row r="212">
          <cell r="C212" t="str">
            <v>Desert Cooler</v>
          </cell>
          <cell r="D212">
            <v>1</v>
          </cell>
          <cell r="E212">
            <v>33390</v>
          </cell>
          <cell r="F212">
            <v>6600</v>
          </cell>
          <cell r="K212">
            <v>6600</v>
          </cell>
          <cell r="L212">
            <v>3937.1750000000002</v>
          </cell>
          <cell r="M212">
            <v>340</v>
          </cell>
          <cell r="Q212">
            <v>4277.1750000000002</v>
          </cell>
          <cell r="R212">
            <v>2662.8249999999998</v>
          </cell>
          <cell r="S212">
            <v>2322.8249999999998</v>
          </cell>
        </row>
        <row r="213">
          <cell r="C213" t="str">
            <v>1.5 TONNE A.C. WITH STABILISER</v>
          </cell>
          <cell r="D213">
            <v>1</v>
          </cell>
          <cell r="E213">
            <v>1990</v>
          </cell>
          <cell r="F213">
            <v>19550</v>
          </cell>
          <cell r="K213">
            <v>19550</v>
          </cell>
          <cell r="L213">
            <v>12753.172500000001</v>
          </cell>
          <cell r="M213">
            <v>1007</v>
          </cell>
          <cell r="Q213">
            <v>13760.172500000001</v>
          </cell>
          <cell r="R213">
            <v>6796.8274999999994</v>
          </cell>
          <cell r="S213">
            <v>5789.8274999999994</v>
          </cell>
        </row>
        <row r="214">
          <cell r="C214" t="str">
            <v>1.5 TONNE A.C. WITH STABILISER</v>
          </cell>
          <cell r="D214">
            <v>1</v>
          </cell>
          <cell r="E214">
            <v>1991</v>
          </cell>
          <cell r="F214">
            <v>21300</v>
          </cell>
          <cell r="K214">
            <v>21300</v>
          </cell>
          <cell r="L214">
            <v>12706.342500000001</v>
          </cell>
          <cell r="M214">
            <v>1097</v>
          </cell>
          <cell r="Q214">
            <v>13803.342500000001</v>
          </cell>
          <cell r="R214">
            <v>8593.6574999999993</v>
          </cell>
          <cell r="S214">
            <v>7496.6574999999993</v>
          </cell>
        </row>
        <row r="215">
          <cell r="C215" t="str">
            <v>1.5 TONNE A.C. WITH STABILISER</v>
          </cell>
          <cell r="D215">
            <v>1</v>
          </cell>
          <cell r="E215">
            <v>1992</v>
          </cell>
          <cell r="F215">
            <v>26550</v>
          </cell>
          <cell r="K215">
            <v>26550</v>
          </cell>
          <cell r="L215">
            <v>14584.8575</v>
          </cell>
          <cell r="M215">
            <v>1367</v>
          </cell>
          <cell r="Q215">
            <v>15951.8575</v>
          </cell>
          <cell r="R215">
            <v>11965.1425</v>
          </cell>
          <cell r="S215">
            <v>10598.1425</v>
          </cell>
        </row>
        <row r="216">
          <cell r="C216" t="str">
            <v>AIR CONDITIONER</v>
          </cell>
          <cell r="D216">
            <v>9</v>
          </cell>
          <cell r="E216" t="str">
            <v>31.07.86</v>
          </cell>
          <cell r="F216">
            <v>130680</v>
          </cell>
          <cell r="K216">
            <v>130680</v>
          </cell>
          <cell r="L216">
            <v>114750.10730769232</v>
          </cell>
          <cell r="M216">
            <v>6730</v>
          </cell>
          <cell r="Q216">
            <v>121480.10730769232</v>
          </cell>
          <cell r="R216">
            <v>15929.89269230768</v>
          </cell>
          <cell r="S216">
            <v>9199.8926923076797</v>
          </cell>
        </row>
        <row r="217">
          <cell r="C217" t="str">
            <v>VOLTAGE STABILIZER</v>
          </cell>
          <cell r="D217">
            <v>9</v>
          </cell>
          <cell r="E217" t="str">
            <v>31.07.86</v>
          </cell>
          <cell r="F217">
            <v>10051.997692307692</v>
          </cell>
          <cell r="K217">
            <v>10051.997692307692</v>
          </cell>
          <cell r="L217">
            <v>8826.8988461538465</v>
          </cell>
          <cell r="M217">
            <v>518</v>
          </cell>
          <cell r="Q217">
            <v>9344.8988461538465</v>
          </cell>
          <cell r="R217">
            <v>1225.0988461538454</v>
          </cell>
          <cell r="S217">
            <v>707.09884615384544</v>
          </cell>
        </row>
        <row r="218">
          <cell r="C218" t="str">
            <v>INSTALATION COST</v>
          </cell>
          <cell r="E218" t="str">
            <v>31.07.86</v>
          </cell>
          <cell r="F218">
            <v>3900</v>
          </cell>
          <cell r="K218">
            <v>3900</v>
          </cell>
          <cell r="L218">
            <v>3424.5874999999996</v>
          </cell>
          <cell r="M218">
            <v>201</v>
          </cell>
          <cell r="Q218">
            <v>3625.5874999999996</v>
          </cell>
          <cell r="R218">
            <v>475.41250000000036</v>
          </cell>
          <cell r="S218">
            <v>274.41250000000036</v>
          </cell>
        </row>
        <row r="219">
          <cell r="C219" t="str">
            <v>WATER COOLER</v>
          </cell>
          <cell r="D219">
            <v>1</v>
          </cell>
          <cell r="E219" t="str">
            <v>31.12.86</v>
          </cell>
          <cell r="F219">
            <v>8848.4</v>
          </cell>
          <cell r="K219">
            <v>8848.4</v>
          </cell>
          <cell r="L219">
            <v>7769.7601000000004</v>
          </cell>
          <cell r="M219">
            <v>455.99</v>
          </cell>
          <cell r="Q219">
            <v>8225.7501000000011</v>
          </cell>
          <cell r="R219">
            <v>1078.6398999999992</v>
          </cell>
          <cell r="S219">
            <v>622.64989999999852</v>
          </cell>
        </row>
        <row r="220">
          <cell r="C220" t="str">
            <v>A.C. Stablizer</v>
          </cell>
          <cell r="D220">
            <v>1</v>
          </cell>
          <cell r="F220">
            <v>1425.26</v>
          </cell>
          <cell r="K220">
            <v>1425.26</v>
          </cell>
          <cell r="L220">
            <v>1425.25</v>
          </cell>
          <cell r="Q220">
            <v>1425.25</v>
          </cell>
          <cell r="R220">
            <v>9.9999999999909051E-3</v>
          </cell>
          <cell r="S220">
            <v>9.9999999999909051E-3</v>
          </cell>
        </row>
        <row r="222">
          <cell r="C222" t="str">
            <v>GODREJ REFRIGERATOR</v>
          </cell>
          <cell r="D222">
            <v>1</v>
          </cell>
          <cell r="E222" t="str">
            <v>31.12.82</v>
          </cell>
          <cell r="F222">
            <v>7250</v>
          </cell>
          <cell r="K222">
            <v>7250</v>
          </cell>
          <cell r="L222">
            <v>7249</v>
          </cell>
          <cell r="M222">
            <v>1</v>
          </cell>
          <cell r="Q222">
            <v>7250</v>
          </cell>
          <cell r="R222">
            <v>1</v>
          </cell>
          <cell r="S222">
            <v>0</v>
          </cell>
        </row>
        <row r="223">
          <cell r="C223" t="str">
            <v>75SE-WATER COOLER</v>
          </cell>
          <cell r="D223">
            <v>1</v>
          </cell>
          <cell r="E223" t="str">
            <v>27.03.92</v>
          </cell>
          <cell r="F223">
            <v>11279</v>
          </cell>
          <cell r="K223">
            <v>11279</v>
          </cell>
          <cell r="L223">
            <v>6293</v>
          </cell>
          <cell r="M223">
            <v>581</v>
          </cell>
          <cell r="Q223">
            <v>6874</v>
          </cell>
          <cell r="R223">
            <v>4986</v>
          </cell>
          <cell r="S223">
            <v>4405</v>
          </cell>
        </row>
        <row r="224">
          <cell r="C224" t="str">
            <v>75SE-WATER COOLER</v>
          </cell>
          <cell r="D224">
            <v>1</v>
          </cell>
          <cell r="E224" t="str">
            <v>20.11.87</v>
          </cell>
          <cell r="F224">
            <v>8481.2000000000007</v>
          </cell>
          <cell r="K224">
            <v>8481.2000000000007</v>
          </cell>
          <cell r="L224">
            <v>6672.7</v>
          </cell>
          <cell r="M224">
            <v>437</v>
          </cell>
          <cell r="Q224">
            <v>7109.7</v>
          </cell>
          <cell r="R224">
            <v>1808.5000000000009</v>
          </cell>
          <cell r="S224">
            <v>1371.5000000000009</v>
          </cell>
        </row>
        <row r="225">
          <cell r="C225" t="str">
            <v>REFRI-HRD FUR-RSM-STC</v>
          </cell>
          <cell r="D225">
            <v>1</v>
          </cell>
          <cell r="E225" t="str">
            <v>07.08.91</v>
          </cell>
          <cell r="F225">
            <v>10000</v>
          </cell>
          <cell r="K225">
            <v>10000</v>
          </cell>
          <cell r="L225">
            <v>5922.25</v>
          </cell>
          <cell r="M225">
            <v>515</v>
          </cell>
          <cell r="Q225">
            <v>6437.25</v>
          </cell>
          <cell r="R225">
            <v>4077.75</v>
          </cell>
          <cell r="S225">
            <v>3562.75</v>
          </cell>
        </row>
        <row r="226">
          <cell r="C226" t="str">
            <v>1.5 TON.AIR CON</v>
          </cell>
          <cell r="D226">
            <v>2</v>
          </cell>
          <cell r="E226" t="str">
            <v>31.02.82</v>
          </cell>
          <cell r="F226">
            <v>6930</v>
          </cell>
          <cell r="K226">
            <v>6930</v>
          </cell>
          <cell r="L226">
            <v>6929</v>
          </cell>
          <cell r="M226">
            <v>1</v>
          </cell>
          <cell r="Q226">
            <v>6930</v>
          </cell>
          <cell r="R226">
            <v>1</v>
          </cell>
          <cell r="S226">
            <v>0</v>
          </cell>
        </row>
        <row r="227">
          <cell r="C227" t="str">
            <v>1.5 TON.AIR CON</v>
          </cell>
          <cell r="D227">
            <v>2</v>
          </cell>
          <cell r="E227" t="str">
            <v>18.05.88</v>
          </cell>
          <cell r="F227">
            <v>44621</v>
          </cell>
          <cell r="K227">
            <v>44621</v>
          </cell>
          <cell r="L227">
            <v>32835.4</v>
          </cell>
          <cell r="M227">
            <v>2298</v>
          </cell>
          <cell r="Q227">
            <v>35133.4</v>
          </cell>
          <cell r="R227">
            <v>11785.599999999999</v>
          </cell>
          <cell r="S227">
            <v>9487.5999999999985</v>
          </cell>
        </row>
        <row r="228">
          <cell r="C228" t="str">
            <v>1.5 TON.AIR CON</v>
          </cell>
          <cell r="D228">
            <v>1</v>
          </cell>
          <cell r="E228" t="str">
            <v>31.03.95</v>
          </cell>
          <cell r="F228">
            <v>19500</v>
          </cell>
          <cell r="K228">
            <v>19500</v>
          </cell>
          <cell r="L228">
            <v>13555.44</v>
          </cell>
          <cell r="M228">
            <v>1004</v>
          </cell>
          <cell r="Q228">
            <v>14559.44</v>
          </cell>
          <cell r="R228">
            <v>5944.5599999999995</v>
          </cell>
          <cell r="S228">
            <v>4940.5599999999995</v>
          </cell>
        </row>
        <row r="229">
          <cell r="C229" t="str">
            <v>ROOM COOLER</v>
          </cell>
          <cell r="D229">
            <v>2</v>
          </cell>
          <cell r="E229" t="str">
            <v>06.05.82</v>
          </cell>
          <cell r="F229">
            <v>3960</v>
          </cell>
          <cell r="K229">
            <v>3960</v>
          </cell>
          <cell r="L229">
            <v>3960</v>
          </cell>
          <cell r="Q229">
            <v>3960</v>
          </cell>
          <cell r="R229">
            <v>0</v>
          </cell>
          <cell r="S229">
            <v>0</v>
          </cell>
        </row>
        <row r="230">
          <cell r="C230" t="str">
            <v>ROOM COOLER</v>
          </cell>
          <cell r="D230">
            <v>1</v>
          </cell>
          <cell r="E230" t="str">
            <v>24.07.87</v>
          </cell>
          <cell r="F230">
            <v>4374</v>
          </cell>
          <cell r="K230">
            <v>4374</v>
          </cell>
          <cell r="L230">
            <v>3534.26</v>
          </cell>
          <cell r="M230">
            <v>225</v>
          </cell>
          <cell r="Q230">
            <v>3759.26</v>
          </cell>
          <cell r="R230">
            <v>839.73999999999978</v>
          </cell>
          <cell r="S230">
            <v>614.73999999999978</v>
          </cell>
        </row>
        <row r="231">
          <cell r="C231" t="str">
            <v>GEM ROOMCOOLER</v>
          </cell>
          <cell r="D231">
            <v>1</v>
          </cell>
          <cell r="E231" t="str">
            <v>26.04.83</v>
          </cell>
          <cell r="F231">
            <v>2560.36</v>
          </cell>
          <cell r="K231">
            <v>2560.36</v>
          </cell>
          <cell r="L231">
            <v>2559.36</v>
          </cell>
          <cell r="M231">
            <v>1</v>
          </cell>
          <cell r="Q231">
            <v>2560.36</v>
          </cell>
          <cell r="R231">
            <v>1</v>
          </cell>
          <cell r="S231">
            <v>0</v>
          </cell>
        </row>
        <row r="232">
          <cell r="C232" t="str">
            <v>1.5T.A.C WITH STBLSR</v>
          </cell>
          <cell r="D232">
            <v>10</v>
          </cell>
          <cell r="E232" t="str">
            <v>27.07.90</v>
          </cell>
          <cell r="F232">
            <v>202960</v>
          </cell>
          <cell r="K232">
            <v>202960</v>
          </cell>
          <cell r="L232">
            <v>125933.53</v>
          </cell>
          <cell r="M232">
            <v>10452</v>
          </cell>
          <cell r="Q232">
            <v>136385.53</v>
          </cell>
          <cell r="R232">
            <v>77026.47</v>
          </cell>
          <cell r="S232">
            <v>66574.47</v>
          </cell>
        </row>
        <row r="233">
          <cell r="C233" t="str">
            <v>A.C WITH STBLSR</v>
          </cell>
          <cell r="D233">
            <v>5</v>
          </cell>
          <cell r="E233" t="str">
            <v>18.12.92</v>
          </cell>
          <cell r="F233">
            <v>130000</v>
          </cell>
          <cell r="K233">
            <v>130000</v>
          </cell>
          <cell r="L233">
            <v>65276.25</v>
          </cell>
          <cell r="M233">
            <v>6695</v>
          </cell>
          <cell r="Q233">
            <v>71971.25</v>
          </cell>
          <cell r="R233">
            <v>64723.75</v>
          </cell>
          <cell r="S233">
            <v>58028.75</v>
          </cell>
        </row>
        <row r="234">
          <cell r="C234" t="str">
            <v>1.5 TON AC WITH STBLISER</v>
          </cell>
          <cell r="D234">
            <v>3</v>
          </cell>
          <cell r="E234" t="str">
            <v>31.03.93</v>
          </cell>
          <cell r="F234">
            <v>78000</v>
          </cell>
          <cell r="K234">
            <v>78000</v>
          </cell>
          <cell r="L234">
            <v>38161.75</v>
          </cell>
          <cell r="M234">
            <v>4017</v>
          </cell>
          <cell r="Q234">
            <v>42178.75</v>
          </cell>
          <cell r="R234">
            <v>39838.25</v>
          </cell>
          <cell r="S234">
            <v>35821.25</v>
          </cell>
        </row>
        <row r="236">
          <cell r="C236" t="str">
            <v>1.5 T 4KVA STABLSR-3 NOS</v>
          </cell>
          <cell r="E236">
            <v>33324</v>
          </cell>
          <cell r="F236">
            <v>81000</v>
          </cell>
          <cell r="K236">
            <v>81000</v>
          </cell>
          <cell r="L236">
            <v>49368</v>
          </cell>
          <cell r="M236">
            <v>4172</v>
          </cell>
          <cell r="Q236">
            <v>53540</v>
          </cell>
          <cell r="R236">
            <v>31632</v>
          </cell>
          <cell r="S236">
            <v>27460</v>
          </cell>
        </row>
        <row r="237">
          <cell r="C237" t="str">
            <v>DOUBLE DOOR COOLING CABINET</v>
          </cell>
          <cell r="E237">
            <v>32964</v>
          </cell>
          <cell r="F237">
            <v>27672.25</v>
          </cell>
          <cell r="K237">
            <v>27672.25</v>
          </cell>
          <cell r="L237">
            <v>18169.490000000002</v>
          </cell>
          <cell r="M237">
            <v>1425</v>
          </cell>
          <cell r="Q237">
            <v>19594.490000000002</v>
          </cell>
          <cell r="R237">
            <v>9502.7599999999984</v>
          </cell>
          <cell r="S237">
            <v>8077.7599999999984</v>
          </cell>
        </row>
        <row r="238">
          <cell r="C238" t="str">
            <v>BLUE STAR WALKINCOOLER</v>
          </cell>
          <cell r="E238">
            <v>32952</v>
          </cell>
          <cell r="F238">
            <v>177528</v>
          </cell>
          <cell r="K238">
            <v>177528</v>
          </cell>
          <cell r="L238">
            <v>116572.38</v>
          </cell>
          <cell r="M238">
            <v>9143</v>
          </cell>
          <cell r="Q238">
            <v>125715.38</v>
          </cell>
          <cell r="R238">
            <v>60955.619999999995</v>
          </cell>
          <cell r="S238">
            <v>51812.619999999995</v>
          </cell>
        </row>
        <row r="239">
          <cell r="C239" t="str">
            <v>ONE AC 1.5TON FROM INDORE</v>
          </cell>
          <cell r="E239">
            <v>33238</v>
          </cell>
          <cell r="F239">
            <v>20400</v>
          </cell>
          <cell r="K239">
            <v>20400</v>
          </cell>
          <cell r="L239">
            <v>12696.2</v>
          </cell>
          <cell r="M239">
            <v>1051</v>
          </cell>
          <cell r="Q239">
            <v>13747.2</v>
          </cell>
          <cell r="R239">
            <v>7703.7999999999993</v>
          </cell>
          <cell r="S239">
            <v>6652.7999999999993</v>
          </cell>
        </row>
        <row r="240">
          <cell r="C240" t="str">
            <v>1.5T4KVA STABLSR-2NOS</v>
          </cell>
          <cell r="E240">
            <v>33324</v>
          </cell>
          <cell r="F240">
            <v>54000</v>
          </cell>
          <cell r="K240">
            <v>54000</v>
          </cell>
          <cell r="L240">
            <v>32909</v>
          </cell>
          <cell r="M240">
            <v>2781</v>
          </cell>
          <cell r="Q240">
            <v>35690</v>
          </cell>
          <cell r="R240">
            <v>21091</v>
          </cell>
          <cell r="S240">
            <v>18310</v>
          </cell>
        </row>
        <row r="241">
          <cell r="C241" t="str">
            <v>WALKIN COOLER</v>
          </cell>
          <cell r="E241">
            <v>33694</v>
          </cell>
          <cell r="F241">
            <v>163878</v>
          </cell>
          <cell r="K241">
            <v>163878</v>
          </cell>
          <cell r="L241">
            <v>91314</v>
          </cell>
          <cell r="M241">
            <v>8440</v>
          </cell>
          <cell r="Q241">
            <v>99754</v>
          </cell>
          <cell r="R241">
            <v>72564</v>
          </cell>
          <cell r="S241">
            <v>64124</v>
          </cell>
        </row>
        <row r="242">
          <cell r="C242" t="str">
            <v>BLUE STAR WALKIN COOLER</v>
          </cell>
          <cell r="E242">
            <v>32952</v>
          </cell>
          <cell r="F242">
            <v>174778</v>
          </cell>
          <cell r="K242">
            <v>174778</v>
          </cell>
          <cell r="L242">
            <v>114763</v>
          </cell>
          <cell r="M242">
            <v>9001</v>
          </cell>
          <cell r="Q242">
            <v>123764</v>
          </cell>
          <cell r="R242">
            <v>60015</v>
          </cell>
          <cell r="S242">
            <v>51014</v>
          </cell>
        </row>
        <row r="243">
          <cell r="C243" t="str">
            <v>A/C 1NO 2.5TONS FROM INDORE</v>
          </cell>
          <cell r="E243">
            <v>32142</v>
          </cell>
          <cell r="F243">
            <v>21200</v>
          </cell>
          <cell r="K243">
            <v>21200</v>
          </cell>
          <cell r="L243">
            <v>18899</v>
          </cell>
          <cell r="M243">
            <v>1092</v>
          </cell>
          <cell r="Q243">
            <v>19991</v>
          </cell>
          <cell r="R243">
            <v>2301</v>
          </cell>
          <cell r="S243">
            <v>1209</v>
          </cell>
        </row>
        <row r="244">
          <cell r="C244" t="str">
            <v>AIRCONDITIONER MODEL-A300</v>
          </cell>
          <cell r="E244">
            <v>27856</v>
          </cell>
          <cell r="F244">
            <v>8609.5</v>
          </cell>
          <cell r="K244">
            <v>8609.5</v>
          </cell>
          <cell r="L244">
            <v>8609.5</v>
          </cell>
          <cell r="Q244">
            <v>8609.5</v>
          </cell>
          <cell r="R244">
            <v>0</v>
          </cell>
          <cell r="S244">
            <v>0</v>
          </cell>
        </row>
        <row r="245">
          <cell r="C245" t="str">
            <v>AIRCONDITIONERWINDOW</v>
          </cell>
          <cell r="E245">
            <v>30068</v>
          </cell>
          <cell r="F245">
            <v>13860</v>
          </cell>
          <cell r="K245">
            <v>13860</v>
          </cell>
          <cell r="L245">
            <v>13860</v>
          </cell>
          <cell r="Q245">
            <v>13860</v>
          </cell>
          <cell r="R245">
            <v>0</v>
          </cell>
          <cell r="S245">
            <v>0</v>
          </cell>
        </row>
        <row r="246">
          <cell r="C246" t="str">
            <v>VOLTAGESTABILIZERS</v>
          </cell>
          <cell r="E246">
            <v>30825</v>
          </cell>
          <cell r="F246">
            <v>722.5</v>
          </cell>
          <cell r="K246">
            <v>722.5</v>
          </cell>
          <cell r="L246">
            <v>707.5</v>
          </cell>
          <cell r="M246">
            <v>15</v>
          </cell>
          <cell r="Q246">
            <v>722.5</v>
          </cell>
          <cell r="R246">
            <v>15</v>
          </cell>
          <cell r="S246">
            <v>0</v>
          </cell>
        </row>
        <row r="247">
          <cell r="C247" t="str">
            <v>WATER COOLER</v>
          </cell>
          <cell r="E247">
            <v>29829</v>
          </cell>
          <cell r="F247">
            <v>5768</v>
          </cell>
          <cell r="K247">
            <v>5768</v>
          </cell>
          <cell r="L247">
            <v>5768</v>
          </cell>
          <cell r="M247">
            <v>0</v>
          </cell>
          <cell r="Q247">
            <v>5768</v>
          </cell>
          <cell r="R247">
            <v>0</v>
          </cell>
          <cell r="S247">
            <v>0</v>
          </cell>
        </row>
        <row r="248">
          <cell r="C248" t="str">
            <v>ROOMCOOLER &amp; REVOLING STAND 2NOS</v>
          </cell>
          <cell r="E248">
            <v>30069</v>
          </cell>
          <cell r="F248">
            <v>3960</v>
          </cell>
          <cell r="K248">
            <v>3960</v>
          </cell>
          <cell r="L248">
            <v>3960</v>
          </cell>
          <cell r="Q248">
            <v>3960</v>
          </cell>
          <cell r="R248">
            <v>0</v>
          </cell>
          <cell r="S248">
            <v>0</v>
          </cell>
        </row>
        <row r="249">
          <cell r="C249" t="str">
            <v>ROOMCOOLER UNIVERSAL</v>
          </cell>
          <cell r="E249">
            <v>30379</v>
          </cell>
          <cell r="F249">
            <v>2850</v>
          </cell>
          <cell r="K249">
            <v>2850</v>
          </cell>
          <cell r="L249">
            <v>2849</v>
          </cell>
          <cell r="M249">
            <v>1</v>
          </cell>
          <cell r="Q249">
            <v>2850</v>
          </cell>
          <cell r="R249">
            <v>1</v>
          </cell>
          <cell r="S249">
            <v>0</v>
          </cell>
        </row>
        <row r="250">
          <cell r="C250" t="str">
            <v>DESERTCOOLER</v>
          </cell>
          <cell r="E250">
            <v>30844</v>
          </cell>
          <cell r="F250">
            <v>2700</v>
          </cell>
          <cell r="K250">
            <v>2700</v>
          </cell>
          <cell r="L250">
            <v>2657</v>
          </cell>
          <cell r="M250">
            <v>43</v>
          </cell>
          <cell r="Q250">
            <v>2700</v>
          </cell>
          <cell r="R250">
            <v>43</v>
          </cell>
          <cell r="S250">
            <v>0</v>
          </cell>
        </row>
        <row r="251">
          <cell r="C251" t="str">
            <v>AIRCONDITON 1.5TON &amp; STAB 2NOS</v>
          </cell>
          <cell r="E251">
            <v>33324</v>
          </cell>
          <cell r="F251">
            <v>54000</v>
          </cell>
          <cell r="K251">
            <v>54000</v>
          </cell>
          <cell r="L251">
            <v>32909</v>
          </cell>
          <cell r="M251">
            <v>2781</v>
          </cell>
          <cell r="Q251">
            <v>35690</v>
          </cell>
          <cell r="R251">
            <v>21091</v>
          </cell>
          <cell r="S251">
            <v>18310</v>
          </cell>
        </row>
        <row r="252">
          <cell r="C252" t="str">
            <v>BLUESTAR WALKINCOOLER</v>
          </cell>
          <cell r="E252">
            <v>34239</v>
          </cell>
          <cell r="F252">
            <v>173314.52</v>
          </cell>
          <cell r="K252">
            <v>173314.52</v>
          </cell>
          <cell r="L252">
            <v>83308.52</v>
          </cell>
          <cell r="M252">
            <v>8926</v>
          </cell>
          <cell r="Q252">
            <v>92234.52</v>
          </cell>
          <cell r="R252">
            <v>90005.999999999985</v>
          </cell>
          <cell r="S252">
            <v>81079.999999999985</v>
          </cell>
        </row>
        <row r="253">
          <cell r="C253" t="str">
            <v>SHRIRAM USHAWATERCOOLER</v>
          </cell>
          <cell r="E253">
            <v>34239</v>
          </cell>
          <cell r="F253">
            <v>14685</v>
          </cell>
          <cell r="K253">
            <v>14685</v>
          </cell>
          <cell r="L253">
            <v>6930</v>
          </cell>
          <cell r="M253">
            <v>756</v>
          </cell>
          <cell r="Q253">
            <v>7686</v>
          </cell>
          <cell r="R253">
            <v>7755</v>
          </cell>
          <cell r="S253">
            <v>6999</v>
          </cell>
        </row>
        <row r="254">
          <cell r="C254" t="str">
            <v>BLUE STAR WALKIN COOLER</v>
          </cell>
          <cell r="E254">
            <v>33820</v>
          </cell>
          <cell r="F254">
            <v>166421</v>
          </cell>
          <cell r="K254">
            <v>166421</v>
          </cell>
          <cell r="L254">
            <v>89279</v>
          </cell>
          <cell r="M254">
            <v>8571</v>
          </cell>
          <cell r="Q254">
            <v>97850</v>
          </cell>
          <cell r="R254">
            <v>77142</v>
          </cell>
          <cell r="S254">
            <v>68571</v>
          </cell>
        </row>
        <row r="255">
          <cell r="C255" t="str">
            <v xml:space="preserve">REFRIGERATOR </v>
          </cell>
          <cell r="E255">
            <v>30259</v>
          </cell>
          <cell r="F255">
            <v>7859</v>
          </cell>
          <cell r="K255">
            <v>7859</v>
          </cell>
          <cell r="L255">
            <v>7859</v>
          </cell>
          <cell r="Q255">
            <v>7859</v>
          </cell>
          <cell r="R255">
            <v>0</v>
          </cell>
          <cell r="S255">
            <v>0</v>
          </cell>
        </row>
        <row r="256">
          <cell r="C256" t="str">
            <v>AIRCONDITIONER INCLD TRANSFORMER</v>
          </cell>
          <cell r="E256">
            <v>30096</v>
          </cell>
          <cell r="F256">
            <v>5610</v>
          </cell>
          <cell r="K256">
            <v>5610</v>
          </cell>
          <cell r="L256">
            <v>5610</v>
          </cell>
          <cell r="Q256">
            <v>5610</v>
          </cell>
          <cell r="R256">
            <v>0</v>
          </cell>
          <cell r="S256">
            <v>0</v>
          </cell>
        </row>
        <row r="257">
          <cell r="C257" t="str">
            <v>VOLTAS SUPER ROOM A/C</v>
          </cell>
          <cell r="E257">
            <v>28338</v>
          </cell>
          <cell r="F257">
            <v>10490</v>
          </cell>
          <cell r="K257">
            <v>10490</v>
          </cell>
          <cell r="L257">
            <v>10490</v>
          </cell>
          <cell r="Q257">
            <v>10490</v>
          </cell>
          <cell r="R257">
            <v>0</v>
          </cell>
          <cell r="S257">
            <v>0</v>
          </cell>
        </row>
        <row r="258">
          <cell r="C258" t="str">
            <v>VOLTAS SUPER ROOM A/C</v>
          </cell>
          <cell r="E258">
            <v>32297</v>
          </cell>
          <cell r="F258">
            <v>20500</v>
          </cell>
          <cell r="K258">
            <v>20500</v>
          </cell>
          <cell r="L258">
            <v>15400</v>
          </cell>
          <cell r="M258">
            <v>1056</v>
          </cell>
          <cell r="Q258">
            <v>16456</v>
          </cell>
          <cell r="R258">
            <v>5100</v>
          </cell>
          <cell r="S258">
            <v>4044</v>
          </cell>
        </row>
        <row r="259">
          <cell r="C259" t="str">
            <v>USHA WATER COOLER</v>
          </cell>
          <cell r="E259">
            <v>31163</v>
          </cell>
          <cell r="F259">
            <v>6977</v>
          </cell>
          <cell r="K259">
            <v>6977</v>
          </cell>
          <cell r="L259">
            <v>6489</v>
          </cell>
          <cell r="M259">
            <v>359</v>
          </cell>
          <cell r="Q259">
            <v>6848</v>
          </cell>
          <cell r="R259">
            <v>488</v>
          </cell>
          <cell r="S259">
            <v>129</v>
          </cell>
        </row>
        <row r="260">
          <cell r="C260" t="str">
            <v>AUTOMATIC VOLTAGE STABLISER</v>
          </cell>
          <cell r="E260">
            <v>32378</v>
          </cell>
          <cell r="F260">
            <v>1650</v>
          </cell>
          <cell r="K260">
            <v>1650</v>
          </cell>
          <cell r="L260">
            <v>1218</v>
          </cell>
          <cell r="M260">
            <v>85</v>
          </cell>
          <cell r="Q260">
            <v>1303</v>
          </cell>
          <cell r="R260">
            <v>432</v>
          </cell>
          <cell r="S260">
            <v>347</v>
          </cell>
        </row>
        <row r="261">
          <cell r="C261" t="str">
            <v>ELECTRON 1 LTR ROOM A/C WITH GRILL</v>
          </cell>
          <cell r="E261">
            <v>32658</v>
          </cell>
          <cell r="F261">
            <v>36000</v>
          </cell>
          <cell r="K261">
            <v>36000</v>
          </cell>
          <cell r="L261">
            <v>25339</v>
          </cell>
          <cell r="M261">
            <v>1854</v>
          </cell>
          <cell r="Q261">
            <v>27193</v>
          </cell>
          <cell r="R261">
            <v>10661</v>
          </cell>
          <cell r="S261">
            <v>8807</v>
          </cell>
        </row>
        <row r="262">
          <cell r="C262" t="str">
            <v>AUTOMATIC VOLTAGE STABLISER</v>
          </cell>
          <cell r="E262">
            <v>32658</v>
          </cell>
          <cell r="F262">
            <v>3300</v>
          </cell>
          <cell r="K262">
            <v>3300</v>
          </cell>
          <cell r="L262">
            <v>2337</v>
          </cell>
          <cell r="M262">
            <v>170</v>
          </cell>
          <cell r="Q262">
            <v>2507</v>
          </cell>
          <cell r="R262">
            <v>963</v>
          </cell>
          <cell r="S262">
            <v>793</v>
          </cell>
        </row>
        <row r="263">
          <cell r="C263" t="str">
            <v>AUTOMATIC VOLTAGE STABILISER</v>
          </cell>
          <cell r="E263">
            <v>33143</v>
          </cell>
          <cell r="F263">
            <v>113500</v>
          </cell>
          <cell r="K263">
            <v>113500</v>
          </cell>
          <cell r="L263">
            <v>72089</v>
          </cell>
          <cell r="M263">
            <v>5845</v>
          </cell>
          <cell r="Q263">
            <v>77934</v>
          </cell>
          <cell r="R263">
            <v>41411</v>
          </cell>
          <cell r="S263">
            <v>35566</v>
          </cell>
        </row>
        <row r="264">
          <cell r="C264" t="str">
            <v>WITH4KVA.STAB</v>
          </cell>
          <cell r="D264">
            <v>2</v>
          </cell>
          <cell r="E264">
            <v>33324</v>
          </cell>
          <cell r="F264">
            <v>54000</v>
          </cell>
          <cell r="K264">
            <v>54000</v>
          </cell>
          <cell r="L264">
            <v>32909</v>
          </cell>
          <cell r="M264">
            <v>2781</v>
          </cell>
          <cell r="Q264">
            <v>35690</v>
          </cell>
          <cell r="R264">
            <v>21091</v>
          </cell>
          <cell r="S264">
            <v>18310</v>
          </cell>
        </row>
        <row r="266">
          <cell r="C266" t="str">
            <v>A C MACHINE .</v>
          </cell>
          <cell r="D266">
            <v>5</v>
          </cell>
          <cell r="E266" t="str">
            <v>31.12.86</v>
          </cell>
          <cell r="F266">
            <v>50901</v>
          </cell>
          <cell r="K266">
            <v>50901</v>
          </cell>
          <cell r="L266">
            <v>49249.46</v>
          </cell>
          <cell r="M266">
            <v>1651.54</v>
          </cell>
          <cell r="Q266">
            <v>50901</v>
          </cell>
          <cell r="R266">
            <v>1651.5400000000009</v>
          </cell>
          <cell r="S266">
            <v>0</v>
          </cell>
        </row>
        <row r="267">
          <cell r="C267" t="str">
            <v xml:space="preserve">REFRIGERATOR </v>
          </cell>
          <cell r="D267">
            <v>1</v>
          </cell>
          <cell r="E267" t="str">
            <v>23.09.82</v>
          </cell>
          <cell r="F267">
            <v>8300</v>
          </cell>
          <cell r="K267">
            <v>8300</v>
          </cell>
          <cell r="L267">
            <v>8299</v>
          </cell>
          <cell r="M267">
            <v>1</v>
          </cell>
          <cell r="Q267">
            <v>8300</v>
          </cell>
          <cell r="R267">
            <v>1</v>
          </cell>
          <cell r="S267">
            <v>0</v>
          </cell>
        </row>
        <row r="268">
          <cell r="C268" t="str">
            <v>A.C MACHINE .</v>
          </cell>
          <cell r="D268">
            <v>5</v>
          </cell>
          <cell r="E268" t="str">
            <v>01.09.90</v>
          </cell>
          <cell r="F268">
            <v>122858.5</v>
          </cell>
          <cell r="K268">
            <v>122858.5</v>
          </cell>
          <cell r="L268">
            <v>78034.17</v>
          </cell>
          <cell r="M268">
            <v>6327</v>
          </cell>
          <cell r="Q268">
            <v>84361.17</v>
          </cell>
          <cell r="R268">
            <v>44824.33</v>
          </cell>
          <cell r="S268">
            <v>38497.33</v>
          </cell>
        </row>
        <row r="269">
          <cell r="C269" t="str">
            <v>VOLT STABILIZERS</v>
          </cell>
          <cell r="D269">
            <v>5</v>
          </cell>
          <cell r="E269" t="str">
            <v>01.11.90</v>
          </cell>
          <cell r="F269">
            <v>6050</v>
          </cell>
          <cell r="K269">
            <v>6050</v>
          </cell>
          <cell r="L269">
            <v>2624.73</v>
          </cell>
          <cell r="M269">
            <v>312</v>
          </cell>
          <cell r="Q269">
            <v>2936.73</v>
          </cell>
          <cell r="R269">
            <v>3425.27</v>
          </cell>
          <cell r="S269">
            <v>3113.27</v>
          </cell>
        </row>
        <row r="270">
          <cell r="C270" t="str">
            <v xml:space="preserve">COLLING CABINETS </v>
          </cell>
          <cell r="D270">
            <v>1</v>
          </cell>
          <cell r="E270" t="str">
            <v>01.04.91</v>
          </cell>
          <cell r="F270">
            <v>26247</v>
          </cell>
          <cell r="K270">
            <v>26247</v>
          </cell>
          <cell r="L270">
            <v>15884.11</v>
          </cell>
          <cell r="M270">
            <v>1352</v>
          </cell>
          <cell r="Q270">
            <v>17236.11</v>
          </cell>
          <cell r="R270">
            <v>10362.89</v>
          </cell>
          <cell r="S270">
            <v>9010.89</v>
          </cell>
        </row>
        <row r="271">
          <cell r="C271" t="str">
            <v xml:space="preserve">A C MACHINE </v>
          </cell>
          <cell r="D271">
            <v>1</v>
          </cell>
          <cell r="E271" t="str">
            <v>18.03.93</v>
          </cell>
          <cell r="F271">
            <v>32500</v>
          </cell>
          <cell r="K271">
            <v>32500</v>
          </cell>
          <cell r="L271">
            <v>16458.810000000001</v>
          </cell>
          <cell r="M271">
            <v>1674</v>
          </cell>
          <cell r="Q271">
            <v>18132.810000000001</v>
          </cell>
          <cell r="R271">
            <v>16041.189999999999</v>
          </cell>
          <cell r="S271">
            <v>14367.189999999999</v>
          </cell>
        </row>
        <row r="272">
          <cell r="C272" t="str">
            <v xml:space="preserve">VOLTAGE STBL </v>
          </cell>
          <cell r="D272">
            <v>1</v>
          </cell>
          <cell r="E272" t="str">
            <v>18.03.93</v>
          </cell>
          <cell r="F272">
            <v>2750</v>
          </cell>
          <cell r="K272">
            <v>2750</v>
          </cell>
          <cell r="L272">
            <v>1393.99</v>
          </cell>
          <cell r="M272">
            <v>142</v>
          </cell>
          <cell r="Q272">
            <v>1535.99</v>
          </cell>
          <cell r="R272">
            <v>1356.01</v>
          </cell>
          <cell r="S272">
            <v>1214.01</v>
          </cell>
        </row>
        <row r="273">
          <cell r="C273" t="str">
            <v>WINDOW AC ONE NO.</v>
          </cell>
          <cell r="E273" t="str">
            <v>01/06/92</v>
          </cell>
          <cell r="F273">
            <v>5000</v>
          </cell>
          <cell r="K273">
            <v>5000</v>
          </cell>
          <cell r="L273">
            <v>2726.63</v>
          </cell>
          <cell r="M273">
            <v>258</v>
          </cell>
          <cell r="Q273">
            <v>2984.63</v>
          </cell>
          <cell r="R273">
            <v>2273.37</v>
          </cell>
          <cell r="S273">
            <v>2015.37</v>
          </cell>
        </row>
        <row r="274">
          <cell r="C274" t="str">
            <v>REFRIGERATOR ONE NO.</v>
          </cell>
          <cell r="E274" t="str">
            <v>04/02/82</v>
          </cell>
          <cell r="F274">
            <v>7501.66</v>
          </cell>
          <cell r="K274">
            <v>7501.66</v>
          </cell>
          <cell r="L274">
            <v>7500.66</v>
          </cell>
          <cell r="M274">
            <v>1</v>
          </cell>
          <cell r="Q274">
            <v>7501.66</v>
          </cell>
          <cell r="R274">
            <v>1</v>
          </cell>
          <cell r="S274">
            <v>0</v>
          </cell>
        </row>
        <row r="275">
          <cell r="C275" t="str">
            <v>REFRIGERATOR ONE NO.</v>
          </cell>
          <cell r="E275" t="str">
            <v>05/06/91</v>
          </cell>
          <cell r="F275">
            <v>10000</v>
          </cell>
          <cell r="K275">
            <v>10000</v>
          </cell>
          <cell r="L275">
            <v>5966.25</v>
          </cell>
          <cell r="M275">
            <v>515</v>
          </cell>
          <cell r="Q275">
            <v>6481.25</v>
          </cell>
          <cell r="R275">
            <v>4033.75</v>
          </cell>
          <cell r="S275">
            <v>3518.75</v>
          </cell>
        </row>
        <row r="276">
          <cell r="C276" t="str">
            <v>1 NO. WALK IN COOLER MODEL PC 750 B - PUNE</v>
          </cell>
          <cell r="E276" t="str">
            <v>06.06.96</v>
          </cell>
          <cell r="F276">
            <v>173314.52</v>
          </cell>
          <cell r="K276">
            <v>173314.52</v>
          </cell>
          <cell r="L276">
            <v>82119.47</v>
          </cell>
          <cell r="M276">
            <v>8926</v>
          </cell>
          <cell r="Q276">
            <v>91045.47</v>
          </cell>
          <cell r="R276">
            <v>91195.049999999988</v>
          </cell>
          <cell r="S276">
            <v>82269.049999999988</v>
          </cell>
        </row>
        <row r="277">
          <cell r="C277" t="str">
            <v>AIR CURTAIN TWO NOS</v>
          </cell>
          <cell r="E277" t="str">
            <v>12/11/93</v>
          </cell>
          <cell r="F277">
            <v>31000</v>
          </cell>
          <cell r="K277">
            <v>31000</v>
          </cell>
          <cell r="L277">
            <v>14633.88</v>
          </cell>
          <cell r="M277">
            <v>1597</v>
          </cell>
          <cell r="Q277">
            <v>16230.88</v>
          </cell>
          <cell r="R277">
            <v>16366.12</v>
          </cell>
          <cell r="S277">
            <v>14769.12</v>
          </cell>
        </row>
        <row r="278">
          <cell r="C278" t="str">
            <v>WINDOW AC ONE NO.</v>
          </cell>
          <cell r="E278" t="str">
            <v>15/03/78</v>
          </cell>
          <cell r="F278">
            <v>12363.25</v>
          </cell>
          <cell r="K278">
            <v>12363.25</v>
          </cell>
          <cell r="L278">
            <v>12362.25</v>
          </cell>
          <cell r="M278">
            <v>1</v>
          </cell>
          <cell r="Q278">
            <v>12363.25</v>
          </cell>
          <cell r="R278">
            <v>1</v>
          </cell>
          <cell r="S278">
            <v>0</v>
          </cell>
        </row>
        <row r="279">
          <cell r="C279" t="str">
            <v>WINDOW AC TEN NOS</v>
          </cell>
          <cell r="E279" t="str">
            <v>17/11/90</v>
          </cell>
          <cell r="F279">
            <v>258128.72</v>
          </cell>
          <cell r="K279">
            <v>258128.72</v>
          </cell>
          <cell r="L279">
            <v>161741.35</v>
          </cell>
          <cell r="M279">
            <v>13294</v>
          </cell>
          <cell r="Q279">
            <v>175035.35</v>
          </cell>
          <cell r="R279">
            <v>96387.37</v>
          </cell>
          <cell r="S279">
            <v>83093.37</v>
          </cell>
        </row>
        <row r="280">
          <cell r="C280" t="str">
            <v>WINDOW AC ONE NO.</v>
          </cell>
          <cell r="E280" t="str">
            <v>19/07/76</v>
          </cell>
          <cell r="F280">
            <v>7672.5</v>
          </cell>
          <cell r="K280">
            <v>7672.5</v>
          </cell>
          <cell r="L280">
            <v>7671.5</v>
          </cell>
          <cell r="M280">
            <v>1</v>
          </cell>
          <cell r="Q280">
            <v>7672.5</v>
          </cell>
          <cell r="R280">
            <v>1</v>
          </cell>
          <cell r="S280">
            <v>0</v>
          </cell>
        </row>
        <row r="281">
          <cell r="C281" t="str">
            <v>WINDOW AC ONE NO.</v>
          </cell>
          <cell r="E281" t="str">
            <v>25/07/88</v>
          </cell>
          <cell r="F281">
            <v>25071.65</v>
          </cell>
          <cell r="K281">
            <v>25071.65</v>
          </cell>
          <cell r="L281">
            <v>18722.37</v>
          </cell>
          <cell r="M281">
            <v>1291</v>
          </cell>
          <cell r="Q281">
            <v>20013.37</v>
          </cell>
          <cell r="R281">
            <v>6349.2800000000025</v>
          </cell>
          <cell r="S281">
            <v>5058.2800000000025</v>
          </cell>
        </row>
        <row r="282">
          <cell r="C282" t="str">
            <v>WINDOW AC THREE NO.</v>
          </cell>
          <cell r="E282" t="str">
            <v>25/07/88</v>
          </cell>
          <cell r="F282">
            <v>233074</v>
          </cell>
          <cell r="K282">
            <v>233074</v>
          </cell>
          <cell r="L282">
            <v>227010</v>
          </cell>
          <cell r="M282">
            <v>6064</v>
          </cell>
          <cell r="Q282">
            <v>233074</v>
          </cell>
          <cell r="R282">
            <v>6064</v>
          </cell>
          <cell r="S282">
            <v>0</v>
          </cell>
        </row>
        <row r="283">
          <cell r="C283" t="str">
            <v>WINDOW AC SIX NOS.</v>
          </cell>
          <cell r="E283" t="str">
            <v>30.10.90</v>
          </cell>
          <cell r="F283">
            <v>154877.28</v>
          </cell>
          <cell r="K283">
            <v>154877.28</v>
          </cell>
          <cell r="L283">
            <v>97707.67</v>
          </cell>
          <cell r="M283">
            <v>7976</v>
          </cell>
          <cell r="Q283">
            <v>105683.67</v>
          </cell>
          <cell r="R283">
            <v>57169.61</v>
          </cell>
          <cell r="S283">
            <v>49193.61</v>
          </cell>
        </row>
        <row r="284">
          <cell r="C284" t="str">
            <v>SPLIT UNIT ONE NO.</v>
          </cell>
          <cell r="E284" t="str">
            <v>30/09/91</v>
          </cell>
          <cell r="F284">
            <v>123000</v>
          </cell>
          <cell r="K284">
            <v>123000</v>
          </cell>
          <cell r="L284">
            <v>74960.38</v>
          </cell>
          <cell r="M284">
            <v>6335</v>
          </cell>
          <cell r="Q284">
            <v>81295.38</v>
          </cell>
          <cell r="R284">
            <v>48039.619999999995</v>
          </cell>
          <cell r="S284">
            <v>41704.619999999995</v>
          </cell>
        </row>
        <row r="285">
          <cell r="C285" t="str">
            <v>WALK IN COOLER ONE NO.</v>
          </cell>
          <cell r="E285" t="str">
            <v>30/09/93</v>
          </cell>
          <cell r="F285">
            <v>265585.77</v>
          </cell>
          <cell r="K285">
            <v>265585.77</v>
          </cell>
          <cell r="L285">
            <v>127658.71</v>
          </cell>
          <cell r="M285">
            <v>13678</v>
          </cell>
          <cell r="Q285">
            <v>141336.71000000002</v>
          </cell>
          <cell r="R285">
            <v>137927.06</v>
          </cell>
          <cell r="S285">
            <v>124249.06</v>
          </cell>
        </row>
        <row r="286">
          <cell r="C286" t="str">
            <v>WINDOW AC ONE NO.</v>
          </cell>
          <cell r="E286" t="str">
            <v>31/12/86</v>
          </cell>
          <cell r="F286">
            <v>38900</v>
          </cell>
          <cell r="K286">
            <v>38900</v>
          </cell>
          <cell r="L286">
            <v>34155.96</v>
          </cell>
          <cell r="M286">
            <v>2003</v>
          </cell>
          <cell r="Q286">
            <v>36158.959999999999</v>
          </cell>
          <cell r="R286">
            <v>4744.0400000000009</v>
          </cell>
          <cell r="S286">
            <v>2741.0400000000009</v>
          </cell>
        </row>
        <row r="287">
          <cell r="C287" t="str">
            <v>AC UNIT ONE NO.</v>
          </cell>
          <cell r="E287" t="str">
            <v>31/12/91</v>
          </cell>
          <cell r="F287">
            <v>46700</v>
          </cell>
          <cell r="K287">
            <v>46700</v>
          </cell>
          <cell r="L287">
            <v>26656.14</v>
          </cell>
          <cell r="M287">
            <v>2405</v>
          </cell>
          <cell r="Q287">
            <v>29061.14</v>
          </cell>
          <cell r="R287">
            <v>20043.86</v>
          </cell>
          <cell r="S287">
            <v>17638.86</v>
          </cell>
        </row>
        <row r="288">
          <cell r="C288" t="str">
            <v>TWO NO.1.5 TON A.C WINDOW TYPE</v>
          </cell>
          <cell r="E288" t="str">
            <v>06.06.88</v>
          </cell>
          <cell r="F288">
            <v>40300</v>
          </cell>
          <cell r="K288">
            <v>40300</v>
          </cell>
          <cell r="L288">
            <v>30265.74</v>
          </cell>
          <cell r="M288">
            <v>2075</v>
          </cell>
          <cell r="Q288">
            <v>32340.74</v>
          </cell>
          <cell r="R288">
            <v>10034.259999999998</v>
          </cell>
          <cell r="S288">
            <v>7959.2599999999984</v>
          </cell>
        </row>
        <row r="289">
          <cell r="C289" t="str">
            <v>ONE NO.1.5 TON A. C</v>
          </cell>
          <cell r="E289" t="str">
            <v>13.12.87</v>
          </cell>
          <cell r="F289">
            <v>14900</v>
          </cell>
          <cell r="K289">
            <v>14900</v>
          </cell>
          <cell r="L289">
            <v>13277.96</v>
          </cell>
          <cell r="M289">
            <v>767</v>
          </cell>
          <cell r="Q289">
            <v>14044.96</v>
          </cell>
          <cell r="R289">
            <v>1622.0400000000009</v>
          </cell>
          <cell r="S289">
            <v>855.04000000000087</v>
          </cell>
        </row>
        <row r="290">
          <cell r="C290" t="str">
            <v>TWO NO. 1.5 TON A-C WINDOW TYPE</v>
          </cell>
          <cell r="D290">
            <v>2</v>
          </cell>
          <cell r="E290" t="str">
            <v>08.08.92</v>
          </cell>
          <cell r="F290">
            <v>53100</v>
          </cell>
          <cell r="K290">
            <v>53100</v>
          </cell>
          <cell r="L290">
            <v>28486.54</v>
          </cell>
          <cell r="M290">
            <v>2735</v>
          </cell>
          <cell r="Q290">
            <v>31221.54</v>
          </cell>
          <cell r="R290">
            <v>24613.46</v>
          </cell>
          <cell r="S290">
            <v>21878.46</v>
          </cell>
        </row>
        <row r="292">
          <cell r="C292" t="str">
            <v>AIR CONDITIONER</v>
          </cell>
          <cell r="D292">
            <v>4</v>
          </cell>
          <cell r="F292">
            <v>82000</v>
          </cell>
          <cell r="K292">
            <v>82000</v>
          </cell>
          <cell r="L292">
            <v>49972.17</v>
          </cell>
          <cell r="M292">
            <v>4217.6000000000004</v>
          </cell>
          <cell r="Q292">
            <v>54189.77</v>
          </cell>
          <cell r="R292">
            <v>32027.83</v>
          </cell>
          <cell r="S292">
            <v>27810.230000000003</v>
          </cell>
        </row>
        <row r="293">
          <cell r="C293" t="str">
            <v>WATER COOLER</v>
          </cell>
          <cell r="D293">
            <v>1</v>
          </cell>
          <cell r="F293">
            <v>5911.85</v>
          </cell>
          <cell r="K293">
            <v>5911.85</v>
          </cell>
          <cell r="L293">
            <v>5910.8502749999998</v>
          </cell>
          <cell r="M293">
            <v>1</v>
          </cell>
          <cell r="Q293">
            <v>5911.8502749999998</v>
          </cell>
          <cell r="R293">
            <v>0.99972500000058062</v>
          </cell>
          <cell r="S293">
            <v>-2.7499999941937858E-4</v>
          </cell>
        </row>
        <row r="294">
          <cell r="C294" t="str">
            <v>AIR CONDITIONER</v>
          </cell>
          <cell r="D294" t="str">
            <v>1</v>
          </cell>
          <cell r="F294">
            <v>6231.17</v>
          </cell>
          <cell r="K294">
            <v>6231.17</v>
          </cell>
          <cell r="L294">
            <v>6129.7652162499999</v>
          </cell>
          <cell r="M294">
            <v>101.4</v>
          </cell>
          <cell r="Q294">
            <v>6231.1652162499995</v>
          </cell>
          <cell r="R294">
            <v>101.40478375000021</v>
          </cell>
          <cell r="S294">
            <v>4.783750000569853E-3</v>
          </cell>
        </row>
        <row r="295">
          <cell r="C295" t="str">
            <v>AIR CONDITIONER</v>
          </cell>
          <cell r="D295" t="str">
            <v>1</v>
          </cell>
          <cell r="F295">
            <v>14050</v>
          </cell>
          <cell r="K295">
            <v>14050</v>
          </cell>
          <cell r="L295">
            <v>12132.313749999999</v>
          </cell>
          <cell r="M295">
            <v>724</v>
          </cell>
          <cell r="Q295">
            <v>12856.313749999999</v>
          </cell>
          <cell r="R295">
            <v>1917.6862500000007</v>
          </cell>
          <cell r="S295">
            <v>1193.6862500000007</v>
          </cell>
        </row>
        <row r="296">
          <cell r="C296" t="str">
            <v>AIR CONDITIONER</v>
          </cell>
          <cell r="D296" t="str">
            <v>4</v>
          </cell>
          <cell r="F296">
            <v>77200</v>
          </cell>
          <cell r="K296">
            <v>77200</v>
          </cell>
          <cell r="L296">
            <v>54335.93</v>
          </cell>
          <cell r="M296">
            <v>3976</v>
          </cell>
          <cell r="Q296">
            <v>58311.93</v>
          </cell>
          <cell r="R296">
            <v>22864.07</v>
          </cell>
          <cell r="S296">
            <v>18888.07</v>
          </cell>
        </row>
        <row r="297">
          <cell r="C297" t="str">
            <v>VOLTAGE STABLIZER</v>
          </cell>
          <cell r="D297" t="str">
            <v>1</v>
          </cell>
          <cell r="F297">
            <v>2500</v>
          </cell>
          <cell r="K297">
            <v>2500</v>
          </cell>
          <cell r="L297">
            <v>1266.0416666666702</v>
          </cell>
          <cell r="M297">
            <v>129</v>
          </cell>
          <cell r="Q297">
            <v>1395.0416666666702</v>
          </cell>
          <cell r="R297">
            <v>1233.9583333333298</v>
          </cell>
          <cell r="S297">
            <v>1104.9583333333298</v>
          </cell>
        </row>
        <row r="298">
          <cell r="C298" t="str">
            <v xml:space="preserve">WALK IN COOLER BLUE STAR </v>
          </cell>
          <cell r="D298" t="str">
            <v>1</v>
          </cell>
          <cell r="F298">
            <v>168048.75</v>
          </cell>
          <cell r="K298">
            <v>168048.75</v>
          </cell>
          <cell r="L298">
            <v>85102.68468749999</v>
          </cell>
          <cell r="M298">
            <v>8655</v>
          </cell>
          <cell r="Q298">
            <v>93757.68468749999</v>
          </cell>
          <cell r="R298">
            <v>82946.06531250001</v>
          </cell>
          <cell r="S298">
            <v>74291.06531250001</v>
          </cell>
        </row>
        <row r="299">
          <cell r="C299" t="str">
            <v>EXHAUST FAN CROMPTON</v>
          </cell>
          <cell r="D299" t="str">
            <v>2</v>
          </cell>
          <cell r="F299">
            <v>2281.15</v>
          </cell>
          <cell r="K299">
            <v>2281.15</v>
          </cell>
          <cell r="L299">
            <v>2123.2155437500001</v>
          </cell>
          <cell r="M299">
            <v>117</v>
          </cell>
          <cell r="Q299">
            <v>2240.2155437500001</v>
          </cell>
          <cell r="R299">
            <v>157.93445625000004</v>
          </cell>
          <cell r="S299">
            <v>40.934456250000039</v>
          </cell>
        </row>
        <row r="300">
          <cell r="C300" t="str">
            <v>VOLTAGE STABLIZER</v>
          </cell>
          <cell r="D300" t="str">
            <v>1</v>
          </cell>
          <cell r="F300">
            <v>1800</v>
          </cell>
          <cell r="K300">
            <v>1800</v>
          </cell>
          <cell r="L300">
            <v>911.55</v>
          </cell>
          <cell r="M300">
            <v>93</v>
          </cell>
          <cell r="Q300">
            <v>1004.55</v>
          </cell>
          <cell r="R300">
            <v>888.45</v>
          </cell>
          <cell r="S300">
            <v>795.45</v>
          </cell>
        </row>
        <row r="301">
          <cell r="C301" t="str">
            <v>AIR CONDITIONER</v>
          </cell>
          <cell r="D301" t="str">
            <v>1</v>
          </cell>
          <cell r="F301">
            <v>5610</v>
          </cell>
          <cell r="K301">
            <v>5610</v>
          </cell>
          <cell r="L301">
            <v>5609.0012500000003</v>
          </cell>
          <cell r="M301">
            <v>1</v>
          </cell>
          <cell r="Q301">
            <v>5610.0012500000003</v>
          </cell>
          <cell r="R301">
            <v>0.99874999999974534</v>
          </cell>
          <cell r="S301">
            <v>-1.2500000002546585E-3</v>
          </cell>
        </row>
        <row r="302">
          <cell r="C302" t="str">
            <v>VOLTAGE STABLIZER 4.0 KVA NUTECH</v>
          </cell>
          <cell r="D302" t="str">
            <v>2</v>
          </cell>
          <cell r="F302">
            <v>1928.5</v>
          </cell>
          <cell r="K302">
            <v>1928.5</v>
          </cell>
          <cell r="L302">
            <v>1623.4670624999999</v>
          </cell>
          <cell r="M302">
            <v>99</v>
          </cell>
          <cell r="Q302">
            <v>1722.4670624999999</v>
          </cell>
          <cell r="R302">
            <v>305.03293750000012</v>
          </cell>
          <cell r="S302">
            <v>206.03293750000012</v>
          </cell>
        </row>
        <row r="303">
          <cell r="C303" t="str">
            <v>WATER COOLER 10 ltr</v>
          </cell>
          <cell r="D303" t="str">
            <v>1</v>
          </cell>
          <cell r="F303">
            <v>4840</v>
          </cell>
          <cell r="K303">
            <v>4840</v>
          </cell>
          <cell r="L303">
            <v>3738.9050000000007</v>
          </cell>
          <cell r="M303">
            <v>249</v>
          </cell>
          <cell r="Q303">
            <v>3987.9050000000007</v>
          </cell>
          <cell r="R303">
            <v>1101.0949999999993</v>
          </cell>
          <cell r="S303">
            <v>852.09499999999935</v>
          </cell>
        </row>
        <row r="304">
          <cell r="C304" t="str">
            <v xml:space="preserve">VOLTAGE STABLIZER </v>
          </cell>
          <cell r="D304" t="str">
            <v>1</v>
          </cell>
          <cell r="F304">
            <v>1100</v>
          </cell>
          <cell r="K304">
            <v>1100</v>
          </cell>
          <cell r="L304">
            <v>632.58749999999998</v>
          </cell>
          <cell r="M304">
            <v>57</v>
          </cell>
          <cell r="Q304">
            <v>689.58749999999998</v>
          </cell>
          <cell r="R304">
            <v>467.41250000000002</v>
          </cell>
          <cell r="S304">
            <v>410.41250000000002</v>
          </cell>
        </row>
        <row r="305">
          <cell r="C305" t="str">
            <v>AIR CONDITIONER CARRIER WITH STB 3 KV</v>
          </cell>
          <cell r="D305" t="str">
            <v>2</v>
          </cell>
          <cell r="F305">
            <v>25786.799999999999</v>
          </cell>
          <cell r="K305">
            <v>25786.799999999999</v>
          </cell>
          <cell r="L305">
            <v>20934.506150000001</v>
          </cell>
          <cell r="M305">
            <v>1328</v>
          </cell>
          <cell r="Q305">
            <v>22262.506150000001</v>
          </cell>
          <cell r="R305">
            <v>4852.2938499999982</v>
          </cell>
          <cell r="S305">
            <v>3524.2938499999982</v>
          </cell>
        </row>
        <row r="306">
          <cell r="C306" t="str">
            <v>DOUBLE DOOR REFRIGERATOR</v>
          </cell>
          <cell r="D306">
            <v>1</v>
          </cell>
          <cell r="F306">
            <v>27672.25</v>
          </cell>
          <cell r="K306">
            <v>27672.25</v>
          </cell>
          <cell r="L306">
            <v>18170.17678125</v>
          </cell>
          <cell r="M306">
            <v>1425</v>
          </cell>
          <cell r="Q306">
            <v>19595.17678125</v>
          </cell>
          <cell r="R306">
            <v>9502.0732187499998</v>
          </cell>
          <cell r="S306">
            <v>8077.0732187499998</v>
          </cell>
        </row>
        <row r="307">
          <cell r="C307" t="str">
            <v>REFRIGERATOR</v>
          </cell>
          <cell r="D307">
            <v>1</v>
          </cell>
          <cell r="F307">
            <v>13000</v>
          </cell>
          <cell r="K307">
            <v>13000</v>
          </cell>
          <cell r="L307">
            <v>7475.92</v>
          </cell>
          <cell r="M307">
            <v>670</v>
          </cell>
          <cell r="Q307">
            <v>8145.92</v>
          </cell>
          <cell r="R307">
            <v>5524.08</v>
          </cell>
          <cell r="S307">
            <v>4854.08</v>
          </cell>
        </row>
        <row r="309">
          <cell r="C309" t="str">
            <v>DEVIKA - HO</v>
          </cell>
          <cell r="F309">
            <v>408166.65769230772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408166.65769230772</v>
          </cell>
          <cell r="L309">
            <v>298345.16125384625</v>
          </cell>
          <cell r="M309">
            <v>20590.990000000002</v>
          </cell>
          <cell r="N309">
            <v>0</v>
          </cell>
          <cell r="O309">
            <v>0</v>
          </cell>
          <cell r="P309">
            <v>0</v>
          </cell>
          <cell r="Q309">
            <v>318936.15125384618</v>
          </cell>
          <cell r="R309">
            <v>109821.49643846152</v>
          </cell>
          <cell r="S309">
            <v>89230.506438461525</v>
          </cell>
        </row>
        <row r="310">
          <cell r="C310" t="str">
            <v>DSD-EAST</v>
          </cell>
          <cell r="F310">
            <v>529915.56000000006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529915.56000000006</v>
          </cell>
          <cell r="L310">
            <v>318881.94</v>
          </cell>
          <cell r="M310">
            <v>26227</v>
          </cell>
          <cell r="N310">
            <v>0</v>
          </cell>
          <cell r="O310">
            <v>0</v>
          </cell>
          <cell r="P310">
            <v>0</v>
          </cell>
          <cell r="Q310">
            <v>345108.94</v>
          </cell>
          <cell r="R310">
            <v>211033.62</v>
          </cell>
          <cell r="S310">
            <v>184806.62</v>
          </cell>
        </row>
        <row r="311">
          <cell r="C311" t="str">
            <v>DSD-SOUTH</v>
          </cell>
          <cell r="F311">
            <v>1427232.77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1427232.77</v>
          </cell>
          <cell r="L311">
            <v>885268.59000000008</v>
          </cell>
          <cell r="M311">
            <v>70348</v>
          </cell>
          <cell r="N311">
            <v>0</v>
          </cell>
          <cell r="O311">
            <v>0</v>
          </cell>
          <cell r="P311">
            <v>0</v>
          </cell>
          <cell r="Q311">
            <v>955616.59000000008</v>
          </cell>
          <cell r="R311">
            <v>541964.17999999993</v>
          </cell>
          <cell r="S311">
            <v>471616.18</v>
          </cell>
        </row>
        <row r="312">
          <cell r="C312" t="str">
            <v>DSD-WEST</v>
          </cell>
          <cell r="F312">
            <v>1750095.85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1750095.85</v>
          </cell>
          <cell r="L312">
            <v>1145567.73</v>
          </cell>
          <cell r="M312">
            <v>81381.540000000008</v>
          </cell>
          <cell r="N312">
            <v>0</v>
          </cell>
          <cell r="O312">
            <v>0</v>
          </cell>
          <cell r="P312">
            <v>0</v>
          </cell>
          <cell r="Q312">
            <v>1226949.27</v>
          </cell>
          <cell r="R312">
            <v>604528.12</v>
          </cell>
          <cell r="S312">
            <v>523146.57999999996</v>
          </cell>
        </row>
        <row r="313">
          <cell r="C313" t="str">
            <v>DSD-NORTH</v>
          </cell>
          <cell r="F313">
            <v>439960.47000000003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439960.47000000003</v>
          </cell>
          <cell r="L313">
            <v>276069.08488291665</v>
          </cell>
          <cell r="M313">
            <v>21843</v>
          </cell>
          <cell r="N313">
            <v>0</v>
          </cell>
          <cell r="O313">
            <v>0</v>
          </cell>
          <cell r="P313">
            <v>0</v>
          </cell>
          <cell r="Q313">
            <v>297912.08488291665</v>
          </cell>
          <cell r="R313">
            <v>163891.38511708332</v>
          </cell>
          <cell r="S313">
            <v>142048.38511708335</v>
          </cell>
        </row>
        <row r="315">
          <cell r="C315" t="str">
            <v>OLD RATE</v>
          </cell>
          <cell r="E315">
            <v>5.1500000000000004E-2</v>
          </cell>
          <cell r="F315">
            <v>4555371.307692308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4555371.307692308</v>
          </cell>
          <cell r="L315">
            <v>2924132.5061367629</v>
          </cell>
          <cell r="M315">
            <v>220390.53000000003</v>
          </cell>
          <cell r="N315">
            <v>0</v>
          </cell>
          <cell r="O315">
            <v>0</v>
          </cell>
          <cell r="P315">
            <v>0</v>
          </cell>
          <cell r="Q315">
            <v>3144523.0361367632</v>
          </cell>
          <cell r="R315">
            <v>1631238.8015555446</v>
          </cell>
          <cell r="S315">
            <v>1410848.2715555448</v>
          </cell>
        </row>
      </sheetData>
      <sheetData sheetId="5" refreshError="1"/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dition I.TAX"/>
      <sheetName val="addition"/>
      <sheetName val="YTD"/>
      <sheetName val="SUMMARY"/>
    </sheetNames>
    <sheetDataSet>
      <sheetData sheetId="0" refreshError="1"/>
      <sheetData sheetId="1" refreshError="1"/>
      <sheetData sheetId="2">
        <row r="2653">
          <cell r="A2653">
            <v>1</v>
          </cell>
        </row>
        <row r="2654">
          <cell r="A2654">
            <v>2</v>
          </cell>
        </row>
        <row r="2655">
          <cell r="A2655">
            <v>3</v>
          </cell>
        </row>
        <row r="2656">
          <cell r="A2656">
            <v>4</v>
          </cell>
        </row>
        <row r="2657">
          <cell r="A2657">
            <v>5</v>
          </cell>
        </row>
        <row r="2658">
          <cell r="A2658">
            <v>6</v>
          </cell>
        </row>
        <row r="2659">
          <cell r="A2659">
            <v>7</v>
          </cell>
        </row>
        <row r="2660">
          <cell r="A2660">
            <v>8</v>
          </cell>
        </row>
        <row r="2661">
          <cell r="A2661">
            <v>9</v>
          </cell>
        </row>
        <row r="2662">
          <cell r="A2662">
            <v>10</v>
          </cell>
        </row>
        <row r="2663">
          <cell r="A2663">
            <v>11</v>
          </cell>
        </row>
        <row r="2664">
          <cell r="A2664">
            <v>12</v>
          </cell>
        </row>
        <row r="2665">
          <cell r="A2665">
            <v>13</v>
          </cell>
        </row>
        <row r="2666">
          <cell r="A2666">
            <v>14</v>
          </cell>
        </row>
        <row r="2667">
          <cell r="A2667">
            <v>15</v>
          </cell>
        </row>
        <row r="2668">
          <cell r="A2668">
            <v>16</v>
          </cell>
        </row>
        <row r="2669">
          <cell r="A2669">
            <v>17</v>
          </cell>
        </row>
        <row r="2670">
          <cell r="A2670">
            <v>18</v>
          </cell>
        </row>
        <row r="2671">
          <cell r="A2671">
            <v>19</v>
          </cell>
        </row>
        <row r="2672">
          <cell r="A2672">
            <v>20</v>
          </cell>
        </row>
        <row r="2674">
          <cell r="A2674">
            <v>21</v>
          </cell>
        </row>
        <row r="2675">
          <cell r="A2675">
            <v>22</v>
          </cell>
        </row>
        <row r="2676">
          <cell r="A2676">
            <v>23</v>
          </cell>
        </row>
        <row r="2677">
          <cell r="A2677">
            <v>24</v>
          </cell>
        </row>
        <row r="2678">
          <cell r="A2678">
            <v>25</v>
          </cell>
        </row>
        <row r="2680">
          <cell r="A2680">
            <v>26</v>
          </cell>
        </row>
        <row r="2681">
          <cell r="A2681">
            <v>27</v>
          </cell>
        </row>
        <row r="2682">
          <cell r="A2682">
            <v>28</v>
          </cell>
        </row>
        <row r="2683">
          <cell r="A2683">
            <v>29</v>
          </cell>
        </row>
        <row r="2684">
          <cell r="A2684">
            <v>30</v>
          </cell>
        </row>
        <row r="2685">
          <cell r="A2685">
            <v>31</v>
          </cell>
        </row>
        <row r="2686">
          <cell r="A2686">
            <v>32</v>
          </cell>
        </row>
        <row r="2687">
          <cell r="A2687">
            <v>33</v>
          </cell>
        </row>
        <row r="2688">
          <cell r="A2688">
            <v>34</v>
          </cell>
        </row>
        <row r="2689">
          <cell r="A2689">
            <v>35</v>
          </cell>
        </row>
        <row r="2690">
          <cell r="A2690">
            <v>36</v>
          </cell>
        </row>
        <row r="2691">
          <cell r="A2691">
            <v>37</v>
          </cell>
        </row>
        <row r="2692">
          <cell r="A2692">
            <v>38</v>
          </cell>
        </row>
        <row r="2694">
          <cell r="A2694">
            <v>39</v>
          </cell>
        </row>
        <row r="2695">
          <cell r="A2695">
            <v>40</v>
          </cell>
        </row>
        <row r="2696">
          <cell r="A2696">
            <v>41</v>
          </cell>
        </row>
        <row r="2697">
          <cell r="A2697">
            <v>42</v>
          </cell>
        </row>
        <row r="2698">
          <cell r="A2698">
            <v>43</v>
          </cell>
        </row>
        <row r="2699">
          <cell r="A2699">
            <v>44</v>
          </cell>
        </row>
        <row r="2700">
          <cell r="A2700">
            <v>45</v>
          </cell>
        </row>
        <row r="2701">
          <cell r="A2701">
            <v>46</v>
          </cell>
        </row>
        <row r="2702">
          <cell r="A2702">
            <v>47</v>
          </cell>
        </row>
        <row r="2703">
          <cell r="A2703">
            <v>48</v>
          </cell>
        </row>
        <row r="2704">
          <cell r="A2704">
            <v>49</v>
          </cell>
        </row>
        <row r="2705">
          <cell r="A2705">
            <v>50</v>
          </cell>
        </row>
        <row r="2706">
          <cell r="A2706">
            <v>51</v>
          </cell>
        </row>
      </sheetData>
      <sheetData sheetId="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dition I.TAX"/>
      <sheetName val="addition"/>
      <sheetName val="YTD"/>
      <sheetName val="SUMMARY"/>
    </sheetNames>
    <sheetDataSet>
      <sheetData sheetId="0" refreshError="1"/>
      <sheetData sheetId="1" refreshError="1"/>
      <sheetData sheetId="2">
        <row r="2653">
          <cell r="A2653">
            <v>1</v>
          </cell>
        </row>
        <row r="2654">
          <cell r="A2654">
            <v>2</v>
          </cell>
        </row>
        <row r="2655">
          <cell r="A2655">
            <v>3</v>
          </cell>
        </row>
        <row r="2656">
          <cell r="A2656">
            <v>4</v>
          </cell>
        </row>
        <row r="2657">
          <cell r="A2657">
            <v>5</v>
          </cell>
        </row>
        <row r="2658">
          <cell r="A2658">
            <v>6</v>
          </cell>
        </row>
        <row r="2659">
          <cell r="A2659">
            <v>7</v>
          </cell>
        </row>
        <row r="2660">
          <cell r="A2660">
            <v>8</v>
          </cell>
        </row>
        <row r="2661">
          <cell r="A2661">
            <v>9</v>
          </cell>
        </row>
        <row r="2662">
          <cell r="A2662">
            <v>10</v>
          </cell>
        </row>
        <row r="2663">
          <cell r="A2663">
            <v>11</v>
          </cell>
        </row>
        <row r="2664">
          <cell r="A2664">
            <v>12</v>
          </cell>
        </row>
        <row r="2665">
          <cell r="A2665">
            <v>13</v>
          </cell>
        </row>
        <row r="2666">
          <cell r="A2666">
            <v>14</v>
          </cell>
        </row>
        <row r="2667">
          <cell r="A2667">
            <v>15</v>
          </cell>
        </row>
        <row r="2668">
          <cell r="A2668">
            <v>16</v>
          </cell>
        </row>
        <row r="2669">
          <cell r="A2669">
            <v>17</v>
          </cell>
        </row>
        <row r="2670">
          <cell r="A2670">
            <v>18</v>
          </cell>
        </row>
        <row r="2671">
          <cell r="A2671">
            <v>19</v>
          </cell>
        </row>
        <row r="2672">
          <cell r="A2672">
            <v>20</v>
          </cell>
        </row>
        <row r="2674">
          <cell r="A2674">
            <v>21</v>
          </cell>
        </row>
        <row r="2675">
          <cell r="A2675">
            <v>22</v>
          </cell>
        </row>
        <row r="2676">
          <cell r="A2676">
            <v>23</v>
          </cell>
        </row>
        <row r="2677">
          <cell r="A2677">
            <v>24</v>
          </cell>
        </row>
        <row r="2678">
          <cell r="A2678">
            <v>25</v>
          </cell>
        </row>
        <row r="2680">
          <cell r="A2680">
            <v>26</v>
          </cell>
        </row>
        <row r="2681">
          <cell r="A2681">
            <v>27</v>
          </cell>
        </row>
        <row r="2682">
          <cell r="A2682">
            <v>28</v>
          </cell>
        </row>
        <row r="2683">
          <cell r="A2683">
            <v>29</v>
          </cell>
        </row>
        <row r="2684">
          <cell r="A2684">
            <v>30</v>
          </cell>
        </row>
        <row r="2685">
          <cell r="A2685">
            <v>31</v>
          </cell>
        </row>
        <row r="2686">
          <cell r="A2686">
            <v>32</v>
          </cell>
        </row>
        <row r="2687">
          <cell r="A2687">
            <v>33</v>
          </cell>
        </row>
        <row r="2688">
          <cell r="A2688">
            <v>34</v>
          </cell>
        </row>
        <row r="2689">
          <cell r="A2689">
            <v>35</v>
          </cell>
        </row>
        <row r="2690">
          <cell r="A2690">
            <v>36</v>
          </cell>
        </row>
        <row r="2691">
          <cell r="A2691">
            <v>37</v>
          </cell>
        </row>
        <row r="2692">
          <cell r="A2692">
            <v>38</v>
          </cell>
        </row>
        <row r="2694">
          <cell r="A2694">
            <v>39</v>
          </cell>
        </row>
        <row r="2695">
          <cell r="A2695">
            <v>40</v>
          </cell>
        </row>
        <row r="2696">
          <cell r="A2696">
            <v>41</v>
          </cell>
        </row>
        <row r="2697">
          <cell r="A2697">
            <v>42</v>
          </cell>
        </row>
        <row r="2698">
          <cell r="A2698">
            <v>43</v>
          </cell>
        </row>
        <row r="2699">
          <cell r="A2699">
            <v>44</v>
          </cell>
        </row>
        <row r="2700">
          <cell r="A2700">
            <v>45</v>
          </cell>
        </row>
        <row r="2701">
          <cell r="A2701">
            <v>46</v>
          </cell>
        </row>
        <row r="2702">
          <cell r="A2702">
            <v>47</v>
          </cell>
        </row>
        <row r="2703">
          <cell r="A2703">
            <v>48</v>
          </cell>
        </row>
        <row r="2704">
          <cell r="A2704">
            <v>49</v>
          </cell>
        </row>
        <row r="2705">
          <cell r="A2705">
            <v>50</v>
          </cell>
        </row>
        <row r="2706">
          <cell r="A2706">
            <v>51</v>
          </cell>
        </row>
      </sheetData>
      <sheetData sheetId="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dition I.TAX"/>
      <sheetName val="addition"/>
      <sheetName val="YTD"/>
      <sheetName val="SUMMARY"/>
    </sheetNames>
    <sheetDataSet>
      <sheetData sheetId="0" refreshError="1"/>
      <sheetData sheetId="1" refreshError="1"/>
      <sheetData sheetId="2">
        <row r="2653">
          <cell r="A2653">
            <v>1</v>
          </cell>
        </row>
        <row r="2654">
          <cell r="A2654">
            <v>2</v>
          </cell>
        </row>
        <row r="2655">
          <cell r="A2655">
            <v>3</v>
          </cell>
        </row>
        <row r="2656">
          <cell r="A2656">
            <v>4</v>
          </cell>
        </row>
        <row r="2657">
          <cell r="A2657">
            <v>5</v>
          </cell>
        </row>
        <row r="2658">
          <cell r="A2658">
            <v>6</v>
          </cell>
        </row>
        <row r="2659">
          <cell r="A2659">
            <v>7</v>
          </cell>
        </row>
        <row r="2660">
          <cell r="A2660">
            <v>8</v>
          </cell>
        </row>
        <row r="2661">
          <cell r="A2661">
            <v>9</v>
          </cell>
        </row>
        <row r="2662">
          <cell r="A2662">
            <v>10</v>
          </cell>
        </row>
        <row r="2663">
          <cell r="A2663">
            <v>11</v>
          </cell>
        </row>
        <row r="2664">
          <cell r="A2664">
            <v>12</v>
          </cell>
        </row>
        <row r="2665">
          <cell r="A2665">
            <v>13</v>
          </cell>
        </row>
        <row r="2666">
          <cell r="A2666">
            <v>14</v>
          </cell>
        </row>
        <row r="2667">
          <cell r="A2667">
            <v>15</v>
          </cell>
        </row>
        <row r="2668">
          <cell r="A2668">
            <v>16</v>
          </cell>
        </row>
        <row r="2669">
          <cell r="A2669">
            <v>17</v>
          </cell>
        </row>
        <row r="2670">
          <cell r="A2670">
            <v>18</v>
          </cell>
        </row>
        <row r="2671">
          <cell r="A2671">
            <v>19</v>
          </cell>
        </row>
        <row r="2672">
          <cell r="A2672">
            <v>20</v>
          </cell>
        </row>
        <row r="2674">
          <cell r="A2674">
            <v>21</v>
          </cell>
        </row>
        <row r="2675">
          <cell r="A2675">
            <v>22</v>
          </cell>
        </row>
        <row r="2676">
          <cell r="A2676">
            <v>23</v>
          </cell>
        </row>
        <row r="2677">
          <cell r="A2677">
            <v>24</v>
          </cell>
        </row>
        <row r="2678">
          <cell r="A2678">
            <v>25</v>
          </cell>
        </row>
        <row r="2680">
          <cell r="A2680">
            <v>26</v>
          </cell>
        </row>
        <row r="2681">
          <cell r="A2681">
            <v>27</v>
          </cell>
        </row>
        <row r="2682">
          <cell r="A2682">
            <v>28</v>
          </cell>
        </row>
        <row r="2683">
          <cell r="A2683">
            <v>29</v>
          </cell>
        </row>
        <row r="2684">
          <cell r="A2684">
            <v>30</v>
          </cell>
        </row>
        <row r="2685">
          <cell r="A2685">
            <v>31</v>
          </cell>
        </row>
        <row r="2686">
          <cell r="A2686">
            <v>32</v>
          </cell>
        </row>
        <row r="2687">
          <cell r="A2687">
            <v>33</v>
          </cell>
        </row>
        <row r="2688">
          <cell r="A2688">
            <v>34</v>
          </cell>
        </row>
        <row r="2689">
          <cell r="A2689">
            <v>35</v>
          </cell>
        </row>
        <row r="2690">
          <cell r="A2690">
            <v>36</v>
          </cell>
        </row>
        <row r="2691">
          <cell r="A2691">
            <v>37</v>
          </cell>
        </row>
        <row r="2692">
          <cell r="A2692">
            <v>38</v>
          </cell>
        </row>
        <row r="2694">
          <cell r="A2694">
            <v>39</v>
          </cell>
        </row>
        <row r="2695">
          <cell r="A2695">
            <v>40</v>
          </cell>
        </row>
        <row r="2696">
          <cell r="A2696">
            <v>41</v>
          </cell>
        </row>
        <row r="2697">
          <cell r="A2697">
            <v>42</v>
          </cell>
        </row>
        <row r="2698">
          <cell r="A2698">
            <v>43</v>
          </cell>
        </row>
        <row r="2699">
          <cell r="A2699">
            <v>44</v>
          </cell>
        </row>
        <row r="2700">
          <cell r="A2700">
            <v>45</v>
          </cell>
        </row>
        <row r="2701">
          <cell r="A2701">
            <v>46</v>
          </cell>
        </row>
        <row r="2702">
          <cell r="A2702">
            <v>47</v>
          </cell>
        </row>
        <row r="2703">
          <cell r="A2703">
            <v>48</v>
          </cell>
        </row>
        <row r="2704">
          <cell r="A2704">
            <v>49</v>
          </cell>
        </row>
        <row r="2705">
          <cell r="A2705">
            <v>50</v>
          </cell>
        </row>
        <row r="2706">
          <cell r="A2706">
            <v>51</v>
          </cell>
        </row>
      </sheetData>
      <sheetData sheetId="3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ibution"/>
      <sheetName val="Profit Plan"/>
      <sheetName val="C"/>
      <sheetName val="Receivable"/>
      <sheetName val="RECANALY"/>
      <sheetName val="EBTreco"/>
      <sheetName val="H"/>
      <sheetName val="tables"/>
      <sheetName val="Page1"/>
    </sheetNames>
    <sheetDataSet>
      <sheetData sheetId="0"/>
      <sheetData sheetId="1"/>
      <sheetData sheetId="2" refreshError="1"/>
      <sheetData sheetId="3"/>
      <sheetData sheetId="4" refreshError="1"/>
      <sheetData sheetId="5" refreshError="1"/>
      <sheetData sheetId="6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1"/>
  <dimension ref="A1:AS33"/>
  <sheetViews>
    <sheetView tabSelected="1" topLeftCell="A5" zoomScale="51" zoomScaleNormal="100" workbookViewId="0">
      <selection activeCell="B20" sqref="B20"/>
    </sheetView>
  </sheetViews>
  <sheetFormatPr defaultColWidth="9.1796875" defaultRowHeight="12.5" x14ac:dyDescent="0.25"/>
  <cols>
    <col min="1" max="1" width="35.81640625" style="74" bestFit="1" customWidth="1"/>
    <col min="2" max="2" width="23.453125" style="74" bestFit="1" customWidth="1"/>
    <col min="3" max="3" width="23.453125" style="74" customWidth="1"/>
    <col min="4" max="6" width="9.1796875" style="74"/>
    <col min="7" max="7" width="12" style="74" customWidth="1"/>
    <col min="8" max="8" width="10.81640625" style="74" customWidth="1"/>
    <col min="9" max="13" width="9.1796875" style="74"/>
    <col min="14" max="14" width="20" style="74" customWidth="1"/>
    <col min="15" max="16384" width="9.1796875" style="74"/>
  </cols>
  <sheetData>
    <row r="1" spans="1:14" s="75" customFormat="1" ht="31.4" customHeight="1" thickBot="1" x14ac:dyDescent="0.3">
      <c r="A1" s="204" t="str">
        <f>'Feeder Names'!D1&amp; " - " &amp;"Daily Consumption Report"</f>
        <v xml:space="preserve"> - Daily Consumption Report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6"/>
    </row>
    <row r="2" spans="1:14" ht="30" customHeight="1" thickBot="1" x14ac:dyDescent="0.3">
      <c r="A2" s="207">
        <f>DAILY_ENERGY!B2</f>
        <v>45838.291666666664</v>
      </c>
      <c r="B2" s="208"/>
      <c r="C2" s="114"/>
      <c r="D2" s="209" t="s">
        <v>232</v>
      </c>
      <c r="E2" s="210"/>
      <c r="F2" s="210"/>
      <c r="G2" s="210"/>
      <c r="H2" s="210"/>
      <c r="I2" s="210"/>
      <c r="J2" s="210"/>
      <c r="K2" s="210"/>
      <c r="L2" s="210"/>
      <c r="M2" s="210"/>
      <c r="N2" s="211"/>
    </row>
    <row r="3" spans="1:14" ht="4.4000000000000004" customHeight="1" x14ac:dyDescent="0.25"/>
    <row r="4" spans="1:14" ht="13" thickBot="1" x14ac:dyDescent="0.3"/>
    <row r="5" spans="1:14" s="76" customFormat="1" ht="15.5" x14ac:dyDescent="0.25">
      <c r="A5" s="212" t="s">
        <v>233</v>
      </c>
      <c r="B5" s="213"/>
      <c r="C5" s="74"/>
    </row>
    <row r="6" spans="1:14" ht="18.649999999999999" customHeight="1" x14ac:dyDescent="0.25">
      <c r="A6" s="130" t="s">
        <v>469</v>
      </c>
      <c r="B6" s="131">
        <f>'Daily Data'!I15</f>
        <v>22.303374999999999</v>
      </c>
      <c r="C6" s="135" t="s">
        <v>469</v>
      </c>
      <c r="D6" s="113">
        <f>SUM(B6:B6)</f>
        <v>22.303374999999999</v>
      </c>
    </row>
    <row r="7" spans="1:14" ht="18.649999999999999" customHeight="1" x14ac:dyDescent="0.25">
      <c r="A7" s="132" t="str">
        <f>DAILY_ENERGY!B10</f>
        <v>DG.DG-1</v>
      </c>
      <c r="B7" s="124">
        <f>DAILY_ENERGY!E10</f>
        <v>0</v>
      </c>
      <c r="C7" s="135" t="s">
        <v>506</v>
      </c>
      <c r="D7" s="113">
        <f>SUM(B7:B11)</f>
        <v>0</v>
      </c>
    </row>
    <row r="8" spans="1:14" ht="18.649999999999999" customHeight="1" x14ac:dyDescent="0.25">
      <c r="A8" s="132" t="str">
        <f>DAILY_ENERGY!B11</f>
        <v>DG.DG-2</v>
      </c>
      <c r="B8" s="124">
        <f>DAILY_ENERGY!E11</f>
        <v>0</v>
      </c>
      <c r="C8" s="135" t="s">
        <v>499</v>
      </c>
      <c r="D8" s="113">
        <f>SUM(B12:B14)</f>
        <v>4.9013030000000128</v>
      </c>
    </row>
    <row r="9" spans="1:14" ht="18.649999999999999" customHeight="1" x14ac:dyDescent="0.25">
      <c r="A9" s="132" t="str">
        <f>DAILY_ENERGY!B12</f>
        <v>DG.DG-3</v>
      </c>
      <c r="B9" s="124">
        <f>DAILY_ENERGY!E12</f>
        <v>0</v>
      </c>
    </row>
    <row r="10" spans="1:14" ht="18.649999999999999" customHeight="1" x14ac:dyDescent="0.25">
      <c r="A10" s="132" t="str">
        <f>DAILY_ENERGY!B13</f>
        <v>DG.GD-4</v>
      </c>
      <c r="B10" s="124">
        <f>DAILY_ENERGY!E13</f>
        <v>0</v>
      </c>
    </row>
    <row r="11" spans="1:14" ht="18.649999999999999" customHeight="1" x14ac:dyDescent="0.25">
      <c r="A11" s="132" t="str">
        <f>DAILY_ENERGY!B14</f>
        <v>DG.DG-5</v>
      </c>
      <c r="B11" s="124">
        <f>DAILY_ENERGY!E14</f>
        <v>0</v>
      </c>
    </row>
    <row r="12" spans="1:14" ht="18" customHeight="1" x14ac:dyDescent="0.25">
      <c r="A12" s="82" t="str">
        <f>DAILY_ENERGY!B16</f>
        <v>SOLAR.SOLAR-1</v>
      </c>
      <c r="B12" s="122">
        <f>DAILY_ENERGY!E16</f>
        <v>2.3386729999999716</v>
      </c>
    </row>
    <row r="13" spans="1:14" ht="18.649999999999999" customHeight="1" x14ac:dyDescent="0.25">
      <c r="A13" s="82" t="str">
        <f>DAILY_ENERGY!B17</f>
        <v>SOLAR.SOLAR-2</v>
      </c>
      <c r="B13" s="122">
        <f>DAILY_ENERGY!E17</f>
        <v>2.4217680000000428</v>
      </c>
    </row>
    <row r="14" spans="1:14" ht="18.649999999999999" customHeight="1" x14ac:dyDescent="0.25">
      <c r="A14" s="82" t="str">
        <f>DAILY_ENERGY!B18</f>
        <v>SOLAR.SOLAR-3</v>
      </c>
      <c r="B14" s="122">
        <f>DAILY_ENERGY!E18</f>
        <v>0.14086199999999849</v>
      </c>
    </row>
    <row r="15" spans="1:14" ht="18.649999999999999" customHeight="1" thickBot="1" x14ac:dyDescent="0.3">
      <c r="A15" s="77" t="s">
        <v>234</v>
      </c>
      <c r="B15" s="123">
        <f>SUM(B6:B14)</f>
        <v>27.204678000000012</v>
      </c>
    </row>
    <row r="16" spans="1:14" ht="18.649999999999999" customHeight="1" thickBot="1" x14ac:dyDescent="0.3">
      <c r="A16" s="78"/>
      <c r="B16" s="79"/>
    </row>
    <row r="17" spans="1:45" s="75" customFormat="1" ht="17.25" customHeight="1" x14ac:dyDescent="0.25">
      <c r="A17" s="214" t="s">
        <v>235</v>
      </c>
      <c r="B17" s="215"/>
      <c r="C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</row>
    <row r="18" spans="1:45" s="76" customFormat="1" ht="18.649999999999999" customHeight="1" x14ac:dyDescent="0.25">
      <c r="A18" s="189" t="s">
        <v>498</v>
      </c>
      <c r="B18" s="177">
        <f>'Daily Data'!I21</f>
        <v>1.0596754999999973</v>
      </c>
      <c r="C18" s="74"/>
    </row>
    <row r="19" spans="1:45" ht="18.649999999999999" customHeight="1" x14ac:dyDescent="0.25">
      <c r="A19" s="190" t="s">
        <v>462</v>
      </c>
      <c r="B19" s="178">
        <f>'Daily Data'!I22</f>
        <v>2.4475763906249903</v>
      </c>
    </row>
    <row r="20" spans="1:45" ht="18.649999999999999" customHeight="1" x14ac:dyDescent="0.25">
      <c r="A20" s="191" t="s">
        <v>461</v>
      </c>
      <c r="B20" s="179">
        <f>'Daily Data'!I23</f>
        <v>1.115282999999911</v>
      </c>
    </row>
    <row r="21" spans="1:45" ht="18.649999999999999" customHeight="1" x14ac:dyDescent="0.25">
      <c r="A21" s="192" t="s">
        <v>460</v>
      </c>
      <c r="B21" s="180">
        <f>'Daily Data'!I24</f>
        <v>2.9892480000000319</v>
      </c>
    </row>
    <row r="22" spans="1:45" ht="18.649999999999999" customHeight="1" x14ac:dyDescent="0.25">
      <c r="A22" s="193" t="s">
        <v>459</v>
      </c>
      <c r="B22" s="181">
        <f>'Daily Data'!I25</f>
        <v>9.6427999999999585</v>
      </c>
    </row>
    <row r="23" spans="1:45" ht="18.649999999999999" customHeight="1" x14ac:dyDescent="0.25">
      <c r="A23" s="194" t="s">
        <v>457</v>
      </c>
      <c r="B23" s="182">
        <f>'Daily Data'!I26</f>
        <v>0.56841924999999849</v>
      </c>
    </row>
    <row r="24" spans="1:45" ht="18.649999999999999" customHeight="1" x14ac:dyDescent="0.25">
      <c r="A24" s="195" t="s">
        <v>236</v>
      </c>
      <c r="B24" s="183">
        <f>'Daily Data'!I27</f>
        <v>3.2040375000000232E-2</v>
      </c>
    </row>
    <row r="25" spans="1:45" ht="18.649999999999999" customHeight="1" x14ac:dyDescent="0.25">
      <c r="A25" s="196" t="s">
        <v>456</v>
      </c>
      <c r="B25" s="184">
        <f>'Daily Data'!I28</f>
        <v>2.0249427812500107</v>
      </c>
    </row>
    <row r="26" spans="1:45" ht="18.649999999999999" customHeight="1" x14ac:dyDescent="0.25">
      <c r="A26" s="197" t="s">
        <v>455</v>
      </c>
      <c r="B26" s="185">
        <f>'Daily Data'!I29</f>
        <v>2.0529279999999801</v>
      </c>
    </row>
    <row r="27" spans="1:45" ht="18.649999999999999" customHeight="1" x14ac:dyDescent="0.25">
      <c r="A27" s="198" t="s">
        <v>454</v>
      </c>
      <c r="B27" s="186">
        <f>'Daily Data'!I30</f>
        <v>0.64403174999999491</v>
      </c>
    </row>
    <row r="28" spans="1:45" ht="18.649999999999999" customHeight="1" x14ac:dyDescent="0.25">
      <c r="A28" s="199" t="s">
        <v>656</v>
      </c>
      <c r="B28" s="187">
        <f>'Daily Data'!I31</f>
        <v>0.24426916406250171</v>
      </c>
    </row>
    <row r="29" spans="1:45" ht="18.649999999999999" customHeight="1" x14ac:dyDescent="0.25">
      <c r="A29" s="200" t="s">
        <v>505</v>
      </c>
      <c r="B29" s="188">
        <f>'Daily Data'!I32</f>
        <v>0</v>
      </c>
    </row>
    <row r="30" spans="1:45" ht="18.649999999999999" customHeight="1" thickBot="1" x14ac:dyDescent="0.3">
      <c r="A30" s="80" t="s">
        <v>237</v>
      </c>
      <c r="B30" s="125">
        <f>SUM(B18:B29)</f>
        <v>22.821214210937377</v>
      </c>
    </row>
    <row r="33" spans="1:2" ht="20" x14ac:dyDescent="0.4">
      <c r="A33" s="343" t="s">
        <v>727</v>
      </c>
      <c r="B33" s="344">
        <f>(B15-B30)/B15</f>
        <v>0.16112904512461543</v>
      </c>
    </row>
  </sheetData>
  <mergeCells count="5">
    <mergeCell ref="A1:N1"/>
    <mergeCell ref="A2:B2"/>
    <mergeCell ref="D2:N2"/>
    <mergeCell ref="A5:B5"/>
    <mergeCell ref="A17:B17"/>
  </mergeCells>
  <pageMargins left="0.7" right="0.7" top="0.75" bottom="0.75" header="0.3" footer="0.3"/>
  <pageSetup orientation="portrait" r:id="rId1"/>
  <headerFooter>
    <oddHeader>&amp;C&amp;"Calibri"&amp;10&amp;KFF0000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"/>
  <dimension ref="A1:J17"/>
  <sheetViews>
    <sheetView topLeftCell="B1" workbookViewId="0">
      <selection activeCell="E24" sqref="E24"/>
    </sheetView>
  </sheetViews>
  <sheetFormatPr defaultRowHeight="12.5" x14ac:dyDescent="0.25"/>
  <cols>
    <col min="1" max="1" width="21.1796875" hidden="1" customWidth="1"/>
    <col min="2" max="2" width="36" customWidth="1"/>
    <col min="3" max="3" width="24.1796875" bestFit="1" customWidth="1"/>
    <col min="4" max="4" width="14" customWidth="1"/>
    <col min="5" max="5" width="12.81640625" bestFit="1" customWidth="1"/>
    <col min="6" max="6" width="0" hidden="1" customWidth="1"/>
  </cols>
  <sheetData>
    <row r="1" spans="1:10" ht="19" x14ac:dyDescent="0.4">
      <c r="A1" s="216"/>
      <c r="B1" s="218" t="s">
        <v>59</v>
      </c>
      <c r="C1" s="218"/>
      <c r="D1" s="218"/>
      <c r="E1" s="218"/>
    </row>
    <row r="2" spans="1:10" ht="19" x14ac:dyDescent="0.4">
      <c r="A2" s="216"/>
      <c r="B2" s="19">
        <v>45505.333333333336</v>
      </c>
      <c r="C2" s="19">
        <v>45506.333333333336</v>
      </c>
      <c r="D2" s="20"/>
      <c r="E2" s="20"/>
    </row>
    <row r="3" spans="1:10" ht="19" x14ac:dyDescent="0.4">
      <c r="A3" s="216"/>
      <c r="B3" s="20"/>
      <c r="C3" s="13" t="s">
        <v>4</v>
      </c>
      <c r="D3" s="14" t="s">
        <v>3</v>
      </c>
      <c r="E3" s="13" t="s">
        <v>2</v>
      </c>
    </row>
    <row r="4" spans="1:10" x14ac:dyDescent="0.25">
      <c r="A4" s="216"/>
      <c r="B4" s="21" t="s">
        <v>60</v>
      </c>
      <c r="C4" s="4">
        <v>33439022.784000002</v>
      </c>
      <c r="D4" s="4">
        <v>33471151.894000001</v>
      </c>
      <c r="E4" s="4">
        <v>32129.109999999404</v>
      </c>
      <c r="F4" s="4">
        <v>0</v>
      </c>
      <c r="G4" s="4"/>
      <c r="H4" s="4"/>
      <c r="I4" s="4"/>
      <c r="J4" s="6">
        <f t="shared" ref="J4:J6" si="0">IF(E4&lt;0,0,ROUND(E4,0))</f>
        <v>32129</v>
      </c>
    </row>
    <row r="5" spans="1:10" x14ac:dyDescent="0.25">
      <c r="A5" s="216"/>
      <c r="B5" s="21" t="s">
        <v>64</v>
      </c>
      <c r="C5" s="4">
        <v>3889969.594</v>
      </c>
      <c r="D5" s="4">
        <v>3921316.0189999999</v>
      </c>
      <c r="E5" s="4">
        <v>31346.424999999814</v>
      </c>
      <c r="F5" s="4">
        <v>0</v>
      </c>
      <c r="G5" s="4"/>
      <c r="H5" s="4"/>
      <c r="I5" s="4"/>
      <c r="J5" s="6">
        <f t="shared" si="0"/>
        <v>31346</v>
      </c>
    </row>
    <row r="6" spans="1:10" x14ac:dyDescent="0.25">
      <c r="A6" s="217"/>
      <c r="B6" s="21" t="s">
        <v>65</v>
      </c>
      <c r="C6" s="4">
        <v>1959483.4739999999</v>
      </c>
      <c r="D6" s="4">
        <v>1976452.6359999999</v>
      </c>
      <c r="E6" s="4">
        <v>16969.162000000011</v>
      </c>
      <c r="F6" s="4">
        <v>0</v>
      </c>
      <c r="G6" s="4"/>
      <c r="H6" s="4"/>
      <c r="I6" s="4"/>
      <c r="J6" s="6">
        <f t="shared" si="0"/>
        <v>16969</v>
      </c>
    </row>
    <row r="7" spans="1:10" ht="13.5" x14ac:dyDescent="0.25">
      <c r="A7" s="22"/>
      <c r="B7" s="21" t="s">
        <v>66</v>
      </c>
      <c r="C7" s="4">
        <v>1519715.656</v>
      </c>
      <c r="D7" s="4">
        <v>1534021.378</v>
      </c>
      <c r="E7" s="4">
        <v>14305.722000000067</v>
      </c>
      <c r="F7" s="4">
        <v>0</v>
      </c>
      <c r="J7" s="6">
        <f>IF(E7&lt;0,0,ROUND(E7,0))</f>
        <v>14306</v>
      </c>
    </row>
    <row r="8" spans="1:10" ht="13.5" x14ac:dyDescent="0.25">
      <c r="A8" s="22"/>
      <c r="B8" s="21" t="s">
        <v>67</v>
      </c>
      <c r="C8" s="4">
        <v>456962.38199999998</v>
      </c>
      <c r="D8" s="4">
        <v>460960.90299999999</v>
      </c>
      <c r="E8" s="4">
        <v>3998.5210000000079</v>
      </c>
      <c r="F8" s="4">
        <v>0</v>
      </c>
      <c r="J8" s="6">
        <f t="shared" ref="J8:J17" si="1">IF(E8&lt;0,0,ROUND(E8,0))</f>
        <v>3999</v>
      </c>
    </row>
    <row r="9" spans="1:10" ht="13.5" x14ac:dyDescent="0.25">
      <c r="A9" s="22"/>
      <c r="B9" s="21" t="s">
        <v>68</v>
      </c>
      <c r="C9" s="4">
        <v>873229.99699999997</v>
      </c>
      <c r="D9" s="4">
        <v>881272.86300000001</v>
      </c>
      <c r="E9" s="4">
        <v>8042.8660000000382</v>
      </c>
      <c r="F9" s="4">
        <v>0</v>
      </c>
      <c r="J9" s="6">
        <f t="shared" si="1"/>
        <v>8043</v>
      </c>
    </row>
    <row r="10" spans="1:10" ht="13.5" x14ac:dyDescent="0.25">
      <c r="A10" s="22"/>
      <c r="B10" s="21" t="s">
        <v>69</v>
      </c>
      <c r="C10" s="4">
        <v>22995.142</v>
      </c>
      <c r="D10" s="4">
        <v>24200.442999999999</v>
      </c>
      <c r="E10" s="4">
        <v>1205.3009999999995</v>
      </c>
      <c r="F10" s="4">
        <v>0</v>
      </c>
      <c r="J10" s="6">
        <f t="shared" si="1"/>
        <v>1205</v>
      </c>
    </row>
    <row r="11" spans="1:10" ht="13.5" x14ac:dyDescent="0.25">
      <c r="A11" s="22"/>
      <c r="B11" s="21" t="s">
        <v>70</v>
      </c>
      <c r="C11" s="4">
        <v>100717.679</v>
      </c>
      <c r="D11" s="4">
        <v>102866.629</v>
      </c>
      <c r="E11" s="4">
        <v>2148.9499999999971</v>
      </c>
      <c r="F11" s="4">
        <v>0</v>
      </c>
      <c r="J11" s="6">
        <f t="shared" si="1"/>
        <v>2149</v>
      </c>
    </row>
    <row r="12" spans="1:10" ht="13.5" x14ac:dyDescent="0.25">
      <c r="A12" s="22"/>
      <c r="B12" s="21" t="s">
        <v>71</v>
      </c>
      <c r="C12" s="4">
        <v>30298.991000000002</v>
      </c>
      <c r="D12" s="4">
        <v>31609.023000000001</v>
      </c>
      <c r="E12" s="4">
        <v>1310.0319999999992</v>
      </c>
      <c r="F12" s="4">
        <v>0</v>
      </c>
      <c r="J12" s="6">
        <f t="shared" si="1"/>
        <v>1310</v>
      </c>
    </row>
    <row r="13" spans="1:10" ht="13.5" x14ac:dyDescent="0.25">
      <c r="A13" s="22"/>
      <c r="B13" s="21" t="s">
        <v>72</v>
      </c>
      <c r="C13" s="4">
        <v>36156.487000000001</v>
      </c>
      <c r="D13" s="4">
        <v>37945.279999999999</v>
      </c>
      <c r="E13" s="4">
        <v>1788.7929999999978</v>
      </c>
      <c r="F13" s="4">
        <v>0</v>
      </c>
      <c r="J13" s="6">
        <f t="shared" si="1"/>
        <v>1789</v>
      </c>
    </row>
    <row r="14" spans="1:10" ht="13.5" x14ac:dyDescent="0.25">
      <c r="A14" s="22"/>
      <c r="B14" s="21" t="s">
        <v>61</v>
      </c>
      <c r="C14" s="4">
        <v>-1E-3</v>
      </c>
      <c r="D14" s="4">
        <v>-1E-3</v>
      </c>
      <c r="E14" s="4">
        <v>0</v>
      </c>
      <c r="F14" s="4">
        <v>0</v>
      </c>
      <c r="J14" s="6">
        <f t="shared" si="1"/>
        <v>0</v>
      </c>
    </row>
    <row r="15" spans="1:10" ht="13.5" x14ac:dyDescent="0.25">
      <c r="A15" s="22"/>
      <c r="B15" s="21" t="s">
        <v>62</v>
      </c>
      <c r="C15" s="4">
        <v>-1E-3</v>
      </c>
      <c r="D15" s="4">
        <v>-1E-3</v>
      </c>
      <c r="E15" s="4">
        <v>0</v>
      </c>
      <c r="F15" s="4">
        <v>0</v>
      </c>
      <c r="J15" s="6">
        <f t="shared" si="1"/>
        <v>0</v>
      </c>
    </row>
    <row r="16" spans="1:10" ht="13.5" x14ac:dyDescent="0.25">
      <c r="A16" s="22"/>
      <c r="B16" s="21" t="s">
        <v>63</v>
      </c>
      <c r="C16" s="4">
        <v>-1E-3</v>
      </c>
      <c r="D16" s="4">
        <v>-1E-3</v>
      </c>
      <c r="E16" s="4">
        <v>0</v>
      </c>
      <c r="F16" s="4">
        <v>0</v>
      </c>
      <c r="J16" s="6">
        <f t="shared" si="1"/>
        <v>0</v>
      </c>
    </row>
    <row r="17" spans="2:10" x14ac:dyDescent="0.25">
      <c r="B17" s="21" t="str">
        <f>'Feeder Names'!A15</f>
        <v>SPARE</v>
      </c>
      <c r="C17" s="4"/>
      <c r="D17" s="4"/>
      <c r="E17" s="4"/>
      <c r="F17" s="4">
        <v>0</v>
      </c>
      <c r="J17" s="6">
        <f t="shared" si="1"/>
        <v>0</v>
      </c>
    </row>
  </sheetData>
  <mergeCells count="2">
    <mergeCell ref="A1:A6"/>
    <mergeCell ref="B1:E1"/>
  </mergeCells>
  <pageMargins left="0.7" right="0.7" top="0.75" bottom="0.75" header="0.3" footer="0.3"/>
  <pageSetup paperSize="9" orientation="portrait" r:id="rId1"/>
  <headerFooter>
    <oddHeader>&amp;C&amp;"Calibri"&amp;10&amp;KFF0000 CONFIDENTIAL&amp;1#_x000D_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EX151"/>
  <sheetViews>
    <sheetView topLeftCell="B1" workbookViewId="0">
      <selection activeCell="D1" sqref="D1"/>
    </sheetView>
  </sheetViews>
  <sheetFormatPr defaultRowHeight="12.5" x14ac:dyDescent="0.25"/>
  <cols>
    <col min="1" max="1" width="41.81640625" bestFit="1" customWidth="1"/>
    <col min="2" max="2" width="36" customWidth="1"/>
    <col min="4" max="4" width="23.453125" bestFit="1" customWidth="1"/>
    <col min="5" max="5" width="27.1796875" customWidth="1"/>
    <col min="10" max="10" width="29.81640625" customWidth="1"/>
    <col min="12" max="12" width="27.54296875" bestFit="1" customWidth="1"/>
  </cols>
  <sheetData>
    <row r="1" spans="1:154" ht="26" x14ac:dyDescent="0.25">
      <c r="A1" s="23" t="s">
        <v>9</v>
      </c>
      <c r="B1" s="24" t="s">
        <v>10</v>
      </c>
      <c r="C1" s="30" t="s">
        <v>231</v>
      </c>
      <c r="D1" s="73"/>
    </row>
    <row r="2" spans="1:154" ht="13" x14ac:dyDescent="0.25">
      <c r="A2" s="25" t="s">
        <v>11</v>
      </c>
      <c r="B2" s="71" t="s">
        <v>238</v>
      </c>
    </row>
    <row r="3" spans="1:154" ht="14.5" x14ac:dyDescent="0.25">
      <c r="A3" s="25" t="s">
        <v>12</v>
      </c>
      <c r="B3" s="72" t="s">
        <v>239</v>
      </c>
      <c r="D3" s="24" t="s">
        <v>10</v>
      </c>
      <c r="E3" s="71" t="s">
        <v>238</v>
      </c>
      <c r="F3" s="72" t="s">
        <v>239</v>
      </c>
      <c r="G3" s="72" t="s">
        <v>240</v>
      </c>
      <c r="H3" s="72" t="s">
        <v>241</v>
      </c>
      <c r="I3" s="72" t="s">
        <v>242</v>
      </c>
      <c r="J3" s="72" t="s">
        <v>243</v>
      </c>
      <c r="K3" s="72" t="s">
        <v>248</v>
      </c>
      <c r="L3" s="72" t="s">
        <v>247</v>
      </c>
      <c r="M3" s="72" t="s">
        <v>246</v>
      </c>
      <c r="N3" s="72" t="s">
        <v>245</v>
      </c>
      <c r="O3" s="72" t="s">
        <v>244</v>
      </c>
      <c r="P3" s="72" t="s">
        <v>249</v>
      </c>
      <c r="Q3" s="72" t="s">
        <v>250</v>
      </c>
      <c r="R3" s="72" t="s">
        <v>251</v>
      </c>
      <c r="S3" s="72" t="s">
        <v>252</v>
      </c>
      <c r="T3" s="72" t="s">
        <v>253</v>
      </c>
      <c r="U3" s="72" t="s">
        <v>254</v>
      </c>
      <c r="V3" s="72" t="s">
        <v>255</v>
      </c>
      <c r="W3" s="72" t="s">
        <v>256</v>
      </c>
      <c r="X3" s="72" t="s">
        <v>138</v>
      </c>
      <c r="Y3" s="72" t="s">
        <v>139</v>
      </c>
      <c r="Z3" s="72" t="s">
        <v>140</v>
      </c>
      <c r="AA3" s="72" t="s">
        <v>141</v>
      </c>
      <c r="AB3" s="72" t="s">
        <v>142</v>
      </c>
      <c r="AC3" s="72" t="s">
        <v>143</v>
      </c>
      <c r="AD3" s="72" t="s">
        <v>144</v>
      </c>
      <c r="AE3" s="72" t="s">
        <v>145</v>
      </c>
      <c r="AF3" s="72" t="s">
        <v>146</v>
      </c>
      <c r="AG3" s="72" t="s">
        <v>147</v>
      </c>
      <c r="AH3" s="72" t="s">
        <v>148</v>
      </c>
      <c r="AI3" s="72" t="s">
        <v>149</v>
      </c>
      <c r="AJ3" s="72" t="s">
        <v>150</v>
      </c>
      <c r="AK3" s="72" t="s">
        <v>128</v>
      </c>
      <c r="AL3" s="72" t="s">
        <v>688</v>
      </c>
      <c r="AM3" s="72" t="s">
        <v>130</v>
      </c>
      <c r="AN3" s="72" t="s">
        <v>131</v>
      </c>
      <c r="AO3" s="72" t="s">
        <v>132</v>
      </c>
      <c r="AP3" s="72" t="s">
        <v>133</v>
      </c>
      <c r="AQ3" s="72" t="s">
        <v>134</v>
      </c>
      <c r="AR3" s="72" t="s">
        <v>135</v>
      </c>
      <c r="AS3" s="72" t="s">
        <v>687</v>
      </c>
      <c r="AT3" s="72" t="s">
        <v>137</v>
      </c>
      <c r="AU3" s="72" t="s">
        <v>257</v>
      </c>
      <c r="AV3" s="72" t="s">
        <v>258</v>
      </c>
      <c r="AW3" s="72" t="s">
        <v>259</v>
      </c>
      <c r="AX3" s="72" t="s">
        <v>260</v>
      </c>
      <c r="AY3" s="72" t="s">
        <v>261</v>
      </c>
      <c r="AZ3" s="72" t="s">
        <v>262</v>
      </c>
      <c r="BA3" s="72" t="s">
        <v>263</v>
      </c>
      <c r="BB3" s="72" t="s">
        <v>264</v>
      </c>
      <c r="BC3" s="72" t="s">
        <v>265</v>
      </c>
      <c r="BD3" s="72" t="s">
        <v>266</v>
      </c>
      <c r="BE3" s="72" t="s">
        <v>267</v>
      </c>
      <c r="BF3" s="72" t="s">
        <v>268</v>
      </c>
      <c r="BG3" s="72" t="s">
        <v>269</v>
      </c>
      <c r="BH3" s="72" t="s">
        <v>270</v>
      </c>
      <c r="BI3" s="72" t="s">
        <v>271</v>
      </c>
      <c r="BJ3" s="72" t="s">
        <v>272</v>
      </c>
      <c r="BK3" s="72" t="s">
        <v>273</v>
      </c>
      <c r="BL3" s="72" t="s">
        <v>274</v>
      </c>
      <c r="BM3" s="72" t="s">
        <v>275</v>
      </c>
      <c r="BN3" s="72" t="s">
        <v>276</v>
      </c>
      <c r="BO3" s="72" t="s">
        <v>277</v>
      </c>
      <c r="BP3" s="72" t="s">
        <v>278</v>
      </c>
      <c r="BQ3" s="72" t="s">
        <v>279</v>
      </c>
      <c r="BR3" s="72" t="s">
        <v>280</v>
      </c>
      <c r="BS3" s="72" t="s">
        <v>281</v>
      </c>
      <c r="BT3" s="72" t="s">
        <v>282</v>
      </c>
      <c r="BU3" s="72" t="s">
        <v>283</v>
      </c>
      <c r="BV3" s="72" t="s">
        <v>284</v>
      </c>
      <c r="BW3" s="72" t="s">
        <v>285</v>
      </c>
      <c r="BX3" s="72" t="s">
        <v>286</v>
      </c>
      <c r="BY3" s="72" t="s">
        <v>287</v>
      </c>
      <c r="BZ3" s="72" t="s">
        <v>288</v>
      </c>
      <c r="CA3" s="72" t="s">
        <v>289</v>
      </c>
      <c r="CB3" s="72" t="s">
        <v>290</v>
      </c>
      <c r="CC3" s="72" t="s">
        <v>291</v>
      </c>
      <c r="CD3" s="72" t="s">
        <v>292</v>
      </c>
      <c r="CE3" s="72" t="s">
        <v>293</v>
      </c>
      <c r="CF3" s="72" t="s">
        <v>294</v>
      </c>
      <c r="CG3" s="72" t="s">
        <v>295</v>
      </c>
      <c r="CH3" s="72" t="s">
        <v>296</v>
      </c>
      <c r="CI3" s="72" t="s">
        <v>297</v>
      </c>
      <c r="CJ3" s="72" t="s">
        <v>298</v>
      </c>
      <c r="CK3" s="72" t="s">
        <v>299</v>
      </c>
      <c r="CL3" s="72" t="s">
        <v>300</v>
      </c>
      <c r="CM3" s="72" t="s">
        <v>301</v>
      </c>
      <c r="CN3" s="72" t="s">
        <v>302</v>
      </c>
      <c r="CO3" s="72" t="s">
        <v>303</v>
      </c>
      <c r="CP3" s="72" t="s">
        <v>304</v>
      </c>
      <c r="CQ3" s="72" t="s">
        <v>305</v>
      </c>
      <c r="CR3" s="72" t="s">
        <v>306</v>
      </c>
      <c r="CS3" s="72" t="s">
        <v>307</v>
      </c>
      <c r="CT3" s="72" t="s">
        <v>308</v>
      </c>
      <c r="CU3" s="72" t="s">
        <v>309</v>
      </c>
      <c r="CV3" s="72" t="s">
        <v>310</v>
      </c>
      <c r="CW3" s="72" t="s">
        <v>311</v>
      </c>
      <c r="CX3" s="72" t="s">
        <v>312</v>
      </c>
      <c r="CY3" s="72" t="s">
        <v>313</v>
      </c>
      <c r="CZ3" s="72" t="s">
        <v>314</v>
      </c>
      <c r="DA3" s="72" t="s">
        <v>315</v>
      </c>
      <c r="DB3" s="72" t="s">
        <v>316</v>
      </c>
      <c r="DC3" s="72" t="s">
        <v>317</v>
      </c>
      <c r="DD3" s="72" t="s">
        <v>318</v>
      </c>
      <c r="DE3" s="72" t="s">
        <v>319</v>
      </c>
      <c r="DF3" s="72" t="s">
        <v>320</v>
      </c>
      <c r="DG3" s="72" t="s">
        <v>321</v>
      </c>
      <c r="DH3" s="72" t="s">
        <v>322</v>
      </c>
      <c r="DI3" s="72" t="s">
        <v>323</v>
      </c>
      <c r="DJ3" s="72" t="s">
        <v>324</v>
      </c>
      <c r="DK3" s="72" t="s">
        <v>325</v>
      </c>
      <c r="DL3" s="72" t="s">
        <v>326</v>
      </c>
      <c r="DM3" s="72" t="s">
        <v>327</v>
      </c>
      <c r="DN3" s="72" t="s">
        <v>328</v>
      </c>
      <c r="DO3" s="72" t="s">
        <v>329</v>
      </c>
      <c r="DP3" s="72" t="s">
        <v>330</v>
      </c>
      <c r="DQ3" s="72" t="s">
        <v>331</v>
      </c>
      <c r="DR3" s="72" t="s">
        <v>332</v>
      </c>
      <c r="DS3" s="72" t="s">
        <v>333</v>
      </c>
      <c r="DT3" s="72" t="s">
        <v>334</v>
      </c>
      <c r="DU3" s="72" t="s">
        <v>335</v>
      </c>
      <c r="DV3" s="72" t="s">
        <v>336</v>
      </c>
      <c r="DW3" s="72" t="s">
        <v>337</v>
      </c>
      <c r="DX3" s="72" t="s">
        <v>338</v>
      </c>
      <c r="DY3" s="72" t="s">
        <v>339</v>
      </c>
      <c r="DZ3" s="72" t="s">
        <v>340</v>
      </c>
      <c r="EA3" s="72" t="s">
        <v>341</v>
      </c>
      <c r="EB3" s="72" t="s">
        <v>342</v>
      </c>
      <c r="EC3" s="72" t="s">
        <v>343</v>
      </c>
      <c r="ED3" s="72" t="s">
        <v>344</v>
      </c>
      <c r="EE3" s="72" t="s">
        <v>345</v>
      </c>
      <c r="EF3" s="72" t="s">
        <v>346</v>
      </c>
      <c r="EG3" s="72" t="s">
        <v>347</v>
      </c>
      <c r="EH3" s="72" t="s">
        <v>348</v>
      </c>
      <c r="EI3" s="72" t="s">
        <v>349</v>
      </c>
      <c r="EJ3" s="72" t="s">
        <v>350</v>
      </c>
      <c r="EK3" s="72" t="s">
        <v>351</v>
      </c>
      <c r="EL3" s="72" t="s">
        <v>352</v>
      </c>
      <c r="EM3" s="72" t="s">
        <v>353</v>
      </c>
      <c r="EN3" s="72" t="s">
        <v>354</v>
      </c>
      <c r="EO3" s="72" t="s">
        <v>355</v>
      </c>
      <c r="EP3" s="72" t="s">
        <v>356</v>
      </c>
      <c r="EQ3" s="72" t="s">
        <v>357</v>
      </c>
      <c r="ER3" s="72" t="s">
        <v>358</v>
      </c>
      <c r="ES3" s="72" t="s">
        <v>359</v>
      </c>
      <c r="ET3" s="72" t="s">
        <v>360</v>
      </c>
      <c r="EU3" s="72" t="s">
        <v>653</v>
      </c>
      <c r="EV3" s="81" t="s">
        <v>24</v>
      </c>
      <c r="EW3" s="81" t="s">
        <v>24</v>
      </c>
      <c r="EX3" s="81" t="s">
        <v>24</v>
      </c>
    </row>
    <row r="4" spans="1:154" ht="13" x14ac:dyDescent="0.25">
      <c r="A4" s="25" t="s">
        <v>13</v>
      </c>
      <c r="B4" s="72" t="s">
        <v>240</v>
      </c>
    </row>
    <row r="5" spans="1:154" ht="13" x14ac:dyDescent="0.25">
      <c r="A5" s="25" t="s">
        <v>14</v>
      </c>
      <c r="B5" s="72" t="s">
        <v>241</v>
      </c>
    </row>
    <row r="6" spans="1:154" ht="13" x14ac:dyDescent="0.25">
      <c r="A6" s="25" t="s">
        <v>15</v>
      </c>
      <c r="B6" s="72" t="s">
        <v>242</v>
      </c>
    </row>
    <row r="7" spans="1:154" ht="13" x14ac:dyDescent="0.25">
      <c r="A7" s="25" t="s">
        <v>16</v>
      </c>
      <c r="B7" s="72" t="s">
        <v>243</v>
      </c>
    </row>
    <row r="8" spans="1:154" ht="13" x14ac:dyDescent="0.25">
      <c r="A8" s="25" t="s">
        <v>17</v>
      </c>
      <c r="B8" s="72" t="s">
        <v>248</v>
      </c>
    </row>
    <row r="9" spans="1:154" ht="13" x14ac:dyDescent="0.25">
      <c r="A9" s="25" t="s">
        <v>18</v>
      </c>
      <c r="B9" s="72" t="s">
        <v>247</v>
      </c>
    </row>
    <row r="10" spans="1:154" ht="13" x14ac:dyDescent="0.25">
      <c r="A10" s="25" t="s">
        <v>19</v>
      </c>
      <c r="B10" s="72" t="s">
        <v>246</v>
      </c>
    </row>
    <row r="11" spans="1:154" ht="13" x14ac:dyDescent="0.25">
      <c r="A11" s="25" t="s">
        <v>20</v>
      </c>
      <c r="B11" s="72" t="s">
        <v>245</v>
      </c>
    </row>
    <row r="12" spans="1:154" ht="13" x14ac:dyDescent="0.25">
      <c r="A12" s="25" t="s">
        <v>21</v>
      </c>
      <c r="B12" s="72" t="s">
        <v>244</v>
      </c>
    </row>
    <row r="13" spans="1:154" ht="13" x14ac:dyDescent="0.25">
      <c r="A13" s="25" t="s">
        <v>22</v>
      </c>
      <c r="B13" s="72" t="s">
        <v>249</v>
      </c>
    </row>
    <row r="14" spans="1:154" ht="13" x14ac:dyDescent="0.25">
      <c r="A14" s="25" t="s">
        <v>23</v>
      </c>
      <c r="B14" s="72" t="s">
        <v>250</v>
      </c>
    </row>
    <row r="15" spans="1:154" ht="13" x14ac:dyDescent="0.25">
      <c r="A15" s="25" t="s">
        <v>24</v>
      </c>
      <c r="B15" s="72" t="s">
        <v>251</v>
      </c>
    </row>
    <row r="16" spans="1:154" ht="13" x14ac:dyDescent="0.25">
      <c r="A16" s="25"/>
      <c r="B16" s="72" t="s">
        <v>252</v>
      </c>
    </row>
    <row r="17" spans="1:2" ht="13" x14ac:dyDescent="0.25">
      <c r="A17" s="25"/>
      <c r="B17" s="72" t="s">
        <v>253</v>
      </c>
    </row>
    <row r="18" spans="1:2" ht="13" x14ac:dyDescent="0.25">
      <c r="A18" s="25"/>
      <c r="B18" s="72" t="s">
        <v>254</v>
      </c>
    </row>
    <row r="19" spans="1:2" ht="13" x14ac:dyDescent="0.25">
      <c r="A19" s="25"/>
      <c r="B19" s="72" t="s">
        <v>255</v>
      </c>
    </row>
    <row r="20" spans="1:2" ht="13" x14ac:dyDescent="0.25">
      <c r="A20" s="25"/>
      <c r="B20" s="72" t="s">
        <v>256</v>
      </c>
    </row>
    <row r="21" spans="1:2" ht="13" x14ac:dyDescent="0.25">
      <c r="A21" s="25"/>
      <c r="B21" s="72" t="s">
        <v>138</v>
      </c>
    </row>
    <row r="22" spans="1:2" ht="13" x14ac:dyDescent="0.25">
      <c r="A22" s="25"/>
      <c r="B22" s="72" t="s">
        <v>139</v>
      </c>
    </row>
    <row r="23" spans="1:2" ht="13" x14ac:dyDescent="0.25">
      <c r="A23" s="25"/>
      <c r="B23" s="72" t="s">
        <v>140</v>
      </c>
    </row>
    <row r="24" spans="1:2" ht="13" x14ac:dyDescent="0.25">
      <c r="A24" s="25"/>
      <c r="B24" s="72" t="s">
        <v>141</v>
      </c>
    </row>
    <row r="25" spans="1:2" ht="13" x14ac:dyDescent="0.25">
      <c r="A25" s="25"/>
      <c r="B25" s="72" t="s">
        <v>142</v>
      </c>
    </row>
    <row r="26" spans="1:2" ht="13" x14ac:dyDescent="0.25">
      <c r="A26" s="25"/>
      <c r="B26" s="72" t="s">
        <v>143</v>
      </c>
    </row>
    <row r="27" spans="1:2" ht="13" x14ac:dyDescent="0.25">
      <c r="A27" s="25"/>
      <c r="B27" s="72" t="s">
        <v>144</v>
      </c>
    </row>
    <row r="28" spans="1:2" ht="13" x14ac:dyDescent="0.25">
      <c r="A28" s="25"/>
      <c r="B28" s="72" t="s">
        <v>145</v>
      </c>
    </row>
    <row r="29" spans="1:2" ht="13" x14ac:dyDescent="0.25">
      <c r="A29" s="25"/>
      <c r="B29" s="72" t="s">
        <v>146</v>
      </c>
    </row>
    <row r="30" spans="1:2" ht="13" x14ac:dyDescent="0.25">
      <c r="A30" s="25"/>
      <c r="B30" s="72" t="s">
        <v>147</v>
      </c>
    </row>
    <row r="31" spans="1:2" ht="13" x14ac:dyDescent="0.25">
      <c r="A31" s="25"/>
      <c r="B31" s="72" t="s">
        <v>148</v>
      </c>
    </row>
    <row r="32" spans="1:2" ht="13" x14ac:dyDescent="0.25">
      <c r="A32" s="25"/>
      <c r="B32" s="72" t="s">
        <v>149</v>
      </c>
    </row>
    <row r="33" spans="1:2" ht="13" x14ac:dyDescent="0.25">
      <c r="A33" s="25"/>
      <c r="B33" s="72" t="s">
        <v>150</v>
      </c>
    </row>
    <row r="34" spans="1:2" ht="13" x14ac:dyDescent="0.25">
      <c r="A34" s="25"/>
      <c r="B34" s="72" t="s">
        <v>128</v>
      </c>
    </row>
    <row r="35" spans="1:2" ht="13" x14ac:dyDescent="0.25">
      <c r="A35" s="25"/>
      <c r="B35" s="72" t="s">
        <v>688</v>
      </c>
    </row>
    <row r="36" spans="1:2" ht="13" x14ac:dyDescent="0.25">
      <c r="A36" s="25"/>
      <c r="B36" s="72" t="s">
        <v>130</v>
      </c>
    </row>
    <row r="37" spans="1:2" ht="13" x14ac:dyDescent="0.25">
      <c r="A37" s="25"/>
      <c r="B37" s="72" t="s">
        <v>131</v>
      </c>
    </row>
    <row r="38" spans="1:2" ht="13" x14ac:dyDescent="0.25">
      <c r="A38" s="25"/>
      <c r="B38" s="72" t="s">
        <v>132</v>
      </c>
    </row>
    <row r="39" spans="1:2" ht="13" x14ac:dyDescent="0.25">
      <c r="A39" s="25"/>
      <c r="B39" s="72" t="s">
        <v>133</v>
      </c>
    </row>
    <row r="40" spans="1:2" ht="13" x14ac:dyDescent="0.25">
      <c r="A40" s="25"/>
      <c r="B40" s="72" t="s">
        <v>134</v>
      </c>
    </row>
    <row r="41" spans="1:2" ht="13" x14ac:dyDescent="0.25">
      <c r="A41" s="25"/>
      <c r="B41" s="72" t="s">
        <v>135</v>
      </c>
    </row>
    <row r="42" spans="1:2" ht="13" x14ac:dyDescent="0.25">
      <c r="A42" s="25"/>
      <c r="B42" s="72" t="s">
        <v>687</v>
      </c>
    </row>
    <row r="43" spans="1:2" ht="13" x14ac:dyDescent="0.25">
      <c r="A43" s="25"/>
      <c r="B43" s="72" t="s">
        <v>137</v>
      </c>
    </row>
    <row r="44" spans="1:2" ht="13" x14ac:dyDescent="0.25">
      <c r="A44" s="25"/>
      <c r="B44" s="72" t="s">
        <v>257</v>
      </c>
    </row>
    <row r="45" spans="1:2" ht="13" x14ac:dyDescent="0.25">
      <c r="A45" s="25"/>
      <c r="B45" s="72" t="s">
        <v>258</v>
      </c>
    </row>
    <row r="46" spans="1:2" ht="13" x14ac:dyDescent="0.25">
      <c r="A46" s="25"/>
      <c r="B46" s="72" t="s">
        <v>259</v>
      </c>
    </row>
    <row r="47" spans="1:2" ht="13" x14ac:dyDescent="0.25">
      <c r="A47" s="25"/>
      <c r="B47" s="72" t="s">
        <v>260</v>
      </c>
    </row>
    <row r="48" spans="1:2" ht="13" x14ac:dyDescent="0.25">
      <c r="A48" s="25"/>
      <c r="B48" s="72" t="s">
        <v>261</v>
      </c>
    </row>
    <row r="49" spans="1:2" ht="13" x14ac:dyDescent="0.25">
      <c r="A49" s="25"/>
      <c r="B49" s="72" t="s">
        <v>262</v>
      </c>
    </row>
    <row r="50" spans="1:2" ht="13" x14ac:dyDescent="0.25">
      <c r="A50" s="25"/>
      <c r="B50" s="72" t="s">
        <v>263</v>
      </c>
    </row>
    <row r="51" spans="1:2" ht="13" x14ac:dyDescent="0.25">
      <c r="A51" s="25"/>
      <c r="B51" s="72" t="s">
        <v>264</v>
      </c>
    </row>
    <row r="52" spans="1:2" ht="13" x14ac:dyDescent="0.25">
      <c r="A52" s="25"/>
      <c r="B52" s="72" t="s">
        <v>265</v>
      </c>
    </row>
    <row r="53" spans="1:2" ht="13" x14ac:dyDescent="0.25">
      <c r="A53" s="25"/>
      <c r="B53" s="72" t="s">
        <v>266</v>
      </c>
    </row>
    <row r="54" spans="1:2" ht="13" x14ac:dyDescent="0.25">
      <c r="A54" s="25"/>
      <c r="B54" s="72" t="s">
        <v>267</v>
      </c>
    </row>
    <row r="55" spans="1:2" ht="13" x14ac:dyDescent="0.25">
      <c r="A55" s="25"/>
      <c r="B55" s="72" t="s">
        <v>268</v>
      </c>
    </row>
    <row r="56" spans="1:2" ht="13" x14ac:dyDescent="0.25">
      <c r="A56" s="25"/>
      <c r="B56" s="72" t="s">
        <v>269</v>
      </c>
    </row>
    <row r="57" spans="1:2" ht="13" x14ac:dyDescent="0.25">
      <c r="A57" s="25"/>
      <c r="B57" s="72" t="s">
        <v>270</v>
      </c>
    </row>
    <row r="58" spans="1:2" ht="13" x14ac:dyDescent="0.25">
      <c r="A58" s="25"/>
      <c r="B58" s="72" t="s">
        <v>271</v>
      </c>
    </row>
    <row r="59" spans="1:2" ht="13" x14ac:dyDescent="0.25">
      <c r="A59" s="25"/>
      <c r="B59" s="72" t="s">
        <v>272</v>
      </c>
    </row>
    <row r="60" spans="1:2" ht="13" x14ac:dyDescent="0.25">
      <c r="A60" s="25"/>
      <c r="B60" s="72" t="s">
        <v>273</v>
      </c>
    </row>
    <row r="61" spans="1:2" ht="13" x14ac:dyDescent="0.25">
      <c r="A61" s="25"/>
      <c r="B61" s="72" t="s">
        <v>274</v>
      </c>
    </row>
    <row r="62" spans="1:2" ht="13" x14ac:dyDescent="0.25">
      <c r="A62" s="25"/>
      <c r="B62" s="72" t="s">
        <v>275</v>
      </c>
    </row>
    <row r="63" spans="1:2" ht="13" x14ac:dyDescent="0.25">
      <c r="A63" s="25"/>
      <c r="B63" s="72" t="s">
        <v>276</v>
      </c>
    </row>
    <row r="64" spans="1:2" ht="13" x14ac:dyDescent="0.25">
      <c r="A64" s="25"/>
      <c r="B64" s="72" t="s">
        <v>277</v>
      </c>
    </row>
    <row r="65" spans="1:2" ht="13" x14ac:dyDescent="0.25">
      <c r="A65" s="25"/>
      <c r="B65" s="72" t="s">
        <v>278</v>
      </c>
    </row>
    <row r="66" spans="1:2" ht="13" x14ac:dyDescent="0.25">
      <c r="A66" s="25"/>
      <c r="B66" s="72" t="s">
        <v>279</v>
      </c>
    </row>
    <row r="67" spans="1:2" ht="13" x14ac:dyDescent="0.25">
      <c r="A67" s="25"/>
      <c r="B67" s="72" t="s">
        <v>280</v>
      </c>
    </row>
    <row r="68" spans="1:2" ht="13" x14ac:dyDescent="0.25">
      <c r="A68" s="25"/>
      <c r="B68" s="72" t="s">
        <v>281</v>
      </c>
    </row>
    <row r="69" spans="1:2" ht="13" x14ac:dyDescent="0.25">
      <c r="A69" s="25"/>
      <c r="B69" s="72" t="s">
        <v>282</v>
      </c>
    </row>
    <row r="70" spans="1:2" ht="13" x14ac:dyDescent="0.25">
      <c r="A70" s="25"/>
      <c r="B70" s="72" t="s">
        <v>283</v>
      </c>
    </row>
    <row r="71" spans="1:2" ht="13" x14ac:dyDescent="0.25">
      <c r="A71" s="25"/>
      <c r="B71" s="72" t="s">
        <v>284</v>
      </c>
    </row>
    <row r="72" spans="1:2" ht="13" x14ac:dyDescent="0.25">
      <c r="A72" s="25"/>
      <c r="B72" s="72" t="s">
        <v>285</v>
      </c>
    </row>
    <row r="73" spans="1:2" ht="13" x14ac:dyDescent="0.25">
      <c r="A73" s="25"/>
      <c r="B73" s="72" t="s">
        <v>286</v>
      </c>
    </row>
    <row r="74" spans="1:2" ht="13" x14ac:dyDescent="0.25">
      <c r="A74" s="25"/>
      <c r="B74" s="72" t="s">
        <v>287</v>
      </c>
    </row>
    <row r="75" spans="1:2" ht="13" x14ac:dyDescent="0.25">
      <c r="A75" s="25"/>
      <c r="B75" s="72" t="s">
        <v>288</v>
      </c>
    </row>
    <row r="76" spans="1:2" ht="13" x14ac:dyDescent="0.25">
      <c r="A76" s="25"/>
      <c r="B76" s="72" t="s">
        <v>289</v>
      </c>
    </row>
    <row r="77" spans="1:2" ht="13" x14ac:dyDescent="0.25">
      <c r="A77" s="25"/>
      <c r="B77" s="72" t="s">
        <v>290</v>
      </c>
    </row>
    <row r="78" spans="1:2" ht="13" x14ac:dyDescent="0.25">
      <c r="A78" s="25"/>
      <c r="B78" s="72" t="s">
        <v>291</v>
      </c>
    </row>
    <row r="79" spans="1:2" ht="13" x14ac:dyDescent="0.25">
      <c r="A79" s="25"/>
      <c r="B79" s="72" t="s">
        <v>292</v>
      </c>
    </row>
    <row r="80" spans="1:2" ht="13" x14ac:dyDescent="0.25">
      <c r="A80" s="25"/>
      <c r="B80" s="72" t="s">
        <v>293</v>
      </c>
    </row>
    <row r="81" spans="1:2" ht="13" x14ac:dyDescent="0.25">
      <c r="A81" s="25"/>
      <c r="B81" s="72" t="s">
        <v>294</v>
      </c>
    </row>
    <row r="82" spans="1:2" ht="13" x14ac:dyDescent="0.25">
      <c r="A82" s="25"/>
      <c r="B82" s="72" t="s">
        <v>295</v>
      </c>
    </row>
    <row r="83" spans="1:2" ht="13" x14ac:dyDescent="0.25">
      <c r="A83" s="25"/>
      <c r="B83" s="72" t="s">
        <v>296</v>
      </c>
    </row>
    <row r="84" spans="1:2" ht="13" x14ac:dyDescent="0.25">
      <c r="A84" s="25"/>
      <c r="B84" s="72" t="s">
        <v>297</v>
      </c>
    </row>
    <row r="85" spans="1:2" ht="13" x14ac:dyDescent="0.25">
      <c r="A85" s="25"/>
      <c r="B85" s="72" t="s">
        <v>298</v>
      </c>
    </row>
    <row r="86" spans="1:2" ht="13" x14ac:dyDescent="0.25">
      <c r="A86" s="25"/>
      <c r="B86" s="72" t="s">
        <v>299</v>
      </c>
    </row>
    <row r="87" spans="1:2" ht="13" x14ac:dyDescent="0.25">
      <c r="A87" s="25"/>
      <c r="B87" s="72" t="s">
        <v>300</v>
      </c>
    </row>
    <row r="88" spans="1:2" ht="13" x14ac:dyDescent="0.25">
      <c r="A88" s="25"/>
      <c r="B88" s="72" t="s">
        <v>301</v>
      </c>
    </row>
    <row r="89" spans="1:2" ht="13" x14ac:dyDescent="0.25">
      <c r="A89" s="25"/>
      <c r="B89" s="72" t="s">
        <v>302</v>
      </c>
    </row>
    <row r="90" spans="1:2" ht="13" x14ac:dyDescent="0.25">
      <c r="A90" s="25"/>
      <c r="B90" s="72" t="s">
        <v>303</v>
      </c>
    </row>
    <row r="91" spans="1:2" ht="13" x14ac:dyDescent="0.25">
      <c r="A91" s="25"/>
      <c r="B91" s="72" t="s">
        <v>304</v>
      </c>
    </row>
    <row r="92" spans="1:2" ht="13" x14ac:dyDescent="0.25">
      <c r="A92" s="25"/>
      <c r="B92" s="72" t="s">
        <v>305</v>
      </c>
    </row>
    <row r="93" spans="1:2" ht="13" x14ac:dyDescent="0.25">
      <c r="A93" s="25"/>
      <c r="B93" s="72" t="s">
        <v>306</v>
      </c>
    </row>
    <row r="94" spans="1:2" ht="13" x14ac:dyDescent="0.25">
      <c r="A94" s="25"/>
      <c r="B94" s="72" t="s">
        <v>307</v>
      </c>
    </row>
    <row r="95" spans="1:2" ht="13" x14ac:dyDescent="0.25">
      <c r="A95" s="25"/>
      <c r="B95" s="72" t="s">
        <v>308</v>
      </c>
    </row>
    <row r="96" spans="1:2" ht="13" x14ac:dyDescent="0.25">
      <c r="A96" s="25"/>
      <c r="B96" s="72" t="s">
        <v>309</v>
      </c>
    </row>
    <row r="97" spans="1:2" ht="13" x14ac:dyDescent="0.25">
      <c r="A97" s="25"/>
      <c r="B97" s="72" t="s">
        <v>310</v>
      </c>
    </row>
    <row r="98" spans="1:2" ht="13" x14ac:dyDescent="0.25">
      <c r="A98" s="25"/>
      <c r="B98" s="72" t="s">
        <v>311</v>
      </c>
    </row>
    <row r="99" spans="1:2" ht="13" x14ac:dyDescent="0.25">
      <c r="A99" s="25"/>
      <c r="B99" s="72" t="s">
        <v>312</v>
      </c>
    </row>
    <row r="100" spans="1:2" ht="13" x14ac:dyDescent="0.25">
      <c r="A100" s="25"/>
      <c r="B100" s="72" t="s">
        <v>313</v>
      </c>
    </row>
    <row r="101" spans="1:2" ht="13" x14ac:dyDescent="0.25">
      <c r="A101" s="25"/>
      <c r="B101" s="72" t="s">
        <v>314</v>
      </c>
    </row>
    <row r="102" spans="1:2" ht="13" x14ac:dyDescent="0.25">
      <c r="A102" s="25"/>
      <c r="B102" s="72" t="s">
        <v>315</v>
      </c>
    </row>
    <row r="103" spans="1:2" ht="13" x14ac:dyDescent="0.25">
      <c r="A103" s="25"/>
      <c r="B103" s="72" t="s">
        <v>316</v>
      </c>
    </row>
    <row r="104" spans="1:2" ht="13" x14ac:dyDescent="0.25">
      <c r="A104" s="25"/>
      <c r="B104" s="72" t="s">
        <v>317</v>
      </c>
    </row>
    <row r="105" spans="1:2" ht="13" x14ac:dyDescent="0.25">
      <c r="A105" s="25"/>
      <c r="B105" s="72" t="s">
        <v>318</v>
      </c>
    </row>
    <row r="106" spans="1:2" ht="13" x14ac:dyDescent="0.25">
      <c r="A106" s="25"/>
      <c r="B106" s="72" t="s">
        <v>319</v>
      </c>
    </row>
    <row r="107" spans="1:2" ht="13" x14ac:dyDescent="0.25">
      <c r="A107" s="25"/>
      <c r="B107" s="72" t="s">
        <v>320</v>
      </c>
    </row>
    <row r="108" spans="1:2" ht="13" x14ac:dyDescent="0.25">
      <c r="A108" s="25"/>
      <c r="B108" s="72" t="s">
        <v>321</v>
      </c>
    </row>
    <row r="109" spans="1:2" ht="13" x14ac:dyDescent="0.25">
      <c r="A109" s="26"/>
      <c r="B109" s="72" t="s">
        <v>322</v>
      </c>
    </row>
    <row r="110" spans="1:2" ht="13" x14ac:dyDescent="0.25">
      <c r="A110" s="26"/>
      <c r="B110" s="72" t="s">
        <v>323</v>
      </c>
    </row>
    <row r="111" spans="1:2" ht="13" x14ac:dyDescent="0.25">
      <c r="A111" s="26"/>
      <c r="B111" s="72" t="s">
        <v>324</v>
      </c>
    </row>
    <row r="112" spans="1:2" ht="13" x14ac:dyDescent="0.25">
      <c r="A112" s="26"/>
      <c r="B112" s="72" t="s">
        <v>325</v>
      </c>
    </row>
    <row r="113" spans="1:2" ht="13" x14ac:dyDescent="0.25">
      <c r="A113" s="26"/>
      <c r="B113" s="72" t="s">
        <v>326</v>
      </c>
    </row>
    <row r="114" spans="1:2" ht="13" x14ac:dyDescent="0.25">
      <c r="A114" s="26"/>
      <c r="B114" s="72" t="s">
        <v>327</v>
      </c>
    </row>
    <row r="115" spans="1:2" ht="13" x14ac:dyDescent="0.25">
      <c r="A115" s="26"/>
      <c r="B115" s="72" t="s">
        <v>328</v>
      </c>
    </row>
    <row r="116" spans="1:2" ht="13" x14ac:dyDescent="0.25">
      <c r="A116" s="25"/>
      <c r="B116" s="72" t="s">
        <v>329</v>
      </c>
    </row>
    <row r="117" spans="1:2" ht="13" x14ac:dyDescent="0.25">
      <c r="A117" s="26"/>
      <c r="B117" s="72" t="s">
        <v>330</v>
      </c>
    </row>
    <row r="118" spans="1:2" ht="13" x14ac:dyDescent="0.25">
      <c r="A118" s="26"/>
      <c r="B118" s="72" t="s">
        <v>331</v>
      </c>
    </row>
    <row r="119" spans="1:2" ht="13" x14ac:dyDescent="0.25">
      <c r="A119" s="25"/>
      <c r="B119" s="72" t="s">
        <v>332</v>
      </c>
    </row>
    <row r="120" spans="1:2" ht="13" x14ac:dyDescent="0.25">
      <c r="A120" s="27"/>
      <c r="B120" s="72" t="s">
        <v>333</v>
      </c>
    </row>
    <row r="121" spans="1:2" ht="13" x14ac:dyDescent="0.25">
      <c r="A121" s="28"/>
      <c r="B121" s="72" t="s">
        <v>334</v>
      </c>
    </row>
    <row r="122" spans="1:2" ht="13" x14ac:dyDescent="0.25">
      <c r="A122" s="29"/>
      <c r="B122" s="72" t="s">
        <v>335</v>
      </c>
    </row>
    <row r="123" spans="1:2" ht="13" x14ac:dyDescent="0.25">
      <c r="A123" s="29"/>
      <c r="B123" s="72" t="s">
        <v>336</v>
      </c>
    </row>
    <row r="124" spans="1:2" ht="13" x14ac:dyDescent="0.25">
      <c r="A124" s="29"/>
      <c r="B124" s="72" t="s">
        <v>337</v>
      </c>
    </row>
    <row r="125" spans="1:2" x14ac:dyDescent="0.25">
      <c r="B125" s="72" t="s">
        <v>338</v>
      </c>
    </row>
    <row r="126" spans="1:2" x14ac:dyDescent="0.25">
      <c r="B126" s="72" t="s">
        <v>339</v>
      </c>
    </row>
    <row r="127" spans="1:2" x14ac:dyDescent="0.25">
      <c r="B127" s="72" t="s">
        <v>340</v>
      </c>
    </row>
    <row r="128" spans="1:2" x14ac:dyDescent="0.25">
      <c r="B128" s="72" t="s">
        <v>341</v>
      </c>
    </row>
    <row r="129" spans="2:2" x14ac:dyDescent="0.25">
      <c r="B129" s="72" t="s">
        <v>342</v>
      </c>
    </row>
    <row r="130" spans="2:2" x14ac:dyDescent="0.25">
      <c r="B130" s="72" t="s">
        <v>343</v>
      </c>
    </row>
    <row r="131" spans="2:2" x14ac:dyDescent="0.25">
      <c r="B131" s="72" t="s">
        <v>344</v>
      </c>
    </row>
    <row r="132" spans="2:2" x14ac:dyDescent="0.25">
      <c r="B132" s="72" t="s">
        <v>345</v>
      </c>
    </row>
    <row r="133" spans="2:2" x14ac:dyDescent="0.25">
      <c r="B133" s="72" t="s">
        <v>346</v>
      </c>
    </row>
    <row r="134" spans="2:2" x14ac:dyDescent="0.25">
      <c r="B134" s="72" t="s">
        <v>347</v>
      </c>
    </row>
    <row r="135" spans="2:2" x14ac:dyDescent="0.25">
      <c r="B135" s="72" t="s">
        <v>348</v>
      </c>
    </row>
    <row r="136" spans="2:2" x14ac:dyDescent="0.25">
      <c r="B136" s="72" t="s">
        <v>349</v>
      </c>
    </row>
    <row r="137" spans="2:2" x14ac:dyDescent="0.25">
      <c r="B137" s="72" t="s">
        <v>350</v>
      </c>
    </row>
    <row r="138" spans="2:2" x14ac:dyDescent="0.25">
      <c r="B138" s="72" t="s">
        <v>351</v>
      </c>
    </row>
    <row r="139" spans="2:2" x14ac:dyDescent="0.25">
      <c r="B139" s="72" t="s">
        <v>352</v>
      </c>
    </row>
    <row r="140" spans="2:2" x14ac:dyDescent="0.25">
      <c r="B140" s="72" t="s">
        <v>353</v>
      </c>
    </row>
    <row r="141" spans="2:2" x14ac:dyDescent="0.25">
      <c r="B141" s="72" t="s">
        <v>354</v>
      </c>
    </row>
    <row r="142" spans="2:2" x14ac:dyDescent="0.25">
      <c r="B142" s="72" t="s">
        <v>355</v>
      </c>
    </row>
    <row r="143" spans="2:2" x14ac:dyDescent="0.25">
      <c r="B143" s="72" t="s">
        <v>356</v>
      </c>
    </row>
    <row r="144" spans="2:2" x14ac:dyDescent="0.25">
      <c r="B144" s="72" t="s">
        <v>357</v>
      </c>
    </row>
    <row r="145" spans="2:2" x14ac:dyDescent="0.25">
      <c r="B145" s="72" t="s">
        <v>358</v>
      </c>
    </row>
    <row r="146" spans="2:2" x14ac:dyDescent="0.25">
      <c r="B146" s="72" t="s">
        <v>359</v>
      </c>
    </row>
    <row r="147" spans="2:2" x14ac:dyDescent="0.25">
      <c r="B147" s="72" t="s">
        <v>360</v>
      </c>
    </row>
    <row r="148" spans="2:2" x14ac:dyDescent="0.25">
      <c r="B148" s="72" t="s">
        <v>653</v>
      </c>
    </row>
    <row r="149" spans="2:2" ht="14.5" x14ac:dyDescent="0.25">
      <c r="B149" s="81" t="s">
        <v>24</v>
      </c>
    </row>
    <row r="150" spans="2:2" ht="14.5" x14ac:dyDescent="0.25">
      <c r="B150" s="81" t="s">
        <v>24</v>
      </c>
    </row>
    <row r="151" spans="2:2" ht="14.5" x14ac:dyDescent="0.25">
      <c r="B151" s="81" t="s">
        <v>24</v>
      </c>
    </row>
  </sheetData>
  <pageMargins left="0.7" right="0.7" top="0.75" bottom="0.75" header="0.3" footer="0.3"/>
  <pageSetup paperSize="9" orientation="portrait" r:id="rId1"/>
  <headerFooter>
    <oddHeader>&amp;C&amp;"Calibri"&amp;10&amp;KFF0000 CONFIDENTIAL&amp;1#_x000D_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4"/>
  <dimension ref="C3:J35"/>
  <sheetViews>
    <sheetView workbookViewId="0">
      <selection activeCell="F36" sqref="F36"/>
    </sheetView>
  </sheetViews>
  <sheetFormatPr defaultRowHeight="12.5" x14ac:dyDescent="0.25"/>
  <cols>
    <col min="4" max="4" width="17.54296875" customWidth="1"/>
    <col min="7" max="7" width="15.81640625" bestFit="1" customWidth="1"/>
    <col min="10" max="10" width="15.81640625" bestFit="1" customWidth="1"/>
  </cols>
  <sheetData>
    <row r="3" spans="3:10" x14ac:dyDescent="0.25">
      <c r="C3" s="93">
        <f>DAILY_ENERGY!D4</f>
        <v>1971505.5</v>
      </c>
      <c r="D3" t="s">
        <v>500</v>
      </c>
      <c r="E3" t="s">
        <v>366</v>
      </c>
      <c r="F3" s="93">
        <f>Monthly_kWh!B40</f>
        <v>544.43287499999997</v>
      </c>
      <c r="G3" t="s">
        <v>367</v>
      </c>
      <c r="I3" s="93">
        <f>DAILY_ENERGY!D18</f>
        <v>40.261482999999998</v>
      </c>
      <c r="J3" t="s">
        <v>504</v>
      </c>
    </row>
    <row r="4" spans="3:10" x14ac:dyDescent="0.25">
      <c r="C4" s="93">
        <f>(DAILY_ENERGY!E4*0.001)+DAILY_ENERGY!E9+DAILY_ENERGY!E16+DAILY_ENERGY!E17+DAILY_ENERGY!E18</f>
        <v>27.204678000000012</v>
      </c>
      <c r="D4" t="s">
        <v>361</v>
      </c>
      <c r="E4" t="s">
        <v>230</v>
      </c>
      <c r="F4" s="93">
        <f>Monthly_kWh!G40</f>
        <v>17.17399799999999</v>
      </c>
      <c r="G4" t="s">
        <v>367</v>
      </c>
    </row>
    <row r="5" spans="3:10" x14ac:dyDescent="0.25">
      <c r="C5" s="93">
        <f>Monthly_kWh!B40+Monthly_kWh!G40+Monthly_kWh!N40+Monthly_kWh!O40+Monthly_kWh!P40</f>
        <v>790.83618100000012</v>
      </c>
      <c r="D5" t="s">
        <v>362</v>
      </c>
      <c r="E5" t="s">
        <v>368</v>
      </c>
      <c r="F5" s="93">
        <f>Monthly_kWh!N40+Monthly_kWh!O40+Monthly_kWh!P40</f>
        <v>229.2293080000002</v>
      </c>
      <c r="G5" t="s">
        <v>367</v>
      </c>
    </row>
    <row r="6" spans="3:10" x14ac:dyDescent="0.25">
      <c r="C6" s="93">
        <f>Prev_Month_kWh!B40+Prev_Month_kWh!G40+Prev_Month_kWh!N40+Prev_Month_kWh!O40+Prev_Month_kWh!P40</f>
        <v>756.17162899999983</v>
      </c>
      <c r="D6" t="s">
        <v>363</v>
      </c>
      <c r="F6" s="93">
        <f>DAILY_ENERGY!D9</f>
        <v>40.003732999999997</v>
      </c>
      <c r="G6" t="s">
        <v>501</v>
      </c>
    </row>
    <row r="7" spans="3:10" x14ac:dyDescent="0.25">
      <c r="C7">
        <f>This_Year_KWH!B20+This_Year_KWH!G20+This_Year_KWH!N20+This_Year_KWH!O20+This_Year_KWH!P20</f>
        <v>2227.1618297500004</v>
      </c>
      <c r="D7" t="s">
        <v>364</v>
      </c>
      <c r="F7" s="93">
        <f>DAILY_ENERGY!D16</f>
        <v>624.31163900000001</v>
      </c>
      <c r="G7" t="s">
        <v>502</v>
      </c>
    </row>
    <row r="8" spans="3:10" x14ac:dyDescent="0.25">
      <c r="C8">
        <f>Prev_Year_KWH!B20+Prev_Year_KWH!G20+Prev_Year_KWH!N20+Prev_Year_KWH!O20+Prev_Year_KWH!P20</f>
        <v>0</v>
      </c>
      <c r="D8" t="s">
        <v>365</v>
      </c>
      <c r="F8" s="93">
        <f>DAILY_ENERGY!D17</f>
        <v>669.35258900000008</v>
      </c>
      <c r="G8" t="s">
        <v>503</v>
      </c>
    </row>
    <row r="23" spans="6:8" ht="14" x14ac:dyDescent="0.25">
      <c r="F23" s="136">
        <f>'Energy Data Monthly'!H21</f>
        <v>38.963102937499997</v>
      </c>
      <c r="G23" s="174" t="s">
        <v>498</v>
      </c>
      <c r="H23">
        <v>1</v>
      </c>
    </row>
    <row r="24" spans="6:8" ht="14" x14ac:dyDescent="0.25">
      <c r="F24" s="136">
        <f>'Energy Data Monthly'!H22</f>
        <v>65.594030796875003</v>
      </c>
      <c r="G24" s="174" t="s">
        <v>462</v>
      </c>
      <c r="H24">
        <v>2</v>
      </c>
    </row>
    <row r="25" spans="6:8" ht="14" x14ac:dyDescent="0.25">
      <c r="F25" s="136">
        <f>'Energy Data Monthly'!H23</f>
        <v>35.355133999999929</v>
      </c>
      <c r="G25" s="174" t="s">
        <v>461</v>
      </c>
      <c r="H25">
        <v>3</v>
      </c>
    </row>
    <row r="26" spans="6:8" ht="14" x14ac:dyDescent="0.25">
      <c r="F26" s="136">
        <f>'Energy Data Monthly'!H24</f>
        <v>78.822944000000078</v>
      </c>
      <c r="G26" s="174" t="s">
        <v>460</v>
      </c>
      <c r="H26">
        <v>4</v>
      </c>
    </row>
    <row r="27" spans="6:8" ht="14" x14ac:dyDescent="0.25">
      <c r="F27" s="136">
        <f>'Energy Data Monthly'!H25</f>
        <v>317.35931200000022</v>
      </c>
      <c r="G27" s="174" t="s">
        <v>459</v>
      </c>
      <c r="H27">
        <v>5</v>
      </c>
    </row>
    <row r="28" spans="6:8" ht="14" x14ac:dyDescent="0.25">
      <c r="F28" s="136">
        <f>'Energy Data Monthly'!H26</f>
        <v>10.444049500000002</v>
      </c>
      <c r="G28" s="174" t="s">
        <v>457</v>
      </c>
      <c r="H28">
        <v>6</v>
      </c>
    </row>
    <row r="29" spans="6:8" ht="14" x14ac:dyDescent="0.25">
      <c r="F29" s="136">
        <f>'Energy Data Monthly'!H27</f>
        <v>0.61429412500000014</v>
      </c>
      <c r="G29" s="174" t="s">
        <v>236</v>
      </c>
      <c r="H29">
        <v>7</v>
      </c>
    </row>
    <row r="30" spans="6:8" ht="14" x14ac:dyDescent="0.25">
      <c r="F30" s="136">
        <f>'Energy Data Monthly'!H28</f>
        <v>41.275032968750011</v>
      </c>
      <c r="G30" s="174" t="s">
        <v>456</v>
      </c>
      <c r="H30">
        <v>8</v>
      </c>
    </row>
    <row r="31" spans="6:8" ht="14" x14ac:dyDescent="0.25">
      <c r="F31" s="136">
        <f>'Energy Data Monthly'!H29</f>
        <v>42.865167999999983</v>
      </c>
      <c r="G31" s="174" t="s">
        <v>455</v>
      </c>
      <c r="H31">
        <v>9</v>
      </c>
    </row>
    <row r="32" spans="6:8" ht="14" x14ac:dyDescent="0.25">
      <c r="F32" s="136">
        <f>'Energy Data Monthly'!H30</f>
        <v>29.026636937500008</v>
      </c>
      <c r="G32" s="174" t="s">
        <v>454</v>
      </c>
      <c r="H32">
        <v>10</v>
      </c>
    </row>
    <row r="33" spans="6:8" ht="14" x14ac:dyDescent="0.25">
      <c r="F33" s="136">
        <f>'Energy Data Monthly'!H31</f>
        <v>6.6235987924194353</v>
      </c>
      <c r="G33" s="174" t="s">
        <v>656</v>
      </c>
      <c r="H33">
        <v>11</v>
      </c>
    </row>
    <row r="34" spans="6:8" ht="14" x14ac:dyDescent="0.25">
      <c r="F34" s="136">
        <f>'Energy Data Monthly'!H32</f>
        <v>0</v>
      </c>
      <c r="G34" s="174" t="s">
        <v>505</v>
      </c>
      <c r="H34">
        <v>12</v>
      </c>
    </row>
    <row r="35" spans="6:8" ht="14" x14ac:dyDescent="0.25">
      <c r="F35">
        <f>REP_Interval!D2</f>
        <v>20</v>
      </c>
      <c r="G35" s="175" t="s">
        <v>722</v>
      </c>
    </row>
  </sheetData>
  <pageMargins left="0.7" right="0.7" top="0.75" bottom="0.75" header="0.3" footer="0.3"/>
  <headerFooter>
    <oddHeader>&amp;C&amp;"Calibri"&amp;10&amp;KFF0000 CONFIDENTIAL&amp;1#_x000D_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CBC92-97D4-4AD3-B6E8-1995A6FD23A6}">
  <sheetPr codeName="Sheet23"/>
  <dimension ref="A1:N324"/>
  <sheetViews>
    <sheetView topLeftCell="A134" zoomScaleNormal="100" workbookViewId="0">
      <selection activeCell="C150" sqref="C150"/>
    </sheetView>
  </sheetViews>
  <sheetFormatPr defaultColWidth="8.54296875" defaultRowHeight="13" x14ac:dyDescent="0.3"/>
  <cols>
    <col min="1" max="1" width="4.54296875" style="3" bestFit="1" customWidth="1"/>
    <col min="2" max="2" width="44.1796875" style="1" bestFit="1" customWidth="1"/>
    <col min="3" max="3" width="15.26953125" style="2" bestFit="1" customWidth="1"/>
    <col min="4" max="4" width="10.54296875" style="2" bestFit="1" customWidth="1"/>
    <col min="5" max="5" width="9.54296875" style="2" bestFit="1" customWidth="1"/>
    <col min="6" max="6" width="21.453125" style="2" bestFit="1" customWidth="1"/>
    <col min="7" max="7" width="20.54296875" style="2" bestFit="1" customWidth="1"/>
    <col min="8" max="9" width="12" style="1" hidden="1" customWidth="1"/>
    <col min="10" max="10" width="11.54296875" style="1" bestFit="1" customWidth="1"/>
    <col min="12" max="12" width="20.26953125" customWidth="1"/>
  </cols>
  <sheetData>
    <row r="1" spans="1:12" x14ac:dyDescent="0.3">
      <c r="A1" s="18"/>
      <c r="B1" s="219" t="s">
        <v>8</v>
      </c>
      <c r="C1" s="220"/>
      <c r="D1" s="220"/>
      <c r="E1" s="221"/>
      <c r="F1" s="15"/>
      <c r="G1" s="15"/>
      <c r="J1" s="46"/>
    </row>
    <row r="2" spans="1:12" x14ac:dyDescent="0.3">
      <c r="A2" s="17" t="s">
        <v>7</v>
      </c>
      <c r="B2" s="16">
        <v>45838.291666666664</v>
      </c>
      <c r="C2" s="16">
        <v>45838.625</v>
      </c>
      <c r="D2" s="15"/>
      <c r="E2" s="15"/>
      <c r="F2" s="15"/>
      <c r="G2" s="15"/>
    </row>
    <row r="3" spans="1:12" s="11" customFormat="1" x14ac:dyDescent="0.25">
      <c r="A3" s="13" t="s">
        <v>6</v>
      </c>
      <c r="B3" s="13" t="s">
        <v>5</v>
      </c>
      <c r="C3" s="13" t="s">
        <v>4</v>
      </c>
      <c r="D3" s="14" t="s">
        <v>3</v>
      </c>
      <c r="E3" s="13" t="s">
        <v>2</v>
      </c>
      <c r="F3" s="13" t="s">
        <v>1</v>
      </c>
      <c r="G3" s="13" t="s">
        <v>0</v>
      </c>
      <c r="H3" s="12"/>
      <c r="I3" s="12"/>
      <c r="J3" s="12"/>
    </row>
    <row r="4" spans="1:12" ht="12.5" x14ac:dyDescent="0.25">
      <c r="A4" s="5"/>
      <c r="B4" s="71" t="s">
        <v>238</v>
      </c>
      <c r="C4" s="127">
        <v>1949202.125</v>
      </c>
      <c r="D4" s="127">
        <v>1955824.75</v>
      </c>
      <c r="E4" s="127">
        <v>6622.625</v>
      </c>
      <c r="F4" s="8">
        <v>0</v>
      </c>
      <c r="H4" s="10"/>
      <c r="J4" s="126">
        <f>E4*0.001</f>
        <v>6.6226250000000002</v>
      </c>
      <c r="L4" t="s">
        <v>508</v>
      </c>
    </row>
    <row r="5" spans="1:12" ht="12.5" x14ac:dyDescent="0.25">
      <c r="A5" s="5"/>
      <c r="B5" s="72" t="s">
        <v>239</v>
      </c>
      <c r="C5" s="127">
        <v>457.25544600000001</v>
      </c>
      <c r="D5" s="127">
        <v>457.25544600000001</v>
      </c>
      <c r="E5" s="127">
        <v>0</v>
      </c>
      <c r="F5" s="8">
        <v>0</v>
      </c>
      <c r="H5" s="10"/>
      <c r="J5" s="126">
        <f t="shared" ref="J5:J68" si="0">E5</f>
        <v>0</v>
      </c>
      <c r="L5" t="s">
        <v>509</v>
      </c>
    </row>
    <row r="6" spans="1:12" ht="12.5" x14ac:dyDescent="0.25">
      <c r="A6" s="5"/>
      <c r="B6" s="72" t="s">
        <v>240</v>
      </c>
      <c r="C6" s="127">
        <v>662.21501899999998</v>
      </c>
      <c r="D6" s="127">
        <v>664.57996400000002</v>
      </c>
      <c r="E6" s="127">
        <v>2.3649450000000343</v>
      </c>
      <c r="F6" s="8">
        <v>0</v>
      </c>
      <c r="H6" s="10"/>
      <c r="J6" s="126">
        <f t="shared" si="0"/>
        <v>2.3649450000000343</v>
      </c>
      <c r="L6" t="s">
        <v>510</v>
      </c>
    </row>
    <row r="7" spans="1:12" ht="12.5" x14ac:dyDescent="0.25">
      <c r="A7" s="5"/>
      <c r="B7" s="72" t="s">
        <v>241</v>
      </c>
      <c r="C7" s="127">
        <v>431.16646700000001</v>
      </c>
      <c r="D7" s="127">
        <v>433.18061800000004</v>
      </c>
      <c r="E7" s="127">
        <v>2.0141510000000267</v>
      </c>
      <c r="F7" s="8">
        <v>0</v>
      </c>
      <c r="H7" s="10"/>
      <c r="J7" s="126">
        <f t="shared" si="0"/>
        <v>2.0141510000000267</v>
      </c>
      <c r="L7" t="s">
        <v>511</v>
      </c>
    </row>
    <row r="8" spans="1:12" ht="12.5" x14ac:dyDescent="0.25">
      <c r="A8" s="5"/>
      <c r="B8" s="72" t="s">
        <v>242</v>
      </c>
      <c r="C8" s="127">
        <v>454.01093099999997</v>
      </c>
      <c r="D8" s="127">
        <v>456.28189600000002</v>
      </c>
      <c r="E8" s="127">
        <v>2.2709650000000465</v>
      </c>
      <c r="F8" s="8">
        <v>0</v>
      </c>
      <c r="H8" s="10"/>
      <c r="J8" s="126">
        <f t="shared" si="0"/>
        <v>2.2709650000000465</v>
      </c>
      <c r="L8" t="s">
        <v>512</v>
      </c>
    </row>
    <row r="9" spans="1:12" ht="12.5" x14ac:dyDescent="0.25">
      <c r="A9" s="5"/>
      <c r="B9" s="72" t="s">
        <v>243</v>
      </c>
      <c r="C9" s="127">
        <v>40.003732999999997</v>
      </c>
      <c r="D9" s="127">
        <v>40.003732999999997</v>
      </c>
      <c r="E9" s="127">
        <v>0</v>
      </c>
      <c r="F9" s="8">
        <v>0</v>
      </c>
      <c r="H9" s="10"/>
      <c r="J9" s="126">
        <f t="shared" si="0"/>
        <v>0</v>
      </c>
      <c r="L9" t="s">
        <v>513</v>
      </c>
    </row>
    <row r="10" spans="1:12" ht="12.5" x14ac:dyDescent="0.25">
      <c r="A10" s="5"/>
      <c r="B10" s="72" t="s">
        <v>248</v>
      </c>
      <c r="C10" s="127">
        <v>9.869269000000001</v>
      </c>
      <c r="D10" s="127">
        <v>9.869269000000001</v>
      </c>
      <c r="E10" s="127">
        <v>0</v>
      </c>
      <c r="F10" s="8">
        <v>0</v>
      </c>
      <c r="H10" s="10"/>
      <c r="J10" s="126">
        <f t="shared" si="0"/>
        <v>0</v>
      </c>
      <c r="L10" t="s">
        <v>514</v>
      </c>
    </row>
    <row r="11" spans="1:12" ht="12.5" x14ac:dyDescent="0.25">
      <c r="A11" s="5"/>
      <c r="B11" s="72" t="s">
        <v>247</v>
      </c>
      <c r="C11" s="127">
        <v>10.170618000000001</v>
      </c>
      <c r="D11" s="127">
        <v>10.170618000000001</v>
      </c>
      <c r="E11" s="127">
        <v>0</v>
      </c>
      <c r="F11" s="8">
        <v>0</v>
      </c>
      <c r="H11" s="10"/>
      <c r="J11" s="126">
        <f t="shared" si="0"/>
        <v>0</v>
      </c>
      <c r="L11" t="s">
        <v>515</v>
      </c>
    </row>
    <row r="12" spans="1:12" ht="12.5" x14ac:dyDescent="0.25">
      <c r="A12" s="5"/>
      <c r="B12" s="72" t="s">
        <v>246</v>
      </c>
      <c r="C12" s="127">
        <v>2.942987</v>
      </c>
      <c r="D12" s="127">
        <v>2.942987</v>
      </c>
      <c r="E12" s="127">
        <v>0</v>
      </c>
      <c r="F12" s="8">
        <v>0</v>
      </c>
      <c r="H12" s="10"/>
      <c r="J12" s="126">
        <f t="shared" si="0"/>
        <v>0</v>
      </c>
      <c r="L12" t="s">
        <v>516</v>
      </c>
    </row>
    <row r="13" spans="1:12" ht="12.5" x14ac:dyDescent="0.25">
      <c r="A13" s="5"/>
      <c r="B13" s="72" t="s">
        <v>245</v>
      </c>
      <c r="C13" s="127">
        <v>2.8945349999999999</v>
      </c>
      <c r="D13" s="127">
        <v>2.8945349999999999</v>
      </c>
      <c r="E13" s="127">
        <v>0</v>
      </c>
      <c r="F13" s="8">
        <v>0</v>
      </c>
      <c r="H13" s="10"/>
      <c r="J13" s="126">
        <f t="shared" si="0"/>
        <v>0</v>
      </c>
      <c r="L13" t="s">
        <v>517</v>
      </c>
    </row>
    <row r="14" spans="1:12" ht="12.5" x14ac:dyDescent="0.25">
      <c r="A14" s="5"/>
      <c r="B14" s="72" t="s">
        <v>244</v>
      </c>
      <c r="C14" s="127">
        <v>7.9683799999999998</v>
      </c>
      <c r="D14" s="127">
        <v>7.9683799999999998</v>
      </c>
      <c r="E14" s="127">
        <v>0</v>
      </c>
      <c r="F14" s="8">
        <v>0</v>
      </c>
      <c r="H14" s="10"/>
      <c r="J14" s="126">
        <f t="shared" si="0"/>
        <v>0</v>
      </c>
      <c r="L14" t="s">
        <v>518</v>
      </c>
    </row>
    <row r="15" spans="1:12" ht="12.5" x14ac:dyDescent="0.25">
      <c r="A15" s="5"/>
      <c r="B15" s="72" t="s">
        <v>249</v>
      </c>
      <c r="C15" s="127">
        <v>39.668343999999998</v>
      </c>
      <c r="D15" s="127">
        <v>39.668343999999998</v>
      </c>
      <c r="E15" s="127">
        <v>0</v>
      </c>
      <c r="F15" s="8">
        <v>0</v>
      </c>
      <c r="H15" s="10"/>
      <c r="J15" s="126">
        <f t="shared" si="0"/>
        <v>0</v>
      </c>
      <c r="L15" t="s">
        <v>519</v>
      </c>
    </row>
    <row r="16" spans="1:12" ht="12.5" x14ac:dyDescent="0.25">
      <c r="A16" s="5"/>
      <c r="B16" s="72" t="s">
        <v>250</v>
      </c>
      <c r="C16" s="127">
        <v>621.97296600000004</v>
      </c>
      <c r="D16" s="127">
        <v>623.94506500000011</v>
      </c>
      <c r="E16" s="127">
        <v>1.9720990000000711</v>
      </c>
      <c r="F16" s="8">
        <v>0</v>
      </c>
      <c r="H16" s="10"/>
      <c r="J16" s="126">
        <f t="shared" si="0"/>
        <v>1.9720990000000711</v>
      </c>
      <c r="L16" t="s">
        <v>520</v>
      </c>
    </row>
    <row r="17" spans="1:14" ht="12.5" x14ac:dyDescent="0.25">
      <c r="A17" s="5"/>
      <c r="B17" s="72" t="s">
        <v>251</v>
      </c>
      <c r="C17" s="127">
        <v>666.93082100000004</v>
      </c>
      <c r="D17" s="127">
        <v>668.96800899999994</v>
      </c>
      <c r="E17" s="127">
        <v>2.037187999999901</v>
      </c>
      <c r="F17" s="8">
        <v>0</v>
      </c>
      <c r="H17" s="10"/>
      <c r="J17" s="126">
        <f t="shared" si="0"/>
        <v>2.037187999999901</v>
      </c>
      <c r="L17" t="s">
        <v>521</v>
      </c>
    </row>
    <row r="18" spans="1:14" ht="12.5" x14ac:dyDescent="0.25">
      <c r="A18" s="5"/>
      <c r="B18" s="72" t="s">
        <v>252</v>
      </c>
      <c r="C18" s="127">
        <v>40.120621</v>
      </c>
      <c r="D18" s="127">
        <v>40.241081000000001</v>
      </c>
      <c r="E18" s="127">
        <v>0.12046000000000134</v>
      </c>
      <c r="F18" s="8">
        <v>0</v>
      </c>
      <c r="H18" s="10"/>
      <c r="J18" s="126">
        <f t="shared" si="0"/>
        <v>0.12046000000000134</v>
      </c>
      <c r="L18" t="s">
        <v>522</v>
      </c>
    </row>
    <row r="19" spans="1:14" ht="12.5" x14ac:dyDescent="0.25">
      <c r="A19" s="5"/>
      <c r="B19" s="72" t="s">
        <v>253</v>
      </c>
      <c r="C19" s="127"/>
      <c r="D19" s="127"/>
      <c r="E19" s="127"/>
      <c r="F19" s="8">
        <v>0</v>
      </c>
      <c r="H19" s="10"/>
      <c r="J19" s="126">
        <f t="shared" si="0"/>
        <v>0</v>
      </c>
      <c r="L19" t="s">
        <v>523</v>
      </c>
      <c r="N19" s="93"/>
    </row>
    <row r="20" spans="1:14" ht="12.5" x14ac:dyDescent="0.25">
      <c r="A20" s="5"/>
      <c r="B20" s="72" t="s">
        <v>254</v>
      </c>
      <c r="C20" s="127">
        <v>17515.773952</v>
      </c>
      <c r="D20" s="127">
        <v>17518.094335999998</v>
      </c>
      <c r="E20" s="127">
        <v>2.3203839999987395</v>
      </c>
      <c r="F20" s="8">
        <v>0</v>
      </c>
      <c r="H20" s="10"/>
      <c r="J20" s="126">
        <f t="shared" si="0"/>
        <v>2.3203839999987395</v>
      </c>
      <c r="L20" t="s">
        <v>524</v>
      </c>
    </row>
    <row r="21" spans="1:14" ht="12.5" x14ac:dyDescent="0.25">
      <c r="A21" s="5"/>
      <c r="B21" s="72" t="s">
        <v>255</v>
      </c>
      <c r="C21" s="127">
        <v>7555.2112639999996</v>
      </c>
      <c r="D21" s="127">
        <v>7557.1522559999994</v>
      </c>
      <c r="E21" s="127">
        <v>1.9409919999998237</v>
      </c>
      <c r="F21" s="8">
        <v>0</v>
      </c>
      <c r="H21" s="10"/>
      <c r="J21" s="126">
        <f t="shared" si="0"/>
        <v>1.9409919999998237</v>
      </c>
      <c r="L21" t="s">
        <v>525</v>
      </c>
      <c r="N21" s="93"/>
    </row>
    <row r="22" spans="1:14" ht="12.5" x14ac:dyDescent="0.25">
      <c r="A22" s="5"/>
      <c r="B22" s="72" t="s">
        <v>256</v>
      </c>
      <c r="C22" s="127">
        <v>17499.807743999998</v>
      </c>
      <c r="D22" s="127">
        <v>17501.988863999999</v>
      </c>
      <c r="E22" s="127">
        <v>2.1811200000011013</v>
      </c>
      <c r="F22" s="8">
        <v>0</v>
      </c>
      <c r="G22"/>
      <c r="H22" s="10"/>
      <c r="J22" s="126">
        <f t="shared" si="0"/>
        <v>2.1811200000011013</v>
      </c>
      <c r="L22" t="s">
        <v>526</v>
      </c>
    </row>
    <row r="23" spans="1:14" ht="12.5" x14ac:dyDescent="0.25">
      <c r="A23" s="5"/>
      <c r="B23" s="72" t="s">
        <v>138</v>
      </c>
      <c r="C23" s="127">
        <v>85.399831999999989</v>
      </c>
      <c r="D23" s="127">
        <v>85.573551999999992</v>
      </c>
      <c r="E23" s="127">
        <v>0.17372000000000298</v>
      </c>
      <c r="F23" s="8">
        <v>0</v>
      </c>
      <c r="G23"/>
      <c r="H23" s="10"/>
      <c r="J23" s="126">
        <f t="shared" si="0"/>
        <v>0.17372000000000298</v>
      </c>
      <c r="L23" t="s">
        <v>527</v>
      </c>
    </row>
    <row r="24" spans="1:14" ht="12.5" x14ac:dyDescent="0.25">
      <c r="A24" s="5"/>
      <c r="B24" s="72" t="s">
        <v>139</v>
      </c>
      <c r="C24" s="127">
        <v>31.924177999999998</v>
      </c>
      <c r="D24" s="127">
        <v>31.965543999999998</v>
      </c>
      <c r="E24" s="127">
        <v>4.1366000000000014E-2</v>
      </c>
      <c r="F24" s="8">
        <v>0</v>
      </c>
      <c r="G24"/>
      <c r="H24" s="10"/>
      <c r="J24" s="126">
        <f t="shared" si="0"/>
        <v>4.1366000000000014E-2</v>
      </c>
      <c r="L24" t="s">
        <v>528</v>
      </c>
    </row>
    <row r="25" spans="1:14" ht="12.5" x14ac:dyDescent="0.25">
      <c r="A25" s="5"/>
      <c r="B25" s="72" t="s">
        <v>140</v>
      </c>
      <c r="C25" s="127">
        <v>15.480639</v>
      </c>
      <c r="D25" s="127">
        <v>15.520287</v>
      </c>
      <c r="E25" s="127">
        <v>3.9647999999999683E-2</v>
      </c>
      <c r="F25" s="8">
        <v>0</v>
      </c>
      <c r="G25"/>
      <c r="H25" s="10"/>
      <c r="J25" s="126">
        <f t="shared" si="0"/>
        <v>3.9647999999999683E-2</v>
      </c>
      <c r="L25" t="s">
        <v>529</v>
      </c>
    </row>
    <row r="26" spans="1:14" ht="12.5" x14ac:dyDescent="0.25">
      <c r="A26" s="5"/>
      <c r="B26" s="72" t="s">
        <v>141</v>
      </c>
      <c r="C26" s="127">
        <v>14.482826999999999</v>
      </c>
      <c r="D26" s="127">
        <v>14.514659</v>
      </c>
      <c r="E26" s="127">
        <v>3.1832000000001415E-2</v>
      </c>
      <c r="F26" s="8">
        <v>0</v>
      </c>
      <c r="G26"/>
      <c r="H26" s="10"/>
      <c r="J26" s="126">
        <f t="shared" si="0"/>
        <v>3.1832000000001415E-2</v>
      </c>
      <c r="L26" t="s">
        <v>530</v>
      </c>
    </row>
    <row r="27" spans="1:14" ht="12.5" x14ac:dyDescent="0.25">
      <c r="A27" s="5"/>
      <c r="B27" s="72" t="s">
        <v>142</v>
      </c>
      <c r="C27" s="127"/>
      <c r="D27" s="127"/>
      <c r="E27" s="127"/>
      <c r="F27" s="8"/>
      <c r="G27"/>
      <c r="H27" s="10"/>
      <c r="J27" s="126">
        <f t="shared" si="0"/>
        <v>0</v>
      </c>
      <c r="L27" t="s">
        <v>531</v>
      </c>
    </row>
    <row r="28" spans="1:14" ht="12.5" x14ac:dyDescent="0.25">
      <c r="A28" s="5"/>
      <c r="B28" s="72" t="s">
        <v>143</v>
      </c>
      <c r="C28" s="127">
        <v>11.970663</v>
      </c>
      <c r="D28" s="127">
        <v>11.990095</v>
      </c>
      <c r="E28" s="127">
        <v>1.9432000000000116E-2</v>
      </c>
      <c r="F28" s="8">
        <v>0</v>
      </c>
      <c r="G28"/>
      <c r="H28" s="10"/>
      <c r="J28" s="126">
        <f t="shared" si="0"/>
        <v>1.9432000000000116E-2</v>
      </c>
      <c r="L28" t="s">
        <v>532</v>
      </c>
    </row>
    <row r="29" spans="1:14" ht="12.5" x14ac:dyDescent="0.25">
      <c r="A29" s="5"/>
      <c r="B29" s="72" t="s">
        <v>144</v>
      </c>
      <c r="C29" s="127">
        <v>27.141154</v>
      </c>
      <c r="D29" s="127">
        <v>27.189727999999999</v>
      </c>
      <c r="E29" s="127">
        <v>4.8573999999998563E-2</v>
      </c>
      <c r="F29" s="8">
        <v>0</v>
      </c>
      <c r="G29"/>
      <c r="H29" s="10"/>
      <c r="J29" s="126">
        <f t="shared" si="0"/>
        <v>4.8573999999998563E-2</v>
      </c>
      <c r="L29" t="s">
        <v>533</v>
      </c>
    </row>
    <row r="30" spans="1:14" ht="12.5" x14ac:dyDescent="0.25">
      <c r="A30" s="5"/>
      <c r="B30" s="72" t="s">
        <v>145</v>
      </c>
      <c r="C30" s="127">
        <v>29.136567999999997</v>
      </c>
      <c r="D30" s="127">
        <v>29.188682</v>
      </c>
      <c r="E30" s="127">
        <v>5.2114000000003102E-2</v>
      </c>
      <c r="F30" s="8">
        <v>0</v>
      </c>
      <c r="G30"/>
      <c r="H30" s="10"/>
      <c r="J30" s="126">
        <f t="shared" si="0"/>
        <v>5.2114000000003102E-2</v>
      </c>
      <c r="L30" t="s">
        <v>534</v>
      </c>
    </row>
    <row r="31" spans="1:14" ht="12.5" x14ac:dyDescent="0.25">
      <c r="A31" s="5"/>
      <c r="B31" s="72" t="s">
        <v>146</v>
      </c>
      <c r="C31" s="127">
        <v>23.389073999999997</v>
      </c>
      <c r="D31" s="127">
        <v>23.401035999999998</v>
      </c>
      <c r="E31" s="127">
        <v>1.1962000000000472E-2</v>
      </c>
      <c r="F31" s="8">
        <v>0</v>
      </c>
      <c r="G31"/>
      <c r="H31" s="10"/>
      <c r="J31" s="126">
        <f t="shared" si="0"/>
        <v>1.1962000000000472E-2</v>
      </c>
      <c r="L31" t="s">
        <v>535</v>
      </c>
    </row>
    <row r="32" spans="1:14" ht="12.5" x14ac:dyDescent="0.25">
      <c r="A32" s="5"/>
      <c r="B32" s="72" t="s">
        <v>147</v>
      </c>
      <c r="C32" s="127">
        <v>8.7850850000000005</v>
      </c>
      <c r="D32" s="127">
        <v>8.8071729999999988</v>
      </c>
      <c r="E32" s="127">
        <v>2.2087999999998331E-2</v>
      </c>
      <c r="F32" s="8">
        <v>0</v>
      </c>
      <c r="G32"/>
      <c r="H32" s="10"/>
      <c r="J32" s="126">
        <f t="shared" si="0"/>
        <v>2.2087999999998331E-2</v>
      </c>
      <c r="L32" t="s">
        <v>536</v>
      </c>
    </row>
    <row r="33" spans="1:12" ht="12.5" x14ac:dyDescent="0.25">
      <c r="A33" s="5"/>
      <c r="B33" s="72" t="s">
        <v>148</v>
      </c>
      <c r="C33" s="127">
        <v>7.1145344999999995</v>
      </c>
      <c r="D33" s="127">
        <v>7.1461074999999994</v>
      </c>
      <c r="E33" s="127">
        <v>3.1572999999999851E-2</v>
      </c>
      <c r="F33" s="8">
        <v>0</v>
      </c>
      <c r="G33"/>
      <c r="H33" s="10"/>
      <c r="J33" s="126">
        <f t="shared" si="0"/>
        <v>3.1572999999999851E-2</v>
      </c>
      <c r="L33" t="s">
        <v>537</v>
      </c>
    </row>
    <row r="34" spans="1:12" ht="12.5" x14ac:dyDescent="0.25">
      <c r="A34" s="5"/>
      <c r="B34" s="72" t="s">
        <v>149</v>
      </c>
      <c r="C34" s="127">
        <v>17.672433999999999</v>
      </c>
      <c r="D34" s="127">
        <v>17.672433999999999</v>
      </c>
      <c r="E34" s="127">
        <v>0</v>
      </c>
      <c r="F34" s="8">
        <v>0</v>
      </c>
      <c r="G34"/>
      <c r="H34" s="10"/>
      <c r="J34" s="126">
        <f t="shared" si="0"/>
        <v>0</v>
      </c>
      <c r="L34" t="s">
        <v>538</v>
      </c>
    </row>
    <row r="35" spans="1:12" ht="12.5" x14ac:dyDescent="0.25">
      <c r="A35" s="5"/>
      <c r="B35" s="72" t="s">
        <v>150</v>
      </c>
      <c r="C35" s="127">
        <v>4.2795930000000002</v>
      </c>
      <c r="D35" s="127">
        <v>4.2917100000000001</v>
      </c>
      <c r="E35" s="127">
        <v>1.2116999999999933E-2</v>
      </c>
      <c r="F35" s="8">
        <v>0</v>
      </c>
      <c r="G35"/>
      <c r="H35" s="10"/>
      <c r="J35" s="126">
        <f t="shared" si="0"/>
        <v>1.2116999999999933E-2</v>
      </c>
      <c r="L35" t="s">
        <v>539</v>
      </c>
    </row>
    <row r="36" spans="1:12" ht="12.5" x14ac:dyDescent="0.25">
      <c r="A36" s="5"/>
      <c r="B36" s="72" t="s">
        <v>128</v>
      </c>
      <c r="C36" s="127">
        <v>411.908704</v>
      </c>
      <c r="D36" s="127">
        <v>412.611648</v>
      </c>
      <c r="E36" s="127">
        <v>0.70294400000000223</v>
      </c>
      <c r="F36" s="8">
        <v>0</v>
      </c>
      <c r="G36"/>
      <c r="H36" s="10"/>
      <c r="J36" s="126">
        <f t="shared" si="0"/>
        <v>0.70294400000000223</v>
      </c>
      <c r="L36" t="s">
        <v>540</v>
      </c>
    </row>
    <row r="37" spans="1:12" ht="12.5" x14ac:dyDescent="0.25">
      <c r="A37" s="5"/>
      <c r="B37" s="72" t="s">
        <v>688</v>
      </c>
      <c r="C37" s="127"/>
      <c r="D37" s="127"/>
      <c r="E37" s="127"/>
      <c r="F37" s="8"/>
      <c r="G37"/>
      <c r="H37" s="10"/>
      <c r="J37" s="126">
        <f t="shared" si="0"/>
        <v>0</v>
      </c>
      <c r="L37" t="s">
        <v>541</v>
      </c>
    </row>
    <row r="38" spans="1:12" ht="12.5" x14ac:dyDescent="0.25">
      <c r="A38" s="5"/>
      <c r="B38" s="72" t="s">
        <v>130</v>
      </c>
      <c r="C38" s="127">
        <v>5.7186379999999994</v>
      </c>
      <c r="D38" s="127">
        <v>5.735309</v>
      </c>
      <c r="E38" s="127">
        <v>1.6671000000000546E-2</v>
      </c>
      <c r="F38" s="8">
        <v>0</v>
      </c>
      <c r="G38"/>
      <c r="H38" s="10"/>
      <c r="J38" s="126">
        <f t="shared" si="0"/>
        <v>1.6671000000000546E-2</v>
      </c>
      <c r="L38" t="s">
        <v>542</v>
      </c>
    </row>
    <row r="39" spans="1:12" ht="12.5" x14ac:dyDescent="0.25">
      <c r="A39" s="5"/>
      <c r="B39" s="72" t="s">
        <v>131</v>
      </c>
      <c r="C39" s="127"/>
      <c r="D39" s="127"/>
      <c r="E39" s="127"/>
      <c r="F39" s="8"/>
      <c r="G39"/>
      <c r="H39" s="10"/>
      <c r="J39" s="126">
        <f t="shared" si="0"/>
        <v>0</v>
      </c>
      <c r="L39" t="s">
        <v>543</v>
      </c>
    </row>
    <row r="40" spans="1:12" ht="12.5" x14ac:dyDescent="0.25">
      <c r="A40" s="5"/>
      <c r="B40" s="72" t="s">
        <v>132</v>
      </c>
      <c r="C40" s="127">
        <v>0.14484573437500001</v>
      </c>
      <c r="D40" s="127">
        <v>0.27761150000000001</v>
      </c>
      <c r="E40" s="127">
        <v>0.132765765625</v>
      </c>
      <c r="F40" s="8">
        <v>0</v>
      </c>
      <c r="G40"/>
      <c r="H40" s="10"/>
      <c r="J40" s="126">
        <f t="shared" si="0"/>
        <v>0.132765765625</v>
      </c>
      <c r="L40" t="s">
        <v>544</v>
      </c>
    </row>
    <row r="41" spans="1:12" ht="12.5" x14ac:dyDescent="0.25">
      <c r="A41" s="5"/>
      <c r="B41" s="72" t="s">
        <v>133</v>
      </c>
      <c r="C41" s="127">
        <v>85.764583999999999</v>
      </c>
      <c r="D41" s="127">
        <v>85.923400000000001</v>
      </c>
      <c r="E41" s="127">
        <v>0.15881600000000162</v>
      </c>
      <c r="F41" s="8">
        <v>0</v>
      </c>
      <c r="G41"/>
      <c r="H41" s="10"/>
      <c r="J41" s="126">
        <f t="shared" si="0"/>
        <v>0.15881600000000162</v>
      </c>
      <c r="L41" t="s">
        <v>545</v>
      </c>
    </row>
    <row r="42" spans="1:12" ht="12.5" x14ac:dyDescent="0.25">
      <c r="A42" s="5"/>
      <c r="B42" s="72" t="s">
        <v>134</v>
      </c>
      <c r="C42" s="127">
        <v>78.000439999999998</v>
      </c>
      <c r="D42" s="127">
        <v>78.127775999999997</v>
      </c>
      <c r="E42" s="127">
        <v>0.12733599999999967</v>
      </c>
      <c r="F42" s="8">
        <v>0</v>
      </c>
      <c r="G42"/>
      <c r="H42" s="10"/>
      <c r="J42" s="126">
        <f t="shared" si="0"/>
        <v>0.12733599999999967</v>
      </c>
      <c r="L42" t="s">
        <v>546</v>
      </c>
    </row>
    <row r="43" spans="1:12" ht="12.5" x14ac:dyDescent="0.25">
      <c r="A43" s="5"/>
      <c r="B43" s="72" t="s">
        <v>135</v>
      </c>
      <c r="C43" s="127">
        <v>36.349356</v>
      </c>
      <c r="D43" s="127">
        <v>36.415991999999996</v>
      </c>
      <c r="E43" s="127">
        <v>6.6635999999995477E-2</v>
      </c>
      <c r="F43" s="8">
        <v>0</v>
      </c>
      <c r="G43"/>
      <c r="H43" s="10"/>
      <c r="J43" s="126">
        <f t="shared" si="0"/>
        <v>6.6635999999995477E-2</v>
      </c>
      <c r="L43" t="s">
        <v>547</v>
      </c>
    </row>
    <row r="44" spans="1:12" ht="12.5" x14ac:dyDescent="0.25">
      <c r="A44" s="5"/>
      <c r="B44" s="72" t="s">
        <v>687</v>
      </c>
      <c r="C44" s="127">
        <v>20.443763999999998</v>
      </c>
      <c r="D44" s="127">
        <v>20.469518000000001</v>
      </c>
      <c r="E44" s="127">
        <v>2.5754000000002719E-2</v>
      </c>
      <c r="F44" s="8">
        <v>0</v>
      </c>
      <c r="G44"/>
      <c r="H44" s="10"/>
      <c r="J44" s="126">
        <f t="shared" si="0"/>
        <v>2.5754000000002719E-2</v>
      </c>
      <c r="L44" t="s">
        <v>548</v>
      </c>
    </row>
    <row r="45" spans="1:12" ht="12.5" x14ac:dyDescent="0.25">
      <c r="A45" s="5"/>
      <c r="B45" s="72" t="s">
        <v>137</v>
      </c>
      <c r="C45" s="127">
        <v>63.989891999999998</v>
      </c>
      <c r="D45" s="127">
        <v>64.099955999999992</v>
      </c>
      <c r="E45" s="127">
        <v>0.11006399999999417</v>
      </c>
      <c r="F45" s="8">
        <v>0</v>
      </c>
      <c r="G45"/>
      <c r="H45" s="10"/>
      <c r="J45" s="126">
        <f t="shared" si="0"/>
        <v>0.11006399999999417</v>
      </c>
      <c r="L45" t="s">
        <v>549</v>
      </c>
    </row>
    <row r="46" spans="1:12" ht="12.5" x14ac:dyDescent="0.25">
      <c r="A46" s="5"/>
      <c r="B46" s="72" t="s">
        <v>257</v>
      </c>
      <c r="C46" s="127">
        <v>586.00204799999995</v>
      </c>
      <c r="D46" s="127">
        <v>587.59718399999997</v>
      </c>
      <c r="E46" s="127">
        <v>1.595136000000025</v>
      </c>
      <c r="F46" s="8">
        <v>0</v>
      </c>
      <c r="G46"/>
      <c r="H46" s="10"/>
      <c r="J46" s="126">
        <f t="shared" si="0"/>
        <v>1.595136000000025</v>
      </c>
      <c r="L46" t="s">
        <v>550</v>
      </c>
    </row>
    <row r="47" spans="1:12" ht="12.5" x14ac:dyDescent="0.25">
      <c r="A47" s="5"/>
      <c r="B47" s="72" t="s">
        <v>258</v>
      </c>
      <c r="C47" s="127">
        <v>7.1778594999999994</v>
      </c>
      <c r="D47" s="127">
        <v>7.2030389999999995</v>
      </c>
      <c r="E47" s="127">
        <v>2.5179500000000132E-2</v>
      </c>
      <c r="F47" s="8">
        <v>0</v>
      </c>
      <c r="G47"/>
      <c r="H47" s="10"/>
      <c r="J47" s="126">
        <f t="shared" si="0"/>
        <v>2.5179500000000132E-2</v>
      </c>
      <c r="L47" t="s">
        <v>551</v>
      </c>
    </row>
    <row r="48" spans="1:12" ht="12.5" x14ac:dyDescent="0.25">
      <c r="A48" s="5"/>
      <c r="B48" s="72" t="s">
        <v>259</v>
      </c>
      <c r="C48" s="127"/>
      <c r="D48" s="127"/>
      <c r="E48" s="127"/>
      <c r="F48" s="8"/>
      <c r="G48"/>
      <c r="H48" s="10"/>
      <c r="J48" s="126">
        <f t="shared" si="0"/>
        <v>0</v>
      </c>
      <c r="L48" t="s">
        <v>552</v>
      </c>
    </row>
    <row r="49" spans="1:13" ht="12.5" x14ac:dyDescent="0.25">
      <c r="A49" s="5"/>
      <c r="B49" s="72" t="s">
        <v>260</v>
      </c>
      <c r="C49" s="127">
        <v>36.699123999999998</v>
      </c>
      <c r="D49" s="127">
        <v>36.716436000000002</v>
      </c>
      <c r="E49" s="127">
        <v>1.7312000000003991E-2</v>
      </c>
      <c r="F49" s="8">
        <v>0</v>
      </c>
      <c r="G49"/>
      <c r="H49" s="10"/>
      <c r="J49" s="126">
        <f t="shared" si="0"/>
        <v>1.7312000000003991E-2</v>
      </c>
      <c r="L49" t="s">
        <v>553</v>
      </c>
    </row>
    <row r="50" spans="1:13" ht="12.5" x14ac:dyDescent="0.25">
      <c r="A50" s="5"/>
      <c r="B50" s="72" t="s">
        <v>261</v>
      </c>
      <c r="C50" s="127">
        <v>6.6991044999999998</v>
      </c>
      <c r="D50" s="127">
        <v>6.7105644999999994</v>
      </c>
      <c r="E50" s="127">
        <v>1.1459999999999582E-2</v>
      </c>
      <c r="F50" s="8">
        <v>0</v>
      </c>
      <c r="G50"/>
      <c r="H50" s="10"/>
      <c r="J50" s="126">
        <f t="shared" si="0"/>
        <v>1.1459999999999582E-2</v>
      </c>
      <c r="L50" t="s">
        <v>554</v>
      </c>
    </row>
    <row r="51" spans="1:13" ht="12.5" x14ac:dyDescent="0.25">
      <c r="A51" s="5"/>
      <c r="B51" s="72" t="s">
        <v>262</v>
      </c>
      <c r="C51" s="127">
        <v>744.50182399999994</v>
      </c>
      <c r="D51" s="127">
        <v>744.97606399999995</v>
      </c>
      <c r="E51" s="127">
        <v>0.47424000000000888</v>
      </c>
      <c r="F51" s="8">
        <v>0</v>
      </c>
      <c r="G51"/>
      <c r="H51" s="10"/>
      <c r="J51" s="126">
        <f t="shared" si="0"/>
        <v>0.47424000000000888</v>
      </c>
      <c r="L51" t="s">
        <v>555</v>
      </c>
    </row>
    <row r="52" spans="1:13" ht="12.5" x14ac:dyDescent="0.25">
      <c r="A52" s="5"/>
      <c r="B52" s="72" t="s">
        <v>263</v>
      </c>
      <c r="C52" s="127"/>
      <c r="D52" s="127"/>
      <c r="E52" s="127"/>
      <c r="F52" s="8"/>
      <c r="G52"/>
      <c r="H52" s="10"/>
      <c r="J52" s="126">
        <f t="shared" si="0"/>
        <v>0</v>
      </c>
      <c r="L52" t="s">
        <v>556</v>
      </c>
      <c r="M52" s="9"/>
    </row>
    <row r="53" spans="1:13" ht="12.5" x14ac:dyDescent="0.25">
      <c r="A53" s="5"/>
      <c r="B53" s="72" t="s">
        <v>264</v>
      </c>
      <c r="C53" s="127">
        <v>7.0612534999999994</v>
      </c>
      <c r="D53" s="127">
        <v>7.0822750000000001</v>
      </c>
      <c r="E53" s="127">
        <v>2.1021500000000692E-2</v>
      </c>
      <c r="F53" s="8">
        <v>0</v>
      </c>
      <c r="G53"/>
      <c r="H53" s="10"/>
      <c r="J53" s="126">
        <f t="shared" si="0"/>
        <v>2.1021500000000692E-2</v>
      </c>
      <c r="L53" t="s">
        <v>557</v>
      </c>
    </row>
    <row r="54" spans="1:13" ht="12.5" x14ac:dyDescent="0.25">
      <c r="A54" s="5"/>
      <c r="B54" s="72" t="s">
        <v>265</v>
      </c>
      <c r="C54" s="127">
        <v>5.3502289999999997</v>
      </c>
      <c r="D54" s="127">
        <v>5.3502289999999997</v>
      </c>
      <c r="E54" s="127">
        <v>0</v>
      </c>
      <c r="F54" s="8">
        <v>0</v>
      </c>
      <c r="G54"/>
      <c r="H54" s="10"/>
      <c r="J54" s="126">
        <f t="shared" si="0"/>
        <v>0</v>
      </c>
      <c r="L54" t="s">
        <v>558</v>
      </c>
      <c r="M54" s="93"/>
    </row>
    <row r="55" spans="1:13" ht="12.5" x14ac:dyDescent="0.25">
      <c r="A55" s="5"/>
      <c r="B55" s="72" t="s">
        <v>266</v>
      </c>
      <c r="C55" s="127"/>
      <c r="D55" s="127"/>
      <c r="E55" s="127"/>
      <c r="F55" s="8"/>
      <c r="G55"/>
      <c r="H55" s="10"/>
      <c r="J55" s="126">
        <f t="shared" si="0"/>
        <v>0</v>
      </c>
      <c r="L55" t="s">
        <v>559</v>
      </c>
    </row>
    <row r="56" spans="1:13" ht="12.5" x14ac:dyDescent="0.25">
      <c r="A56" s="5"/>
      <c r="B56" s="72" t="s">
        <v>267</v>
      </c>
      <c r="C56" s="127"/>
      <c r="D56" s="127"/>
      <c r="E56" s="127"/>
      <c r="F56" s="8"/>
      <c r="G56"/>
      <c r="H56" s="10"/>
      <c r="J56" s="126">
        <f t="shared" si="0"/>
        <v>0</v>
      </c>
      <c r="L56" t="s">
        <v>560</v>
      </c>
    </row>
    <row r="57" spans="1:13" ht="12.5" x14ac:dyDescent="0.25">
      <c r="A57" s="5"/>
      <c r="B57" s="72" t="s">
        <v>268</v>
      </c>
      <c r="C57" s="127"/>
      <c r="D57" s="127"/>
      <c r="E57" s="127"/>
      <c r="F57" s="8"/>
      <c r="G57"/>
      <c r="H57" s="10"/>
      <c r="J57" s="126">
        <f t="shared" si="0"/>
        <v>0</v>
      </c>
      <c r="L57" t="s">
        <v>561</v>
      </c>
    </row>
    <row r="58" spans="1:13" ht="12.5" x14ac:dyDescent="0.25">
      <c r="A58" s="5"/>
      <c r="B58" s="72" t="s">
        <v>269</v>
      </c>
      <c r="C58" s="127">
        <v>7.7605710937500003E-2</v>
      </c>
      <c r="D58" s="127">
        <v>7.8955382812500002E-2</v>
      </c>
      <c r="E58" s="127">
        <v>1.3496718749999997E-3</v>
      </c>
      <c r="F58" s="8">
        <v>0</v>
      </c>
      <c r="G58"/>
      <c r="H58" s="10"/>
      <c r="J58" s="126">
        <f t="shared" si="0"/>
        <v>1.3496718749999997E-3</v>
      </c>
      <c r="L58" t="s">
        <v>562</v>
      </c>
    </row>
    <row r="59" spans="1:13" ht="12.5" x14ac:dyDescent="0.25">
      <c r="A59" s="5"/>
      <c r="B59" s="72" t="s">
        <v>270</v>
      </c>
      <c r="C59" s="127">
        <v>19.798527999999997</v>
      </c>
      <c r="D59" s="127">
        <v>19.83663</v>
      </c>
      <c r="E59" s="127">
        <v>3.8102000000002079E-2</v>
      </c>
      <c r="F59" s="8">
        <v>0</v>
      </c>
      <c r="G59"/>
      <c r="H59" s="10"/>
      <c r="J59" s="126">
        <f t="shared" si="0"/>
        <v>3.8102000000002079E-2</v>
      </c>
      <c r="L59" t="s">
        <v>563</v>
      </c>
    </row>
    <row r="60" spans="1:13" ht="12.5" x14ac:dyDescent="0.25">
      <c r="A60" s="5"/>
      <c r="B60" s="72" t="s">
        <v>271</v>
      </c>
      <c r="C60" s="127"/>
      <c r="D60" s="127"/>
      <c r="E60" s="127"/>
      <c r="F60" s="8"/>
      <c r="G60"/>
      <c r="H60" s="10"/>
      <c r="J60" s="126">
        <f t="shared" si="0"/>
        <v>0</v>
      </c>
      <c r="L60" t="s">
        <v>564</v>
      </c>
    </row>
    <row r="61" spans="1:13" ht="12.5" x14ac:dyDescent="0.25">
      <c r="A61" s="5"/>
      <c r="B61" s="72" t="s">
        <v>272</v>
      </c>
      <c r="C61" s="127">
        <v>14.900392999999999</v>
      </c>
      <c r="D61" s="127">
        <v>14.909137999999999</v>
      </c>
      <c r="E61" s="127">
        <v>8.7449999999993366E-3</v>
      </c>
      <c r="F61" s="8">
        <v>0</v>
      </c>
      <c r="G61"/>
      <c r="H61" s="10"/>
      <c r="J61" s="126">
        <f t="shared" si="0"/>
        <v>8.7449999999993366E-3</v>
      </c>
      <c r="L61" t="s">
        <v>565</v>
      </c>
    </row>
    <row r="62" spans="1:13" ht="12.5" x14ac:dyDescent="0.25">
      <c r="A62" s="5"/>
      <c r="B62" s="72" t="s">
        <v>273</v>
      </c>
      <c r="C62" s="127">
        <v>31.84844</v>
      </c>
      <c r="D62" s="127">
        <v>31.84844</v>
      </c>
      <c r="E62" s="127">
        <v>0</v>
      </c>
      <c r="F62" s="8">
        <v>0</v>
      </c>
      <c r="G62"/>
      <c r="H62" s="10"/>
      <c r="J62" s="126">
        <f t="shared" si="0"/>
        <v>0</v>
      </c>
      <c r="L62" t="s">
        <v>566</v>
      </c>
    </row>
    <row r="63" spans="1:13" ht="12.5" x14ac:dyDescent="0.25">
      <c r="A63" s="5"/>
      <c r="B63" s="72" t="s">
        <v>274</v>
      </c>
      <c r="C63" s="127">
        <v>321.16252800000001</v>
      </c>
      <c r="D63" s="127">
        <v>322.046336</v>
      </c>
      <c r="E63" s="127">
        <v>0.88380799999998771</v>
      </c>
      <c r="F63" s="8">
        <v>0</v>
      </c>
      <c r="G63"/>
      <c r="H63" s="10"/>
      <c r="J63" s="126">
        <f t="shared" si="0"/>
        <v>0.88380799999998771</v>
      </c>
      <c r="L63" t="s">
        <v>567</v>
      </c>
    </row>
    <row r="64" spans="1:13" ht="12.5" x14ac:dyDescent="0.25">
      <c r="A64" s="5"/>
      <c r="B64" s="72" t="s">
        <v>275</v>
      </c>
      <c r="C64" s="127">
        <v>16.271673</v>
      </c>
      <c r="D64" s="127">
        <v>16.272205</v>
      </c>
      <c r="E64" s="127">
        <v>5.3199999999975489E-4</v>
      </c>
      <c r="F64" s="8">
        <v>0</v>
      </c>
      <c r="G64"/>
      <c r="H64" s="10"/>
      <c r="J64" s="126">
        <f t="shared" si="0"/>
        <v>5.3199999999975489E-4</v>
      </c>
      <c r="L64" t="s">
        <v>568</v>
      </c>
    </row>
    <row r="65" spans="1:12" ht="12.5" x14ac:dyDescent="0.25">
      <c r="A65" s="5"/>
      <c r="B65" s="72" t="s">
        <v>276</v>
      </c>
      <c r="C65" s="127">
        <v>7.9165859999999997</v>
      </c>
      <c r="D65" s="127">
        <v>7.9425699999999999</v>
      </c>
      <c r="E65" s="127">
        <v>2.5984000000000229E-2</v>
      </c>
      <c r="F65" s="8">
        <v>0</v>
      </c>
      <c r="G65"/>
      <c r="H65" s="10"/>
      <c r="J65" s="126">
        <f t="shared" si="0"/>
        <v>2.5984000000000229E-2</v>
      </c>
      <c r="L65" t="s">
        <v>569</v>
      </c>
    </row>
    <row r="66" spans="1:12" ht="12.5" x14ac:dyDescent="0.25">
      <c r="A66" s="5"/>
      <c r="B66" s="72" t="s">
        <v>277</v>
      </c>
      <c r="C66" s="127">
        <v>21.908904</v>
      </c>
      <c r="D66" s="127">
        <v>21.908904</v>
      </c>
      <c r="E66" s="127">
        <v>0</v>
      </c>
      <c r="F66" s="8">
        <v>0</v>
      </c>
      <c r="G66"/>
      <c r="H66" s="10"/>
      <c r="J66" s="126">
        <f t="shared" si="0"/>
        <v>0</v>
      </c>
      <c r="L66" t="s">
        <v>570</v>
      </c>
    </row>
    <row r="67" spans="1:12" ht="12.5" x14ac:dyDescent="0.25">
      <c r="A67" s="5"/>
      <c r="B67" s="72" t="s">
        <v>278</v>
      </c>
      <c r="C67" s="127">
        <v>281.11404799999997</v>
      </c>
      <c r="D67" s="127">
        <v>282.04339199999998</v>
      </c>
      <c r="E67" s="127">
        <v>0.9293440000000146</v>
      </c>
      <c r="F67" s="8">
        <v>0</v>
      </c>
      <c r="G67"/>
      <c r="H67" s="10"/>
      <c r="J67" s="126">
        <f t="shared" si="0"/>
        <v>0.9293440000000146</v>
      </c>
      <c r="L67" t="s">
        <v>571</v>
      </c>
    </row>
    <row r="68" spans="1:12" ht="12.5" x14ac:dyDescent="0.25">
      <c r="A68" s="5"/>
      <c r="B68" s="72" t="s">
        <v>279</v>
      </c>
      <c r="C68" s="127"/>
      <c r="D68" s="127"/>
      <c r="E68" s="127"/>
      <c r="F68" s="8"/>
      <c r="G68"/>
      <c r="H68" s="10"/>
      <c r="J68" s="126">
        <f t="shared" si="0"/>
        <v>0</v>
      </c>
      <c r="L68" t="s">
        <v>572</v>
      </c>
    </row>
    <row r="69" spans="1:12" ht="12.5" x14ac:dyDescent="0.25">
      <c r="A69" s="5"/>
      <c r="B69" s="72" t="s">
        <v>280</v>
      </c>
      <c r="C69" s="127">
        <v>16.588630999999999</v>
      </c>
      <c r="D69" s="127">
        <v>16.959530000000001</v>
      </c>
      <c r="E69" s="127">
        <v>0.37089900000000142</v>
      </c>
      <c r="F69" s="8">
        <v>0</v>
      </c>
      <c r="G69"/>
      <c r="H69" s="10"/>
      <c r="J69" s="126">
        <f t="shared" ref="J69:J132" si="1">E69</f>
        <v>0.37089900000000142</v>
      </c>
      <c r="L69" t="s">
        <v>573</v>
      </c>
    </row>
    <row r="70" spans="1:12" ht="12.5" x14ac:dyDescent="0.25">
      <c r="A70" s="5"/>
      <c r="B70" s="72" t="s">
        <v>281</v>
      </c>
      <c r="C70" s="127"/>
      <c r="D70" s="127"/>
      <c r="E70" s="127"/>
      <c r="F70" s="8">
        <v>0</v>
      </c>
      <c r="G70"/>
      <c r="H70" s="10"/>
      <c r="J70" s="126">
        <f t="shared" si="1"/>
        <v>0</v>
      </c>
      <c r="L70" t="s">
        <v>574</v>
      </c>
    </row>
    <row r="71" spans="1:12" ht="12.5" x14ac:dyDescent="0.25">
      <c r="A71" s="5"/>
      <c r="B71" s="72" t="s">
        <v>282</v>
      </c>
      <c r="C71" s="127"/>
      <c r="D71" s="127"/>
      <c r="E71" s="127"/>
      <c r="F71" s="8"/>
      <c r="G71"/>
      <c r="H71" s="10"/>
      <c r="J71" s="126">
        <f t="shared" si="1"/>
        <v>0</v>
      </c>
      <c r="L71" t="s">
        <v>575</v>
      </c>
    </row>
    <row r="72" spans="1:12" ht="12.5" x14ac:dyDescent="0.25">
      <c r="A72" s="5"/>
      <c r="B72" s="72" t="s">
        <v>283</v>
      </c>
      <c r="C72" s="127"/>
      <c r="D72" s="127"/>
      <c r="E72" s="127"/>
      <c r="F72" s="8">
        <v>0</v>
      </c>
      <c r="G72"/>
      <c r="H72" s="10"/>
      <c r="J72" s="126">
        <f t="shared" si="1"/>
        <v>0</v>
      </c>
      <c r="L72" t="s">
        <v>507</v>
      </c>
    </row>
    <row r="73" spans="1:12" ht="12.5" x14ac:dyDescent="0.25">
      <c r="A73" s="5"/>
      <c r="B73" s="72" t="s">
        <v>284</v>
      </c>
      <c r="C73" s="127"/>
      <c r="D73" s="127"/>
      <c r="E73" s="127"/>
      <c r="F73" s="8">
        <v>0</v>
      </c>
      <c r="G73"/>
      <c r="H73" s="10"/>
      <c r="J73" s="126">
        <f t="shared" si="1"/>
        <v>0</v>
      </c>
      <c r="L73" t="s">
        <v>576</v>
      </c>
    </row>
    <row r="74" spans="1:12" ht="12.5" x14ac:dyDescent="0.25">
      <c r="A74" s="5"/>
      <c r="B74" s="72" t="s">
        <v>285</v>
      </c>
      <c r="C74" s="127">
        <v>53.186927999999995</v>
      </c>
      <c r="D74" s="127">
        <v>53.252815999999996</v>
      </c>
      <c r="E74" s="127">
        <v>6.5888000000001057E-2</v>
      </c>
      <c r="F74" s="8">
        <v>0</v>
      </c>
      <c r="G74"/>
      <c r="H74" s="10"/>
      <c r="J74" s="126">
        <f t="shared" si="1"/>
        <v>6.5888000000001057E-2</v>
      </c>
      <c r="L74" t="s">
        <v>577</v>
      </c>
    </row>
    <row r="75" spans="1:12" ht="12.5" x14ac:dyDescent="0.25">
      <c r="A75" s="5"/>
      <c r="B75" s="72" t="s">
        <v>286</v>
      </c>
      <c r="C75" s="127"/>
      <c r="D75" s="127"/>
      <c r="E75" s="127"/>
      <c r="F75" s="8">
        <v>0</v>
      </c>
      <c r="G75"/>
      <c r="H75" s="10"/>
      <c r="J75" s="126">
        <f t="shared" si="1"/>
        <v>0</v>
      </c>
      <c r="L75" t="s">
        <v>578</v>
      </c>
    </row>
    <row r="76" spans="1:12" ht="12.5" x14ac:dyDescent="0.25">
      <c r="A76" s="5"/>
      <c r="B76" s="72" t="s">
        <v>287</v>
      </c>
      <c r="C76" s="127"/>
      <c r="D76" s="127"/>
      <c r="E76" s="127"/>
      <c r="F76" s="8"/>
      <c r="G76"/>
      <c r="H76" s="10"/>
      <c r="J76" s="126">
        <f t="shared" si="1"/>
        <v>0</v>
      </c>
      <c r="L76" t="s">
        <v>579</v>
      </c>
    </row>
    <row r="77" spans="1:12" ht="12.5" x14ac:dyDescent="0.25">
      <c r="A77" s="5"/>
      <c r="B77" s="72" t="s">
        <v>288</v>
      </c>
      <c r="C77" s="127"/>
      <c r="D77" s="127"/>
      <c r="E77" s="127"/>
      <c r="F77" s="8"/>
      <c r="G77"/>
      <c r="H77" s="10"/>
      <c r="J77" s="126">
        <f t="shared" si="1"/>
        <v>0</v>
      </c>
      <c r="L77" t="s">
        <v>580</v>
      </c>
    </row>
    <row r="78" spans="1:12" ht="12.5" x14ac:dyDescent="0.25">
      <c r="A78" s="5"/>
      <c r="B78" s="72" t="s">
        <v>289</v>
      </c>
      <c r="C78" s="127"/>
      <c r="D78" s="127"/>
      <c r="E78" s="127"/>
      <c r="F78" s="8">
        <v>0</v>
      </c>
      <c r="G78"/>
      <c r="H78" s="10"/>
      <c r="J78" s="126">
        <f t="shared" si="1"/>
        <v>0</v>
      </c>
      <c r="L78" t="s">
        <v>581</v>
      </c>
    </row>
    <row r="79" spans="1:12" ht="12.5" x14ac:dyDescent="0.25">
      <c r="A79" s="5"/>
      <c r="B79" s="72" t="s">
        <v>290</v>
      </c>
      <c r="C79" s="127">
        <v>1.4891672499999999</v>
      </c>
      <c r="D79" s="127">
        <v>1.4891672499999999</v>
      </c>
      <c r="E79" s="127">
        <v>0</v>
      </c>
      <c r="F79" s="8">
        <v>0</v>
      </c>
      <c r="G79"/>
      <c r="H79" s="10"/>
      <c r="J79" s="126">
        <f t="shared" si="1"/>
        <v>0</v>
      </c>
      <c r="L79" t="s">
        <v>582</v>
      </c>
    </row>
    <row r="80" spans="1:12" ht="12.5" x14ac:dyDescent="0.25">
      <c r="A80" s="5"/>
      <c r="B80" s="72" t="s">
        <v>291</v>
      </c>
      <c r="C80" s="127">
        <v>105.87555999999999</v>
      </c>
      <c r="D80" s="127">
        <v>106.200552</v>
      </c>
      <c r="E80" s="127">
        <v>0.32499200000000883</v>
      </c>
      <c r="F80" s="8">
        <v>0</v>
      </c>
      <c r="G80"/>
      <c r="H80" s="10"/>
      <c r="J80" s="126">
        <f t="shared" si="1"/>
        <v>0.32499200000000883</v>
      </c>
      <c r="L80" t="s">
        <v>583</v>
      </c>
    </row>
    <row r="81" spans="1:12" ht="12.5" x14ac:dyDescent="0.25">
      <c r="A81" s="5"/>
      <c r="B81" s="72" t="s">
        <v>292</v>
      </c>
      <c r="C81" s="127">
        <v>0.40174634374999996</v>
      </c>
      <c r="D81" s="127">
        <v>0.51648656250000002</v>
      </c>
      <c r="E81" s="127">
        <v>0.11474021875000007</v>
      </c>
      <c r="F81" s="8">
        <v>0</v>
      </c>
      <c r="G81"/>
      <c r="H81" s="10"/>
      <c r="J81" s="126">
        <f t="shared" si="1"/>
        <v>0.11474021875000007</v>
      </c>
      <c r="L81" t="s">
        <v>584</v>
      </c>
    </row>
    <row r="82" spans="1:12" ht="12.5" x14ac:dyDescent="0.25">
      <c r="A82" s="5"/>
      <c r="B82" s="72" t="s">
        <v>293</v>
      </c>
      <c r="C82" s="127"/>
      <c r="D82" s="127"/>
      <c r="E82" s="127"/>
      <c r="F82" s="8"/>
      <c r="G82"/>
      <c r="H82" s="10"/>
      <c r="J82" s="126">
        <f t="shared" si="1"/>
        <v>0</v>
      </c>
      <c r="L82" t="s">
        <v>585</v>
      </c>
    </row>
    <row r="83" spans="1:12" ht="12.5" x14ac:dyDescent="0.25">
      <c r="A83" s="5"/>
      <c r="B83" s="72" t="s">
        <v>294</v>
      </c>
      <c r="C83" s="127"/>
      <c r="D83" s="127"/>
      <c r="E83" s="127"/>
      <c r="F83" s="8"/>
      <c r="G83"/>
      <c r="H83" s="10"/>
      <c r="J83" s="126">
        <f t="shared" si="1"/>
        <v>0</v>
      </c>
      <c r="L83" t="s">
        <v>586</v>
      </c>
    </row>
    <row r="84" spans="1:12" ht="12.5" x14ac:dyDescent="0.25">
      <c r="A84" s="5"/>
      <c r="B84" s="72" t="s">
        <v>295</v>
      </c>
      <c r="C84" s="127"/>
      <c r="D84" s="127"/>
      <c r="E84" s="127"/>
      <c r="F84" s="8"/>
      <c r="G84"/>
      <c r="H84" s="10"/>
      <c r="J84" s="126">
        <f t="shared" si="1"/>
        <v>0</v>
      </c>
      <c r="L84" t="s">
        <v>587</v>
      </c>
    </row>
    <row r="85" spans="1:12" ht="12.5" x14ac:dyDescent="0.25">
      <c r="A85" s="5"/>
      <c r="B85" s="72" t="s">
        <v>296</v>
      </c>
      <c r="C85" s="127"/>
      <c r="D85" s="127"/>
      <c r="E85" s="127"/>
      <c r="F85" s="8"/>
      <c r="G85"/>
      <c r="H85" s="10"/>
      <c r="J85" s="126">
        <f t="shared" si="1"/>
        <v>0</v>
      </c>
      <c r="L85" t="s">
        <v>588</v>
      </c>
    </row>
    <row r="86" spans="1:12" ht="12.5" x14ac:dyDescent="0.25">
      <c r="A86" s="5"/>
      <c r="B86" s="72" t="s">
        <v>297</v>
      </c>
      <c r="C86" s="127">
        <v>15.369556999999999</v>
      </c>
      <c r="D86" s="127">
        <v>15.379506999999998</v>
      </c>
      <c r="E86" s="127">
        <v>9.9499999999999034E-3</v>
      </c>
      <c r="F86" s="8">
        <v>0</v>
      </c>
      <c r="G86"/>
      <c r="H86" s="10"/>
      <c r="J86" s="126">
        <f t="shared" si="1"/>
        <v>9.9499999999999034E-3</v>
      </c>
      <c r="L86" t="s">
        <v>589</v>
      </c>
    </row>
    <row r="87" spans="1:12" ht="12.5" x14ac:dyDescent="0.25">
      <c r="A87" s="5"/>
      <c r="B87" s="72" t="s">
        <v>298</v>
      </c>
      <c r="C87" s="127"/>
      <c r="D87" s="127"/>
      <c r="E87" s="127"/>
      <c r="F87" s="8">
        <v>0</v>
      </c>
      <c r="G87"/>
      <c r="H87" s="10"/>
      <c r="J87" s="126">
        <f t="shared" si="1"/>
        <v>0</v>
      </c>
      <c r="L87" t="s">
        <v>590</v>
      </c>
    </row>
    <row r="88" spans="1:12" ht="12.5" x14ac:dyDescent="0.25">
      <c r="A88" s="5"/>
      <c r="B88" s="72" t="s">
        <v>299</v>
      </c>
      <c r="C88" s="127">
        <v>3.0774352499999997</v>
      </c>
      <c r="D88" s="127">
        <v>3.0825104999999997</v>
      </c>
      <c r="E88" s="127">
        <v>5.0752499999999756E-3</v>
      </c>
      <c r="F88" s="8">
        <v>0</v>
      </c>
      <c r="G88"/>
      <c r="H88" s="10"/>
      <c r="J88" s="126">
        <f t="shared" si="1"/>
        <v>5.0752499999999756E-3</v>
      </c>
      <c r="L88" t="s">
        <v>591</v>
      </c>
    </row>
    <row r="89" spans="1:12" ht="12.5" x14ac:dyDescent="0.25">
      <c r="A89" s="5"/>
      <c r="B89" s="72" t="s">
        <v>300</v>
      </c>
      <c r="C89" s="127"/>
      <c r="D89" s="127"/>
      <c r="E89" s="127"/>
      <c r="F89" s="8"/>
      <c r="G89"/>
      <c r="H89" s="10"/>
      <c r="J89" s="126">
        <f t="shared" si="1"/>
        <v>0</v>
      </c>
      <c r="L89" t="s">
        <v>592</v>
      </c>
    </row>
    <row r="90" spans="1:12" ht="12.5" x14ac:dyDescent="0.25">
      <c r="A90" s="5"/>
      <c r="B90" s="72" t="s">
        <v>301</v>
      </c>
      <c r="C90" s="127"/>
      <c r="D90" s="127"/>
      <c r="E90" s="127"/>
      <c r="F90" s="8"/>
      <c r="G90"/>
      <c r="H90" s="10"/>
      <c r="J90" s="126">
        <f t="shared" si="1"/>
        <v>0</v>
      </c>
      <c r="L90" t="s">
        <v>593</v>
      </c>
    </row>
    <row r="91" spans="1:12" ht="12.5" x14ac:dyDescent="0.25">
      <c r="A91" s="5"/>
      <c r="B91" s="72" t="s">
        <v>302</v>
      </c>
      <c r="C91" s="127"/>
      <c r="D91" s="127"/>
      <c r="E91" s="127"/>
      <c r="F91" s="8">
        <v>0</v>
      </c>
      <c r="G91"/>
      <c r="H91" s="10"/>
      <c r="J91" s="126">
        <f t="shared" si="1"/>
        <v>0</v>
      </c>
      <c r="L91" t="s">
        <v>594</v>
      </c>
    </row>
    <row r="92" spans="1:12" ht="12.5" x14ac:dyDescent="0.25">
      <c r="A92" s="5"/>
      <c r="B92" s="72" t="s">
        <v>303</v>
      </c>
      <c r="C92" s="127">
        <v>25.666043999999999</v>
      </c>
      <c r="D92" s="127">
        <v>25.679759999999998</v>
      </c>
      <c r="E92" s="127">
        <v>1.3715999999998729E-2</v>
      </c>
      <c r="F92" s="8">
        <v>0</v>
      </c>
      <c r="H92" s="10"/>
      <c r="J92" s="126">
        <f t="shared" si="1"/>
        <v>1.3715999999998729E-2</v>
      </c>
      <c r="L92" t="s">
        <v>595</v>
      </c>
    </row>
    <row r="93" spans="1:12" ht="12.5" x14ac:dyDescent="0.25">
      <c r="A93" s="5"/>
      <c r="B93" s="72" t="s">
        <v>304</v>
      </c>
      <c r="C93" s="127">
        <v>1246.7487999999998</v>
      </c>
      <c r="D93" s="127">
        <v>1248.4765439999999</v>
      </c>
      <c r="E93" s="127">
        <v>1.7277440000000297</v>
      </c>
      <c r="F93" s="8">
        <v>0</v>
      </c>
      <c r="H93" s="10"/>
      <c r="J93" s="126">
        <f t="shared" si="1"/>
        <v>1.7277440000000297</v>
      </c>
      <c r="L93" t="s">
        <v>596</v>
      </c>
    </row>
    <row r="94" spans="1:12" ht="12.5" x14ac:dyDescent="0.25">
      <c r="A94" s="5"/>
      <c r="B94" s="72" t="s">
        <v>305</v>
      </c>
      <c r="C94" s="127">
        <v>8.8672550000000001</v>
      </c>
      <c r="D94" s="127">
        <v>8.8830010000000001</v>
      </c>
      <c r="E94" s="127">
        <v>1.5746000000000038E-2</v>
      </c>
      <c r="F94" s="8">
        <v>0</v>
      </c>
      <c r="H94" s="10"/>
      <c r="J94" s="126">
        <f t="shared" si="1"/>
        <v>1.5746000000000038E-2</v>
      </c>
      <c r="L94" t="s">
        <v>597</v>
      </c>
    </row>
    <row r="95" spans="1:12" ht="12.5" x14ac:dyDescent="0.25">
      <c r="A95" s="5"/>
      <c r="B95" s="72" t="s">
        <v>306</v>
      </c>
      <c r="C95" s="127">
        <v>71.151383999999993</v>
      </c>
      <c r="D95" s="127">
        <v>71.375128000000004</v>
      </c>
      <c r="E95" s="127">
        <v>0.2237440000000106</v>
      </c>
      <c r="F95" s="8">
        <v>0</v>
      </c>
      <c r="H95" s="10"/>
      <c r="J95" s="126">
        <f t="shared" si="1"/>
        <v>0.2237440000000106</v>
      </c>
      <c r="L95" t="s">
        <v>598</v>
      </c>
    </row>
    <row r="96" spans="1:12" ht="12.5" x14ac:dyDescent="0.25">
      <c r="A96" s="5"/>
      <c r="B96" s="72" t="s">
        <v>307</v>
      </c>
      <c r="C96" s="127"/>
      <c r="D96" s="127"/>
      <c r="E96" s="127"/>
      <c r="F96" s="8"/>
      <c r="H96" s="10"/>
      <c r="J96" s="126">
        <f t="shared" si="1"/>
        <v>0</v>
      </c>
      <c r="L96" t="s">
        <v>599</v>
      </c>
    </row>
    <row r="97" spans="1:12" ht="12.5" x14ac:dyDescent="0.25">
      <c r="A97" s="5"/>
      <c r="B97" s="72" t="s">
        <v>308</v>
      </c>
      <c r="C97" s="127">
        <v>0.36067371874999998</v>
      </c>
      <c r="D97" s="127">
        <v>0.36067371874999998</v>
      </c>
      <c r="E97" s="127">
        <v>0</v>
      </c>
      <c r="F97" s="8">
        <v>0</v>
      </c>
      <c r="H97" s="10"/>
      <c r="J97" s="126">
        <f t="shared" si="1"/>
        <v>0</v>
      </c>
      <c r="L97" t="s">
        <v>600</v>
      </c>
    </row>
    <row r="98" spans="1:12" ht="12.5" x14ac:dyDescent="0.25">
      <c r="A98" s="5"/>
      <c r="B98" s="72" t="s">
        <v>309</v>
      </c>
      <c r="C98" s="127">
        <v>14.489376999999999</v>
      </c>
      <c r="D98" s="127">
        <v>14.556308</v>
      </c>
      <c r="E98" s="127">
        <v>6.6931000000000296E-2</v>
      </c>
      <c r="F98" s="8">
        <v>0</v>
      </c>
      <c r="H98" s="10"/>
      <c r="J98" s="126">
        <f t="shared" si="1"/>
        <v>6.6931000000000296E-2</v>
      </c>
      <c r="L98" t="s">
        <v>601</v>
      </c>
    </row>
    <row r="99" spans="1:12" ht="12.5" x14ac:dyDescent="0.25">
      <c r="A99" s="5"/>
      <c r="B99" s="72" t="s">
        <v>310</v>
      </c>
      <c r="C99" s="127"/>
      <c r="D99" s="127"/>
      <c r="E99" s="127"/>
      <c r="F99" s="8"/>
      <c r="H99" s="10"/>
      <c r="J99" s="126">
        <f t="shared" si="1"/>
        <v>0</v>
      </c>
      <c r="L99" t="s">
        <v>602</v>
      </c>
    </row>
    <row r="100" spans="1:12" ht="12.5" x14ac:dyDescent="0.25">
      <c r="A100" s="5"/>
      <c r="B100" s="72" t="s">
        <v>311</v>
      </c>
      <c r="C100" s="127">
        <v>69.738303999999999</v>
      </c>
      <c r="D100" s="127">
        <v>69.85123999999999</v>
      </c>
      <c r="E100" s="127">
        <v>0.1129359999999906</v>
      </c>
      <c r="F100" s="8">
        <v>0</v>
      </c>
      <c r="H100" s="10"/>
      <c r="J100" s="126">
        <f t="shared" si="1"/>
        <v>0.1129359999999906</v>
      </c>
      <c r="L100" t="s">
        <v>603</v>
      </c>
    </row>
    <row r="101" spans="1:12" ht="12.5" x14ac:dyDescent="0.25">
      <c r="A101" s="5"/>
      <c r="B101" s="72" t="s">
        <v>312</v>
      </c>
      <c r="C101" s="127"/>
      <c r="D101" s="127"/>
      <c r="E101" s="127"/>
      <c r="F101" s="8"/>
      <c r="H101" s="10"/>
      <c r="J101" s="126">
        <f t="shared" si="1"/>
        <v>0</v>
      </c>
      <c r="L101" t="s">
        <v>604</v>
      </c>
    </row>
    <row r="102" spans="1:12" ht="12.5" x14ac:dyDescent="0.25">
      <c r="A102" s="5"/>
      <c r="B102" s="72" t="s">
        <v>313</v>
      </c>
      <c r="C102" s="127">
        <v>1.7479486249999998</v>
      </c>
      <c r="D102" s="127">
        <v>1.7547783749999999</v>
      </c>
      <c r="E102" s="127">
        <v>6.8297500000000788E-3</v>
      </c>
      <c r="F102" s="8">
        <v>0</v>
      </c>
      <c r="H102" s="10"/>
      <c r="J102" s="126">
        <f t="shared" si="1"/>
        <v>6.8297500000000788E-3</v>
      </c>
      <c r="L102" t="s">
        <v>605</v>
      </c>
    </row>
    <row r="103" spans="1:12" ht="12.5" x14ac:dyDescent="0.25">
      <c r="A103" s="5"/>
      <c r="B103" s="72" t="s">
        <v>314</v>
      </c>
      <c r="C103" s="127">
        <v>38.263860000000001</v>
      </c>
      <c r="D103" s="127">
        <v>38.313732000000002</v>
      </c>
      <c r="E103" s="127">
        <v>4.9872000000000583E-2</v>
      </c>
      <c r="F103" s="8">
        <v>0</v>
      </c>
      <c r="H103" s="10"/>
      <c r="J103" s="126">
        <f t="shared" si="1"/>
        <v>4.9872000000000583E-2</v>
      </c>
      <c r="L103" t="s">
        <v>606</v>
      </c>
    </row>
    <row r="104" spans="1:12" ht="12.5" x14ac:dyDescent="0.25">
      <c r="A104" s="5"/>
      <c r="B104" s="72" t="s">
        <v>315</v>
      </c>
      <c r="C104" s="127"/>
      <c r="D104" s="127"/>
      <c r="E104" s="127"/>
      <c r="F104" s="8">
        <v>0</v>
      </c>
      <c r="H104" s="10"/>
      <c r="J104" s="126">
        <f t="shared" si="1"/>
        <v>0</v>
      </c>
      <c r="L104" t="s">
        <v>607</v>
      </c>
    </row>
    <row r="105" spans="1:12" ht="12.5" x14ac:dyDescent="0.25">
      <c r="A105" s="5"/>
      <c r="B105" s="72" t="s">
        <v>316</v>
      </c>
      <c r="C105" s="127">
        <v>1.461303</v>
      </c>
      <c r="D105" s="127">
        <v>1.466744</v>
      </c>
      <c r="E105" s="127">
        <v>5.4410000000000291E-3</v>
      </c>
      <c r="F105" s="8">
        <v>0</v>
      </c>
      <c r="H105" s="10"/>
      <c r="J105" s="126">
        <f t="shared" si="1"/>
        <v>5.4410000000000291E-3</v>
      </c>
      <c r="L105" t="s">
        <v>608</v>
      </c>
    </row>
    <row r="106" spans="1:12" ht="12.5" x14ac:dyDescent="0.25">
      <c r="A106" s="5"/>
      <c r="B106" s="72" t="s">
        <v>317</v>
      </c>
      <c r="C106" s="127">
        <v>3.1493549999999999</v>
      </c>
      <c r="D106" s="127">
        <v>3.1637284999999999</v>
      </c>
      <c r="E106" s="127">
        <v>1.4373500000000039E-2</v>
      </c>
      <c r="F106" s="8">
        <v>0</v>
      </c>
      <c r="H106" s="10"/>
      <c r="J106" s="126">
        <f t="shared" si="1"/>
        <v>1.4373500000000039E-2</v>
      </c>
      <c r="L106" t="s">
        <v>609</v>
      </c>
    </row>
    <row r="107" spans="1:12" ht="12.5" x14ac:dyDescent="0.25">
      <c r="A107" s="5"/>
      <c r="B107" s="72" t="s">
        <v>318</v>
      </c>
      <c r="C107" s="127">
        <v>51.107383999999996</v>
      </c>
      <c r="D107" s="127">
        <v>51.200119999999998</v>
      </c>
      <c r="E107" s="127">
        <v>9.273600000000215E-2</v>
      </c>
      <c r="F107" s="8">
        <v>0</v>
      </c>
      <c r="H107" s="10"/>
      <c r="J107" s="126">
        <f t="shared" si="1"/>
        <v>9.273600000000215E-2</v>
      </c>
      <c r="L107" t="s">
        <v>610</v>
      </c>
    </row>
    <row r="108" spans="1:12" ht="12.5" x14ac:dyDescent="0.25">
      <c r="A108" s="5"/>
      <c r="B108" s="72" t="s">
        <v>319</v>
      </c>
      <c r="C108" s="127">
        <v>11.523637000000001</v>
      </c>
      <c r="D108" s="127">
        <v>11.565814</v>
      </c>
      <c r="E108" s="127">
        <v>4.2176999999998799E-2</v>
      </c>
      <c r="F108" s="8">
        <v>0</v>
      </c>
      <c r="G108"/>
      <c r="H108" s="10"/>
      <c r="J108" s="126">
        <f t="shared" si="1"/>
        <v>4.2176999999998799E-2</v>
      </c>
      <c r="L108" t="s">
        <v>611</v>
      </c>
    </row>
    <row r="109" spans="1:12" ht="12.5" x14ac:dyDescent="0.25">
      <c r="A109" s="5"/>
      <c r="B109" s="72" t="s">
        <v>320</v>
      </c>
      <c r="C109" s="127">
        <v>1.1778273749999999</v>
      </c>
      <c r="D109" s="127">
        <v>1.2333147499999999</v>
      </c>
      <c r="E109" s="127">
        <v>5.5487375000000005E-2</v>
      </c>
      <c r="F109" s="8">
        <v>0</v>
      </c>
      <c r="G109"/>
      <c r="H109" s="10"/>
      <c r="J109" s="126">
        <f t="shared" si="1"/>
        <v>5.5487375000000005E-2</v>
      </c>
      <c r="L109" t="s">
        <v>612</v>
      </c>
    </row>
    <row r="110" spans="1:12" ht="12.5" x14ac:dyDescent="0.25">
      <c r="A110" s="5"/>
      <c r="B110" s="72" t="s">
        <v>321</v>
      </c>
      <c r="C110" s="127">
        <v>1.559650625</v>
      </c>
      <c r="D110" s="127">
        <v>1.569779625</v>
      </c>
      <c r="E110" s="127">
        <v>1.0129000000000055E-2</v>
      </c>
      <c r="F110" s="8">
        <v>0</v>
      </c>
      <c r="G110"/>
      <c r="H110" s="10"/>
      <c r="J110" s="126">
        <f t="shared" si="1"/>
        <v>1.0129000000000055E-2</v>
      </c>
      <c r="L110" t="s">
        <v>613</v>
      </c>
    </row>
    <row r="111" spans="1:12" ht="12.5" x14ac:dyDescent="0.25">
      <c r="A111" s="5"/>
      <c r="B111" s="72" t="s">
        <v>322</v>
      </c>
      <c r="C111" s="127"/>
      <c r="D111" s="127"/>
      <c r="E111" s="127"/>
      <c r="F111" s="8"/>
      <c r="G111"/>
      <c r="H111" s="10"/>
      <c r="J111" s="126">
        <f t="shared" si="1"/>
        <v>0</v>
      </c>
      <c r="L111" t="s">
        <v>614</v>
      </c>
    </row>
    <row r="112" spans="1:12" ht="12.5" x14ac:dyDescent="0.25">
      <c r="A112" s="5"/>
      <c r="B112" s="72" t="s">
        <v>323</v>
      </c>
      <c r="C112" s="127">
        <v>2.032216875</v>
      </c>
      <c r="D112" s="127">
        <v>2.032216875</v>
      </c>
      <c r="E112" s="127">
        <v>0</v>
      </c>
      <c r="F112" s="8">
        <v>0</v>
      </c>
      <c r="G112"/>
      <c r="H112" s="10"/>
      <c r="J112" s="126">
        <f t="shared" si="1"/>
        <v>0</v>
      </c>
      <c r="L112" t="s">
        <v>615</v>
      </c>
    </row>
    <row r="113" spans="1:12" ht="12.5" x14ac:dyDescent="0.25">
      <c r="A113" s="5"/>
      <c r="B113" s="72" t="s">
        <v>324</v>
      </c>
      <c r="C113" s="127">
        <v>8.1426634999999994</v>
      </c>
      <c r="D113" s="127">
        <v>8.1580204999999992</v>
      </c>
      <c r="E113" s="127">
        <v>1.5356999999999843E-2</v>
      </c>
      <c r="F113" s="8">
        <v>0</v>
      </c>
      <c r="G113"/>
      <c r="H113" s="10"/>
      <c r="J113" s="126">
        <f t="shared" si="1"/>
        <v>1.5356999999999843E-2</v>
      </c>
      <c r="L113" t="s">
        <v>616</v>
      </c>
    </row>
    <row r="114" spans="1:12" ht="12.5" x14ac:dyDescent="0.25">
      <c r="A114" s="5"/>
      <c r="B114" s="72" t="s">
        <v>325</v>
      </c>
      <c r="C114" s="127">
        <v>4.9159774999999994</v>
      </c>
      <c r="D114" s="127">
        <v>4.9217509999999995</v>
      </c>
      <c r="E114" s="127">
        <v>5.773500000000098E-3</v>
      </c>
      <c r="F114" s="8">
        <v>0</v>
      </c>
      <c r="G114"/>
      <c r="H114" s="10"/>
      <c r="J114" s="126">
        <f t="shared" si="1"/>
        <v>5.773500000000098E-3</v>
      </c>
      <c r="L114" t="s">
        <v>617</v>
      </c>
    </row>
    <row r="115" spans="1:12" ht="12.5" x14ac:dyDescent="0.25">
      <c r="A115" s="5"/>
      <c r="B115" s="72" t="s">
        <v>326</v>
      </c>
      <c r="C115" s="127">
        <v>691.09337599999992</v>
      </c>
      <c r="D115" s="127">
        <v>692.88896</v>
      </c>
      <c r="E115" s="127">
        <v>1.7955840000000762</v>
      </c>
      <c r="F115" s="8">
        <v>0</v>
      </c>
      <c r="G115"/>
      <c r="H115" s="10"/>
      <c r="J115" s="126">
        <f t="shared" si="1"/>
        <v>1.7955840000000762</v>
      </c>
      <c r="L115" t="s">
        <v>618</v>
      </c>
    </row>
    <row r="116" spans="1:12" ht="12.5" x14ac:dyDescent="0.25">
      <c r="A116" s="5"/>
      <c r="B116" s="72" t="s">
        <v>327</v>
      </c>
      <c r="C116" s="127"/>
      <c r="D116" s="127"/>
      <c r="E116" s="127"/>
      <c r="F116" s="8"/>
      <c r="G116"/>
      <c r="H116" s="10"/>
      <c r="J116" s="126">
        <f t="shared" si="1"/>
        <v>0</v>
      </c>
      <c r="L116" t="s">
        <v>619</v>
      </c>
    </row>
    <row r="117" spans="1:12" ht="12.5" x14ac:dyDescent="0.25">
      <c r="A117" s="5"/>
      <c r="B117" s="72" t="s">
        <v>328</v>
      </c>
      <c r="C117" s="127">
        <v>22.675663999999998</v>
      </c>
      <c r="D117" s="127">
        <v>22.697875999999997</v>
      </c>
      <c r="E117" s="127">
        <v>2.2211999999999676E-2</v>
      </c>
      <c r="F117" s="8">
        <v>0</v>
      </c>
      <c r="G117"/>
      <c r="H117" s="10"/>
      <c r="J117" s="126">
        <f t="shared" si="1"/>
        <v>2.2211999999999676E-2</v>
      </c>
      <c r="L117" t="s">
        <v>620</v>
      </c>
    </row>
    <row r="118" spans="1:12" ht="12.5" x14ac:dyDescent="0.25">
      <c r="A118" s="5"/>
      <c r="B118" s="72" t="s">
        <v>329</v>
      </c>
      <c r="C118" s="127">
        <v>0.226737546875</v>
      </c>
      <c r="D118" s="127">
        <v>0.23552143749999999</v>
      </c>
      <c r="E118" s="127">
        <v>8.7838906249999849E-3</v>
      </c>
      <c r="F118" s="8">
        <v>0</v>
      </c>
      <c r="G118"/>
      <c r="H118" s="10"/>
      <c r="J118" s="126">
        <f t="shared" si="1"/>
        <v>8.7838906249999849E-3</v>
      </c>
      <c r="L118" t="s">
        <v>621</v>
      </c>
    </row>
    <row r="119" spans="1:12" ht="12.5" x14ac:dyDescent="0.25">
      <c r="A119" s="5"/>
      <c r="B119" s="72" t="s">
        <v>330</v>
      </c>
      <c r="C119" s="127">
        <v>11.543201999999999</v>
      </c>
      <c r="D119" s="127">
        <v>11.556436</v>
      </c>
      <c r="E119" s="127">
        <v>1.3234000000000634E-2</v>
      </c>
      <c r="F119" s="8">
        <v>0</v>
      </c>
      <c r="G119"/>
      <c r="H119" s="10"/>
      <c r="J119" s="126">
        <f t="shared" si="1"/>
        <v>1.3234000000000634E-2</v>
      </c>
      <c r="L119" t="s">
        <v>622</v>
      </c>
    </row>
    <row r="120" spans="1:12" ht="12.5" x14ac:dyDescent="0.25">
      <c r="A120" s="5"/>
      <c r="B120" s="72" t="s">
        <v>331</v>
      </c>
      <c r="C120" s="127">
        <v>0.85941574999999992</v>
      </c>
      <c r="D120" s="127">
        <v>0.85973650000000001</v>
      </c>
      <c r="E120" s="127">
        <v>3.207500000000918E-4</v>
      </c>
      <c r="F120" s="8">
        <v>0</v>
      </c>
      <c r="G120"/>
      <c r="H120" s="10"/>
      <c r="J120" s="126">
        <f t="shared" si="1"/>
        <v>3.207500000000918E-4</v>
      </c>
      <c r="L120" t="s">
        <v>623</v>
      </c>
    </row>
    <row r="121" spans="1:12" ht="12.5" x14ac:dyDescent="0.25">
      <c r="A121" s="5"/>
      <c r="B121" s="72" t="s">
        <v>332</v>
      </c>
      <c r="C121" s="127">
        <v>185.373152</v>
      </c>
      <c r="D121" s="127">
        <v>185.450064</v>
      </c>
      <c r="E121" s="127">
        <v>7.6911999999992986E-2</v>
      </c>
      <c r="F121" s="8">
        <v>0</v>
      </c>
      <c r="H121" s="10"/>
      <c r="J121" s="126">
        <f t="shared" si="1"/>
        <v>7.6911999999992986E-2</v>
      </c>
      <c r="L121" t="s">
        <v>624</v>
      </c>
    </row>
    <row r="122" spans="1:12" ht="12.5" x14ac:dyDescent="0.25">
      <c r="A122" s="5"/>
      <c r="B122" s="72" t="s">
        <v>333</v>
      </c>
      <c r="C122" s="127">
        <v>8.1725744999999996</v>
      </c>
      <c r="D122" s="127">
        <v>8.1930525000000003</v>
      </c>
      <c r="E122" s="127">
        <v>2.0478000000000662E-2</v>
      </c>
      <c r="F122" s="8">
        <v>0</v>
      </c>
      <c r="H122" s="10"/>
      <c r="J122" s="126">
        <f t="shared" si="1"/>
        <v>2.0478000000000662E-2</v>
      </c>
      <c r="L122" t="s">
        <v>625</v>
      </c>
    </row>
    <row r="123" spans="1:12" ht="12.5" x14ac:dyDescent="0.25">
      <c r="A123" s="5"/>
      <c r="B123" s="72" t="s">
        <v>334</v>
      </c>
      <c r="C123" s="127">
        <v>4.632733</v>
      </c>
      <c r="D123" s="127">
        <v>4.632733</v>
      </c>
      <c r="E123" s="127">
        <v>0</v>
      </c>
      <c r="F123" s="8">
        <v>0</v>
      </c>
      <c r="H123" s="10"/>
      <c r="J123" s="126">
        <f t="shared" si="1"/>
        <v>0</v>
      </c>
      <c r="L123" t="s">
        <v>626</v>
      </c>
    </row>
    <row r="124" spans="1:12" ht="12.5" x14ac:dyDescent="0.25">
      <c r="A124" s="5"/>
      <c r="B124" s="72" t="s">
        <v>335</v>
      </c>
      <c r="C124" s="127"/>
      <c r="D124" s="127"/>
      <c r="E124" s="127"/>
      <c r="F124" s="8"/>
      <c r="H124" s="10"/>
      <c r="J124" s="126">
        <f t="shared" si="1"/>
        <v>0</v>
      </c>
      <c r="L124" t="s">
        <v>627</v>
      </c>
    </row>
    <row r="125" spans="1:12" ht="12.5" x14ac:dyDescent="0.25">
      <c r="A125" s="5"/>
      <c r="B125" s="72" t="s">
        <v>336</v>
      </c>
      <c r="C125" s="127">
        <v>486.85846399999997</v>
      </c>
      <c r="D125" s="127">
        <v>487.54044799999997</v>
      </c>
      <c r="E125" s="127">
        <v>0.68198399999999992</v>
      </c>
      <c r="F125" s="8">
        <v>0</v>
      </c>
      <c r="H125" s="10"/>
      <c r="J125" s="126">
        <f t="shared" si="1"/>
        <v>0.68198399999999992</v>
      </c>
      <c r="L125" t="s">
        <v>628</v>
      </c>
    </row>
    <row r="126" spans="1:12" ht="12.5" x14ac:dyDescent="0.25">
      <c r="A126" s="5"/>
      <c r="B126" s="72" t="s">
        <v>337</v>
      </c>
      <c r="C126" s="127">
        <v>4.9919595000000001</v>
      </c>
      <c r="D126" s="127">
        <v>5.1323949999999998</v>
      </c>
      <c r="E126" s="127">
        <v>0.14043549999999971</v>
      </c>
      <c r="F126" s="8">
        <v>0</v>
      </c>
      <c r="H126" s="10"/>
      <c r="J126" s="126">
        <f t="shared" si="1"/>
        <v>0.14043549999999971</v>
      </c>
      <c r="L126" t="s">
        <v>629</v>
      </c>
    </row>
    <row r="127" spans="1:12" ht="12.5" x14ac:dyDescent="0.25">
      <c r="A127" s="5"/>
      <c r="B127" s="72" t="s">
        <v>338</v>
      </c>
      <c r="C127" s="127">
        <v>13.67887</v>
      </c>
      <c r="D127" s="127">
        <v>13.678972999999999</v>
      </c>
      <c r="E127" s="127">
        <v>1.029999999992981E-4</v>
      </c>
      <c r="F127" s="8">
        <v>0</v>
      </c>
      <c r="H127" s="10"/>
      <c r="J127" s="126">
        <f t="shared" si="1"/>
        <v>1.029999999992981E-4</v>
      </c>
      <c r="L127" t="s">
        <v>630</v>
      </c>
    </row>
    <row r="128" spans="1:12" ht="12.5" x14ac:dyDescent="0.25">
      <c r="A128" s="5"/>
      <c r="B128" s="72" t="s">
        <v>339</v>
      </c>
      <c r="C128" s="127">
        <v>2.9275772499999997</v>
      </c>
      <c r="D128" s="127">
        <v>2.9315289999999998</v>
      </c>
      <c r="E128" s="127">
        <v>3.9517500000001426E-3</v>
      </c>
      <c r="F128" s="8">
        <v>0</v>
      </c>
      <c r="H128" s="10"/>
      <c r="J128" s="126">
        <f t="shared" si="1"/>
        <v>3.9517500000001426E-3</v>
      </c>
      <c r="L128" t="s">
        <v>631</v>
      </c>
    </row>
    <row r="129" spans="1:14" ht="12.5" x14ac:dyDescent="0.25">
      <c r="A129" s="5"/>
      <c r="B129" s="72" t="s">
        <v>340</v>
      </c>
      <c r="C129" s="127"/>
      <c r="D129" s="127"/>
      <c r="E129" s="127"/>
      <c r="F129" s="8"/>
      <c r="H129" s="10"/>
      <c r="J129" s="126">
        <f t="shared" si="1"/>
        <v>0</v>
      </c>
      <c r="L129" t="s">
        <v>632</v>
      </c>
    </row>
    <row r="130" spans="1:14" ht="12.5" x14ac:dyDescent="0.25">
      <c r="A130" s="5"/>
      <c r="B130" s="72" t="s">
        <v>341</v>
      </c>
      <c r="C130" s="127">
        <v>10.221974999999999</v>
      </c>
      <c r="D130" s="127">
        <v>10.251821999999999</v>
      </c>
      <c r="E130" s="127">
        <v>2.9847000000000179E-2</v>
      </c>
      <c r="F130" s="8">
        <v>0</v>
      </c>
      <c r="H130" s="10"/>
      <c r="J130" s="126">
        <f t="shared" si="1"/>
        <v>2.9847000000000179E-2</v>
      </c>
      <c r="L130" t="s">
        <v>633</v>
      </c>
    </row>
    <row r="131" spans="1:14" ht="12.5" x14ac:dyDescent="0.25">
      <c r="A131" s="5"/>
      <c r="B131" s="72" t="s">
        <v>342</v>
      </c>
      <c r="C131" s="127">
        <v>0.61625581249999994</v>
      </c>
      <c r="D131" s="127">
        <v>0.61819618749999994</v>
      </c>
      <c r="E131" s="127">
        <v>1.9403749999999942E-3</v>
      </c>
      <c r="F131" s="8">
        <v>0</v>
      </c>
      <c r="H131" s="10"/>
      <c r="J131" s="126">
        <f t="shared" si="1"/>
        <v>1.9403749999999942E-3</v>
      </c>
      <c r="L131" t="s">
        <v>634</v>
      </c>
    </row>
    <row r="132" spans="1:14" ht="12.5" x14ac:dyDescent="0.25">
      <c r="A132" s="5"/>
      <c r="B132" s="72" t="s">
        <v>343</v>
      </c>
      <c r="C132" s="127">
        <v>27.819516</v>
      </c>
      <c r="D132" s="127">
        <v>27.853088</v>
      </c>
      <c r="E132" s="127">
        <v>3.3571999999999491E-2</v>
      </c>
      <c r="F132" s="8">
        <v>0</v>
      </c>
      <c r="H132" s="10"/>
      <c r="J132" s="126">
        <f t="shared" si="1"/>
        <v>3.3571999999999491E-2</v>
      </c>
      <c r="L132" t="s">
        <v>635</v>
      </c>
    </row>
    <row r="133" spans="1:14" ht="12.5" x14ac:dyDescent="0.25">
      <c r="A133" s="5"/>
      <c r="B133" s="72" t="s">
        <v>344</v>
      </c>
      <c r="C133" s="127">
        <v>1.40665825</v>
      </c>
      <c r="D133" s="127">
        <v>1.40665825</v>
      </c>
      <c r="E133" s="127">
        <v>0</v>
      </c>
      <c r="F133" s="8">
        <v>0</v>
      </c>
      <c r="H133" s="10"/>
      <c r="J133" s="126">
        <f t="shared" ref="J133:J196" si="2">E133</f>
        <v>0</v>
      </c>
      <c r="L133" t="s">
        <v>636</v>
      </c>
    </row>
    <row r="134" spans="1:14" ht="12.5" x14ac:dyDescent="0.25">
      <c r="A134" s="5"/>
      <c r="B134" s="72" t="s">
        <v>345</v>
      </c>
      <c r="C134" s="127">
        <v>219.11270399999998</v>
      </c>
      <c r="D134" s="127">
        <v>219.59875199999999</v>
      </c>
      <c r="E134" s="127">
        <v>0.48604800000001092</v>
      </c>
      <c r="F134" s="8">
        <v>0</v>
      </c>
      <c r="H134" s="10"/>
      <c r="J134" s="126">
        <f t="shared" si="2"/>
        <v>0.48604800000001092</v>
      </c>
      <c r="L134" t="s">
        <v>637</v>
      </c>
    </row>
    <row r="135" spans="1:14" ht="12.5" x14ac:dyDescent="0.25">
      <c r="A135" s="5"/>
      <c r="B135" s="72" t="s">
        <v>346</v>
      </c>
      <c r="C135" s="127">
        <v>184.89552</v>
      </c>
      <c r="D135" s="127">
        <v>185.13524799999999</v>
      </c>
      <c r="E135" s="127">
        <v>0.23972799999998529</v>
      </c>
      <c r="F135" s="8">
        <v>0</v>
      </c>
      <c r="H135" s="10"/>
      <c r="J135" s="126">
        <f t="shared" si="2"/>
        <v>0.23972799999998529</v>
      </c>
      <c r="L135" t="s">
        <v>638</v>
      </c>
    </row>
    <row r="136" spans="1:14" ht="12.5" x14ac:dyDescent="0.25">
      <c r="A136" s="5"/>
      <c r="B136" s="72" t="s">
        <v>347</v>
      </c>
      <c r="C136" s="127">
        <v>3.1396029999999997</v>
      </c>
      <c r="D136" s="127">
        <v>3.1741639999999998</v>
      </c>
      <c r="E136" s="127">
        <v>3.4561000000000064E-2</v>
      </c>
      <c r="F136" s="8">
        <v>0</v>
      </c>
      <c r="H136" s="10"/>
      <c r="J136" s="126">
        <f t="shared" si="2"/>
        <v>3.4561000000000064E-2</v>
      </c>
      <c r="L136" t="s">
        <v>639</v>
      </c>
    </row>
    <row r="137" spans="1:14" ht="12.5" x14ac:dyDescent="0.25">
      <c r="A137" s="5"/>
      <c r="B137" s="72" t="s">
        <v>348</v>
      </c>
      <c r="C137" s="127">
        <v>7.9525689999999996</v>
      </c>
      <c r="D137" s="127">
        <v>7.9983759999999995</v>
      </c>
      <c r="E137" s="127">
        <v>4.5806999999999931E-2</v>
      </c>
      <c r="F137" s="8">
        <v>0</v>
      </c>
      <c r="H137" s="10"/>
      <c r="J137" s="126">
        <f t="shared" si="2"/>
        <v>4.5806999999999931E-2</v>
      </c>
      <c r="L137" t="s">
        <v>640</v>
      </c>
    </row>
    <row r="138" spans="1:14" ht="12.5" x14ac:dyDescent="0.25">
      <c r="A138" s="5"/>
      <c r="B138" s="72" t="s">
        <v>349</v>
      </c>
      <c r="C138" s="127">
        <v>6164.2286740000009</v>
      </c>
      <c r="D138" s="127">
        <v>6168.2354400000004</v>
      </c>
      <c r="E138" s="127">
        <v>4.0067659999995158</v>
      </c>
      <c r="F138" s="8">
        <v>0</v>
      </c>
      <c r="H138" s="10"/>
      <c r="J138" s="126">
        <f t="shared" si="2"/>
        <v>4.0067659999995158</v>
      </c>
      <c r="L138" t="s">
        <v>641</v>
      </c>
    </row>
    <row r="139" spans="1:14" ht="12.5" x14ac:dyDescent="0.25">
      <c r="A139" s="5"/>
      <c r="B139" s="72" t="s">
        <v>350</v>
      </c>
      <c r="C139" s="127"/>
      <c r="D139" s="127"/>
      <c r="E139" s="127"/>
      <c r="F139" s="8"/>
      <c r="H139" s="10"/>
      <c r="J139" s="126">
        <f t="shared" si="2"/>
        <v>0</v>
      </c>
      <c r="L139" t="s">
        <v>642</v>
      </c>
    </row>
    <row r="140" spans="1:14" ht="12.5" x14ac:dyDescent="0.25">
      <c r="A140" s="5"/>
      <c r="B140" s="72" t="s">
        <v>351</v>
      </c>
      <c r="C140" s="127">
        <v>580.65631999999994</v>
      </c>
      <c r="D140" s="127">
        <v>580.92217599999992</v>
      </c>
      <c r="E140" s="127">
        <v>0.26585599999998522</v>
      </c>
      <c r="F140" s="8">
        <v>0</v>
      </c>
      <c r="H140" s="10"/>
      <c r="J140" s="126">
        <f t="shared" si="2"/>
        <v>0.26585599999998522</v>
      </c>
      <c r="L140" t="s">
        <v>643</v>
      </c>
    </row>
    <row r="141" spans="1:14" ht="12.5" x14ac:dyDescent="0.25">
      <c r="A141" s="5"/>
      <c r="B141" s="72" t="s">
        <v>352</v>
      </c>
      <c r="C141" s="127">
        <v>929.71231999999998</v>
      </c>
      <c r="D141" s="127">
        <v>929.923136</v>
      </c>
      <c r="E141" s="127">
        <v>0.21081600000002254</v>
      </c>
      <c r="F141" s="8">
        <v>0</v>
      </c>
      <c r="H141" s="10"/>
      <c r="J141" s="126">
        <f t="shared" si="2"/>
        <v>0.21081600000002254</v>
      </c>
      <c r="L141" t="s">
        <v>644</v>
      </c>
    </row>
    <row r="142" spans="1:14" ht="12.5" x14ac:dyDescent="0.25">
      <c r="A142" s="5"/>
      <c r="B142" s="72" t="s">
        <v>353</v>
      </c>
      <c r="C142" s="127">
        <v>340.51049599999999</v>
      </c>
      <c r="D142" s="127">
        <v>340.52895999999998</v>
      </c>
      <c r="E142" s="127">
        <v>1.8463999999994485E-2</v>
      </c>
      <c r="F142" s="8">
        <v>0</v>
      </c>
      <c r="H142" s="10"/>
      <c r="J142" s="126">
        <f t="shared" si="2"/>
        <v>1.8463999999994485E-2</v>
      </c>
      <c r="L142" t="s">
        <v>645</v>
      </c>
    </row>
    <row r="143" spans="1:14" ht="12.5" x14ac:dyDescent="0.25">
      <c r="A143" s="5"/>
      <c r="B143" s="72" t="s">
        <v>354</v>
      </c>
      <c r="C143" s="127"/>
      <c r="D143" s="127"/>
      <c r="E143" s="127"/>
      <c r="F143" s="8">
        <v>0</v>
      </c>
      <c r="H143" s="10"/>
      <c r="J143" s="126">
        <f t="shared" si="2"/>
        <v>0</v>
      </c>
      <c r="L143" t="s">
        <v>646</v>
      </c>
    </row>
    <row r="144" spans="1:14" ht="12.5" x14ac:dyDescent="0.25">
      <c r="A144" s="5"/>
      <c r="B144" s="72" t="s">
        <v>355</v>
      </c>
      <c r="C144" s="127">
        <v>1944.279808</v>
      </c>
      <c r="D144" s="127">
        <v>1945.306112</v>
      </c>
      <c r="E144" s="127">
        <v>1.0263039999999819</v>
      </c>
      <c r="F144" s="8">
        <v>0</v>
      </c>
      <c r="H144" s="10"/>
      <c r="J144" s="126">
        <f t="shared" si="2"/>
        <v>1.0263039999999819</v>
      </c>
      <c r="L144" t="s">
        <v>647</v>
      </c>
      <c r="N144" s="93"/>
    </row>
    <row r="145" spans="1:13" ht="12.5" x14ac:dyDescent="0.25">
      <c r="A145" s="5"/>
      <c r="B145" s="72" t="s">
        <v>356</v>
      </c>
      <c r="C145" s="127">
        <v>2271.4350079999999</v>
      </c>
      <c r="D145" s="127">
        <v>2272.6973439999997</v>
      </c>
      <c r="E145" s="127">
        <v>1.2623359999997774</v>
      </c>
      <c r="F145" s="8">
        <v>0</v>
      </c>
      <c r="H145" s="10"/>
      <c r="J145" s="126">
        <f t="shared" si="2"/>
        <v>1.2623359999997774</v>
      </c>
      <c r="L145" t="s">
        <v>648</v>
      </c>
    </row>
    <row r="146" spans="1:13" ht="12.5" x14ac:dyDescent="0.25">
      <c r="A146" s="5"/>
      <c r="B146" s="72" t="s">
        <v>357</v>
      </c>
      <c r="C146" s="127">
        <v>2549.9335679999999</v>
      </c>
      <c r="D146" s="127">
        <v>2550.2538239999999</v>
      </c>
      <c r="E146" s="127">
        <v>0.32025599999997212</v>
      </c>
      <c r="F146" s="8">
        <v>0</v>
      </c>
      <c r="H146" s="10"/>
      <c r="J146" s="126">
        <f t="shared" si="2"/>
        <v>0.32025599999997212</v>
      </c>
      <c r="L146" t="s">
        <v>649</v>
      </c>
    </row>
    <row r="147" spans="1:13" ht="12.5" x14ac:dyDescent="0.25">
      <c r="A147" s="5"/>
      <c r="B147" s="72" t="s">
        <v>358</v>
      </c>
      <c r="C147" s="127">
        <v>889.52780799999994</v>
      </c>
      <c r="D147" s="127">
        <v>889.53375999999992</v>
      </c>
      <c r="E147" s="127">
        <v>5.9519999999793072E-3</v>
      </c>
      <c r="F147" s="8">
        <v>0</v>
      </c>
      <c r="H147" s="10"/>
      <c r="J147" s="126">
        <f t="shared" si="2"/>
        <v>5.9519999999793072E-3</v>
      </c>
      <c r="L147" t="s">
        <v>650</v>
      </c>
    </row>
    <row r="148" spans="1:13" ht="12.5" x14ac:dyDescent="0.25">
      <c r="A148" s="5"/>
      <c r="B148" s="72" t="s">
        <v>359</v>
      </c>
      <c r="C148" s="127">
        <v>0</v>
      </c>
      <c r="D148" s="127">
        <v>0</v>
      </c>
      <c r="E148" s="127">
        <v>0</v>
      </c>
      <c r="F148" s="8">
        <v>0</v>
      </c>
      <c r="H148" s="10"/>
      <c r="J148" s="126">
        <f t="shared" si="2"/>
        <v>0</v>
      </c>
      <c r="L148" t="s">
        <v>651</v>
      </c>
    </row>
    <row r="149" spans="1:13" ht="12.5" x14ac:dyDescent="0.25">
      <c r="A149" s="5"/>
      <c r="B149" s="72" t="s">
        <v>360</v>
      </c>
      <c r="C149" s="9"/>
      <c r="D149" s="9"/>
      <c r="E149" s="9"/>
      <c r="F149" s="8"/>
      <c r="H149" s="10"/>
      <c r="J149" s="126">
        <f t="shared" si="2"/>
        <v>0</v>
      </c>
      <c r="L149" t="s">
        <v>652</v>
      </c>
    </row>
    <row r="150" spans="1:13" ht="12.5" x14ac:dyDescent="0.25">
      <c r="A150" s="5"/>
      <c r="B150" s="72" t="s">
        <v>653</v>
      </c>
      <c r="C150" s="165">
        <v>106.679644</v>
      </c>
      <c r="D150" s="165">
        <v>107.58552899999999</v>
      </c>
      <c r="E150" s="9">
        <v>0.90588499999999783</v>
      </c>
      <c r="F150" s="8">
        <v>0</v>
      </c>
      <c r="H150" s="10"/>
      <c r="J150" s="126">
        <f t="shared" si="2"/>
        <v>0.90588499999999783</v>
      </c>
    </row>
    <row r="151" spans="1:13" ht="14.5" x14ac:dyDescent="0.25">
      <c r="A151" s="5"/>
      <c r="B151" s="81" t="s">
        <v>24</v>
      </c>
      <c r="C151" s="9"/>
      <c r="D151" s="9"/>
      <c r="E151" s="9"/>
      <c r="F151" s="8"/>
      <c r="H151" s="10"/>
      <c r="J151" s="126">
        <f t="shared" si="2"/>
        <v>0</v>
      </c>
    </row>
    <row r="152" spans="1:13" ht="14.5" x14ac:dyDescent="0.25">
      <c r="A152" s="5"/>
      <c r="B152" s="81" t="s">
        <v>24</v>
      </c>
      <c r="C152" s="9"/>
      <c r="D152" s="9"/>
      <c r="E152" s="9"/>
      <c r="F152" s="8"/>
      <c r="H152" s="10"/>
      <c r="J152" s="126">
        <f t="shared" si="2"/>
        <v>0</v>
      </c>
    </row>
    <row r="153" spans="1:13" ht="14.5" x14ac:dyDescent="0.25">
      <c r="A153" s="5"/>
      <c r="B153" s="81" t="s">
        <v>24</v>
      </c>
      <c r="C153" s="9"/>
      <c r="D153" s="9"/>
      <c r="E153" s="9"/>
      <c r="F153" s="8"/>
      <c r="H153" s="10"/>
      <c r="J153" s="126">
        <f t="shared" si="2"/>
        <v>0</v>
      </c>
    </row>
    <row r="154" spans="1:13" ht="12.5" x14ac:dyDescent="0.25">
      <c r="A154" s="5"/>
      <c r="B154" s="7"/>
      <c r="C154" s="9"/>
      <c r="D154" s="9"/>
      <c r="E154" s="9"/>
      <c r="F154" s="8"/>
      <c r="H154" s="10"/>
      <c r="J154" s="126">
        <f t="shared" si="2"/>
        <v>0</v>
      </c>
    </row>
    <row r="155" spans="1:13" ht="12.5" x14ac:dyDescent="0.25">
      <c r="A155" s="5"/>
      <c r="B155" s="7"/>
      <c r="C155" s="9"/>
      <c r="D155" s="9"/>
      <c r="E155" s="9"/>
      <c r="F155" s="8"/>
      <c r="H155" s="10"/>
      <c r="J155" s="126">
        <f t="shared" si="2"/>
        <v>0</v>
      </c>
    </row>
    <row r="156" spans="1:13" ht="12.5" x14ac:dyDescent="0.25">
      <c r="A156" s="5"/>
      <c r="B156" s="7"/>
      <c r="C156" s="9"/>
      <c r="D156" s="9"/>
      <c r="E156" s="9"/>
      <c r="F156" s="8"/>
      <c r="H156" s="10"/>
      <c r="J156" s="126">
        <f t="shared" si="2"/>
        <v>0</v>
      </c>
    </row>
    <row r="157" spans="1:13" ht="12.5" x14ac:dyDescent="0.25">
      <c r="A157" s="5"/>
      <c r="B157" s="7"/>
      <c r="C157" s="9"/>
      <c r="D157" s="9"/>
      <c r="E157" s="9"/>
      <c r="F157" s="8"/>
      <c r="H157" s="10"/>
      <c r="J157" s="126">
        <f t="shared" si="2"/>
        <v>0</v>
      </c>
    </row>
    <row r="158" spans="1:13" ht="12.5" x14ac:dyDescent="0.25">
      <c r="A158" s="5"/>
      <c r="B158" s="7"/>
      <c r="C158" s="9"/>
      <c r="D158" s="9"/>
      <c r="E158" s="9"/>
      <c r="F158" s="8"/>
      <c r="H158" s="10"/>
      <c r="J158" s="126">
        <f t="shared" si="2"/>
        <v>0</v>
      </c>
      <c r="M158" s="72"/>
    </row>
    <row r="159" spans="1:13" ht="12.5" x14ac:dyDescent="0.25">
      <c r="A159" s="5"/>
      <c r="B159" s="7"/>
      <c r="C159" s="9"/>
      <c r="D159" s="9"/>
      <c r="E159" s="9"/>
      <c r="F159" s="8"/>
      <c r="H159" s="10"/>
      <c r="J159" s="126">
        <f t="shared" si="2"/>
        <v>0</v>
      </c>
      <c r="M159" s="72"/>
    </row>
    <row r="160" spans="1:13" ht="12.5" x14ac:dyDescent="0.25">
      <c r="A160" s="5"/>
      <c r="B160" s="7"/>
      <c r="C160" s="9"/>
      <c r="D160" s="9"/>
      <c r="E160" s="9"/>
      <c r="F160" s="8"/>
      <c r="H160" s="10"/>
      <c r="J160" s="126">
        <f t="shared" si="2"/>
        <v>0</v>
      </c>
      <c r="M160" s="72"/>
    </row>
    <row r="161" spans="10:13" x14ac:dyDescent="0.3">
      <c r="J161" s="126">
        <f t="shared" si="2"/>
        <v>0</v>
      </c>
      <c r="M161" s="72"/>
    </row>
    <row r="162" spans="10:13" x14ac:dyDescent="0.3">
      <c r="J162" s="126">
        <f t="shared" si="2"/>
        <v>0</v>
      </c>
      <c r="M162" s="72"/>
    </row>
    <row r="163" spans="10:13" x14ac:dyDescent="0.3">
      <c r="J163" s="126">
        <f t="shared" si="2"/>
        <v>0</v>
      </c>
      <c r="M163" s="72"/>
    </row>
    <row r="164" spans="10:13" x14ac:dyDescent="0.3">
      <c r="J164" s="126">
        <f t="shared" si="2"/>
        <v>0</v>
      </c>
      <c r="M164" s="72"/>
    </row>
    <row r="165" spans="10:13" x14ac:dyDescent="0.3">
      <c r="J165" s="126">
        <f t="shared" si="2"/>
        <v>0</v>
      </c>
      <c r="M165" s="72"/>
    </row>
    <row r="166" spans="10:13" x14ac:dyDescent="0.3">
      <c r="J166" s="126">
        <f t="shared" si="2"/>
        <v>0</v>
      </c>
      <c r="M166" s="72"/>
    </row>
    <row r="167" spans="10:13" x14ac:dyDescent="0.3">
      <c r="J167" s="126">
        <f t="shared" si="2"/>
        <v>0</v>
      </c>
      <c r="M167" s="72"/>
    </row>
    <row r="168" spans="10:13" x14ac:dyDescent="0.3">
      <c r="J168" s="126">
        <f t="shared" si="2"/>
        <v>0</v>
      </c>
      <c r="M168" s="72"/>
    </row>
    <row r="169" spans="10:13" x14ac:dyDescent="0.3">
      <c r="J169" s="126">
        <f t="shared" si="2"/>
        <v>0</v>
      </c>
      <c r="M169" s="72"/>
    </row>
    <row r="170" spans="10:13" x14ac:dyDescent="0.3">
      <c r="J170" s="126">
        <f t="shared" si="2"/>
        <v>0</v>
      </c>
      <c r="M170" s="72"/>
    </row>
    <row r="171" spans="10:13" x14ac:dyDescent="0.3">
      <c r="J171" s="126">
        <f t="shared" si="2"/>
        <v>0</v>
      </c>
      <c r="M171" s="72"/>
    </row>
    <row r="172" spans="10:13" x14ac:dyDescent="0.3">
      <c r="J172" s="126">
        <f t="shared" si="2"/>
        <v>0</v>
      </c>
      <c r="M172" s="72"/>
    </row>
    <row r="173" spans="10:13" x14ac:dyDescent="0.3">
      <c r="J173" s="126">
        <f t="shared" si="2"/>
        <v>0</v>
      </c>
      <c r="M173" s="72"/>
    </row>
    <row r="174" spans="10:13" x14ac:dyDescent="0.3">
      <c r="J174" s="126">
        <f t="shared" si="2"/>
        <v>0</v>
      </c>
      <c r="M174" s="72"/>
    </row>
    <row r="175" spans="10:13" x14ac:dyDescent="0.3">
      <c r="J175" s="126">
        <f t="shared" si="2"/>
        <v>0</v>
      </c>
      <c r="M175" s="72"/>
    </row>
    <row r="176" spans="10:13" x14ac:dyDescent="0.3">
      <c r="J176" s="126">
        <f t="shared" si="2"/>
        <v>0</v>
      </c>
      <c r="M176" s="72"/>
    </row>
    <row r="177" spans="10:13" x14ac:dyDescent="0.3">
      <c r="J177" s="126">
        <f t="shared" si="2"/>
        <v>0</v>
      </c>
      <c r="M177" s="72"/>
    </row>
    <row r="178" spans="10:13" x14ac:dyDescent="0.3">
      <c r="J178" s="126">
        <f t="shared" si="2"/>
        <v>0</v>
      </c>
      <c r="M178" s="72"/>
    </row>
    <row r="179" spans="10:13" x14ac:dyDescent="0.3">
      <c r="J179" s="126">
        <f t="shared" si="2"/>
        <v>0</v>
      </c>
      <c r="M179" s="72"/>
    </row>
    <row r="180" spans="10:13" x14ac:dyDescent="0.3">
      <c r="J180" s="126">
        <f t="shared" si="2"/>
        <v>0</v>
      </c>
      <c r="M180" s="72"/>
    </row>
    <row r="181" spans="10:13" x14ac:dyDescent="0.3">
      <c r="J181" s="126">
        <f t="shared" si="2"/>
        <v>0</v>
      </c>
      <c r="M181" s="72"/>
    </row>
    <row r="182" spans="10:13" x14ac:dyDescent="0.3">
      <c r="J182" s="126">
        <f t="shared" si="2"/>
        <v>0</v>
      </c>
      <c r="M182" s="72"/>
    </row>
    <row r="183" spans="10:13" x14ac:dyDescent="0.3">
      <c r="J183" s="126">
        <f t="shared" si="2"/>
        <v>0</v>
      </c>
      <c r="M183" s="72"/>
    </row>
    <row r="184" spans="10:13" x14ac:dyDescent="0.3">
      <c r="J184" s="126">
        <f t="shared" si="2"/>
        <v>0</v>
      </c>
      <c r="M184" s="72"/>
    </row>
    <row r="185" spans="10:13" x14ac:dyDescent="0.3">
      <c r="J185" s="126">
        <f t="shared" si="2"/>
        <v>0</v>
      </c>
      <c r="M185" s="72"/>
    </row>
    <row r="186" spans="10:13" x14ac:dyDescent="0.3">
      <c r="J186" s="126">
        <f t="shared" si="2"/>
        <v>0</v>
      </c>
      <c r="M186" s="72"/>
    </row>
    <row r="187" spans="10:13" x14ac:dyDescent="0.3">
      <c r="J187" s="126">
        <f t="shared" si="2"/>
        <v>0</v>
      </c>
      <c r="M187" s="72"/>
    </row>
    <row r="188" spans="10:13" x14ac:dyDescent="0.3">
      <c r="J188" s="126">
        <f t="shared" si="2"/>
        <v>0</v>
      </c>
      <c r="M188" s="72"/>
    </row>
    <row r="189" spans="10:13" x14ac:dyDescent="0.3">
      <c r="J189" s="126">
        <f t="shared" si="2"/>
        <v>0</v>
      </c>
      <c r="M189" s="72"/>
    </row>
    <row r="190" spans="10:13" x14ac:dyDescent="0.3">
      <c r="J190" s="126">
        <f t="shared" si="2"/>
        <v>0</v>
      </c>
      <c r="M190" s="72"/>
    </row>
    <row r="191" spans="10:13" x14ac:dyDescent="0.3">
      <c r="J191" s="126">
        <f t="shared" si="2"/>
        <v>0</v>
      </c>
      <c r="M191" s="72"/>
    </row>
    <row r="192" spans="10:13" x14ac:dyDescent="0.3">
      <c r="J192" s="126">
        <f t="shared" si="2"/>
        <v>0</v>
      </c>
      <c r="M192" s="72"/>
    </row>
    <row r="193" spans="10:13" x14ac:dyDescent="0.3">
      <c r="J193" s="126">
        <f t="shared" si="2"/>
        <v>0</v>
      </c>
      <c r="M193" s="72"/>
    </row>
    <row r="194" spans="10:13" x14ac:dyDescent="0.3">
      <c r="J194" s="126">
        <f t="shared" si="2"/>
        <v>0</v>
      </c>
      <c r="M194" s="72"/>
    </row>
    <row r="195" spans="10:13" x14ac:dyDescent="0.3">
      <c r="J195" s="126">
        <f t="shared" si="2"/>
        <v>0</v>
      </c>
      <c r="M195" s="72"/>
    </row>
    <row r="196" spans="10:13" x14ac:dyDescent="0.3">
      <c r="J196" s="126">
        <f t="shared" si="2"/>
        <v>0</v>
      </c>
      <c r="M196" s="72"/>
    </row>
    <row r="197" spans="10:13" x14ac:dyDescent="0.3">
      <c r="J197" s="126">
        <f t="shared" ref="J197:J260" si="3">E197</f>
        <v>0</v>
      </c>
      <c r="M197" s="72"/>
    </row>
    <row r="198" spans="10:13" x14ac:dyDescent="0.3">
      <c r="J198" s="126">
        <f t="shared" si="3"/>
        <v>0</v>
      </c>
      <c r="M198" s="72"/>
    </row>
    <row r="199" spans="10:13" x14ac:dyDescent="0.3">
      <c r="J199" s="126">
        <f t="shared" si="3"/>
        <v>0</v>
      </c>
      <c r="M199" s="72"/>
    </row>
    <row r="200" spans="10:13" x14ac:dyDescent="0.3">
      <c r="J200" s="126">
        <f t="shared" si="3"/>
        <v>0</v>
      </c>
      <c r="M200" s="72"/>
    </row>
    <row r="201" spans="10:13" x14ac:dyDescent="0.3">
      <c r="J201" s="126">
        <f t="shared" si="3"/>
        <v>0</v>
      </c>
      <c r="M201" s="72"/>
    </row>
    <row r="202" spans="10:13" x14ac:dyDescent="0.3">
      <c r="J202" s="126">
        <f t="shared" si="3"/>
        <v>0</v>
      </c>
      <c r="M202" s="72"/>
    </row>
    <row r="203" spans="10:13" x14ac:dyDescent="0.3">
      <c r="J203" s="126">
        <f t="shared" si="3"/>
        <v>0</v>
      </c>
      <c r="M203" s="72"/>
    </row>
    <row r="204" spans="10:13" x14ac:dyDescent="0.3">
      <c r="J204" s="126">
        <f t="shared" si="3"/>
        <v>0</v>
      </c>
      <c r="M204" s="72"/>
    </row>
    <row r="205" spans="10:13" x14ac:dyDescent="0.3">
      <c r="J205" s="126">
        <f t="shared" si="3"/>
        <v>0</v>
      </c>
      <c r="M205" s="72"/>
    </row>
    <row r="206" spans="10:13" x14ac:dyDescent="0.3">
      <c r="J206" s="126">
        <f t="shared" si="3"/>
        <v>0</v>
      </c>
      <c r="M206" s="72"/>
    </row>
    <row r="207" spans="10:13" x14ac:dyDescent="0.3">
      <c r="J207" s="126">
        <f t="shared" si="3"/>
        <v>0</v>
      </c>
      <c r="M207" s="72"/>
    </row>
    <row r="208" spans="10:13" x14ac:dyDescent="0.3">
      <c r="J208" s="126">
        <f t="shared" si="3"/>
        <v>0</v>
      </c>
    </row>
    <row r="209" spans="10:10" x14ac:dyDescent="0.3">
      <c r="J209" s="126">
        <f t="shared" si="3"/>
        <v>0</v>
      </c>
    </row>
    <row r="210" spans="10:10" x14ac:dyDescent="0.3">
      <c r="J210" s="126">
        <f t="shared" si="3"/>
        <v>0</v>
      </c>
    </row>
    <row r="211" spans="10:10" x14ac:dyDescent="0.3">
      <c r="J211" s="126">
        <f t="shared" si="3"/>
        <v>0</v>
      </c>
    </row>
    <row r="212" spans="10:10" x14ac:dyDescent="0.3">
      <c r="J212" s="126">
        <f t="shared" si="3"/>
        <v>0</v>
      </c>
    </row>
    <row r="213" spans="10:10" x14ac:dyDescent="0.3">
      <c r="J213" s="126">
        <f t="shared" si="3"/>
        <v>0</v>
      </c>
    </row>
    <row r="214" spans="10:10" x14ac:dyDescent="0.3">
      <c r="J214" s="126">
        <f t="shared" si="3"/>
        <v>0</v>
      </c>
    </row>
    <row r="215" spans="10:10" x14ac:dyDescent="0.3">
      <c r="J215" s="126">
        <f t="shared" si="3"/>
        <v>0</v>
      </c>
    </row>
    <row r="216" spans="10:10" x14ac:dyDescent="0.3">
      <c r="J216" s="126">
        <f t="shared" si="3"/>
        <v>0</v>
      </c>
    </row>
    <row r="217" spans="10:10" x14ac:dyDescent="0.3">
      <c r="J217" s="126">
        <f t="shared" si="3"/>
        <v>0</v>
      </c>
    </row>
    <row r="218" spans="10:10" x14ac:dyDescent="0.3">
      <c r="J218" s="126">
        <f t="shared" si="3"/>
        <v>0</v>
      </c>
    </row>
    <row r="219" spans="10:10" x14ac:dyDescent="0.3">
      <c r="J219" s="126">
        <f t="shared" si="3"/>
        <v>0</v>
      </c>
    </row>
    <row r="220" spans="10:10" x14ac:dyDescent="0.3">
      <c r="J220" s="126">
        <f t="shared" si="3"/>
        <v>0</v>
      </c>
    </row>
    <row r="221" spans="10:10" x14ac:dyDescent="0.3">
      <c r="J221" s="126">
        <f t="shared" si="3"/>
        <v>0</v>
      </c>
    </row>
    <row r="222" spans="10:10" x14ac:dyDescent="0.3">
      <c r="J222" s="126">
        <f t="shared" si="3"/>
        <v>0</v>
      </c>
    </row>
    <row r="223" spans="10:10" x14ac:dyDescent="0.3">
      <c r="J223" s="126">
        <f t="shared" si="3"/>
        <v>0</v>
      </c>
    </row>
    <row r="224" spans="10:10" x14ac:dyDescent="0.3">
      <c r="J224" s="126">
        <f t="shared" si="3"/>
        <v>0</v>
      </c>
    </row>
    <row r="225" spans="10:10" x14ac:dyDescent="0.3">
      <c r="J225" s="126">
        <f t="shared" si="3"/>
        <v>0</v>
      </c>
    </row>
    <row r="226" spans="10:10" x14ac:dyDescent="0.3">
      <c r="J226" s="126">
        <f t="shared" si="3"/>
        <v>0</v>
      </c>
    </row>
    <row r="227" spans="10:10" x14ac:dyDescent="0.3">
      <c r="J227" s="126">
        <f t="shared" si="3"/>
        <v>0</v>
      </c>
    </row>
    <row r="228" spans="10:10" x14ac:dyDescent="0.3">
      <c r="J228" s="126">
        <f t="shared" si="3"/>
        <v>0</v>
      </c>
    </row>
    <row r="229" spans="10:10" x14ac:dyDescent="0.3">
      <c r="J229" s="126">
        <f t="shared" si="3"/>
        <v>0</v>
      </c>
    </row>
    <row r="230" spans="10:10" x14ac:dyDescent="0.3">
      <c r="J230" s="126">
        <f t="shared" si="3"/>
        <v>0</v>
      </c>
    </row>
    <row r="231" spans="10:10" x14ac:dyDescent="0.3">
      <c r="J231" s="126">
        <f t="shared" si="3"/>
        <v>0</v>
      </c>
    </row>
    <row r="232" spans="10:10" x14ac:dyDescent="0.3">
      <c r="J232" s="126">
        <f t="shared" si="3"/>
        <v>0</v>
      </c>
    </row>
    <row r="233" spans="10:10" x14ac:dyDescent="0.3">
      <c r="J233" s="126">
        <f t="shared" si="3"/>
        <v>0</v>
      </c>
    </row>
    <row r="234" spans="10:10" x14ac:dyDescent="0.3">
      <c r="J234" s="126">
        <f t="shared" si="3"/>
        <v>0</v>
      </c>
    </row>
    <row r="235" spans="10:10" x14ac:dyDescent="0.3">
      <c r="J235" s="126">
        <f t="shared" si="3"/>
        <v>0</v>
      </c>
    </row>
    <row r="236" spans="10:10" x14ac:dyDescent="0.3">
      <c r="J236" s="126">
        <f t="shared" si="3"/>
        <v>0</v>
      </c>
    </row>
    <row r="237" spans="10:10" x14ac:dyDescent="0.3">
      <c r="J237" s="126">
        <f t="shared" si="3"/>
        <v>0</v>
      </c>
    </row>
    <row r="238" spans="10:10" x14ac:dyDescent="0.3">
      <c r="J238" s="126">
        <f t="shared" si="3"/>
        <v>0</v>
      </c>
    </row>
    <row r="239" spans="10:10" x14ac:dyDescent="0.3">
      <c r="J239" s="126">
        <f t="shared" si="3"/>
        <v>0</v>
      </c>
    </row>
    <row r="240" spans="10:10" x14ac:dyDescent="0.3">
      <c r="J240" s="126">
        <f t="shared" si="3"/>
        <v>0</v>
      </c>
    </row>
    <row r="241" spans="10:10" x14ac:dyDescent="0.3">
      <c r="J241" s="126">
        <f t="shared" si="3"/>
        <v>0</v>
      </c>
    </row>
    <row r="242" spans="10:10" x14ac:dyDescent="0.3">
      <c r="J242" s="126">
        <f t="shared" si="3"/>
        <v>0</v>
      </c>
    </row>
    <row r="243" spans="10:10" x14ac:dyDescent="0.3">
      <c r="J243" s="126">
        <f t="shared" si="3"/>
        <v>0</v>
      </c>
    </row>
    <row r="244" spans="10:10" x14ac:dyDescent="0.3">
      <c r="J244" s="126">
        <f t="shared" si="3"/>
        <v>0</v>
      </c>
    </row>
    <row r="245" spans="10:10" x14ac:dyDescent="0.3">
      <c r="J245" s="126">
        <f t="shared" si="3"/>
        <v>0</v>
      </c>
    </row>
    <row r="246" spans="10:10" x14ac:dyDescent="0.3">
      <c r="J246" s="126">
        <f t="shared" si="3"/>
        <v>0</v>
      </c>
    </row>
    <row r="247" spans="10:10" x14ac:dyDescent="0.3">
      <c r="J247" s="126">
        <f t="shared" si="3"/>
        <v>0</v>
      </c>
    </row>
    <row r="248" spans="10:10" x14ac:dyDescent="0.3">
      <c r="J248" s="126">
        <f t="shared" si="3"/>
        <v>0</v>
      </c>
    </row>
    <row r="249" spans="10:10" x14ac:dyDescent="0.3">
      <c r="J249" s="126">
        <f t="shared" si="3"/>
        <v>0</v>
      </c>
    </row>
    <row r="250" spans="10:10" x14ac:dyDescent="0.3">
      <c r="J250" s="126">
        <f t="shared" si="3"/>
        <v>0</v>
      </c>
    </row>
    <row r="251" spans="10:10" x14ac:dyDescent="0.3">
      <c r="J251" s="126">
        <f t="shared" si="3"/>
        <v>0</v>
      </c>
    </row>
    <row r="252" spans="10:10" x14ac:dyDescent="0.3">
      <c r="J252" s="126">
        <f t="shared" si="3"/>
        <v>0</v>
      </c>
    </row>
    <row r="253" spans="10:10" x14ac:dyDescent="0.3">
      <c r="J253" s="126">
        <f t="shared" si="3"/>
        <v>0</v>
      </c>
    </row>
    <row r="254" spans="10:10" x14ac:dyDescent="0.3">
      <c r="J254" s="126">
        <f t="shared" si="3"/>
        <v>0</v>
      </c>
    </row>
    <row r="255" spans="10:10" x14ac:dyDescent="0.3">
      <c r="J255" s="126">
        <f t="shared" si="3"/>
        <v>0</v>
      </c>
    </row>
    <row r="256" spans="10:10" x14ac:dyDescent="0.3">
      <c r="J256" s="126">
        <f t="shared" si="3"/>
        <v>0</v>
      </c>
    </row>
    <row r="257" spans="10:10" x14ac:dyDescent="0.3">
      <c r="J257" s="126">
        <f t="shared" si="3"/>
        <v>0</v>
      </c>
    </row>
    <row r="258" spans="10:10" x14ac:dyDescent="0.3">
      <c r="J258" s="126">
        <f t="shared" si="3"/>
        <v>0</v>
      </c>
    </row>
    <row r="259" spans="10:10" x14ac:dyDescent="0.3">
      <c r="J259" s="126">
        <f t="shared" si="3"/>
        <v>0</v>
      </c>
    </row>
    <row r="260" spans="10:10" x14ac:dyDescent="0.3">
      <c r="J260" s="126">
        <f t="shared" si="3"/>
        <v>0</v>
      </c>
    </row>
    <row r="261" spans="10:10" x14ac:dyDescent="0.3">
      <c r="J261" s="126">
        <f t="shared" ref="J261:J324" si="4">E261</f>
        <v>0</v>
      </c>
    </row>
    <row r="262" spans="10:10" x14ac:dyDescent="0.3">
      <c r="J262" s="126">
        <f t="shared" si="4"/>
        <v>0</v>
      </c>
    </row>
    <row r="263" spans="10:10" x14ac:dyDescent="0.3">
      <c r="J263" s="126">
        <f t="shared" si="4"/>
        <v>0</v>
      </c>
    </row>
    <row r="264" spans="10:10" x14ac:dyDescent="0.3">
      <c r="J264" s="126">
        <f t="shared" si="4"/>
        <v>0</v>
      </c>
    </row>
    <row r="265" spans="10:10" x14ac:dyDescent="0.3">
      <c r="J265" s="126">
        <f t="shared" si="4"/>
        <v>0</v>
      </c>
    </row>
    <row r="266" spans="10:10" x14ac:dyDescent="0.3">
      <c r="J266" s="126">
        <f t="shared" si="4"/>
        <v>0</v>
      </c>
    </row>
    <row r="267" spans="10:10" x14ac:dyDescent="0.3">
      <c r="J267" s="126">
        <f t="shared" si="4"/>
        <v>0</v>
      </c>
    </row>
    <row r="268" spans="10:10" x14ac:dyDescent="0.3">
      <c r="J268" s="126">
        <f t="shared" si="4"/>
        <v>0</v>
      </c>
    </row>
    <row r="269" spans="10:10" x14ac:dyDescent="0.3">
      <c r="J269" s="126">
        <f t="shared" si="4"/>
        <v>0</v>
      </c>
    </row>
    <row r="270" spans="10:10" x14ac:dyDescent="0.3">
      <c r="J270" s="126">
        <f t="shared" si="4"/>
        <v>0</v>
      </c>
    </row>
    <row r="271" spans="10:10" x14ac:dyDescent="0.3">
      <c r="J271" s="126">
        <f t="shared" si="4"/>
        <v>0</v>
      </c>
    </row>
    <row r="272" spans="10:10" x14ac:dyDescent="0.3">
      <c r="J272" s="126">
        <f t="shared" si="4"/>
        <v>0</v>
      </c>
    </row>
    <row r="273" spans="10:10" x14ac:dyDescent="0.3">
      <c r="J273" s="126">
        <f t="shared" si="4"/>
        <v>0</v>
      </c>
    </row>
    <row r="274" spans="10:10" x14ac:dyDescent="0.3">
      <c r="J274" s="126">
        <f t="shared" si="4"/>
        <v>0</v>
      </c>
    </row>
    <row r="275" spans="10:10" x14ac:dyDescent="0.3">
      <c r="J275" s="126">
        <f t="shared" si="4"/>
        <v>0</v>
      </c>
    </row>
    <row r="276" spans="10:10" x14ac:dyDescent="0.3">
      <c r="J276" s="126">
        <f t="shared" si="4"/>
        <v>0</v>
      </c>
    </row>
    <row r="277" spans="10:10" x14ac:dyDescent="0.3">
      <c r="J277" s="126">
        <f t="shared" si="4"/>
        <v>0</v>
      </c>
    </row>
    <row r="278" spans="10:10" x14ac:dyDescent="0.3">
      <c r="J278" s="126">
        <f t="shared" si="4"/>
        <v>0</v>
      </c>
    </row>
    <row r="279" spans="10:10" x14ac:dyDescent="0.3">
      <c r="J279" s="126">
        <f t="shared" si="4"/>
        <v>0</v>
      </c>
    </row>
    <row r="280" spans="10:10" x14ac:dyDescent="0.3">
      <c r="J280" s="126">
        <f t="shared" si="4"/>
        <v>0</v>
      </c>
    </row>
    <row r="281" spans="10:10" x14ac:dyDescent="0.3">
      <c r="J281" s="126">
        <f t="shared" si="4"/>
        <v>0</v>
      </c>
    </row>
    <row r="282" spans="10:10" x14ac:dyDescent="0.3">
      <c r="J282" s="126">
        <f t="shared" si="4"/>
        <v>0</v>
      </c>
    </row>
    <row r="283" spans="10:10" x14ac:dyDescent="0.3">
      <c r="J283" s="126">
        <f t="shared" si="4"/>
        <v>0</v>
      </c>
    </row>
    <row r="284" spans="10:10" x14ac:dyDescent="0.3">
      <c r="J284" s="126">
        <f t="shared" si="4"/>
        <v>0</v>
      </c>
    </row>
    <row r="285" spans="10:10" x14ac:dyDescent="0.3">
      <c r="J285" s="126">
        <f t="shared" si="4"/>
        <v>0</v>
      </c>
    </row>
    <row r="286" spans="10:10" x14ac:dyDescent="0.3">
      <c r="J286" s="126">
        <f t="shared" si="4"/>
        <v>0</v>
      </c>
    </row>
    <row r="287" spans="10:10" x14ac:dyDescent="0.3">
      <c r="J287" s="126">
        <f t="shared" si="4"/>
        <v>0</v>
      </c>
    </row>
    <row r="288" spans="10:10" x14ac:dyDescent="0.3">
      <c r="J288" s="126">
        <f t="shared" si="4"/>
        <v>0</v>
      </c>
    </row>
    <row r="289" spans="10:10" x14ac:dyDescent="0.3">
      <c r="J289" s="126">
        <f t="shared" si="4"/>
        <v>0</v>
      </c>
    </row>
    <row r="290" spans="10:10" x14ac:dyDescent="0.3">
      <c r="J290" s="126">
        <f t="shared" si="4"/>
        <v>0</v>
      </c>
    </row>
    <row r="291" spans="10:10" x14ac:dyDescent="0.3">
      <c r="J291" s="126">
        <f t="shared" si="4"/>
        <v>0</v>
      </c>
    </row>
    <row r="292" spans="10:10" x14ac:dyDescent="0.3">
      <c r="J292" s="126">
        <f t="shared" si="4"/>
        <v>0</v>
      </c>
    </row>
    <row r="293" spans="10:10" x14ac:dyDescent="0.3">
      <c r="J293" s="126">
        <f t="shared" si="4"/>
        <v>0</v>
      </c>
    </row>
    <row r="294" spans="10:10" x14ac:dyDescent="0.3">
      <c r="J294" s="126">
        <f t="shared" si="4"/>
        <v>0</v>
      </c>
    </row>
    <row r="295" spans="10:10" x14ac:dyDescent="0.3">
      <c r="J295" s="126">
        <f t="shared" si="4"/>
        <v>0</v>
      </c>
    </row>
    <row r="296" spans="10:10" x14ac:dyDescent="0.3">
      <c r="J296" s="126">
        <f t="shared" si="4"/>
        <v>0</v>
      </c>
    </row>
    <row r="297" spans="10:10" x14ac:dyDescent="0.3">
      <c r="J297" s="126">
        <f t="shared" si="4"/>
        <v>0</v>
      </c>
    </row>
    <row r="298" spans="10:10" x14ac:dyDescent="0.3">
      <c r="J298" s="126">
        <f t="shared" si="4"/>
        <v>0</v>
      </c>
    </row>
    <row r="299" spans="10:10" x14ac:dyDescent="0.3">
      <c r="J299" s="126">
        <f t="shared" si="4"/>
        <v>0</v>
      </c>
    </row>
    <row r="300" spans="10:10" x14ac:dyDescent="0.3">
      <c r="J300" s="126">
        <f t="shared" si="4"/>
        <v>0</v>
      </c>
    </row>
    <row r="301" spans="10:10" x14ac:dyDescent="0.3">
      <c r="J301" s="126">
        <f t="shared" si="4"/>
        <v>0</v>
      </c>
    </row>
    <row r="302" spans="10:10" x14ac:dyDescent="0.3">
      <c r="J302" s="126">
        <f t="shared" si="4"/>
        <v>0</v>
      </c>
    </row>
    <row r="303" spans="10:10" x14ac:dyDescent="0.3">
      <c r="J303" s="126">
        <f t="shared" si="4"/>
        <v>0</v>
      </c>
    </row>
    <row r="304" spans="10:10" x14ac:dyDescent="0.3">
      <c r="J304" s="126">
        <f t="shared" si="4"/>
        <v>0</v>
      </c>
    </row>
    <row r="305" spans="10:10" x14ac:dyDescent="0.3">
      <c r="J305" s="126">
        <f t="shared" si="4"/>
        <v>0</v>
      </c>
    </row>
    <row r="306" spans="10:10" x14ac:dyDescent="0.3">
      <c r="J306" s="126">
        <f t="shared" si="4"/>
        <v>0</v>
      </c>
    </row>
    <row r="307" spans="10:10" x14ac:dyDescent="0.3">
      <c r="J307" s="126">
        <f t="shared" si="4"/>
        <v>0</v>
      </c>
    </row>
    <row r="308" spans="10:10" x14ac:dyDescent="0.3">
      <c r="J308" s="126">
        <f t="shared" si="4"/>
        <v>0</v>
      </c>
    </row>
    <row r="309" spans="10:10" x14ac:dyDescent="0.3">
      <c r="J309" s="126">
        <f t="shared" si="4"/>
        <v>0</v>
      </c>
    </row>
    <row r="310" spans="10:10" x14ac:dyDescent="0.3">
      <c r="J310" s="126">
        <f t="shared" si="4"/>
        <v>0</v>
      </c>
    </row>
    <row r="311" spans="10:10" x14ac:dyDescent="0.3">
      <c r="J311" s="126">
        <f t="shared" si="4"/>
        <v>0</v>
      </c>
    </row>
    <row r="312" spans="10:10" x14ac:dyDescent="0.3">
      <c r="J312" s="126">
        <f t="shared" si="4"/>
        <v>0</v>
      </c>
    </row>
    <row r="313" spans="10:10" x14ac:dyDescent="0.3">
      <c r="J313" s="126">
        <f t="shared" si="4"/>
        <v>0</v>
      </c>
    </row>
    <row r="314" spans="10:10" x14ac:dyDescent="0.3">
      <c r="J314" s="126">
        <f t="shared" si="4"/>
        <v>0</v>
      </c>
    </row>
    <row r="315" spans="10:10" x14ac:dyDescent="0.3">
      <c r="J315" s="126">
        <f t="shared" si="4"/>
        <v>0</v>
      </c>
    </row>
    <row r="316" spans="10:10" x14ac:dyDescent="0.3">
      <c r="J316" s="126">
        <f t="shared" si="4"/>
        <v>0</v>
      </c>
    </row>
    <row r="317" spans="10:10" x14ac:dyDescent="0.3">
      <c r="J317" s="126">
        <f t="shared" si="4"/>
        <v>0</v>
      </c>
    </row>
    <row r="318" spans="10:10" x14ac:dyDescent="0.3">
      <c r="J318" s="126">
        <f t="shared" si="4"/>
        <v>0</v>
      </c>
    </row>
    <row r="319" spans="10:10" x14ac:dyDescent="0.3">
      <c r="J319" s="126">
        <f t="shared" si="4"/>
        <v>0</v>
      </c>
    </row>
    <row r="320" spans="10:10" x14ac:dyDescent="0.3">
      <c r="J320" s="126">
        <f t="shared" si="4"/>
        <v>0</v>
      </c>
    </row>
    <row r="321" spans="10:10" x14ac:dyDescent="0.3">
      <c r="J321" s="126">
        <f t="shared" si="4"/>
        <v>0</v>
      </c>
    </row>
    <row r="322" spans="10:10" x14ac:dyDescent="0.3">
      <c r="J322" s="126">
        <f t="shared" si="4"/>
        <v>0</v>
      </c>
    </row>
    <row r="323" spans="10:10" x14ac:dyDescent="0.3">
      <c r="J323" s="126">
        <f t="shared" si="4"/>
        <v>0</v>
      </c>
    </row>
    <row r="324" spans="10:10" x14ac:dyDescent="0.3">
      <c r="J324" s="126">
        <f t="shared" si="4"/>
        <v>0</v>
      </c>
    </row>
  </sheetData>
  <mergeCells count="1">
    <mergeCell ref="B1:E1"/>
  </mergeCells>
  <conditionalFormatting sqref="G111 G73 G78:G83 G116:G117">
    <cfRule type="duplicateValues" dxfId="87" priority="3"/>
  </conditionalFormatting>
  <conditionalFormatting sqref="M158">
    <cfRule type="duplicateValues" dxfId="86" priority="1"/>
  </conditionalFormatting>
  <conditionalFormatting sqref="M158:M207">
    <cfRule type="duplicateValues" dxfId="85" priority="2"/>
  </conditionalFormatting>
  <conditionalFormatting sqref="Q9 G37:G38 G40 G45:G50 G62 G67:G68">
    <cfRule type="duplicateValues" dxfId="84" priority="4"/>
  </conditionalFormatting>
  <pageMargins left="0.75" right="0.75" top="1" bottom="1" header="0.5" footer="0.5"/>
  <pageSetup paperSize="9" orientation="portrait" r:id="rId1"/>
  <headerFooter alignWithMargins="0">
    <oddHeader>&amp;C&amp;"Calibri"&amp;10&amp;KFF0000 CONFIDENTIAL&amp;1#_x000D_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9AF14-B697-4307-9706-AFCE181BE23E}">
  <sheetPr codeName="Sheet25"/>
  <dimension ref="A1:N324"/>
  <sheetViews>
    <sheetView topLeftCell="A134" zoomScaleNormal="100" workbookViewId="0">
      <selection activeCell="C150" sqref="C150"/>
    </sheetView>
  </sheetViews>
  <sheetFormatPr defaultColWidth="8.54296875" defaultRowHeight="13" x14ac:dyDescent="0.3"/>
  <cols>
    <col min="1" max="1" width="4.54296875" style="3" bestFit="1" customWidth="1"/>
    <col min="2" max="2" width="44.1796875" style="1" bestFit="1" customWidth="1"/>
    <col min="3" max="3" width="15.26953125" style="2" bestFit="1" customWidth="1"/>
    <col min="4" max="4" width="11.54296875" style="2" customWidth="1"/>
    <col min="5" max="5" width="9.54296875" style="2" bestFit="1" customWidth="1"/>
    <col min="6" max="6" width="21.453125" style="2" bestFit="1" customWidth="1"/>
    <col min="7" max="7" width="20.54296875" style="2" bestFit="1" customWidth="1"/>
    <col min="8" max="9" width="12" style="1" hidden="1" customWidth="1"/>
    <col min="10" max="10" width="11.54296875" style="1" bestFit="1" customWidth="1"/>
    <col min="12" max="12" width="20.26953125" customWidth="1"/>
  </cols>
  <sheetData>
    <row r="1" spans="1:12" x14ac:dyDescent="0.3">
      <c r="A1" s="18"/>
      <c r="B1" s="219" t="s">
        <v>8</v>
      </c>
      <c r="C1" s="220"/>
      <c r="D1" s="220"/>
      <c r="E1" s="221"/>
      <c r="F1" s="15"/>
      <c r="G1" s="15"/>
      <c r="J1" s="46"/>
    </row>
    <row r="2" spans="1:12" x14ac:dyDescent="0.3">
      <c r="A2" s="17" t="s">
        <v>7</v>
      </c>
      <c r="B2" s="16">
        <v>45838.625</v>
      </c>
      <c r="C2" s="16">
        <v>45838.958333333336</v>
      </c>
      <c r="D2" s="15"/>
      <c r="E2" s="15"/>
      <c r="F2" s="15"/>
      <c r="G2" s="15"/>
    </row>
    <row r="3" spans="1:12" s="11" customFormat="1" x14ac:dyDescent="0.25">
      <c r="A3" s="13" t="s">
        <v>6</v>
      </c>
      <c r="B3" s="13" t="s">
        <v>5</v>
      </c>
      <c r="C3" s="13" t="s">
        <v>4</v>
      </c>
      <c r="D3" s="14" t="s">
        <v>3</v>
      </c>
      <c r="E3" s="13" t="s">
        <v>2</v>
      </c>
      <c r="F3" s="13" t="s">
        <v>1</v>
      </c>
      <c r="G3" s="13" t="s">
        <v>0</v>
      </c>
      <c r="H3" s="12"/>
      <c r="I3" s="12"/>
      <c r="J3" s="12"/>
    </row>
    <row r="4" spans="1:12" ht="12.5" x14ac:dyDescent="0.25">
      <c r="A4" s="5"/>
      <c r="B4" s="71" t="s">
        <v>238</v>
      </c>
      <c r="C4" s="127">
        <v>1955824.75</v>
      </c>
      <c r="D4" s="127">
        <v>1964441.75</v>
      </c>
      <c r="E4" s="127">
        <v>8617</v>
      </c>
      <c r="F4" s="8">
        <v>0</v>
      </c>
      <c r="H4" s="10"/>
      <c r="J4" s="126">
        <f>E4*0.001</f>
        <v>8.6170000000000009</v>
      </c>
      <c r="L4" t="s">
        <v>508</v>
      </c>
    </row>
    <row r="5" spans="1:12" ht="12.5" x14ac:dyDescent="0.25">
      <c r="A5" s="5"/>
      <c r="B5" s="72" t="s">
        <v>239</v>
      </c>
      <c r="C5" s="127">
        <v>457.25544600000001</v>
      </c>
      <c r="D5" s="127">
        <v>457.25544600000001</v>
      </c>
      <c r="E5" s="127">
        <v>0</v>
      </c>
      <c r="F5" s="8">
        <v>0</v>
      </c>
      <c r="H5" s="10"/>
      <c r="J5" s="126">
        <f t="shared" ref="J5:J68" si="0">E5</f>
        <v>0</v>
      </c>
      <c r="L5" t="s">
        <v>509</v>
      </c>
    </row>
    <row r="6" spans="1:12" ht="12.5" x14ac:dyDescent="0.25">
      <c r="A6" s="5"/>
      <c r="B6" s="72" t="s">
        <v>240</v>
      </c>
      <c r="C6" s="127">
        <v>664.57996400000002</v>
      </c>
      <c r="D6" s="127">
        <v>667.67336400000011</v>
      </c>
      <c r="E6" s="127">
        <v>3.0934000000000879</v>
      </c>
      <c r="F6" s="8">
        <v>0</v>
      </c>
      <c r="H6" s="10"/>
      <c r="J6" s="126">
        <f t="shared" si="0"/>
        <v>3.0934000000000879</v>
      </c>
      <c r="L6" t="s">
        <v>510</v>
      </c>
    </row>
    <row r="7" spans="1:12" ht="12.5" x14ac:dyDescent="0.25">
      <c r="A7" s="5"/>
      <c r="B7" s="72" t="s">
        <v>241</v>
      </c>
      <c r="C7" s="127">
        <v>433.18061800000004</v>
      </c>
      <c r="D7" s="127">
        <v>435.78276099999999</v>
      </c>
      <c r="E7" s="127">
        <v>2.6021429999999555</v>
      </c>
      <c r="F7" s="8">
        <v>0</v>
      </c>
      <c r="H7" s="10"/>
      <c r="J7" s="126">
        <f t="shared" si="0"/>
        <v>2.6021429999999555</v>
      </c>
      <c r="L7" t="s">
        <v>511</v>
      </c>
    </row>
    <row r="8" spans="1:12" ht="12.5" x14ac:dyDescent="0.25">
      <c r="A8" s="5"/>
      <c r="B8" s="72" t="s">
        <v>242</v>
      </c>
      <c r="C8" s="127">
        <v>456.28189600000002</v>
      </c>
      <c r="D8" s="127">
        <v>459.21040600000003</v>
      </c>
      <c r="E8" s="127">
        <v>2.928510000000017</v>
      </c>
      <c r="F8" s="8">
        <v>0</v>
      </c>
      <c r="H8" s="10"/>
      <c r="J8" s="126">
        <f t="shared" si="0"/>
        <v>2.928510000000017</v>
      </c>
      <c r="L8" t="s">
        <v>512</v>
      </c>
    </row>
    <row r="9" spans="1:12" ht="12.5" x14ac:dyDescent="0.25">
      <c r="A9" s="5"/>
      <c r="B9" s="72" t="s">
        <v>243</v>
      </c>
      <c r="C9" s="127">
        <v>40.003732999999997</v>
      </c>
      <c r="D9" s="127">
        <v>40.003732999999997</v>
      </c>
      <c r="E9" s="127">
        <v>0</v>
      </c>
      <c r="F9" s="8">
        <v>0</v>
      </c>
      <c r="H9" s="10"/>
      <c r="J9" s="126">
        <f t="shared" si="0"/>
        <v>0</v>
      </c>
      <c r="L9" t="s">
        <v>513</v>
      </c>
    </row>
    <row r="10" spans="1:12" ht="12.5" x14ac:dyDescent="0.25">
      <c r="A10" s="5"/>
      <c r="B10" s="72" t="s">
        <v>248</v>
      </c>
      <c r="C10" s="127">
        <v>9.869269000000001</v>
      </c>
      <c r="D10" s="127">
        <v>9.869269000000001</v>
      </c>
      <c r="E10" s="127">
        <v>0</v>
      </c>
      <c r="F10" s="8">
        <v>0</v>
      </c>
      <c r="H10" s="10"/>
      <c r="J10" s="126">
        <f t="shared" si="0"/>
        <v>0</v>
      </c>
      <c r="L10" t="s">
        <v>514</v>
      </c>
    </row>
    <row r="11" spans="1:12" ht="12.5" x14ac:dyDescent="0.25">
      <c r="A11" s="5"/>
      <c r="B11" s="72" t="s">
        <v>247</v>
      </c>
      <c r="C11" s="127">
        <v>10.170618000000001</v>
      </c>
      <c r="D11" s="127">
        <v>10.170618000000001</v>
      </c>
      <c r="E11" s="127">
        <v>0</v>
      </c>
      <c r="F11" s="8">
        <v>0</v>
      </c>
      <c r="H11" s="10"/>
      <c r="J11" s="126">
        <f t="shared" si="0"/>
        <v>0</v>
      </c>
      <c r="L11" t="s">
        <v>515</v>
      </c>
    </row>
    <row r="12" spans="1:12" ht="12.5" x14ac:dyDescent="0.25">
      <c r="A12" s="5"/>
      <c r="B12" s="72" t="s">
        <v>246</v>
      </c>
      <c r="C12" s="127">
        <v>2.942987</v>
      </c>
      <c r="D12" s="127">
        <v>2.942987</v>
      </c>
      <c r="E12" s="127">
        <v>0</v>
      </c>
      <c r="F12" s="8">
        <v>0</v>
      </c>
      <c r="H12" s="10"/>
      <c r="J12" s="126">
        <f t="shared" si="0"/>
        <v>0</v>
      </c>
      <c r="L12" t="s">
        <v>516</v>
      </c>
    </row>
    <row r="13" spans="1:12" ht="12.5" x14ac:dyDescent="0.25">
      <c r="A13" s="5"/>
      <c r="B13" s="72" t="s">
        <v>245</v>
      </c>
      <c r="C13" s="127">
        <v>2.8945349999999999</v>
      </c>
      <c r="D13" s="127">
        <v>2.8945349999999999</v>
      </c>
      <c r="E13" s="127">
        <v>0</v>
      </c>
      <c r="F13" s="8">
        <v>0</v>
      </c>
      <c r="H13" s="10"/>
      <c r="J13" s="126">
        <f t="shared" si="0"/>
        <v>0</v>
      </c>
      <c r="L13" t="s">
        <v>517</v>
      </c>
    </row>
    <row r="14" spans="1:12" ht="12.5" x14ac:dyDescent="0.25">
      <c r="A14" s="5"/>
      <c r="B14" s="72" t="s">
        <v>244</v>
      </c>
      <c r="C14" s="127">
        <v>7.9683799999999998</v>
      </c>
      <c r="D14" s="127">
        <v>7.9683799999999998</v>
      </c>
      <c r="E14" s="127">
        <v>0</v>
      </c>
      <c r="F14" s="8">
        <v>0</v>
      </c>
      <c r="H14" s="10"/>
      <c r="J14" s="126">
        <f t="shared" si="0"/>
        <v>0</v>
      </c>
      <c r="L14" t="s">
        <v>518</v>
      </c>
    </row>
    <row r="15" spans="1:12" ht="12.5" x14ac:dyDescent="0.25">
      <c r="A15" s="5"/>
      <c r="B15" s="72" t="s">
        <v>249</v>
      </c>
      <c r="C15" s="127">
        <v>39.668343999999998</v>
      </c>
      <c r="D15" s="127">
        <v>39.668343999999998</v>
      </c>
      <c r="E15" s="127">
        <v>0</v>
      </c>
      <c r="F15" s="8">
        <v>0</v>
      </c>
      <c r="H15" s="10"/>
      <c r="J15" s="126">
        <f t="shared" si="0"/>
        <v>0</v>
      </c>
      <c r="L15" t="s">
        <v>519</v>
      </c>
    </row>
    <row r="16" spans="1:12" ht="12.5" x14ac:dyDescent="0.25">
      <c r="A16" s="5"/>
      <c r="B16" s="72" t="s">
        <v>250</v>
      </c>
      <c r="C16" s="127">
        <v>623.94506500000011</v>
      </c>
      <c r="D16" s="127">
        <v>624.26259900000002</v>
      </c>
      <c r="E16" s="127">
        <v>0.31753399999990961</v>
      </c>
      <c r="F16" s="8">
        <v>0</v>
      </c>
      <c r="H16" s="10"/>
      <c r="J16" s="126">
        <f t="shared" si="0"/>
        <v>0.31753399999990961</v>
      </c>
      <c r="L16" t="s">
        <v>520</v>
      </c>
    </row>
    <row r="17" spans="1:14" ht="12.5" x14ac:dyDescent="0.25">
      <c r="A17" s="5"/>
      <c r="B17" s="72" t="s">
        <v>251</v>
      </c>
      <c r="C17" s="127">
        <v>668.96800899999994</v>
      </c>
      <c r="D17" s="127">
        <v>669.30066499999998</v>
      </c>
      <c r="E17" s="127">
        <v>0.3326560000000427</v>
      </c>
      <c r="F17" s="8">
        <v>0</v>
      </c>
      <c r="H17" s="10"/>
      <c r="J17" s="126">
        <f t="shared" si="0"/>
        <v>0.3326560000000427</v>
      </c>
      <c r="L17" t="s">
        <v>521</v>
      </c>
    </row>
    <row r="18" spans="1:14" ht="12.5" x14ac:dyDescent="0.25">
      <c r="A18" s="5"/>
      <c r="B18" s="72" t="s">
        <v>252</v>
      </c>
      <c r="C18" s="127">
        <v>40.241081000000001</v>
      </c>
      <c r="D18" s="127">
        <v>40.260080000000002</v>
      </c>
      <c r="E18" s="127">
        <v>1.8999000000000876E-2</v>
      </c>
      <c r="F18" s="8">
        <v>0</v>
      </c>
      <c r="H18" s="10"/>
      <c r="J18" s="126">
        <f t="shared" si="0"/>
        <v>1.8999000000000876E-2</v>
      </c>
      <c r="L18" t="s">
        <v>522</v>
      </c>
    </row>
    <row r="19" spans="1:14" ht="12.5" x14ac:dyDescent="0.25">
      <c r="A19" s="5"/>
      <c r="B19" s="72" t="s">
        <v>253</v>
      </c>
      <c r="C19" s="127"/>
      <c r="D19" s="127"/>
      <c r="E19" s="127"/>
      <c r="F19" s="8">
        <v>0</v>
      </c>
      <c r="H19" s="10"/>
      <c r="J19" s="126">
        <f t="shared" si="0"/>
        <v>0</v>
      </c>
      <c r="L19" t="s">
        <v>523</v>
      </c>
      <c r="N19" s="93"/>
    </row>
    <row r="20" spans="1:14" ht="12.5" x14ac:dyDescent="0.25">
      <c r="A20" s="5"/>
      <c r="B20" s="72" t="s">
        <v>254</v>
      </c>
      <c r="C20" s="127">
        <v>17518.094335999998</v>
      </c>
      <c r="D20" s="127">
        <v>17521.115136</v>
      </c>
      <c r="E20" s="127">
        <v>3.0208000000020547</v>
      </c>
      <c r="F20" s="8">
        <v>0</v>
      </c>
      <c r="H20" s="10"/>
      <c r="J20" s="126">
        <f t="shared" si="0"/>
        <v>3.0208000000020547</v>
      </c>
      <c r="L20" t="s">
        <v>524</v>
      </c>
    </row>
    <row r="21" spans="1:14" ht="12.5" x14ac:dyDescent="0.25">
      <c r="A21" s="5"/>
      <c r="B21" s="72" t="s">
        <v>255</v>
      </c>
      <c r="C21" s="127">
        <v>7557.1522559999994</v>
      </c>
      <c r="D21" s="127">
        <v>7559.697408</v>
      </c>
      <c r="E21" s="127">
        <v>2.5451520000005985</v>
      </c>
      <c r="F21" s="8">
        <v>0</v>
      </c>
      <c r="H21" s="10"/>
      <c r="J21" s="126">
        <f t="shared" si="0"/>
        <v>2.5451520000005985</v>
      </c>
      <c r="L21" t="s">
        <v>525</v>
      </c>
      <c r="N21" s="93"/>
    </row>
    <row r="22" spans="1:14" ht="12.5" x14ac:dyDescent="0.25">
      <c r="A22" s="5"/>
      <c r="B22" s="72" t="s">
        <v>256</v>
      </c>
      <c r="C22" s="127">
        <v>17501.988863999999</v>
      </c>
      <c r="D22" s="127">
        <v>17504.817152</v>
      </c>
      <c r="E22" s="127">
        <v>2.8282880000006116</v>
      </c>
      <c r="F22" s="8">
        <v>0</v>
      </c>
      <c r="G22"/>
      <c r="H22" s="10"/>
      <c r="J22" s="126">
        <f t="shared" si="0"/>
        <v>2.8282880000006116</v>
      </c>
      <c r="L22" t="s">
        <v>526</v>
      </c>
    </row>
    <row r="23" spans="1:14" ht="12.5" x14ac:dyDescent="0.25">
      <c r="A23" s="5"/>
      <c r="B23" s="72" t="s">
        <v>138</v>
      </c>
      <c r="C23" s="127">
        <v>85.573551999999992</v>
      </c>
      <c r="D23" s="127">
        <v>85.756079999999997</v>
      </c>
      <c r="E23" s="127">
        <v>0.18252800000000491</v>
      </c>
      <c r="F23" s="8">
        <v>0</v>
      </c>
      <c r="G23"/>
      <c r="H23" s="10"/>
      <c r="J23" s="126">
        <f t="shared" si="0"/>
        <v>0.18252800000000491</v>
      </c>
      <c r="L23" t="s">
        <v>527</v>
      </c>
    </row>
    <row r="24" spans="1:14" ht="12.5" x14ac:dyDescent="0.25">
      <c r="A24" s="5"/>
      <c r="B24" s="72" t="s">
        <v>139</v>
      </c>
      <c r="C24" s="127">
        <v>31.965543999999998</v>
      </c>
      <c r="D24" s="127">
        <v>32.010427999999997</v>
      </c>
      <c r="E24" s="127">
        <v>4.4883999999999702E-2</v>
      </c>
      <c r="F24" s="8">
        <v>0</v>
      </c>
      <c r="G24"/>
      <c r="H24" s="10"/>
      <c r="J24" s="126">
        <f t="shared" si="0"/>
        <v>4.4883999999999702E-2</v>
      </c>
      <c r="L24" t="s">
        <v>528</v>
      </c>
    </row>
    <row r="25" spans="1:14" ht="12.5" x14ac:dyDescent="0.25">
      <c r="A25" s="5"/>
      <c r="B25" s="72" t="s">
        <v>140</v>
      </c>
      <c r="C25" s="127">
        <v>15.520287</v>
      </c>
      <c r="D25" s="127">
        <v>15.547384999999998</v>
      </c>
      <c r="E25" s="127">
        <v>2.7097999999998734E-2</v>
      </c>
      <c r="F25" s="8">
        <v>0</v>
      </c>
      <c r="G25"/>
      <c r="H25" s="10"/>
      <c r="J25" s="126">
        <f t="shared" si="0"/>
        <v>2.7097999999998734E-2</v>
      </c>
      <c r="L25" t="s">
        <v>529</v>
      </c>
    </row>
    <row r="26" spans="1:14" ht="12.5" x14ac:dyDescent="0.25">
      <c r="A26" s="5"/>
      <c r="B26" s="72" t="s">
        <v>141</v>
      </c>
      <c r="C26" s="127">
        <v>14.514659</v>
      </c>
      <c r="D26" s="127">
        <v>14.539118</v>
      </c>
      <c r="E26" s="127">
        <v>2.4459000000000231E-2</v>
      </c>
      <c r="F26" s="8">
        <v>0</v>
      </c>
      <c r="G26"/>
      <c r="H26" s="10"/>
      <c r="J26" s="126">
        <f t="shared" si="0"/>
        <v>2.4459000000000231E-2</v>
      </c>
      <c r="L26" t="s">
        <v>530</v>
      </c>
    </row>
    <row r="27" spans="1:14" ht="12.5" x14ac:dyDescent="0.25">
      <c r="A27" s="5"/>
      <c r="B27" s="72" t="s">
        <v>142</v>
      </c>
      <c r="C27" s="127"/>
      <c r="D27" s="127"/>
      <c r="E27" s="127"/>
      <c r="F27" s="8"/>
      <c r="G27"/>
      <c r="H27" s="10"/>
      <c r="J27" s="126">
        <f t="shared" si="0"/>
        <v>0</v>
      </c>
      <c r="L27" t="s">
        <v>531</v>
      </c>
    </row>
    <row r="28" spans="1:14" ht="12.5" x14ac:dyDescent="0.25">
      <c r="A28" s="5"/>
      <c r="B28" s="72" t="s">
        <v>143</v>
      </c>
      <c r="C28" s="127">
        <v>11.990095</v>
      </c>
      <c r="D28" s="127">
        <v>12.003843999999999</v>
      </c>
      <c r="E28" s="127">
        <v>1.3748999999998901E-2</v>
      </c>
      <c r="F28" s="8">
        <v>0</v>
      </c>
      <c r="G28"/>
      <c r="H28" s="10"/>
      <c r="J28" s="126">
        <f t="shared" si="0"/>
        <v>1.3748999999998901E-2</v>
      </c>
      <c r="L28" t="s">
        <v>532</v>
      </c>
    </row>
    <row r="29" spans="1:14" ht="12.5" x14ac:dyDescent="0.25">
      <c r="A29" s="5"/>
      <c r="B29" s="72" t="s">
        <v>144</v>
      </c>
      <c r="C29" s="127">
        <v>27.189727999999999</v>
      </c>
      <c r="D29" s="127">
        <v>27.233705999999998</v>
      </c>
      <c r="E29" s="127">
        <v>4.3977999999999184E-2</v>
      </c>
      <c r="F29" s="8">
        <v>0</v>
      </c>
      <c r="G29"/>
      <c r="H29" s="10"/>
      <c r="J29" s="126">
        <f t="shared" si="0"/>
        <v>4.3977999999999184E-2</v>
      </c>
      <c r="L29" t="s">
        <v>533</v>
      </c>
    </row>
    <row r="30" spans="1:14" ht="12.5" x14ac:dyDescent="0.25">
      <c r="A30" s="5"/>
      <c r="B30" s="72" t="s">
        <v>145</v>
      </c>
      <c r="C30" s="127">
        <v>29.188682</v>
      </c>
      <c r="D30" s="127">
        <v>29.237803999999997</v>
      </c>
      <c r="E30" s="127">
        <v>4.9121999999997001E-2</v>
      </c>
      <c r="F30" s="8">
        <v>0</v>
      </c>
      <c r="G30"/>
      <c r="H30" s="10"/>
      <c r="J30" s="126">
        <f t="shared" si="0"/>
        <v>4.9121999999997001E-2</v>
      </c>
      <c r="L30" t="s">
        <v>534</v>
      </c>
    </row>
    <row r="31" spans="1:14" ht="12.5" x14ac:dyDescent="0.25">
      <c r="A31" s="5"/>
      <c r="B31" s="72" t="s">
        <v>146</v>
      </c>
      <c r="C31" s="127">
        <v>23.401035999999998</v>
      </c>
      <c r="D31" s="127">
        <v>23.430820000000001</v>
      </c>
      <c r="E31" s="127">
        <v>2.9784000000002919E-2</v>
      </c>
      <c r="F31" s="8">
        <v>0</v>
      </c>
      <c r="G31"/>
      <c r="H31" s="10"/>
      <c r="J31" s="126">
        <f t="shared" si="0"/>
        <v>2.9784000000002919E-2</v>
      </c>
      <c r="L31" t="s">
        <v>535</v>
      </c>
    </row>
    <row r="32" spans="1:14" ht="12.5" x14ac:dyDescent="0.25">
      <c r="A32" s="5"/>
      <c r="B32" s="72" t="s">
        <v>147</v>
      </c>
      <c r="C32" s="127">
        <v>8.8071729999999988</v>
      </c>
      <c r="D32" s="127">
        <v>8.8276640000000004</v>
      </c>
      <c r="E32" s="127">
        <v>2.0491000000001591E-2</v>
      </c>
      <c r="F32" s="8">
        <v>0</v>
      </c>
      <c r="G32"/>
      <c r="H32" s="10"/>
      <c r="J32" s="126">
        <f t="shared" si="0"/>
        <v>2.0491000000001591E-2</v>
      </c>
      <c r="L32" t="s">
        <v>536</v>
      </c>
    </row>
    <row r="33" spans="1:12" ht="12.5" x14ac:dyDescent="0.25">
      <c r="A33" s="5"/>
      <c r="B33" s="72" t="s">
        <v>148</v>
      </c>
      <c r="C33" s="127">
        <v>7.1461074999999994</v>
      </c>
      <c r="D33" s="127">
        <v>7.1632745</v>
      </c>
      <c r="E33" s="127">
        <v>1.7167000000000598E-2</v>
      </c>
      <c r="F33" s="8">
        <v>0</v>
      </c>
      <c r="G33"/>
      <c r="H33" s="10"/>
      <c r="J33" s="126">
        <f t="shared" si="0"/>
        <v>1.7167000000000598E-2</v>
      </c>
      <c r="L33" t="s">
        <v>537</v>
      </c>
    </row>
    <row r="34" spans="1:12" ht="12.5" x14ac:dyDescent="0.25">
      <c r="A34" s="5"/>
      <c r="B34" s="72" t="s">
        <v>149</v>
      </c>
      <c r="C34" s="127">
        <v>17.672433999999999</v>
      </c>
      <c r="D34" s="127">
        <v>17.672433999999999</v>
      </c>
      <c r="E34" s="127">
        <v>0</v>
      </c>
      <c r="F34" s="8">
        <v>0</v>
      </c>
      <c r="G34"/>
      <c r="H34" s="10"/>
      <c r="J34" s="126">
        <f t="shared" si="0"/>
        <v>0</v>
      </c>
      <c r="L34" t="s">
        <v>538</v>
      </c>
    </row>
    <row r="35" spans="1:12" ht="12.5" x14ac:dyDescent="0.25">
      <c r="A35" s="5"/>
      <c r="B35" s="72" t="s">
        <v>150</v>
      </c>
      <c r="C35" s="127">
        <v>4.2917100000000001</v>
      </c>
      <c r="D35" s="127">
        <v>4.3166934999999995</v>
      </c>
      <c r="E35" s="127">
        <v>2.4983499999999381E-2</v>
      </c>
      <c r="F35" s="8">
        <v>0</v>
      </c>
      <c r="G35"/>
      <c r="H35" s="10"/>
      <c r="J35" s="126">
        <f t="shared" si="0"/>
        <v>2.4983499999999381E-2</v>
      </c>
      <c r="L35" t="s">
        <v>539</v>
      </c>
    </row>
    <row r="36" spans="1:12" ht="12.5" x14ac:dyDescent="0.25">
      <c r="A36" s="5"/>
      <c r="B36" s="72" t="s">
        <v>128</v>
      </c>
      <c r="C36" s="127">
        <v>412.611648</v>
      </c>
      <c r="D36" s="127">
        <v>413.26438400000001</v>
      </c>
      <c r="E36" s="127">
        <v>0.65273600000000442</v>
      </c>
      <c r="F36" s="8">
        <v>0</v>
      </c>
      <c r="G36"/>
      <c r="H36" s="10"/>
      <c r="J36" s="126">
        <f t="shared" si="0"/>
        <v>0.65273600000000442</v>
      </c>
      <c r="L36" t="s">
        <v>540</v>
      </c>
    </row>
    <row r="37" spans="1:12" ht="12.5" x14ac:dyDescent="0.25">
      <c r="A37" s="5"/>
      <c r="B37" s="72" t="s">
        <v>688</v>
      </c>
      <c r="C37" s="127"/>
      <c r="D37" s="127"/>
      <c r="E37" s="127"/>
      <c r="F37" s="8"/>
      <c r="G37"/>
      <c r="H37" s="10"/>
      <c r="J37" s="126">
        <f t="shared" si="0"/>
        <v>0</v>
      </c>
      <c r="L37" t="s">
        <v>541</v>
      </c>
    </row>
    <row r="38" spans="1:12" ht="12.5" x14ac:dyDescent="0.25">
      <c r="A38" s="5"/>
      <c r="B38" s="72" t="s">
        <v>130</v>
      </c>
      <c r="C38" s="127">
        <v>5.735309</v>
      </c>
      <c r="D38" s="127">
        <v>5.7504460000000002</v>
      </c>
      <c r="E38" s="127">
        <v>1.5137000000000178E-2</v>
      </c>
      <c r="F38" s="8">
        <v>0</v>
      </c>
      <c r="G38"/>
      <c r="H38" s="10"/>
      <c r="J38" s="126">
        <f t="shared" si="0"/>
        <v>1.5137000000000178E-2</v>
      </c>
      <c r="L38" t="s">
        <v>542</v>
      </c>
    </row>
    <row r="39" spans="1:12" ht="12.5" x14ac:dyDescent="0.25">
      <c r="A39" s="5"/>
      <c r="B39" s="72" t="s">
        <v>131</v>
      </c>
      <c r="C39" s="127"/>
      <c r="D39" s="127"/>
      <c r="E39" s="127"/>
      <c r="F39" s="8"/>
      <c r="G39"/>
      <c r="H39" s="10"/>
      <c r="J39" s="126">
        <f t="shared" si="0"/>
        <v>0</v>
      </c>
      <c r="L39" t="s">
        <v>543</v>
      </c>
    </row>
    <row r="40" spans="1:12" ht="12.5" x14ac:dyDescent="0.25">
      <c r="A40" s="5"/>
      <c r="B40" s="72" t="s">
        <v>132</v>
      </c>
      <c r="C40" s="127">
        <v>0.27761150000000001</v>
      </c>
      <c r="D40" s="127">
        <v>0.39160662499999999</v>
      </c>
      <c r="E40" s="127">
        <v>0.11399512499999997</v>
      </c>
      <c r="F40" s="8">
        <v>0</v>
      </c>
      <c r="G40"/>
      <c r="H40" s="10"/>
      <c r="J40" s="126">
        <f t="shared" si="0"/>
        <v>0.11399512499999997</v>
      </c>
      <c r="L40" t="s">
        <v>544</v>
      </c>
    </row>
    <row r="41" spans="1:12" ht="12.5" x14ac:dyDescent="0.25">
      <c r="A41" s="5"/>
      <c r="B41" s="72" t="s">
        <v>133</v>
      </c>
      <c r="C41" s="127">
        <v>85.923400000000001</v>
      </c>
      <c r="D41" s="127">
        <v>86.087136000000001</v>
      </c>
      <c r="E41" s="127">
        <v>0.1637360000000001</v>
      </c>
      <c r="F41" s="8">
        <v>0</v>
      </c>
      <c r="G41"/>
      <c r="H41" s="10"/>
      <c r="J41" s="126">
        <f t="shared" si="0"/>
        <v>0.1637360000000001</v>
      </c>
      <c r="L41" t="s">
        <v>545</v>
      </c>
    </row>
    <row r="42" spans="1:12" ht="12.5" x14ac:dyDescent="0.25">
      <c r="A42" s="5"/>
      <c r="B42" s="72" t="s">
        <v>134</v>
      </c>
      <c r="C42" s="127">
        <v>78.127775999999997</v>
      </c>
      <c r="D42" s="127">
        <v>78.252184</v>
      </c>
      <c r="E42" s="127">
        <v>0.12440800000000252</v>
      </c>
      <c r="F42" s="8">
        <v>0</v>
      </c>
      <c r="G42"/>
      <c r="H42" s="10"/>
      <c r="J42" s="126">
        <f t="shared" si="0"/>
        <v>0.12440800000000252</v>
      </c>
      <c r="L42" t="s">
        <v>546</v>
      </c>
    </row>
    <row r="43" spans="1:12" ht="12.5" x14ac:dyDescent="0.25">
      <c r="A43" s="5"/>
      <c r="B43" s="72" t="s">
        <v>135</v>
      </c>
      <c r="C43" s="127">
        <v>36.415991999999996</v>
      </c>
      <c r="D43" s="127">
        <v>36.460616000000002</v>
      </c>
      <c r="E43" s="127">
        <v>4.4624000000005992E-2</v>
      </c>
      <c r="F43" s="8">
        <v>0</v>
      </c>
      <c r="G43"/>
      <c r="H43" s="10"/>
      <c r="J43" s="126">
        <f t="shared" si="0"/>
        <v>4.4624000000005992E-2</v>
      </c>
      <c r="L43" t="s">
        <v>547</v>
      </c>
    </row>
    <row r="44" spans="1:12" ht="12.5" x14ac:dyDescent="0.25">
      <c r="A44" s="5"/>
      <c r="B44" s="72" t="s">
        <v>687</v>
      </c>
      <c r="C44" s="127">
        <v>20.469518000000001</v>
      </c>
      <c r="D44" s="127">
        <v>20.497709999999998</v>
      </c>
      <c r="E44" s="127">
        <v>2.8191999999997108E-2</v>
      </c>
      <c r="F44" s="8">
        <v>0</v>
      </c>
      <c r="G44"/>
      <c r="H44" s="10"/>
      <c r="J44" s="126">
        <f t="shared" si="0"/>
        <v>2.8191999999997108E-2</v>
      </c>
      <c r="L44" t="s">
        <v>548</v>
      </c>
    </row>
    <row r="45" spans="1:12" ht="12.5" x14ac:dyDescent="0.25">
      <c r="A45" s="5"/>
      <c r="B45" s="72" t="s">
        <v>137</v>
      </c>
      <c r="C45" s="127">
        <v>64.099955999999992</v>
      </c>
      <c r="D45" s="127">
        <v>64.209940000000003</v>
      </c>
      <c r="E45" s="127">
        <v>0.10998400000001141</v>
      </c>
      <c r="F45" s="8">
        <v>0</v>
      </c>
      <c r="G45"/>
      <c r="H45" s="10"/>
      <c r="J45" s="126">
        <f t="shared" si="0"/>
        <v>0.10998400000001141</v>
      </c>
      <c r="L45" t="s">
        <v>549</v>
      </c>
    </row>
    <row r="46" spans="1:12" ht="12.5" x14ac:dyDescent="0.25">
      <c r="A46" s="5"/>
      <c r="B46" s="72" t="s">
        <v>257</v>
      </c>
      <c r="C46" s="127">
        <v>587.59718399999997</v>
      </c>
      <c r="D46" s="127">
        <v>589.22355199999993</v>
      </c>
      <c r="E46" s="127">
        <v>1.6263679999999567</v>
      </c>
      <c r="F46" s="8">
        <v>0</v>
      </c>
      <c r="G46"/>
      <c r="H46" s="10"/>
      <c r="J46" s="126">
        <f t="shared" si="0"/>
        <v>1.6263679999999567</v>
      </c>
      <c r="L46" t="s">
        <v>550</v>
      </c>
    </row>
    <row r="47" spans="1:12" ht="12.5" x14ac:dyDescent="0.25">
      <c r="A47" s="5"/>
      <c r="B47" s="72" t="s">
        <v>258</v>
      </c>
      <c r="C47" s="127">
        <v>7.2030389999999995</v>
      </c>
      <c r="D47" s="127">
        <v>7.2263364999999995</v>
      </c>
      <c r="E47" s="127">
        <v>2.3297499999999971E-2</v>
      </c>
      <c r="F47" s="8">
        <v>0</v>
      </c>
      <c r="G47"/>
      <c r="H47" s="10"/>
      <c r="J47" s="126">
        <f t="shared" si="0"/>
        <v>2.3297499999999971E-2</v>
      </c>
      <c r="L47" t="s">
        <v>551</v>
      </c>
    </row>
    <row r="48" spans="1:12" ht="12.5" x14ac:dyDescent="0.25">
      <c r="A48" s="5"/>
      <c r="B48" s="72" t="s">
        <v>259</v>
      </c>
      <c r="C48" s="127"/>
      <c r="D48" s="127"/>
      <c r="E48" s="127"/>
      <c r="F48" s="8"/>
      <c r="G48"/>
      <c r="H48" s="10"/>
      <c r="J48" s="126">
        <f t="shared" si="0"/>
        <v>0</v>
      </c>
      <c r="L48" t="s">
        <v>552</v>
      </c>
    </row>
    <row r="49" spans="1:13" ht="12.5" x14ac:dyDescent="0.25">
      <c r="A49" s="5"/>
      <c r="B49" s="72" t="s">
        <v>260</v>
      </c>
      <c r="C49" s="127">
        <v>36.716436000000002</v>
      </c>
      <c r="D49" s="127">
        <v>36.744332</v>
      </c>
      <c r="E49" s="127">
        <v>2.7895999999998367E-2</v>
      </c>
      <c r="F49" s="8">
        <v>0</v>
      </c>
      <c r="G49"/>
      <c r="H49" s="10"/>
      <c r="J49" s="126">
        <f t="shared" si="0"/>
        <v>2.7895999999998367E-2</v>
      </c>
      <c r="L49" t="s">
        <v>553</v>
      </c>
    </row>
    <row r="50" spans="1:13" ht="12.5" x14ac:dyDescent="0.25">
      <c r="A50" s="5"/>
      <c r="B50" s="72" t="s">
        <v>261</v>
      </c>
      <c r="C50" s="127">
        <v>6.7105644999999994</v>
      </c>
      <c r="D50" s="127">
        <v>6.7302399999999993</v>
      </c>
      <c r="E50" s="127">
        <v>1.9675499999999957E-2</v>
      </c>
      <c r="F50" s="8">
        <v>0</v>
      </c>
      <c r="G50"/>
      <c r="H50" s="10"/>
      <c r="J50" s="126">
        <f t="shared" si="0"/>
        <v>1.9675499999999957E-2</v>
      </c>
      <c r="L50" t="s">
        <v>554</v>
      </c>
    </row>
    <row r="51" spans="1:13" ht="12.5" x14ac:dyDescent="0.25">
      <c r="A51" s="5"/>
      <c r="B51" s="72" t="s">
        <v>262</v>
      </c>
      <c r="C51" s="127">
        <v>744.97606399999995</v>
      </c>
      <c r="D51" s="127">
        <v>745.42188799999997</v>
      </c>
      <c r="E51" s="127">
        <v>0.44582400000001599</v>
      </c>
      <c r="F51" s="8">
        <v>0</v>
      </c>
      <c r="G51"/>
      <c r="H51" s="10"/>
      <c r="J51" s="126">
        <f t="shared" si="0"/>
        <v>0.44582400000001599</v>
      </c>
      <c r="L51" t="s">
        <v>555</v>
      </c>
    </row>
    <row r="52" spans="1:13" ht="12.5" x14ac:dyDescent="0.25">
      <c r="A52" s="5"/>
      <c r="B52" s="72" t="s">
        <v>263</v>
      </c>
      <c r="C52" s="127"/>
      <c r="D52" s="127"/>
      <c r="E52" s="127"/>
      <c r="F52" s="8"/>
      <c r="G52"/>
      <c r="H52" s="10"/>
      <c r="J52" s="126">
        <f t="shared" si="0"/>
        <v>0</v>
      </c>
      <c r="L52" t="s">
        <v>556</v>
      </c>
      <c r="M52" s="9"/>
    </row>
    <row r="53" spans="1:13" ht="12.5" x14ac:dyDescent="0.25">
      <c r="A53" s="5"/>
      <c r="B53" s="72" t="s">
        <v>264</v>
      </c>
      <c r="C53" s="127">
        <v>7.0822750000000001</v>
      </c>
      <c r="D53" s="127">
        <v>7.109413</v>
      </c>
      <c r="E53" s="127">
        <v>2.7137999999999884E-2</v>
      </c>
      <c r="F53" s="8">
        <v>0</v>
      </c>
      <c r="G53"/>
      <c r="H53" s="10"/>
      <c r="J53" s="126">
        <f t="shared" si="0"/>
        <v>2.7137999999999884E-2</v>
      </c>
      <c r="L53" t="s">
        <v>557</v>
      </c>
    </row>
    <row r="54" spans="1:13" ht="12.5" x14ac:dyDescent="0.25">
      <c r="A54" s="5"/>
      <c r="B54" s="72" t="s">
        <v>265</v>
      </c>
      <c r="C54" s="127">
        <v>5.3502289999999997</v>
      </c>
      <c r="D54" s="127">
        <v>5.3502299999999998</v>
      </c>
      <c r="E54" s="127">
        <v>1.000000000139778E-6</v>
      </c>
      <c r="F54" s="8">
        <v>0</v>
      </c>
      <c r="G54"/>
      <c r="H54" s="10"/>
      <c r="J54" s="126">
        <f t="shared" si="0"/>
        <v>1.000000000139778E-6</v>
      </c>
      <c r="L54" t="s">
        <v>558</v>
      </c>
      <c r="M54" s="93"/>
    </row>
    <row r="55" spans="1:13" ht="12.5" x14ac:dyDescent="0.25">
      <c r="A55" s="5"/>
      <c r="B55" s="72" t="s">
        <v>266</v>
      </c>
      <c r="C55" s="127"/>
      <c r="D55" s="127"/>
      <c r="E55" s="127"/>
      <c r="F55" s="8"/>
      <c r="G55"/>
      <c r="H55" s="10"/>
      <c r="J55" s="126">
        <f t="shared" si="0"/>
        <v>0</v>
      </c>
      <c r="L55" t="s">
        <v>559</v>
      </c>
    </row>
    <row r="56" spans="1:13" ht="12.5" x14ac:dyDescent="0.25">
      <c r="A56" s="5"/>
      <c r="B56" s="72" t="s">
        <v>267</v>
      </c>
      <c r="C56" s="127"/>
      <c r="D56" s="127"/>
      <c r="E56" s="127"/>
      <c r="F56" s="8"/>
      <c r="G56"/>
      <c r="H56" s="10"/>
      <c r="J56" s="126">
        <f t="shared" si="0"/>
        <v>0</v>
      </c>
      <c r="L56" t="s">
        <v>560</v>
      </c>
    </row>
    <row r="57" spans="1:13" ht="12.5" x14ac:dyDescent="0.25">
      <c r="A57" s="5"/>
      <c r="B57" s="72" t="s">
        <v>268</v>
      </c>
      <c r="C57" s="127"/>
      <c r="D57" s="127"/>
      <c r="E57" s="127"/>
      <c r="F57" s="8"/>
      <c r="G57"/>
      <c r="H57" s="10"/>
      <c r="J57" s="126">
        <f t="shared" si="0"/>
        <v>0</v>
      </c>
      <c r="L57" t="s">
        <v>561</v>
      </c>
    </row>
    <row r="58" spans="1:13" ht="12.5" x14ac:dyDescent="0.25">
      <c r="A58" s="5"/>
      <c r="B58" s="72" t="s">
        <v>269</v>
      </c>
      <c r="C58" s="127">
        <v>7.8955382812500002E-2</v>
      </c>
      <c r="D58" s="127">
        <v>7.9926062499999992E-2</v>
      </c>
      <c r="E58" s="127">
        <v>9.7067968749998956E-4</v>
      </c>
      <c r="F58" s="8">
        <v>0</v>
      </c>
      <c r="G58"/>
      <c r="H58" s="10"/>
      <c r="J58" s="126">
        <f t="shared" si="0"/>
        <v>9.7067968749998956E-4</v>
      </c>
      <c r="L58" t="s">
        <v>562</v>
      </c>
    </row>
    <row r="59" spans="1:13" ht="12.5" x14ac:dyDescent="0.25">
      <c r="A59" s="5"/>
      <c r="B59" s="72" t="s">
        <v>270</v>
      </c>
      <c r="C59" s="127">
        <v>19.83663</v>
      </c>
      <c r="D59" s="127">
        <v>19.876932</v>
      </c>
      <c r="E59" s="127">
        <v>4.0302000000000504E-2</v>
      </c>
      <c r="F59" s="8">
        <v>0</v>
      </c>
      <c r="G59"/>
      <c r="H59" s="10"/>
      <c r="J59" s="126">
        <f t="shared" si="0"/>
        <v>4.0302000000000504E-2</v>
      </c>
      <c r="L59" t="s">
        <v>563</v>
      </c>
    </row>
    <row r="60" spans="1:13" ht="12.5" x14ac:dyDescent="0.25">
      <c r="A60" s="5"/>
      <c r="B60" s="72" t="s">
        <v>271</v>
      </c>
      <c r="C60" s="127"/>
      <c r="D60" s="127"/>
      <c r="E60" s="127"/>
      <c r="F60" s="8"/>
      <c r="G60"/>
      <c r="H60" s="10"/>
      <c r="J60" s="126">
        <f t="shared" si="0"/>
        <v>0</v>
      </c>
      <c r="L60" t="s">
        <v>564</v>
      </c>
    </row>
    <row r="61" spans="1:13" ht="12.5" x14ac:dyDescent="0.25">
      <c r="A61" s="5"/>
      <c r="B61" s="72" t="s">
        <v>272</v>
      </c>
      <c r="C61" s="127">
        <v>14.909137999999999</v>
      </c>
      <c r="D61" s="127">
        <v>14.912624999999998</v>
      </c>
      <c r="E61" s="127">
        <v>3.4869999999997958E-3</v>
      </c>
      <c r="F61" s="8">
        <v>0</v>
      </c>
      <c r="G61"/>
      <c r="H61" s="10"/>
      <c r="J61" s="126">
        <f t="shared" si="0"/>
        <v>3.4869999999997958E-3</v>
      </c>
      <c r="L61" t="s">
        <v>565</v>
      </c>
    </row>
    <row r="62" spans="1:13" ht="12.5" x14ac:dyDescent="0.25">
      <c r="A62" s="5"/>
      <c r="B62" s="72" t="s">
        <v>273</v>
      </c>
      <c r="C62" s="127">
        <v>31.84844</v>
      </c>
      <c r="D62" s="127">
        <v>31.850639999999999</v>
      </c>
      <c r="E62" s="127">
        <v>2.1999999999984254E-3</v>
      </c>
      <c r="F62" s="8">
        <v>0</v>
      </c>
      <c r="G62"/>
      <c r="H62" s="10"/>
      <c r="J62" s="126">
        <f t="shared" si="0"/>
        <v>2.1999999999984254E-3</v>
      </c>
      <c r="L62" t="s">
        <v>566</v>
      </c>
    </row>
    <row r="63" spans="1:13" ht="12.5" x14ac:dyDescent="0.25">
      <c r="A63" s="5"/>
      <c r="B63" s="72" t="s">
        <v>274</v>
      </c>
      <c r="C63" s="127">
        <v>322.046336</v>
      </c>
      <c r="D63" s="127">
        <v>322.94876799999997</v>
      </c>
      <c r="E63" s="127">
        <v>0.90243199999997614</v>
      </c>
      <c r="F63" s="8">
        <v>0</v>
      </c>
      <c r="G63"/>
      <c r="H63" s="10"/>
      <c r="J63" s="126">
        <f t="shared" si="0"/>
        <v>0.90243199999997614</v>
      </c>
      <c r="L63" t="s">
        <v>567</v>
      </c>
    </row>
    <row r="64" spans="1:13" ht="12.5" x14ac:dyDescent="0.25">
      <c r="A64" s="5"/>
      <c r="B64" s="72" t="s">
        <v>275</v>
      </c>
      <c r="C64" s="127">
        <v>16.272205</v>
      </c>
      <c r="D64" s="127">
        <v>16.272205</v>
      </c>
      <c r="E64" s="127">
        <v>0</v>
      </c>
      <c r="F64" s="8">
        <v>0</v>
      </c>
      <c r="G64"/>
      <c r="H64" s="10"/>
      <c r="J64" s="126">
        <f t="shared" si="0"/>
        <v>0</v>
      </c>
      <c r="L64" t="s">
        <v>568</v>
      </c>
    </row>
    <row r="65" spans="1:12" ht="12.5" x14ac:dyDescent="0.25">
      <c r="A65" s="5"/>
      <c r="B65" s="72" t="s">
        <v>276</v>
      </c>
      <c r="C65" s="127">
        <v>7.9425699999999999</v>
      </c>
      <c r="D65" s="127">
        <v>7.9756424999999993</v>
      </c>
      <c r="E65" s="127">
        <v>3.3072499999999394E-2</v>
      </c>
      <c r="F65" s="8">
        <v>0</v>
      </c>
      <c r="G65"/>
      <c r="H65" s="10"/>
      <c r="J65" s="126">
        <f t="shared" si="0"/>
        <v>3.3072499999999394E-2</v>
      </c>
      <c r="L65" t="s">
        <v>569</v>
      </c>
    </row>
    <row r="66" spans="1:12" ht="12.5" x14ac:dyDescent="0.25">
      <c r="A66" s="5"/>
      <c r="B66" s="72" t="s">
        <v>277</v>
      </c>
      <c r="C66" s="127">
        <v>21.908904</v>
      </c>
      <c r="D66" s="127">
        <v>21.908904</v>
      </c>
      <c r="E66" s="127">
        <v>0</v>
      </c>
      <c r="F66" s="8">
        <v>0</v>
      </c>
      <c r="G66"/>
      <c r="H66" s="10"/>
      <c r="J66" s="126">
        <f t="shared" si="0"/>
        <v>0</v>
      </c>
      <c r="L66" t="s">
        <v>570</v>
      </c>
    </row>
    <row r="67" spans="1:12" ht="12.5" x14ac:dyDescent="0.25">
      <c r="A67" s="5"/>
      <c r="B67" s="72" t="s">
        <v>278</v>
      </c>
      <c r="C67" s="127">
        <v>282.04339199999998</v>
      </c>
      <c r="D67" s="127">
        <v>282.65894399999996</v>
      </c>
      <c r="E67" s="127">
        <v>0.61555199999997967</v>
      </c>
      <c r="F67" s="8">
        <v>0</v>
      </c>
      <c r="G67"/>
      <c r="H67" s="10"/>
      <c r="J67" s="126">
        <f t="shared" si="0"/>
        <v>0.61555199999997967</v>
      </c>
      <c r="L67" t="s">
        <v>571</v>
      </c>
    </row>
    <row r="68" spans="1:12" ht="12.5" x14ac:dyDescent="0.25">
      <c r="A68" s="5"/>
      <c r="B68" s="72" t="s">
        <v>279</v>
      </c>
      <c r="C68" s="127"/>
      <c r="D68" s="127"/>
      <c r="E68" s="127"/>
      <c r="F68" s="8"/>
      <c r="G68"/>
      <c r="H68" s="10"/>
      <c r="J68" s="126">
        <f t="shared" si="0"/>
        <v>0</v>
      </c>
      <c r="L68" t="s">
        <v>572</v>
      </c>
    </row>
    <row r="69" spans="1:12" ht="12.5" x14ac:dyDescent="0.25">
      <c r="A69" s="5"/>
      <c r="B69" s="72" t="s">
        <v>280</v>
      </c>
      <c r="C69" s="127">
        <v>16.959530000000001</v>
      </c>
      <c r="D69" s="127">
        <v>16.972352000000001</v>
      </c>
      <c r="E69" s="127">
        <v>1.2821999999999889E-2</v>
      </c>
      <c r="F69" s="8">
        <v>0</v>
      </c>
      <c r="G69"/>
      <c r="H69" s="10"/>
      <c r="J69" s="126">
        <f t="shared" ref="J69:J132" si="1">E69</f>
        <v>1.2821999999999889E-2</v>
      </c>
      <c r="L69" t="s">
        <v>573</v>
      </c>
    </row>
    <row r="70" spans="1:12" ht="12.5" x14ac:dyDescent="0.25">
      <c r="A70" s="5"/>
      <c r="B70" s="72" t="s">
        <v>281</v>
      </c>
      <c r="C70" s="127"/>
      <c r="D70" s="127"/>
      <c r="E70" s="127"/>
      <c r="F70" s="8">
        <v>0</v>
      </c>
      <c r="G70"/>
      <c r="H70" s="10"/>
      <c r="J70" s="126">
        <f t="shared" si="1"/>
        <v>0</v>
      </c>
      <c r="L70" t="s">
        <v>574</v>
      </c>
    </row>
    <row r="71" spans="1:12" ht="12.5" x14ac:dyDescent="0.25">
      <c r="A71" s="5"/>
      <c r="B71" s="72" t="s">
        <v>282</v>
      </c>
      <c r="C71" s="127"/>
      <c r="D71" s="127"/>
      <c r="E71" s="127"/>
      <c r="F71" s="8"/>
      <c r="G71"/>
      <c r="H71" s="10"/>
      <c r="J71" s="126">
        <f t="shared" si="1"/>
        <v>0</v>
      </c>
      <c r="L71" t="s">
        <v>575</v>
      </c>
    </row>
    <row r="72" spans="1:12" ht="12.5" x14ac:dyDescent="0.25">
      <c r="A72" s="5"/>
      <c r="B72" s="72" t="s">
        <v>283</v>
      </c>
      <c r="C72" s="127"/>
      <c r="D72" s="127"/>
      <c r="E72" s="127"/>
      <c r="F72" s="8">
        <v>0</v>
      </c>
      <c r="G72"/>
      <c r="H72" s="10"/>
      <c r="J72" s="126">
        <f t="shared" si="1"/>
        <v>0</v>
      </c>
      <c r="L72" t="s">
        <v>507</v>
      </c>
    </row>
    <row r="73" spans="1:12" ht="12.5" x14ac:dyDescent="0.25">
      <c r="A73" s="5"/>
      <c r="B73" s="72" t="s">
        <v>284</v>
      </c>
      <c r="C73" s="127"/>
      <c r="D73" s="127"/>
      <c r="E73" s="127"/>
      <c r="F73" s="8">
        <v>0</v>
      </c>
      <c r="G73"/>
      <c r="H73" s="10"/>
      <c r="J73" s="126">
        <f t="shared" si="1"/>
        <v>0</v>
      </c>
      <c r="L73" t="s">
        <v>576</v>
      </c>
    </row>
    <row r="74" spans="1:12" ht="12.5" x14ac:dyDescent="0.25">
      <c r="A74" s="5"/>
      <c r="B74" s="72" t="s">
        <v>285</v>
      </c>
      <c r="C74" s="127">
        <v>53.252815999999996</v>
      </c>
      <c r="D74" s="127">
        <v>53.342515999999996</v>
      </c>
      <c r="E74" s="127">
        <v>8.9700000000000557E-2</v>
      </c>
      <c r="F74" s="8">
        <v>0</v>
      </c>
      <c r="G74"/>
      <c r="H74" s="10"/>
      <c r="J74" s="126">
        <f t="shared" si="1"/>
        <v>8.9700000000000557E-2</v>
      </c>
      <c r="L74" t="s">
        <v>577</v>
      </c>
    </row>
    <row r="75" spans="1:12" ht="12.5" x14ac:dyDescent="0.25">
      <c r="A75" s="5"/>
      <c r="B75" s="72" t="s">
        <v>286</v>
      </c>
      <c r="C75" s="127"/>
      <c r="D75" s="127"/>
      <c r="E75" s="127"/>
      <c r="F75" s="8">
        <v>0</v>
      </c>
      <c r="G75"/>
      <c r="H75" s="10"/>
      <c r="J75" s="126">
        <f t="shared" si="1"/>
        <v>0</v>
      </c>
      <c r="L75" t="s">
        <v>578</v>
      </c>
    </row>
    <row r="76" spans="1:12" ht="12.5" x14ac:dyDescent="0.25">
      <c r="A76" s="5"/>
      <c r="B76" s="72" t="s">
        <v>287</v>
      </c>
      <c r="C76" s="127"/>
      <c r="D76" s="127"/>
      <c r="E76" s="127"/>
      <c r="F76" s="8"/>
      <c r="G76"/>
      <c r="H76" s="10"/>
      <c r="J76" s="126">
        <f t="shared" si="1"/>
        <v>0</v>
      </c>
      <c r="L76" t="s">
        <v>579</v>
      </c>
    </row>
    <row r="77" spans="1:12" ht="12.5" x14ac:dyDescent="0.25">
      <c r="A77" s="5"/>
      <c r="B77" s="72" t="s">
        <v>288</v>
      </c>
      <c r="C77" s="127"/>
      <c r="D77" s="127"/>
      <c r="E77" s="127"/>
      <c r="F77" s="8"/>
      <c r="G77"/>
      <c r="H77" s="10"/>
      <c r="J77" s="126">
        <f t="shared" si="1"/>
        <v>0</v>
      </c>
      <c r="L77" t="s">
        <v>580</v>
      </c>
    </row>
    <row r="78" spans="1:12" ht="12.5" x14ac:dyDescent="0.25">
      <c r="A78" s="5"/>
      <c r="B78" s="72" t="s">
        <v>289</v>
      </c>
      <c r="C78" s="127"/>
      <c r="D78" s="127"/>
      <c r="E78" s="127"/>
      <c r="F78" s="8">
        <v>0</v>
      </c>
      <c r="G78"/>
      <c r="H78" s="10"/>
      <c r="J78" s="126">
        <f t="shared" si="1"/>
        <v>0</v>
      </c>
      <c r="L78" t="s">
        <v>581</v>
      </c>
    </row>
    <row r="79" spans="1:12" ht="12.5" x14ac:dyDescent="0.25">
      <c r="A79" s="5"/>
      <c r="B79" s="72" t="s">
        <v>290</v>
      </c>
      <c r="C79" s="127">
        <v>1.4891672499999999</v>
      </c>
      <c r="D79" s="127">
        <v>1.4891672499999999</v>
      </c>
      <c r="E79" s="127">
        <v>0</v>
      </c>
      <c r="F79" s="8">
        <v>0</v>
      </c>
      <c r="G79"/>
      <c r="H79" s="10"/>
      <c r="J79" s="126">
        <f t="shared" si="1"/>
        <v>0</v>
      </c>
      <c r="L79" t="s">
        <v>582</v>
      </c>
    </row>
    <row r="80" spans="1:12" ht="12.5" x14ac:dyDescent="0.25">
      <c r="A80" s="5"/>
      <c r="B80" s="72" t="s">
        <v>291</v>
      </c>
      <c r="C80" s="127">
        <v>106.200552</v>
      </c>
      <c r="D80" s="127">
        <v>106.54208799999999</v>
      </c>
      <c r="E80" s="127">
        <v>0.34153599999999074</v>
      </c>
      <c r="F80" s="8">
        <v>0</v>
      </c>
      <c r="G80"/>
      <c r="H80" s="10"/>
      <c r="J80" s="126">
        <f t="shared" si="1"/>
        <v>0.34153599999999074</v>
      </c>
      <c r="L80" t="s">
        <v>583</v>
      </c>
    </row>
    <row r="81" spans="1:12" ht="12.5" x14ac:dyDescent="0.25">
      <c r="A81" s="5"/>
      <c r="B81" s="72" t="s">
        <v>292</v>
      </c>
      <c r="C81" s="127">
        <v>0.51648656250000002</v>
      </c>
      <c r="D81" s="127">
        <v>0.62452631250000001</v>
      </c>
      <c r="E81" s="127">
        <v>0.10803974999999999</v>
      </c>
      <c r="F81" s="8">
        <v>0</v>
      </c>
      <c r="G81"/>
      <c r="H81" s="10"/>
      <c r="J81" s="126">
        <f t="shared" si="1"/>
        <v>0.10803974999999999</v>
      </c>
      <c r="L81" t="s">
        <v>584</v>
      </c>
    </row>
    <row r="82" spans="1:12" ht="12.5" x14ac:dyDescent="0.25">
      <c r="A82" s="5"/>
      <c r="B82" s="72" t="s">
        <v>293</v>
      </c>
      <c r="C82" s="127"/>
      <c r="D82" s="127"/>
      <c r="E82" s="127"/>
      <c r="F82" s="8"/>
      <c r="G82"/>
      <c r="H82" s="10"/>
      <c r="J82" s="126">
        <f t="shared" si="1"/>
        <v>0</v>
      </c>
      <c r="L82" t="s">
        <v>585</v>
      </c>
    </row>
    <row r="83" spans="1:12" ht="12.5" x14ac:dyDescent="0.25">
      <c r="A83" s="5"/>
      <c r="B83" s="72" t="s">
        <v>294</v>
      </c>
      <c r="C83" s="127"/>
      <c r="D83" s="127"/>
      <c r="E83" s="127"/>
      <c r="F83" s="8"/>
      <c r="G83"/>
      <c r="H83" s="10"/>
      <c r="J83" s="126">
        <f t="shared" si="1"/>
        <v>0</v>
      </c>
      <c r="L83" t="s">
        <v>586</v>
      </c>
    </row>
    <row r="84" spans="1:12" ht="12.5" x14ac:dyDescent="0.25">
      <c r="A84" s="5"/>
      <c r="B84" s="72" t="s">
        <v>295</v>
      </c>
      <c r="C84" s="127"/>
      <c r="D84" s="127"/>
      <c r="E84" s="127"/>
      <c r="F84" s="8"/>
      <c r="G84"/>
      <c r="H84" s="10"/>
      <c r="J84" s="126">
        <f t="shared" si="1"/>
        <v>0</v>
      </c>
      <c r="L84" t="s">
        <v>587</v>
      </c>
    </row>
    <row r="85" spans="1:12" ht="12.5" x14ac:dyDescent="0.25">
      <c r="A85" s="5"/>
      <c r="B85" s="72" t="s">
        <v>296</v>
      </c>
      <c r="C85" s="127"/>
      <c r="D85" s="127"/>
      <c r="E85" s="127"/>
      <c r="F85" s="8"/>
      <c r="G85"/>
      <c r="H85" s="10"/>
      <c r="J85" s="126">
        <f t="shared" si="1"/>
        <v>0</v>
      </c>
      <c r="L85" t="s">
        <v>588</v>
      </c>
    </row>
    <row r="86" spans="1:12" ht="12.5" x14ac:dyDescent="0.25">
      <c r="A86" s="5"/>
      <c r="B86" s="72" t="s">
        <v>297</v>
      </c>
      <c r="C86" s="127">
        <v>15.379506999999998</v>
      </c>
      <c r="D86" s="127">
        <v>15.388053999999999</v>
      </c>
      <c r="E86" s="127">
        <v>8.5470000000000823E-3</v>
      </c>
      <c r="F86" s="8">
        <v>0</v>
      </c>
      <c r="G86"/>
      <c r="H86" s="10"/>
      <c r="J86" s="126">
        <f t="shared" si="1"/>
        <v>8.5470000000000823E-3</v>
      </c>
      <c r="L86" t="s">
        <v>589</v>
      </c>
    </row>
    <row r="87" spans="1:12" ht="12.5" x14ac:dyDescent="0.25">
      <c r="A87" s="5"/>
      <c r="B87" s="72" t="s">
        <v>298</v>
      </c>
      <c r="C87" s="127"/>
      <c r="D87" s="127"/>
      <c r="E87" s="127"/>
      <c r="F87" s="8">
        <v>0</v>
      </c>
      <c r="G87"/>
      <c r="H87" s="10"/>
      <c r="J87" s="126">
        <f t="shared" si="1"/>
        <v>0</v>
      </c>
      <c r="L87" t="s">
        <v>590</v>
      </c>
    </row>
    <row r="88" spans="1:12" ht="12.5" x14ac:dyDescent="0.25">
      <c r="A88" s="5"/>
      <c r="B88" s="72" t="s">
        <v>299</v>
      </c>
      <c r="C88" s="127">
        <v>3.0825104999999997</v>
      </c>
      <c r="D88" s="127">
        <v>3.0898159999999999</v>
      </c>
      <c r="E88" s="127">
        <v>7.3055000000001868E-3</v>
      </c>
      <c r="F88" s="8">
        <v>0</v>
      </c>
      <c r="G88"/>
      <c r="H88" s="10"/>
      <c r="J88" s="126">
        <f t="shared" si="1"/>
        <v>7.3055000000001868E-3</v>
      </c>
      <c r="L88" t="s">
        <v>591</v>
      </c>
    </row>
    <row r="89" spans="1:12" ht="12.5" x14ac:dyDescent="0.25">
      <c r="A89" s="5"/>
      <c r="B89" s="72" t="s">
        <v>300</v>
      </c>
      <c r="C89" s="127"/>
      <c r="D89" s="127"/>
      <c r="E89" s="127"/>
      <c r="F89" s="8"/>
      <c r="G89"/>
      <c r="H89" s="10"/>
      <c r="J89" s="126">
        <f t="shared" si="1"/>
        <v>0</v>
      </c>
      <c r="L89" t="s">
        <v>592</v>
      </c>
    </row>
    <row r="90" spans="1:12" ht="12.5" x14ac:dyDescent="0.25">
      <c r="A90" s="5"/>
      <c r="B90" s="72" t="s">
        <v>301</v>
      </c>
      <c r="C90" s="127"/>
      <c r="D90" s="127"/>
      <c r="E90" s="127"/>
      <c r="F90" s="8"/>
      <c r="G90"/>
      <c r="H90" s="10"/>
      <c r="J90" s="126">
        <f t="shared" si="1"/>
        <v>0</v>
      </c>
      <c r="L90" t="s">
        <v>593</v>
      </c>
    </row>
    <row r="91" spans="1:12" ht="12.5" x14ac:dyDescent="0.25">
      <c r="A91" s="5"/>
      <c r="B91" s="72" t="s">
        <v>302</v>
      </c>
      <c r="C91" s="127"/>
      <c r="D91" s="127"/>
      <c r="E91" s="127"/>
      <c r="F91" s="8">
        <v>0</v>
      </c>
      <c r="G91"/>
      <c r="H91" s="10"/>
      <c r="J91" s="126">
        <f t="shared" si="1"/>
        <v>0</v>
      </c>
      <c r="L91" t="s">
        <v>594</v>
      </c>
    </row>
    <row r="92" spans="1:12" ht="12.5" x14ac:dyDescent="0.25">
      <c r="A92" s="5"/>
      <c r="B92" s="72" t="s">
        <v>303</v>
      </c>
      <c r="C92" s="127">
        <v>25.679759999999998</v>
      </c>
      <c r="D92" s="127">
        <v>25.691596000000001</v>
      </c>
      <c r="E92" s="127">
        <v>1.18360000000024E-2</v>
      </c>
      <c r="F92" s="8">
        <v>0</v>
      </c>
      <c r="H92" s="10"/>
      <c r="J92" s="126">
        <f t="shared" si="1"/>
        <v>1.18360000000024E-2</v>
      </c>
      <c r="L92" t="s">
        <v>595</v>
      </c>
    </row>
    <row r="93" spans="1:12" ht="12.5" x14ac:dyDescent="0.25">
      <c r="A93" s="5"/>
      <c r="B93" s="72" t="s">
        <v>304</v>
      </c>
      <c r="C93" s="127">
        <v>1248.4765439999999</v>
      </c>
      <c r="D93" s="127">
        <v>1249.819776</v>
      </c>
      <c r="E93" s="127">
        <v>1.343232000000171</v>
      </c>
      <c r="F93" s="8">
        <v>0</v>
      </c>
      <c r="H93" s="10"/>
      <c r="J93" s="126">
        <f t="shared" si="1"/>
        <v>1.343232000000171</v>
      </c>
      <c r="L93" t="s">
        <v>596</v>
      </c>
    </row>
    <row r="94" spans="1:12" ht="12.5" x14ac:dyDescent="0.25">
      <c r="A94" s="5"/>
      <c r="B94" s="72" t="s">
        <v>305</v>
      </c>
      <c r="C94" s="127">
        <v>8.8830010000000001</v>
      </c>
      <c r="D94" s="127">
        <v>8.902232999999999</v>
      </c>
      <c r="E94" s="127">
        <v>1.9231999999998806E-2</v>
      </c>
      <c r="F94" s="8">
        <v>0</v>
      </c>
      <c r="H94" s="10"/>
      <c r="J94" s="126">
        <f t="shared" si="1"/>
        <v>1.9231999999998806E-2</v>
      </c>
      <c r="L94" t="s">
        <v>597</v>
      </c>
    </row>
    <row r="95" spans="1:12" ht="12.5" x14ac:dyDescent="0.25">
      <c r="A95" s="5"/>
      <c r="B95" s="72" t="s">
        <v>306</v>
      </c>
      <c r="C95" s="127">
        <v>71.375128000000004</v>
      </c>
      <c r="D95" s="127">
        <v>71.608823999999998</v>
      </c>
      <c r="E95" s="127">
        <v>0.2336959999999948</v>
      </c>
      <c r="F95" s="8">
        <v>0</v>
      </c>
      <c r="H95" s="10"/>
      <c r="J95" s="126">
        <f t="shared" si="1"/>
        <v>0.2336959999999948</v>
      </c>
      <c r="L95" t="s">
        <v>598</v>
      </c>
    </row>
    <row r="96" spans="1:12" ht="12.5" x14ac:dyDescent="0.25">
      <c r="A96" s="5"/>
      <c r="B96" s="72" t="s">
        <v>307</v>
      </c>
      <c r="C96" s="127"/>
      <c r="D96" s="127"/>
      <c r="E96" s="127"/>
      <c r="F96" s="8"/>
      <c r="H96" s="10"/>
      <c r="J96" s="126">
        <f t="shared" si="1"/>
        <v>0</v>
      </c>
      <c r="L96" t="s">
        <v>599</v>
      </c>
    </row>
    <row r="97" spans="1:12" ht="12.5" x14ac:dyDescent="0.25">
      <c r="A97" s="5"/>
      <c r="B97" s="72" t="s">
        <v>308</v>
      </c>
      <c r="C97" s="127">
        <v>0.36067371874999998</v>
      </c>
      <c r="D97" s="127">
        <v>0.36067371874999998</v>
      </c>
      <c r="E97" s="127">
        <v>0</v>
      </c>
      <c r="F97" s="8">
        <v>0</v>
      </c>
      <c r="H97" s="10"/>
      <c r="J97" s="126">
        <f t="shared" si="1"/>
        <v>0</v>
      </c>
      <c r="L97" t="s">
        <v>600</v>
      </c>
    </row>
    <row r="98" spans="1:12" ht="12.5" x14ac:dyDescent="0.25">
      <c r="A98" s="5"/>
      <c r="B98" s="72" t="s">
        <v>309</v>
      </c>
      <c r="C98" s="127">
        <v>14.556308</v>
      </c>
      <c r="D98" s="127">
        <v>14.601998999999999</v>
      </c>
      <c r="E98" s="127">
        <v>4.5690999999999704E-2</v>
      </c>
      <c r="F98" s="8">
        <v>0</v>
      </c>
      <c r="H98" s="10"/>
      <c r="J98" s="126">
        <f t="shared" si="1"/>
        <v>4.5690999999999704E-2</v>
      </c>
      <c r="L98" t="s">
        <v>601</v>
      </c>
    </row>
    <row r="99" spans="1:12" ht="12.5" x14ac:dyDescent="0.25">
      <c r="A99" s="5"/>
      <c r="B99" s="72" t="s">
        <v>310</v>
      </c>
      <c r="C99" s="127"/>
      <c r="D99" s="127"/>
      <c r="E99" s="127"/>
      <c r="F99" s="8"/>
      <c r="H99" s="10"/>
      <c r="J99" s="126">
        <f t="shared" si="1"/>
        <v>0</v>
      </c>
      <c r="L99" t="s">
        <v>602</v>
      </c>
    </row>
    <row r="100" spans="1:12" ht="12.5" x14ac:dyDescent="0.25">
      <c r="A100" s="5"/>
      <c r="B100" s="72" t="s">
        <v>311</v>
      </c>
      <c r="C100" s="127">
        <v>69.85123999999999</v>
      </c>
      <c r="D100" s="127">
        <v>69.854119999999995</v>
      </c>
      <c r="E100" s="127">
        <v>2.8800000000046566E-3</v>
      </c>
      <c r="F100" s="8">
        <v>0</v>
      </c>
      <c r="H100" s="10"/>
      <c r="J100" s="126">
        <f t="shared" si="1"/>
        <v>2.8800000000046566E-3</v>
      </c>
      <c r="L100" t="s">
        <v>603</v>
      </c>
    </row>
    <row r="101" spans="1:12" ht="12.5" x14ac:dyDescent="0.25">
      <c r="A101" s="5"/>
      <c r="B101" s="72" t="s">
        <v>312</v>
      </c>
      <c r="C101" s="127"/>
      <c r="D101" s="127"/>
      <c r="E101" s="127"/>
      <c r="F101" s="8"/>
      <c r="H101" s="10"/>
      <c r="J101" s="126">
        <f t="shared" si="1"/>
        <v>0</v>
      </c>
      <c r="L101" t="s">
        <v>604</v>
      </c>
    </row>
    <row r="102" spans="1:12" ht="12.5" x14ac:dyDescent="0.25">
      <c r="A102" s="5"/>
      <c r="B102" s="72" t="s">
        <v>313</v>
      </c>
      <c r="C102" s="127">
        <v>1.7547783749999999</v>
      </c>
      <c r="D102" s="127">
        <v>1.76172675</v>
      </c>
      <c r="E102" s="127">
        <v>6.9483750000001177E-3</v>
      </c>
      <c r="F102" s="8">
        <v>0</v>
      </c>
      <c r="H102" s="10"/>
      <c r="J102" s="126">
        <f t="shared" si="1"/>
        <v>6.9483750000001177E-3</v>
      </c>
      <c r="L102" t="s">
        <v>605</v>
      </c>
    </row>
    <row r="103" spans="1:12" ht="12.5" x14ac:dyDescent="0.25">
      <c r="A103" s="5"/>
      <c r="B103" s="72" t="s">
        <v>314</v>
      </c>
      <c r="C103" s="127">
        <v>38.313732000000002</v>
      </c>
      <c r="D103" s="127">
        <v>38.313732000000002</v>
      </c>
      <c r="E103" s="127">
        <v>0</v>
      </c>
      <c r="F103" s="8">
        <v>0</v>
      </c>
      <c r="H103" s="10"/>
      <c r="J103" s="126">
        <f t="shared" si="1"/>
        <v>0</v>
      </c>
      <c r="L103" t="s">
        <v>606</v>
      </c>
    </row>
    <row r="104" spans="1:12" ht="12.5" x14ac:dyDescent="0.25">
      <c r="A104" s="5"/>
      <c r="B104" s="72" t="s">
        <v>315</v>
      </c>
      <c r="C104" s="127"/>
      <c r="D104" s="127"/>
      <c r="E104" s="127"/>
      <c r="F104" s="8">
        <v>0</v>
      </c>
      <c r="H104" s="10"/>
      <c r="J104" s="126">
        <f t="shared" si="1"/>
        <v>0</v>
      </c>
      <c r="L104" t="s">
        <v>607</v>
      </c>
    </row>
    <row r="105" spans="1:12" ht="12.5" x14ac:dyDescent="0.25">
      <c r="A105" s="5"/>
      <c r="B105" s="72" t="s">
        <v>316</v>
      </c>
      <c r="C105" s="127">
        <v>1.466744</v>
      </c>
      <c r="D105" s="127">
        <v>1.4719899999999999</v>
      </c>
      <c r="E105" s="127">
        <v>5.2459999999998619E-3</v>
      </c>
      <c r="F105" s="8">
        <v>0</v>
      </c>
      <c r="H105" s="10"/>
      <c r="J105" s="126">
        <f t="shared" si="1"/>
        <v>5.2459999999998619E-3</v>
      </c>
      <c r="L105" t="s">
        <v>608</v>
      </c>
    </row>
    <row r="106" spans="1:12" ht="12.5" x14ac:dyDescent="0.25">
      <c r="A106" s="5"/>
      <c r="B106" s="72" t="s">
        <v>317</v>
      </c>
      <c r="C106" s="127">
        <v>3.1637284999999999</v>
      </c>
      <c r="D106" s="127">
        <v>3.1676752499999998</v>
      </c>
      <c r="E106" s="127">
        <v>3.9467499999998878E-3</v>
      </c>
      <c r="F106" s="8">
        <v>0</v>
      </c>
      <c r="H106" s="10"/>
      <c r="J106" s="126">
        <f t="shared" si="1"/>
        <v>3.9467499999998878E-3</v>
      </c>
      <c r="L106" t="s">
        <v>609</v>
      </c>
    </row>
    <row r="107" spans="1:12" ht="12.5" x14ac:dyDescent="0.25">
      <c r="A107" s="5"/>
      <c r="B107" s="72" t="s">
        <v>318</v>
      </c>
      <c r="C107" s="127">
        <v>51.200119999999998</v>
      </c>
      <c r="D107" s="127">
        <v>51.293243999999994</v>
      </c>
      <c r="E107" s="127">
        <v>9.3123999999995988E-2</v>
      </c>
      <c r="F107" s="8">
        <v>0</v>
      </c>
      <c r="H107" s="10"/>
      <c r="J107" s="126">
        <f t="shared" si="1"/>
        <v>9.3123999999995988E-2</v>
      </c>
      <c r="L107" t="s">
        <v>610</v>
      </c>
    </row>
    <row r="108" spans="1:12" ht="12.5" x14ac:dyDescent="0.25">
      <c r="A108" s="5"/>
      <c r="B108" s="72" t="s">
        <v>319</v>
      </c>
      <c r="C108" s="127">
        <v>11.565814</v>
      </c>
      <c r="D108" s="127">
        <v>11.608174000000002</v>
      </c>
      <c r="E108" s="127">
        <v>4.2360000000002174E-2</v>
      </c>
      <c r="F108" s="8">
        <v>0</v>
      </c>
      <c r="G108"/>
      <c r="H108" s="10"/>
      <c r="J108" s="126">
        <f t="shared" si="1"/>
        <v>4.2360000000002174E-2</v>
      </c>
      <c r="L108" t="s">
        <v>611</v>
      </c>
    </row>
    <row r="109" spans="1:12" ht="12.5" x14ac:dyDescent="0.25">
      <c r="A109" s="5"/>
      <c r="B109" s="72" t="s">
        <v>320</v>
      </c>
      <c r="C109" s="127">
        <v>1.2333147499999999</v>
      </c>
      <c r="D109" s="127">
        <v>1.2969731249999998</v>
      </c>
      <c r="E109" s="127">
        <v>6.3658374999999934E-2</v>
      </c>
      <c r="F109" s="8">
        <v>0</v>
      </c>
      <c r="G109"/>
      <c r="H109" s="10"/>
      <c r="J109" s="126">
        <f t="shared" si="1"/>
        <v>6.3658374999999934E-2</v>
      </c>
      <c r="L109" t="s">
        <v>612</v>
      </c>
    </row>
    <row r="110" spans="1:12" ht="12.5" x14ac:dyDescent="0.25">
      <c r="A110" s="5"/>
      <c r="B110" s="72" t="s">
        <v>321</v>
      </c>
      <c r="C110" s="127">
        <v>1.569779625</v>
      </c>
      <c r="D110" s="127">
        <v>1.5792854999999999</v>
      </c>
      <c r="E110" s="127">
        <v>9.5058749999998859E-3</v>
      </c>
      <c r="F110" s="8">
        <v>0</v>
      </c>
      <c r="G110"/>
      <c r="H110" s="10"/>
      <c r="J110" s="126">
        <f t="shared" si="1"/>
        <v>9.5058749999998859E-3</v>
      </c>
      <c r="L110" t="s">
        <v>613</v>
      </c>
    </row>
    <row r="111" spans="1:12" ht="12.5" x14ac:dyDescent="0.25">
      <c r="A111" s="5"/>
      <c r="B111" s="72" t="s">
        <v>322</v>
      </c>
      <c r="C111" s="127"/>
      <c r="D111" s="127"/>
      <c r="E111" s="127"/>
      <c r="F111" s="8"/>
      <c r="G111"/>
      <c r="H111" s="10"/>
      <c r="J111" s="126">
        <f t="shared" si="1"/>
        <v>0</v>
      </c>
      <c r="L111" t="s">
        <v>614</v>
      </c>
    </row>
    <row r="112" spans="1:12" ht="12.5" x14ac:dyDescent="0.25">
      <c r="A112" s="5"/>
      <c r="B112" s="72" t="s">
        <v>323</v>
      </c>
      <c r="C112" s="127">
        <v>2.032216875</v>
      </c>
      <c r="D112" s="127">
        <v>2.032216875</v>
      </c>
      <c r="E112" s="127">
        <v>0</v>
      </c>
      <c r="F112" s="8">
        <v>0</v>
      </c>
      <c r="G112"/>
      <c r="H112" s="10"/>
      <c r="J112" s="126">
        <f t="shared" si="1"/>
        <v>0</v>
      </c>
      <c r="L112" t="s">
        <v>615</v>
      </c>
    </row>
    <row r="113" spans="1:12" ht="12.5" x14ac:dyDescent="0.25">
      <c r="A113" s="5"/>
      <c r="B113" s="72" t="s">
        <v>324</v>
      </c>
      <c r="C113" s="127">
        <v>8.1580204999999992</v>
      </c>
      <c r="D113" s="127">
        <v>8.1580204999999992</v>
      </c>
      <c r="E113" s="127">
        <v>0</v>
      </c>
      <c r="F113" s="8">
        <v>0</v>
      </c>
      <c r="G113"/>
      <c r="H113" s="10"/>
      <c r="J113" s="126">
        <f t="shared" si="1"/>
        <v>0</v>
      </c>
      <c r="L113" t="s">
        <v>616</v>
      </c>
    </row>
    <row r="114" spans="1:12" ht="12.5" x14ac:dyDescent="0.25">
      <c r="A114" s="5"/>
      <c r="B114" s="72" t="s">
        <v>325</v>
      </c>
      <c r="C114" s="127">
        <v>4.9217509999999995</v>
      </c>
      <c r="D114" s="127">
        <v>4.9293420000000001</v>
      </c>
      <c r="E114" s="127">
        <v>7.5910000000005695E-3</v>
      </c>
      <c r="F114" s="8">
        <v>0</v>
      </c>
      <c r="G114"/>
      <c r="H114" s="10"/>
      <c r="J114" s="126">
        <f t="shared" si="1"/>
        <v>7.5910000000005695E-3</v>
      </c>
      <c r="L114" t="s">
        <v>617</v>
      </c>
    </row>
    <row r="115" spans="1:12" ht="12.5" x14ac:dyDescent="0.25">
      <c r="A115" s="5"/>
      <c r="B115" s="72" t="s">
        <v>326</v>
      </c>
      <c r="C115" s="127">
        <v>692.88896</v>
      </c>
      <c r="D115" s="127">
        <v>694.54143999999997</v>
      </c>
      <c r="E115" s="127">
        <v>1.6524799999999686</v>
      </c>
      <c r="F115" s="8">
        <v>0</v>
      </c>
      <c r="G115"/>
      <c r="H115" s="10"/>
      <c r="J115" s="126">
        <f t="shared" si="1"/>
        <v>1.6524799999999686</v>
      </c>
      <c r="L115" t="s">
        <v>618</v>
      </c>
    </row>
    <row r="116" spans="1:12" ht="12.5" x14ac:dyDescent="0.25">
      <c r="A116" s="5"/>
      <c r="B116" s="72" t="s">
        <v>327</v>
      </c>
      <c r="C116" s="127"/>
      <c r="D116" s="127"/>
      <c r="E116" s="127"/>
      <c r="F116" s="8"/>
      <c r="G116"/>
      <c r="H116" s="10"/>
      <c r="J116" s="126">
        <f t="shared" si="1"/>
        <v>0</v>
      </c>
      <c r="L116" t="s">
        <v>619</v>
      </c>
    </row>
    <row r="117" spans="1:12" ht="12.5" x14ac:dyDescent="0.25">
      <c r="A117" s="5"/>
      <c r="B117" s="72" t="s">
        <v>328</v>
      </c>
      <c r="C117" s="127">
        <v>22.697875999999997</v>
      </c>
      <c r="D117" s="127">
        <v>22.720153999999997</v>
      </c>
      <c r="E117" s="127">
        <v>2.227800000000002E-2</v>
      </c>
      <c r="F117" s="8">
        <v>0</v>
      </c>
      <c r="G117"/>
      <c r="H117" s="10"/>
      <c r="J117" s="126">
        <f t="shared" si="1"/>
        <v>2.227800000000002E-2</v>
      </c>
      <c r="L117" t="s">
        <v>620</v>
      </c>
    </row>
    <row r="118" spans="1:12" ht="12.5" x14ac:dyDescent="0.25">
      <c r="A118" s="5"/>
      <c r="B118" s="72" t="s">
        <v>329</v>
      </c>
      <c r="C118" s="127">
        <v>0.23552143749999999</v>
      </c>
      <c r="D118" s="127">
        <v>0.24131285937499999</v>
      </c>
      <c r="E118" s="127">
        <v>5.7914218750000079E-3</v>
      </c>
      <c r="F118" s="8">
        <v>0</v>
      </c>
      <c r="G118"/>
      <c r="H118" s="10"/>
      <c r="J118" s="126">
        <f t="shared" si="1"/>
        <v>5.7914218750000079E-3</v>
      </c>
      <c r="L118" t="s">
        <v>621</v>
      </c>
    </row>
    <row r="119" spans="1:12" ht="12.5" x14ac:dyDescent="0.25">
      <c r="A119" s="5"/>
      <c r="B119" s="72" t="s">
        <v>330</v>
      </c>
      <c r="C119" s="127">
        <v>11.556436</v>
      </c>
      <c r="D119" s="127">
        <v>11.568761</v>
      </c>
      <c r="E119" s="127">
        <v>1.2325000000000585E-2</v>
      </c>
      <c r="F119" s="8">
        <v>0</v>
      </c>
      <c r="G119"/>
      <c r="H119" s="10"/>
      <c r="J119" s="126">
        <f t="shared" si="1"/>
        <v>1.2325000000000585E-2</v>
      </c>
      <c r="L119" t="s">
        <v>622</v>
      </c>
    </row>
    <row r="120" spans="1:12" ht="12.5" x14ac:dyDescent="0.25">
      <c r="A120" s="5"/>
      <c r="B120" s="72" t="s">
        <v>331</v>
      </c>
      <c r="C120" s="127">
        <v>0.85973650000000001</v>
      </c>
      <c r="D120" s="127">
        <v>0.85973650000000001</v>
      </c>
      <c r="E120" s="127">
        <v>0</v>
      </c>
      <c r="F120" s="8">
        <v>0</v>
      </c>
      <c r="G120"/>
      <c r="H120" s="10"/>
      <c r="J120" s="126">
        <f t="shared" si="1"/>
        <v>0</v>
      </c>
      <c r="L120" t="s">
        <v>623</v>
      </c>
    </row>
    <row r="121" spans="1:12" ht="12.5" x14ac:dyDescent="0.25">
      <c r="A121" s="5"/>
      <c r="B121" s="72" t="s">
        <v>332</v>
      </c>
      <c r="C121" s="127">
        <v>185.450064</v>
      </c>
      <c r="D121" s="127">
        <v>185.48843199999999</v>
      </c>
      <c r="E121" s="127">
        <v>3.8367999999991298E-2</v>
      </c>
      <c r="F121" s="8">
        <v>0</v>
      </c>
      <c r="H121" s="10"/>
      <c r="J121" s="126">
        <f t="shared" si="1"/>
        <v>3.8367999999991298E-2</v>
      </c>
      <c r="L121" t="s">
        <v>624</v>
      </c>
    </row>
    <row r="122" spans="1:12" ht="12.5" x14ac:dyDescent="0.25">
      <c r="A122" s="5"/>
      <c r="B122" s="72" t="s">
        <v>333</v>
      </c>
      <c r="C122" s="127">
        <v>8.1930525000000003</v>
      </c>
      <c r="D122" s="127">
        <v>8.2094644999999993</v>
      </c>
      <c r="E122" s="127">
        <v>1.6411999999998983E-2</v>
      </c>
      <c r="F122" s="8">
        <v>0</v>
      </c>
      <c r="H122" s="10"/>
      <c r="J122" s="126">
        <f t="shared" si="1"/>
        <v>1.6411999999998983E-2</v>
      </c>
      <c r="L122" t="s">
        <v>625</v>
      </c>
    </row>
    <row r="123" spans="1:12" ht="12.5" x14ac:dyDescent="0.25">
      <c r="A123" s="5"/>
      <c r="B123" s="72" t="s">
        <v>334</v>
      </c>
      <c r="C123" s="127">
        <v>4.632733</v>
      </c>
      <c r="D123" s="127">
        <v>4.632733</v>
      </c>
      <c r="E123" s="127">
        <v>0</v>
      </c>
      <c r="F123" s="8">
        <v>0</v>
      </c>
      <c r="H123" s="10"/>
      <c r="J123" s="126">
        <f t="shared" si="1"/>
        <v>0</v>
      </c>
      <c r="L123" t="s">
        <v>626</v>
      </c>
    </row>
    <row r="124" spans="1:12" ht="12.5" x14ac:dyDescent="0.25">
      <c r="A124" s="5"/>
      <c r="B124" s="72" t="s">
        <v>335</v>
      </c>
      <c r="C124" s="127"/>
      <c r="D124" s="127"/>
      <c r="E124" s="127"/>
      <c r="F124" s="8"/>
      <c r="H124" s="10"/>
      <c r="J124" s="126">
        <f t="shared" si="1"/>
        <v>0</v>
      </c>
      <c r="L124" t="s">
        <v>627</v>
      </c>
    </row>
    <row r="125" spans="1:12" ht="12.5" x14ac:dyDescent="0.25">
      <c r="A125" s="5"/>
      <c r="B125" s="72" t="s">
        <v>336</v>
      </c>
      <c r="C125" s="127">
        <v>487.54044799999997</v>
      </c>
      <c r="D125" s="127">
        <v>488.15625599999998</v>
      </c>
      <c r="E125" s="127">
        <v>0.61580800000001545</v>
      </c>
      <c r="F125" s="8">
        <v>0</v>
      </c>
      <c r="H125" s="10"/>
      <c r="J125" s="126">
        <f t="shared" si="1"/>
        <v>0.61580800000001545</v>
      </c>
      <c r="L125" t="s">
        <v>628</v>
      </c>
    </row>
    <row r="126" spans="1:12" ht="12.5" x14ac:dyDescent="0.25">
      <c r="A126" s="5"/>
      <c r="B126" s="72" t="s">
        <v>337</v>
      </c>
      <c r="C126" s="127">
        <v>5.1323949999999998</v>
      </c>
      <c r="D126" s="127">
        <v>5.2659994999999995</v>
      </c>
      <c r="E126" s="127">
        <v>0.13360449999999968</v>
      </c>
      <c r="F126" s="8">
        <v>0</v>
      </c>
      <c r="H126" s="10"/>
      <c r="J126" s="126">
        <f t="shared" si="1"/>
        <v>0.13360449999999968</v>
      </c>
      <c r="L126" t="s">
        <v>629</v>
      </c>
    </row>
    <row r="127" spans="1:12" ht="12.5" x14ac:dyDescent="0.25">
      <c r="A127" s="5"/>
      <c r="B127" s="72" t="s">
        <v>338</v>
      </c>
      <c r="C127" s="127">
        <v>13.678972999999999</v>
      </c>
      <c r="D127" s="127">
        <v>13.678972999999999</v>
      </c>
      <c r="E127" s="127">
        <v>0</v>
      </c>
      <c r="F127" s="8">
        <v>0</v>
      </c>
      <c r="H127" s="10"/>
      <c r="J127" s="126">
        <f t="shared" si="1"/>
        <v>0</v>
      </c>
      <c r="L127" t="s">
        <v>630</v>
      </c>
    </row>
    <row r="128" spans="1:12" ht="12.5" x14ac:dyDescent="0.25">
      <c r="A128" s="5"/>
      <c r="B128" s="72" t="s">
        <v>339</v>
      </c>
      <c r="C128" s="127">
        <v>2.9315289999999998</v>
      </c>
      <c r="D128" s="127">
        <v>2.9358009999999997</v>
      </c>
      <c r="E128" s="127">
        <v>4.2719999999998315E-3</v>
      </c>
      <c r="F128" s="8">
        <v>0</v>
      </c>
      <c r="H128" s="10"/>
      <c r="J128" s="126">
        <f t="shared" si="1"/>
        <v>4.2719999999998315E-3</v>
      </c>
      <c r="L128" t="s">
        <v>631</v>
      </c>
    </row>
    <row r="129" spans="1:14" ht="12.5" x14ac:dyDescent="0.25">
      <c r="A129" s="5"/>
      <c r="B129" s="72" t="s">
        <v>340</v>
      </c>
      <c r="C129" s="127"/>
      <c r="D129" s="127"/>
      <c r="E129" s="127"/>
      <c r="F129" s="8"/>
      <c r="H129" s="10"/>
      <c r="J129" s="126">
        <f t="shared" si="1"/>
        <v>0</v>
      </c>
      <c r="L129" t="s">
        <v>632</v>
      </c>
    </row>
    <row r="130" spans="1:14" ht="12.5" x14ac:dyDescent="0.25">
      <c r="A130" s="5"/>
      <c r="B130" s="72" t="s">
        <v>341</v>
      </c>
      <c r="C130" s="127">
        <v>10.251821999999999</v>
      </c>
      <c r="D130" s="127">
        <v>10.280059</v>
      </c>
      <c r="E130" s="127">
        <v>2.8237000000000734E-2</v>
      </c>
      <c r="F130" s="8">
        <v>0</v>
      </c>
      <c r="H130" s="10"/>
      <c r="J130" s="126">
        <f t="shared" si="1"/>
        <v>2.8237000000000734E-2</v>
      </c>
      <c r="L130" t="s">
        <v>633</v>
      </c>
    </row>
    <row r="131" spans="1:14" ht="12.5" x14ac:dyDescent="0.25">
      <c r="A131" s="5"/>
      <c r="B131" s="72" t="s">
        <v>342</v>
      </c>
      <c r="C131" s="127">
        <v>0.61819618749999994</v>
      </c>
      <c r="D131" s="127">
        <v>0.61990987499999994</v>
      </c>
      <c r="E131" s="127">
        <v>1.7136875000000051E-3</v>
      </c>
      <c r="F131" s="8">
        <v>0</v>
      </c>
      <c r="H131" s="10"/>
      <c r="J131" s="126">
        <f t="shared" si="1"/>
        <v>1.7136875000000051E-3</v>
      </c>
      <c r="L131" t="s">
        <v>634</v>
      </c>
    </row>
    <row r="132" spans="1:14" ht="12.5" x14ac:dyDescent="0.25">
      <c r="A132" s="5"/>
      <c r="B132" s="72" t="s">
        <v>343</v>
      </c>
      <c r="C132" s="127">
        <v>27.853088</v>
      </c>
      <c r="D132" s="127">
        <v>27.889146</v>
      </c>
      <c r="E132" s="127">
        <v>3.605800000000059E-2</v>
      </c>
      <c r="F132" s="8">
        <v>0</v>
      </c>
      <c r="H132" s="10"/>
      <c r="J132" s="126">
        <f t="shared" si="1"/>
        <v>3.605800000000059E-2</v>
      </c>
      <c r="L132" t="s">
        <v>635</v>
      </c>
    </row>
    <row r="133" spans="1:14" ht="12.5" x14ac:dyDescent="0.25">
      <c r="A133" s="5"/>
      <c r="B133" s="72" t="s">
        <v>344</v>
      </c>
      <c r="C133" s="127">
        <v>1.40665825</v>
      </c>
      <c r="D133" s="127">
        <v>1.40665825</v>
      </c>
      <c r="E133" s="127">
        <v>0</v>
      </c>
      <c r="F133" s="8">
        <v>0</v>
      </c>
      <c r="H133" s="10"/>
      <c r="J133" s="126">
        <f t="shared" ref="J133:J196" si="2">E133</f>
        <v>0</v>
      </c>
      <c r="L133" t="s">
        <v>636</v>
      </c>
    </row>
    <row r="134" spans="1:14" ht="12.5" x14ac:dyDescent="0.25">
      <c r="A134" s="5"/>
      <c r="B134" s="72" t="s">
        <v>345</v>
      </c>
      <c r="C134" s="127">
        <v>219.59875199999999</v>
      </c>
      <c r="D134" s="127">
        <v>220.09825599999999</v>
      </c>
      <c r="E134" s="127">
        <v>0.49950400000000172</v>
      </c>
      <c r="F134" s="8">
        <v>0</v>
      </c>
      <c r="H134" s="10"/>
      <c r="J134" s="126">
        <f t="shared" si="2"/>
        <v>0.49950400000000172</v>
      </c>
      <c r="L134" t="s">
        <v>637</v>
      </c>
    </row>
    <row r="135" spans="1:14" ht="12.5" x14ac:dyDescent="0.25">
      <c r="A135" s="5"/>
      <c r="B135" s="72" t="s">
        <v>346</v>
      </c>
      <c r="C135" s="127">
        <v>185.13524799999999</v>
      </c>
      <c r="D135" s="127">
        <v>185.38153599999998</v>
      </c>
      <c r="E135" s="127">
        <v>0.24628799999999273</v>
      </c>
      <c r="F135" s="8">
        <v>0</v>
      </c>
      <c r="H135" s="10"/>
      <c r="J135" s="126">
        <f t="shared" si="2"/>
        <v>0.24628799999999273</v>
      </c>
      <c r="L135" t="s">
        <v>638</v>
      </c>
    </row>
    <row r="136" spans="1:14" ht="12.5" x14ac:dyDescent="0.25">
      <c r="A136" s="5"/>
      <c r="B136" s="72" t="s">
        <v>347</v>
      </c>
      <c r="C136" s="127">
        <v>3.1741639999999998</v>
      </c>
      <c r="D136" s="127">
        <v>3.1762544999999998</v>
      </c>
      <c r="E136" s="127">
        <v>2.0904999999999951E-3</v>
      </c>
      <c r="F136" s="8">
        <v>0</v>
      </c>
      <c r="H136" s="10"/>
      <c r="J136" s="126">
        <f t="shared" si="2"/>
        <v>2.0904999999999951E-3</v>
      </c>
      <c r="L136" t="s">
        <v>639</v>
      </c>
    </row>
    <row r="137" spans="1:14" ht="12.5" x14ac:dyDescent="0.25">
      <c r="A137" s="5"/>
      <c r="B137" s="72" t="s">
        <v>348</v>
      </c>
      <c r="C137" s="127">
        <v>7.9983759999999995</v>
      </c>
      <c r="D137" s="127">
        <v>8.04359</v>
      </c>
      <c r="E137" s="127">
        <v>4.5214000000000532E-2</v>
      </c>
      <c r="F137" s="8">
        <v>0</v>
      </c>
      <c r="H137" s="10"/>
      <c r="J137" s="126">
        <f t="shared" si="2"/>
        <v>4.5214000000000532E-2</v>
      </c>
      <c r="L137" t="s">
        <v>640</v>
      </c>
    </row>
    <row r="138" spans="1:14" ht="12.5" x14ac:dyDescent="0.25">
      <c r="A138" s="5"/>
      <c r="B138" s="72" t="s">
        <v>349</v>
      </c>
      <c r="C138" s="127">
        <v>6168.2354400000004</v>
      </c>
      <c r="D138" s="127">
        <v>6171.7180530000005</v>
      </c>
      <c r="E138" s="127">
        <v>3.4826130000001285</v>
      </c>
      <c r="F138" s="8">
        <v>0</v>
      </c>
      <c r="H138" s="10"/>
      <c r="J138" s="126">
        <f t="shared" si="2"/>
        <v>3.4826130000001285</v>
      </c>
      <c r="L138" t="s">
        <v>641</v>
      </c>
    </row>
    <row r="139" spans="1:14" ht="12.5" x14ac:dyDescent="0.25">
      <c r="A139" s="5"/>
      <c r="B139" s="72" t="s">
        <v>350</v>
      </c>
      <c r="C139" s="127"/>
      <c r="D139" s="127"/>
      <c r="E139" s="127"/>
      <c r="F139" s="8"/>
      <c r="H139" s="10"/>
      <c r="J139" s="126">
        <f t="shared" si="2"/>
        <v>0</v>
      </c>
      <c r="L139" t="s">
        <v>642</v>
      </c>
    </row>
    <row r="140" spans="1:14" ht="12.5" x14ac:dyDescent="0.25">
      <c r="A140" s="5"/>
      <c r="B140" s="72" t="s">
        <v>351</v>
      </c>
      <c r="C140" s="127">
        <v>580.92217599999992</v>
      </c>
      <c r="D140" s="127">
        <v>581.06399999999996</v>
      </c>
      <c r="E140" s="127">
        <v>0.14182400000004236</v>
      </c>
      <c r="F140" s="8">
        <v>0</v>
      </c>
      <c r="H140" s="10"/>
      <c r="J140" s="126">
        <f t="shared" si="2"/>
        <v>0.14182400000004236</v>
      </c>
      <c r="L140" t="s">
        <v>643</v>
      </c>
    </row>
    <row r="141" spans="1:14" ht="12.5" x14ac:dyDescent="0.25">
      <c r="A141" s="5"/>
      <c r="B141" s="72" t="s">
        <v>352</v>
      </c>
      <c r="C141" s="127">
        <v>929.923136</v>
      </c>
      <c r="D141" s="127">
        <v>930.10559999999998</v>
      </c>
      <c r="E141" s="127">
        <v>0.18246399999998175</v>
      </c>
      <c r="F141" s="8">
        <v>0</v>
      </c>
      <c r="H141" s="10"/>
      <c r="J141" s="126">
        <f t="shared" si="2"/>
        <v>0.18246399999998175</v>
      </c>
      <c r="L141" t="s">
        <v>644</v>
      </c>
    </row>
    <row r="142" spans="1:14" ht="12.5" x14ac:dyDescent="0.25">
      <c r="A142" s="5"/>
      <c r="B142" s="72" t="s">
        <v>353</v>
      </c>
      <c r="C142" s="127">
        <v>340.52895999999998</v>
      </c>
      <c r="D142" s="127">
        <v>340.56943999999999</v>
      </c>
      <c r="E142" s="127">
        <v>4.0480000000002292E-2</v>
      </c>
      <c r="F142" s="8">
        <v>0</v>
      </c>
      <c r="H142" s="10"/>
      <c r="J142" s="126">
        <f t="shared" si="2"/>
        <v>4.0480000000002292E-2</v>
      </c>
      <c r="L142" t="s">
        <v>645</v>
      </c>
    </row>
    <row r="143" spans="1:14" ht="12.5" x14ac:dyDescent="0.25">
      <c r="A143" s="5"/>
      <c r="B143" s="72" t="s">
        <v>354</v>
      </c>
      <c r="C143" s="127"/>
      <c r="D143" s="127"/>
      <c r="E143" s="127"/>
      <c r="F143" s="8">
        <v>0</v>
      </c>
      <c r="H143" s="10"/>
      <c r="J143" s="126">
        <f t="shared" si="2"/>
        <v>0</v>
      </c>
      <c r="L143" t="s">
        <v>646</v>
      </c>
    </row>
    <row r="144" spans="1:14" ht="12.5" x14ac:dyDescent="0.25">
      <c r="A144" s="5"/>
      <c r="B144" s="72" t="s">
        <v>355</v>
      </c>
      <c r="C144" s="127">
        <v>1945.306112</v>
      </c>
      <c r="D144" s="127">
        <v>1946.3206399999999</v>
      </c>
      <c r="E144" s="127">
        <v>1.0145279999999275</v>
      </c>
      <c r="F144" s="8">
        <v>0</v>
      </c>
      <c r="H144" s="10"/>
      <c r="J144" s="126">
        <f t="shared" si="2"/>
        <v>1.0145279999999275</v>
      </c>
      <c r="L144" t="s">
        <v>647</v>
      </c>
      <c r="N144" s="93"/>
    </row>
    <row r="145" spans="1:13" ht="12.5" x14ac:dyDescent="0.25">
      <c r="A145" s="5"/>
      <c r="B145" s="72" t="s">
        <v>356</v>
      </c>
      <c r="C145" s="127">
        <v>2272.6973439999997</v>
      </c>
      <c r="D145" s="127">
        <v>2273.9343359999998</v>
      </c>
      <c r="E145" s="127">
        <v>1.2369920000001002</v>
      </c>
      <c r="F145" s="8">
        <v>0</v>
      </c>
      <c r="H145" s="10"/>
      <c r="J145" s="126">
        <f t="shared" si="2"/>
        <v>1.2369920000001002</v>
      </c>
      <c r="L145" t="s">
        <v>648</v>
      </c>
    </row>
    <row r="146" spans="1:13" ht="12.5" x14ac:dyDescent="0.25">
      <c r="A146" s="5"/>
      <c r="B146" s="72" t="s">
        <v>357</v>
      </c>
      <c r="C146" s="127">
        <v>2550.2538239999999</v>
      </c>
      <c r="D146" s="127">
        <v>2550.2538239999999</v>
      </c>
      <c r="E146" s="127">
        <v>0</v>
      </c>
      <c r="F146" s="8">
        <v>0</v>
      </c>
      <c r="H146" s="10"/>
      <c r="J146" s="126">
        <f t="shared" si="2"/>
        <v>0</v>
      </c>
      <c r="L146" t="s">
        <v>649</v>
      </c>
    </row>
    <row r="147" spans="1:13" ht="12.5" x14ac:dyDescent="0.25">
      <c r="A147" s="5"/>
      <c r="B147" s="72" t="s">
        <v>358</v>
      </c>
      <c r="C147" s="127">
        <v>889.53375999999992</v>
      </c>
      <c r="D147" s="127">
        <v>889.53990399999998</v>
      </c>
      <c r="E147" s="127">
        <v>6.144000000062988E-3</v>
      </c>
      <c r="F147" s="8">
        <v>0</v>
      </c>
      <c r="H147" s="10"/>
      <c r="J147" s="126">
        <f t="shared" si="2"/>
        <v>6.144000000062988E-3</v>
      </c>
      <c r="L147" t="s">
        <v>650</v>
      </c>
    </row>
    <row r="148" spans="1:13" ht="12.5" x14ac:dyDescent="0.25">
      <c r="A148" s="5"/>
      <c r="B148" s="72" t="s">
        <v>359</v>
      </c>
      <c r="C148" s="127">
        <v>0</v>
      </c>
      <c r="D148" s="127">
        <v>0</v>
      </c>
      <c r="E148" s="127">
        <v>0</v>
      </c>
      <c r="F148" s="8">
        <v>0</v>
      </c>
      <c r="H148" s="10"/>
      <c r="J148" s="126">
        <f t="shared" si="2"/>
        <v>0</v>
      </c>
      <c r="L148" t="s">
        <v>651</v>
      </c>
    </row>
    <row r="149" spans="1:13" ht="12.5" x14ac:dyDescent="0.25">
      <c r="A149" s="5"/>
      <c r="B149" s="72" t="s">
        <v>360</v>
      </c>
      <c r="C149" s="9"/>
      <c r="D149" s="9"/>
      <c r="E149" s="9"/>
      <c r="F149" s="8"/>
      <c r="H149" s="10"/>
      <c r="J149" s="126">
        <f t="shared" si="2"/>
        <v>0</v>
      </c>
      <c r="L149" t="s">
        <v>652</v>
      </c>
    </row>
    <row r="150" spans="1:13" ht="12.5" x14ac:dyDescent="0.25">
      <c r="A150" s="5"/>
      <c r="B150" s="72" t="s">
        <v>653</v>
      </c>
      <c r="C150" s="165">
        <v>107.58552899999999</v>
      </c>
      <c r="D150" s="165">
        <v>108.442162</v>
      </c>
      <c r="E150" s="9">
        <v>0.8566330000000022</v>
      </c>
      <c r="F150" s="8">
        <v>0</v>
      </c>
      <c r="H150" s="10"/>
      <c r="J150" s="126">
        <f t="shared" si="2"/>
        <v>0.8566330000000022</v>
      </c>
    </row>
    <row r="151" spans="1:13" ht="14.5" x14ac:dyDescent="0.25">
      <c r="A151" s="5"/>
      <c r="B151" s="81" t="s">
        <v>24</v>
      </c>
      <c r="C151" s="9"/>
      <c r="D151" s="9"/>
      <c r="E151" s="9"/>
      <c r="F151" s="8"/>
      <c r="H151" s="10"/>
      <c r="J151" s="126">
        <f t="shared" si="2"/>
        <v>0</v>
      </c>
    </row>
    <row r="152" spans="1:13" ht="14.5" x14ac:dyDescent="0.25">
      <c r="A152" s="5"/>
      <c r="B152" s="81" t="s">
        <v>24</v>
      </c>
      <c r="C152" s="9"/>
      <c r="D152" s="9"/>
      <c r="E152" s="9"/>
      <c r="F152" s="8"/>
      <c r="H152" s="10"/>
      <c r="J152" s="126">
        <f t="shared" si="2"/>
        <v>0</v>
      </c>
    </row>
    <row r="153" spans="1:13" ht="14.5" x14ac:dyDescent="0.25">
      <c r="A153" s="5"/>
      <c r="B153" s="81" t="s">
        <v>24</v>
      </c>
      <c r="C153" s="9"/>
      <c r="D153" s="9"/>
      <c r="E153" s="9"/>
      <c r="F153" s="8"/>
      <c r="H153" s="10"/>
      <c r="J153" s="126">
        <f t="shared" si="2"/>
        <v>0</v>
      </c>
    </row>
    <row r="154" spans="1:13" ht="12.5" x14ac:dyDescent="0.25">
      <c r="A154" s="5"/>
      <c r="B154" s="7"/>
      <c r="C154" s="9"/>
      <c r="D154" s="9"/>
      <c r="E154" s="9"/>
      <c r="F154" s="8"/>
      <c r="H154" s="10"/>
      <c r="J154" s="126">
        <f t="shared" si="2"/>
        <v>0</v>
      </c>
    </row>
    <row r="155" spans="1:13" ht="12.5" x14ac:dyDescent="0.25">
      <c r="A155" s="5"/>
      <c r="B155" s="7"/>
      <c r="C155" s="9"/>
      <c r="D155" s="9"/>
      <c r="E155" s="9"/>
      <c r="F155" s="8"/>
      <c r="H155" s="10"/>
      <c r="J155" s="126">
        <f t="shared" si="2"/>
        <v>0</v>
      </c>
    </row>
    <row r="156" spans="1:13" ht="12.5" x14ac:dyDescent="0.25">
      <c r="A156" s="5"/>
      <c r="B156" s="7"/>
      <c r="C156" s="9"/>
      <c r="D156" s="9"/>
      <c r="E156" s="9"/>
      <c r="F156" s="8"/>
      <c r="H156" s="10"/>
      <c r="J156" s="126">
        <f t="shared" si="2"/>
        <v>0</v>
      </c>
    </row>
    <row r="157" spans="1:13" ht="12.5" x14ac:dyDescent="0.25">
      <c r="A157" s="5"/>
      <c r="B157" s="7"/>
      <c r="C157" s="9"/>
      <c r="D157" s="9"/>
      <c r="E157" s="9"/>
      <c r="F157" s="8"/>
      <c r="H157" s="10"/>
      <c r="J157" s="126">
        <f t="shared" si="2"/>
        <v>0</v>
      </c>
    </row>
    <row r="158" spans="1:13" ht="12.5" x14ac:dyDescent="0.25">
      <c r="A158" s="5"/>
      <c r="B158" s="7"/>
      <c r="C158" s="9"/>
      <c r="D158" s="9"/>
      <c r="E158" s="9"/>
      <c r="F158" s="8"/>
      <c r="H158" s="10"/>
      <c r="J158" s="126">
        <f t="shared" si="2"/>
        <v>0</v>
      </c>
      <c r="M158" s="72"/>
    </row>
    <row r="159" spans="1:13" ht="12.5" x14ac:dyDescent="0.25">
      <c r="A159" s="5"/>
      <c r="B159" s="7"/>
      <c r="C159" s="9"/>
      <c r="D159" s="9"/>
      <c r="E159" s="9"/>
      <c r="F159" s="8"/>
      <c r="H159" s="10"/>
      <c r="J159" s="126">
        <f t="shared" si="2"/>
        <v>0</v>
      </c>
      <c r="M159" s="72"/>
    </row>
    <row r="160" spans="1:13" ht="12.5" x14ac:dyDescent="0.25">
      <c r="A160" s="5"/>
      <c r="B160" s="7"/>
      <c r="C160" s="9"/>
      <c r="D160" s="9"/>
      <c r="E160" s="9"/>
      <c r="F160" s="8"/>
      <c r="H160" s="10"/>
      <c r="J160" s="126">
        <f t="shared" si="2"/>
        <v>0</v>
      </c>
      <c r="M160" s="72"/>
    </row>
    <row r="161" spans="10:13" x14ac:dyDescent="0.3">
      <c r="J161" s="126">
        <f t="shared" si="2"/>
        <v>0</v>
      </c>
      <c r="M161" s="72"/>
    </row>
    <row r="162" spans="10:13" x14ac:dyDescent="0.3">
      <c r="J162" s="126">
        <f t="shared" si="2"/>
        <v>0</v>
      </c>
      <c r="M162" s="72"/>
    </row>
    <row r="163" spans="10:13" x14ac:dyDescent="0.3">
      <c r="J163" s="126">
        <f t="shared" si="2"/>
        <v>0</v>
      </c>
      <c r="M163" s="72"/>
    </row>
    <row r="164" spans="10:13" x14ac:dyDescent="0.3">
      <c r="J164" s="126">
        <f t="shared" si="2"/>
        <v>0</v>
      </c>
      <c r="M164" s="72"/>
    </row>
    <row r="165" spans="10:13" x14ac:dyDescent="0.3">
      <c r="J165" s="126">
        <f t="shared" si="2"/>
        <v>0</v>
      </c>
      <c r="M165" s="72"/>
    </row>
    <row r="166" spans="10:13" x14ac:dyDescent="0.3">
      <c r="J166" s="126">
        <f t="shared" si="2"/>
        <v>0</v>
      </c>
      <c r="M166" s="72"/>
    </row>
    <row r="167" spans="10:13" x14ac:dyDescent="0.3">
      <c r="J167" s="126">
        <f t="shared" si="2"/>
        <v>0</v>
      </c>
      <c r="M167" s="72"/>
    </row>
    <row r="168" spans="10:13" x14ac:dyDescent="0.3">
      <c r="J168" s="126">
        <f t="shared" si="2"/>
        <v>0</v>
      </c>
      <c r="M168" s="72"/>
    </row>
    <row r="169" spans="10:13" x14ac:dyDescent="0.3">
      <c r="J169" s="126">
        <f t="shared" si="2"/>
        <v>0</v>
      </c>
      <c r="M169" s="72"/>
    </row>
    <row r="170" spans="10:13" x14ac:dyDescent="0.3">
      <c r="J170" s="126">
        <f t="shared" si="2"/>
        <v>0</v>
      </c>
      <c r="M170" s="72"/>
    </row>
    <row r="171" spans="10:13" x14ac:dyDescent="0.3">
      <c r="J171" s="126">
        <f t="shared" si="2"/>
        <v>0</v>
      </c>
      <c r="M171" s="72"/>
    </row>
    <row r="172" spans="10:13" x14ac:dyDescent="0.3">
      <c r="J172" s="126">
        <f t="shared" si="2"/>
        <v>0</v>
      </c>
      <c r="M172" s="72"/>
    </row>
    <row r="173" spans="10:13" x14ac:dyDescent="0.3">
      <c r="J173" s="126">
        <f t="shared" si="2"/>
        <v>0</v>
      </c>
      <c r="M173" s="72"/>
    </row>
    <row r="174" spans="10:13" x14ac:dyDescent="0.3">
      <c r="J174" s="126">
        <f t="shared" si="2"/>
        <v>0</v>
      </c>
      <c r="M174" s="72"/>
    </row>
    <row r="175" spans="10:13" x14ac:dyDescent="0.3">
      <c r="J175" s="126">
        <f t="shared" si="2"/>
        <v>0</v>
      </c>
      <c r="M175" s="72"/>
    </row>
    <row r="176" spans="10:13" x14ac:dyDescent="0.3">
      <c r="J176" s="126">
        <f t="shared" si="2"/>
        <v>0</v>
      </c>
      <c r="M176" s="72"/>
    </row>
    <row r="177" spans="10:13" x14ac:dyDescent="0.3">
      <c r="J177" s="126">
        <f t="shared" si="2"/>
        <v>0</v>
      </c>
      <c r="M177" s="72"/>
    </row>
    <row r="178" spans="10:13" x14ac:dyDescent="0.3">
      <c r="J178" s="126">
        <f t="shared" si="2"/>
        <v>0</v>
      </c>
      <c r="M178" s="72"/>
    </row>
    <row r="179" spans="10:13" x14ac:dyDescent="0.3">
      <c r="J179" s="126">
        <f t="shared" si="2"/>
        <v>0</v>
      </c>
      <c r="M179" s="72"/>
    </row>
    <row r="180" spans="10:13" x14ac:dyDescent="0.3">
      <c r="J180" s="126">
        <f t="shared" si="2"/>
        <v>0</v>
      </c>
      <c r="M180" s="72"/>
    </row>
    <row r="181" spans="10:13" x14ac:dyDescent="0.3">
      <c r="J181" s="126">
        <f t="shared" si="2"/>
        <v>0</v>
      </c>
      <c r="M181" s="72"/>
    </row>
    <row r="182" spans="10:13" x14ac:dyDescent="0.3">
      <c r="J182" s="126">
        <f t="shared" si="2"/>
        <v>0</v>
      </c>
      <c r="M182" s="72"/>
    </row>
    <row r="183" spans="10:13" x14ac:dyDescent="0.3">
      <c r="J183" s="126">
        <f t="shared" si="2"/>
        <v>0</v>
      </c>
      <c r="M183" s="72"/>
    </row>
    <row r="184" spans="10:13" x14ac:dyDescent="0.3">
      <c r="J184" s="126">
        <f t="shared" si="2"/>
        <v>0</v>
      </c>
      <c r="M184" s="72"/>
    </row>
    <row r="185" spans="10:13" x14ac:dyDescent="0.3">
      <c r="J185" s="126">
        <f t="shared" si="2"/>
        <v>0</v>
      </c>
      <c r="M185" s="72"/>
    </row>
    <row r="186" spans="10:13" x14ac:dyDescent="0.3">
      <c r="J186" s="126">
        <f t="shared" si="2"/>
        <v>0</v>
      </c>
      <c r="M186" s="72"/>
    </row>
    <row r="187" spans="10:13" x14ac:dyDescent="0.3">
      <c r="J187" s="126">
        <f t="shared" si="2"/>
        <v>0</v>
      </c>
      <c r="M187" s="72"/>
    </row>
    <row r="188" spans="10:13" x14ac:dyDescent="0.3">
      <c r="J188" s="126">
        <f t="shared" si="2"/>
        <v>0</v>
      </c>
      <c r="M188" s="72"/>
    </row>
    <row r="189" spans="10:13" x14ac:dyDescent="0.3">
      <c r="J189" s="126">
        <f t="shared" si="2"/>
        <v>0</v>
      </c>
      <c r="M189" s="72"/>
    </row>
    <row r="190" spans="10:13" x14ac:dyDescent="0.3">
      <c r="J190" s="126">
        <f t="shared" si="2"/>
        <v>0</v>
      </c>
      <c r="M190" s="72"/>
    </row>
    <row r="191" spans="10:13" x14ac:dyDescent="0.3">
      <c r="J191" s="126">
        <f t="shared" si="2"/>
        <v>0</v>
      </c>
      <c r="M191" s="72"/>
    </row>
    <row r="192" spans="10:13" x14ac:dyDescent="0.3">
      <c r="J192" s="126">
        <f t="shared" si="2"/>
        <v>0</v>
      </c>
      <c r="M192" s="72"/>
    </row>
    <row r="193" spans="10:13" x14ac:dyDescent="0.3">
      <c r="J193" s="126">
        <f t="shared" si="2"/>
        <v>0</v>
      </c>
      <c r="M193" s="72"/>
    </row>
    <row r="194" spans="10:13" x14ac:dyDescent="0.3">
      <c r="J194" s="126">
        <f t="shared" si="2"/>
        <v>0</v>
      </c>
      <c r="M194" s="72"/>
    </row>
    <row r="195" spans="10:13" x14ac:dyDescent="0.3">
      <c r="J195" s="126">
        <f t="shared" si="2"/>
        <v>0</v>
      </c>
      <c r="M195" s="72"/>
    </row>
    <row r="196" spans="10:13" x14ac:dyDescent="0.3">
      <c r="J196" s="126">
        <f t="shared" si="2"/>
        <v>0</v>
      </c>
      <c r="M196" s="72"/>
    </row>
    <row r="197" spans="10:13" x14ac:dyDescent="0.3">
      <c r="J197" s="126">
        <f t="shared" ref="J197:J260" si="3">E197</f>
        <v>0</v>
      </c>
      <c r="M197" s="72"/>
    </row>
    <row r="198" spans="10:13" x14ac:dyDescent="0.3">
      <c r="J198" s="126">
        <f t="shared" si="3"/>
        <v>0</v>
      </c>
      <c r="M198" s="72"/>
    </row>
    <row r="199" spans="10:13" x14ac:dyDescent="0.3">
      <c r="J199" s="126">
        <f t="shared" si="3"/>
        <v>0</v>
      </c>
      <c r="M199" s="72"/>
    </row>
    <row r="200" spans="10:13" x14ac:dyDescent="0.3">
      <c r="J200" s="126">
        <f t="shared" si="3"/>
        <v>0</v>
      </c>
      <c r="M200" s="72"/>
    </row>
    <row r="201" spans="10:13" x14ac:dyDescent="0.3">
      <c r="J201" s="126">
        <f t="shared" si="3"/>
        <v>0</v>
      </c>
      <c r="M201" s="72"/>
    </row>
    <row r="202" spans="10:13" x14ac:dyDescent="0.3">
      <c r="J202" s="126">
        <f t="shared" si="3"/>
        <v>0</v>
      </c>
      <c r="M202" s="72"/>
    </row>
    <row r="203" spans="10:13" x14ac:dyDescent="0.3">
      <c r="J203" s="126">
        <f t="shared" si="3"/>
        <v>0</v>
      </c>
      <c r="M203" s="72"/>
    </row>
    <row r="204" spans="10:13" x14ac:dyDescent="0.3">
      <c r="J204" s="126">
        <f t="shared" si="3"/>
        <v>0</v>
      </c>
      <c r="M204" s="72"/>
    </row>
    <row r="205" spans="10:13" x14ac:dyDescent="0.3">
      <c r="J205" s="126">
        <f t="shared" si="3"/>
        <v>0</v>
      </c>
      <c r="M205" s="72"/>
    </row>
    <row r="206" spans="10:13" x14ac:dyDescent="0.3">
      <c r="J206" s="126">
        <f t="shared" si="3"/>
        <v>0</v>
      </c>
      <c r="M206" s="72"/>
    </row>
    <row r="207" spans="10:13" x14ac:dyDescent="0.3">
      <c r="J207" s="126">
        <f t="shared" si="3"/>
        <v>0</v>
      </c>
      <c r="M207" s="72"/>
    </row>
    <row r="208" spans="10:13" x14ac:dyDescent="0.3">
      <c r="J208" s="126">
        <f t="shared" si="3"/>
        <v>0</v>
      </c>
    </row>
    <row r="209" spans="10:10" x14ac:dyDescent="0.3">
      <c r="J209" s="126">
        <f t="shared" si="3"/>
        <v>0</v>
      </c>
    </row>
    <row r="210" spans="10:10" x14ac:dyDescent="0.3">
      <c r="J210" s="126">
        <f t="shared" si="3"/>
        <v>0</v>
      </c>
    </row>
    <row r="211" spans="10:10" x14ac:dyDescent="0.3">
      <c r="J211" s="126">
        <f t="shared" si="3"/>
        <v>0</v>
      </c>
    </row>
    <row r="212" spans="10:10" x14ac:dyDescent="0.3">
      <c r="J212" s="126">
        <f t="shared" si="3"/>
        <v>0</v>
      </c>
    </row>
    <row r="213" spans="10:10" x14ac:dyDescent="0.3">
      <c r="J213" s="126">
        <f t="shared" si="3"/>
        <v>0</v>
      </c>
    </row>
    <row r="214" spans="10:10" x14ac:dyDescent="0.3">
      <c r="J214" s="126">
        <f t="shared" si="3"/>
        <v>0</v>
      </c>
    </row>
    <row r="215" spans="10:10" x14ac:dyDescent="0.3">
      <c r="J215" s="126">
        <f t="shared" si="3"/>
        <v>0</v>
      </c>
    </row>
    <row r="216" spans="10:10" x14ac:dyDescent="0.3">
      <c r="J216" s="126">
        <f t="shared" si="3"/>
        <v>0</v>
      </c>
    </row>
    <row r="217" spans="10:10" x14ac:dyDescent="0.3">
      <c r="J217" s="126">
        <f t="shared" si="3"/>
        <v>0</v>
      </c>
    </row>
    <row r="218" spans="10:10" x14ac:dyDescent="0.3">
      <c r="J218" s="126">
        <f t="shared" si="3"/>
        <v>0</v>
      </c>
    </row>
    <row r="219" spans="10:10" x14ac:dyDescent="0.3">
      <c r="J219" s="126">
        <f t="shared" si="3"/>
        <v>0</v>
      </c>
    </row>
    <row r="220" spans="10:10" x14ac:dyDescent="0.3">
      <c r="J220" s="126">
        <f t="shared" si="3"/>
        <v>0</v>
      </c>
    </row>
    <row r="221" spans="10:10" x14ac:dyDescent="0.3">
      <c r="J221" s="126">
        <f t="shared" si="3"/>
        <v>0</v>
      </c>
    </row>
    <row r="222" spans="10:10" x14ac:dyDescent="0.3">
      <c r="J222" s="126">
        <f t="shared" si="3"/>
        <v>0</v>
      </c>
    </row>
    <row r="223" spans="10:10" x14ac:dyDescent="0.3">
      <c r="J223" s="126">
        <f t="shared" si="3"/>
        <v>0</v>
      </c>
    </row>
    <row r="224" spans="10:10" x14ac:dyDescent="0.3">
      <c r="J224" s="126">
        <f t="shared" si="3"/>
        <v>0</v>
      </c>
    </row>
    <row r="225" spans="10:10" x14ac:dyDescent="0.3">
      <c r="J225" s="126">
        <f t="shared" si="3"/>
        <v>0</v>
      </c>
    </row>
    <row r="226" spans="10:10" x14ac:dyDescent="0.3">
      <c r="J226" s="126">
        <f t="shared" si="3"/>
        <v>0</v>
      </c>
    </row>
    <row r="227" spans="10:10" x14ac:dyDescent="0.3">
      <c r="J227" s="126">
        <f t="shared" si="3"/>
        <v>0</v>
      </c>
    </row>
    <row r="228" spans="10:10" x14ac:dyDescent="0.3">
      <c r="J228" s="126">
        <f t="shared" si="3"/>
        <v>0</v>
      </c>
    </row>
    <row r="229" spans="10:10" x14ac:dyDescent="0.3">
      <c r="J229" s="126">
        <f t="shared" si="3"/>
        <v>0</v>
      </c>
    </row>
    <row r="230" spans="10:10" x14ac:dyDescent="0.3">
      <c r="J230" s="126">
        <f t="shared" si="3"/>
        <v>0</v>
      </c>
    </row>
    <row r="231" spans="10:10" x14ac:dyDescent="0.3">
      <c r="J231" s="126">
        <f t="shared" si="3"/>
        <v>0</v>
      </c>
    </row>
    <row r="232" spans="10:10" x14ac:dyDescent="0.3">
      <c r="J232" s="126">
        <f t="shared" si="3"/>
        <v>0</v>
      </c>
    </row>
    <row r="233" spans="10:10" x14ac:dyDescent="0.3">
      <c r="J233" s="126">
        <f t="shared" si="3"/>
        <v>0</v>
      </c>
    </row>
    <row r="234" spans="10:10" x14ac:dyDescent="0.3">
      <c r="J234" s="126">
        <f t="shared" si="3"/>
        <v>0</v>
      </c>
    </row>
    <row r="235" spans="10:10" x14ac:dyDescent="0.3">
      <c r="J235" s="126">
        <f t="shared" si="3"/>
        <v>0</v>
      </c>
    </row>
    <row r="236" spans="10:10" x14ac:dyDescent="0.3">
      <c r="J236" s="126">
        <f t="shared" si="3"/>
        <v>0</v>
      </c>
    </row>
    <row r="237" spans="10:10" x14ac:dyDescent="0.3">
      <c r="J237" s="126">
        <f t="shared" si="3"/>
        <v>0</v>
      </c>
    </row>
    <row r="238" spans="10:10" x14ac:dyDescent="0.3">
      <c r="J238" s="126">
        <f t="shared" si="3"/>
        <v>0</v>
      </c>
    </row>
    <row r="239" spans="10:10" x14ac:dyDescent="0.3">
      <c r="J239" s="126">
        <f t="shared" si="3"/>
        <v>0</v>
      </c>
    </row>
    <row r="240" spans="10:10" x14ac:dyDescent="0.3">
      <c r="J240" s="126">
        <f t="shared" si="3"/>
        <v>0</v>
      </c>
    </row>
    <row r="241" spans="10:10" x14ac:dyDescent="0.3">
      <c r="J241" s="126">
        <f t="shared" si="3"/>
        <v>0</v>
      </c>
    </row>
    <row r="242" spans="10:10" x14ac:dyDescent="0.3">
      <c r="J242" s="126">
        <f t="shared" si="3"/>
        <v>0</v>
      </c>
    </row>
    <row r="243" spans="10:10" x14ac:dyDescent="0.3">
      <c r="J243" s="126">
        <f t="shared" si="3"/>
        <v>0</v>
      </c>
    </row>
    <row r="244" spans="10:10" x14ac:dyDescent="0.3">
      <c r="J244" s="126">
        <f t="shared" si="3"/>
        <v>0</v>
      </c>
    </row>
    <row r="245" spans="10:10" x14ac:dyDescent="0.3">
      <c r="J245" s="126">
        <f t="shared" si="3"/>
        <v>0</v>
      </c>
    </row>
    <row r="246" spans="10:10" x14ac:dyDescent="0.3">
      <c r="J246" s="126">
        <f t="shared" si="3"/>
        <v>0</v>
      </c>
    </row>
    <row r="247" spans="10:10" x14ac:dyDescent="0.3">
      <c r="J247" s="126">
        <f t="shared" si="3"/>
        <v>0</v>
      </c>
    </row>
    <row r="248" spans="10:10" x14ac:dyDescent="0.3">
      <c r="J248" s="126">
        <f t="shared" si="3"/>
        <v>0</v>
      </c>
    </row>
    <row r="249" spans="10:10" x14ac:dyDescent="0.3">
      <c r="J249" s="126">
        <f t="shared" si="3"/>
        <v>0</v>
      </c>
    </row>
    <row r="250" spans="10:10" x14ac:dyDescent="0.3">
      <c r="J250" s="126">
        <f t="shared" si="3"/>
        <v>0</v>
      </c>
    </row>
    <row r="251" spans="10:10" x14ac:dyDescent="0.3">
      <c r="J251" s="126">
        <f t="shared" si="3"/>
        <v>0</v>
      </c>
    </row>
    <row r="252" spans="10:10" x14ac:dyDescent="0.3">
      <c r="J252" s="126">
        <f t="shared" si="3"/>
        <v>0</v>
      </c>
    </row>
    <row r="253" spans="10:10" x14ac:dyDescent="0.3">
      <c r="J253" s="126">
        <f t="shared" si="3"/>
        <v>0</v>
      </c>
    </row>
    <row r="254" spans="10:10" x14ac:dyDescent="0.3">
      <c r="J254" s="126">
        <f t="shared" si="3"/>
        <v>0</v>
      </c>
    </row>
    <row r="255" spans="10:10" x14ac:dyDescent="0.3">
      <c r="J255" s="126">
        <f t="shared" si="3"/>
        <v>0</v>
      </c>
    </row>
    <row r="256" spans="10:10" x14ac:dyDescent="0.3">
      <c r="J256" s="126">
        <f t="shared" si="3"/>
        <v>0</v>
      </c>
    </row>
    <row r="257" spans="10:10" x14ac:dyDescent="0.3">
      <c r="J257" s="126">
        <f t="shared" si="3"/>
        <v>0</v>
      </c>
    </row>
    <row r="258" spans="10:10" x14ac:dyDescent="0.3">
      <c r="J258" s="126">
        <f t="shared" si="3"/>
        <v>0</v>
      </c>
    </row>
    <row r="259" spans="10:10" x14ac:dyDescent="0.3">
      <c r="J259" s="126">
        <f t="shared" si="3"/>
        <v>0</v>
      </c>
    </row>
    <row r="260" spans="10:10" x14ac:dyDescent="0.3">
      <c r="J260" s="126">
        <f t="shared" si="3"/>
        <v>0</v>
      </c>
    </row>
    <row r="261" spans="10:10" x14ac:dyDescent="0.3">
      <c r="J261" s="126">
        <f t="shared" ref="J261:J324" si="4">E261</f>
        <v>0</v>
      </c>
    </row>
    <row r="262" spans="10:10" x14ac:dyDescent="0.3">
      <c r="J262" s="126">
        <f t="shared" si="4"/>
        <v>0</v>
      </c>
    </row>
    <row r="263" spans="10:10" x14ac:dyDescent="0.3">
      <c r="J263" s="126">
        <f t="shared" si="4"/>
        <v>0</v>
      </c>
    </row>
    <row r="264" spans="10:10" x14ac:dyDescent="0.3">
      <c r="J264" s="126">
        <f t="shared" si="4"/>
        <v>0</v>
      </c>
    </row>
    <row r="265" spans="10:10" x14ac:dyDescent="0.3">
      <c r="J265" s="126">
        <f t="shared" si="4"/>
        <v>0</v>
      </c>
    </row>
    <row r="266" spans="10:10" x14ac:dyDescent="0.3">
      <c r="J266" s="126">
        <f t="shared" si="4"/>
        <v>0</v>
      </c>
    </row>
    <row r="267" spans="10:10" x14ac:dyDescent="0.3">
      <c r="J267" s="126">
        <f t="shared" si="4"/>
        <v>0</v>
      </c>
    </row>
    <row r="268" spans="10:10" x14ac:dyDescent="0.3">
      <c r="J268" s="126">
        <f t="shared" si="4"/>
        <v>0</v>
      </c>
    </row>
    <row r="269" spans="10:10" x14ac:dyDescent="0.3">
      <c r="J269" s="126">
        <f t="shared" si="4"/>
        <v>0</v>
      </c>
    </row>
    <row r="270" spans="10:10" x14ac:dyDescent="0.3">
      <c r="J270" s="126">
        <f t="shared" si="4"/>
        <v>0</v>
      </c>
    </row>
    <row r="271" spans="10:10" x14ac:dyDescent="0.3">
      <c r="J271" s="126">
        <f t="shared" si="4"/>
        <v>0</v>
      </c>
    </row>
    <row r="272" spans="10:10" x14ac:dyDescent="0.3">
      <c r="J272" s="126">
        <f t="shared" si="4"/>
        <v>0</v>
      </c>
    </row>
    <row r="273" spans="10:10" x14ac:dyDescent="0.3">
      <c r="J273" s="126">
        <f t="shared" si="4"/>
        <v>0</v>
      </c>
    </row>
    <row r="274" spans="10:10" x14ac:dyDescent="0.3">
      <c r="J274" s="126">
        <f t="shared" si="4"/>
        <v>0</v>
      </c>
    </row>
    <row r="275" spans="10:10" x14ac:dyDescent="0.3">
      <c r="J275" s="126">
        <f t="shared" si="4"/>
        <v>0</v>
      </c>
    </row>
    <row r="276" spans="10:10" x14ac:dyDescent="0.3">
      <c r="J276" s="126">
        <f t="shared" si="4"/>
        <v>0</v>
      </c>
    </row>
    <row r="277" spans="10:10" x14ac:dyDescent="0.3">
      <c r="J277" s="126">
        <f t="shared" si="4"/>
        <v>0</v>
      </c>
    </row>
    <row r="278" spans="10:10" x14ac:dyDescent="0.3">
      <c r="J278" s="126">
        <f t="shared" si="4"/>
        <v>0</v>
      </c>
    </row>
    <row r="279" spans="10:10" x14ac:dyDescent="0.3">
      <c r="J279" s="126">
        <f t="shared" si="4"/>
        <v>0</v>
      </c>
    </row>
    <row r="280" spans="10:10" x14ac:dyDescent="0.3">
      <c r="J280" s="126">
        <f t="shared" si="4"/>
        <v>0</v>
      </c>
    </row>
    <row r="281" spans="10:10" x14ac:dyDescent="0.3">
      <c r="J281" s="126">
        <f t="shared" si="4"/>
        <v>0</v>
      </c>
    </row>
    <row r="282" spans="10:10" x14ac:dyDescent="0.3">
      <c r="J282" s="126">
        <f t="shared" si="4"/>
        <v>0</v>
      </c>
    </row>
    <row r="283" spans="10:10" x14ac:dyDescent="0.3">
      <c r="J283" s="126">
        <f t="shared" si="4"/>
        <v>0</v>
      </c>
    </row>
    <row r="284" spans="10:10" x14ac:dyDescent="0.3">
      <c r="J284" s="126">
        <f t="shared" si="4"/>
        <v>0</v>
      </c>
    </row>
    <row r="285" spans="10:10" x14ac:dyDescent="0.3">
      <c r="J285" s="126">
        <f t="shared" si="4"/>
        <v>0</v>
      </c>
    </row>
    <row r="286" spans="10:10" x14ac:dyDescent="0.3">
      <c r="J286" s="126">
        <f t="shared" si="4"/>
        <v>0</v>
      </c>
    </row>
    <row r="287" spans="10:10" x14ac:dyDescent="0.3">
      <c r="J287" s="126">
        <f t="shared" si="4"/>
        <v>0</v>
      </c>
    </row>
    <row r="288" spans="10:10" x14ac:dyDescent="0.3">
      <c r="J288" s="126">
        <f t="shared" si="4"/>
        <v>0</v>
      </c>
    </row>
    <row r="289" spans="10:10" x14ac:dyDescent="0.3">
      <c r="J289" s="126">
        <f t="shared" si="4"/>
        <v>0</v>
      </c>
    </row>
    <row r="290" spans="10:10" x14ac:dyDescent="0.3">
      <c r="J290" s="126">
        <f t="shared" si="4"/>
        <v>0</v>
      </c>
    </row>
    <row r="291" spans="10:10" x14ac:dyDescent="0.3">
      <c r="J291" s="126">
        <f t="shared" si="4"/>
        <v>0</v>
      </c>
    </row>
    <row r="292" spans="10:10" x14ac:dyDescent="0.3">
      <c r="J292" s="126">
        <f t="shared" si="4"/>
        <v>0</v>
      </c>
    </row>
    <row r="293" spans="10:10" x14ac:dyDescent="0.3">
      <c r="J293" s="126">
        <f t="shared" si="4"/>
        <v>0</v>
      </c>
    </row>
    <row r="294" spans="10:10" x14ac:dyDescent="0.3">
      <c r="J294" s="126">
        <f t="shared" si="4"/>
        <v>0</v>
      </c>
    </row>
    <row r="295" spans="10:10" x14ac:dyDescent="0.3">
      <c r="J295" s="126">
        <f t="shared" si="4"/>
        <v>0</v>
      </c>
    </row>
    <row r="296" spans="10:10" x14ac:dyDescent="0.3">
      <c r="J296" s="126">
        <f t="shared" si="4"/>
        <v>0</v>
      </c>
    </row>
    <row r="297" spans="10:10" x14ac:dyDescent="0.3">
      <c r="J297" s="126">
        <f t="shared" si="4"/>
        <v>0</v>
      </c>
    </row>
    <row r="298" spans="10:10" x14ac:dyDescent="0.3">
      <c r="J298" s="126">
        <f t="shared" si="4"/>
        <v>0</v>
      </c>
    </row>
    <row r="299" spans="10:10" x14ac:dyDescent="0.3">
      <c r="J299" s="126">
        <f t="shared" si="4"/>
        <v>0</v>
      </c>
    </row>
    <row r="300" spans="10:10" x14ac:dyDescent="0.3">
      <c r="J300" s="126">
        <f t="shared" si="4"/>
        <v>0</v>
      </c>
    </row>
    <row r="301" spans="10:10" x14ac:dyDescent="0.3">
      <c r="J301" s="126">
        <f t="shared" si="4"/>
        <v>0</v>
      </c>
    </row>
    <row r="302" spans="10:10" x14ac:dyDescent="0.3">
      <c r="J302" s="126">
        <f t="shared" si="4"/>
        <v>0</v>
      </c>
    </row>
    <row r="303" spans="10:10" x14ac:dyDescent="0.3">
      <c r="J303" s="126">
        <f t="shared" si="4"/>
        <v>0</v>
      </c>
    </row>
    <row r="304" spans="10:10" x14ac:dyDescent="0.3">
      <c r="J304" s="126">
        <f t="shared" si="4"/>
        <v>0</v>
      </c>
    </row>
    <row r="305" spans="10:10" x14ac:dyDescent="0.3">
      <c r="J305" s="126">
        <f t="shared" si="4"/>
        <v>0</v>
      </c>
    </row>
    <row r="306" spans="10:10" x14ac:dyDescent="0.3">
      <c r="J306" s="126">
        <f t="shared" si="4"/>
        <v>0</v>
      </c>
    </row>
    <row r="307" spans="10:10" x14ac:dyDescent="0.3">
      <c r="J307" s="126">
        <f t="shared" si="4"/>
        <v>0</v>
      </c>
    </row>
    <row r="308" spans="10:10" x14ac:dyDescent="0.3">
      <c r="J308" s="126">
        <f t="shared" si="4"/>
        <v>0</v>
      </c>
    </row>
    <row r="309" spans="10:10" x14ac:dyDescent="0.3">
      <c r="J309" s="126">
        <f t="shared" si="4"/>
        <v>0</v>
      </c>
    </row>
    <row r="310" spans="10:10" x14ac:dyDescent="0.3">
      <c r="J310" s="126">
        <f t="shared" si="4"/>
        <v>0</v>
      </c>
    </row>
    <row r="311" spans="10:10" x14ac:dyDescent="0.3">
      <c r="J311" s="126">
        <f t="shared" si="4"/>
        <v>0</v>
      </c>
    </row>
    <row r="312" spans="10:10" x14ac:dyDescent="0.3">
      <c r="J312" s="126">
        <f t="shared" si="4"/>
        <v>0</v>
      </c>
    </row>
    <row r="313" spans="10:10" x14ac:dyDescent="0.3">
      <c r="J313" s="126">
        <f t="shared" si="4"/>
        <v>0</v>
      </c>
    </row>
    <row r="314" spans="10:10" x14ac:dyDescent="0.3">
      <c r="J314" s="126">
        <f t="shared" si="4"/>
        <v>0</v>
      </c>
    </row>
    <row r="315" spans="10:10" x14ac:dyDescent="0.3">
      <c r="J315" s="126">
        <f t="shared" si="4"/>
        <v>0</v>
      </c>
    </row>
    <row r="316" spans="10:10" x14ac:dyDescent="0.3">
      <c r="J316" s="126">
        <f t="shared" si="4"/>
        <v>0</v>
      </c>
    </row>
    <row r="317" spans="10:10" x14ac:dyDescent="0.3">
      <c r="J317" s="126">
        <f t="shared" si="4"/>
        <v>0</v>
      </c>
    </row>
    <row r="318" spans="10:10" x14ac:dyDescent="0.3">
      <c r="J318" s="126">
        <f t="shared" si="4"/>
        <v>0</v>
      </c>
    </row>
    <row r="319" spans="10:10" x14ac:dyDescent="0.3">
      <c r="J319" s="126">
        <f t="shared" si="4"/>
        <v>0</v>
      </c>
    </row>
    <row r="320" spans="10:10" x14ac:dyDescent="0.3">
      <c r="J320" s="126">
        <f t="shared" si="4"/>
        <v>0</v>
      </c>
    </row>
    <row r="321" spans="10:10" x14ac:dyDescent="0.3">
      <c r="J321" s="126">
        <f t="shared" si="4"/>
        <v>0</v>
      </c>
    </row>
    <row r="322" spans="10:10" x14ac:dyDescent="0.3">
      <c r="J322" s="126">
        <f t="shared" si="4"/>
        <v>0</v>
      </c>
    </row>
    <row r="323" spans="10:10" x14ac:dyDescent="0.3">
      <c r="J323" s="126">
        <f t="shared" si="4"/>
        <v>0</v>
      </c>
    </row>
    <row r="324" spans="10:10" x14ac:dyDescent="0.3">
      <c r="J324" s="126">
        <f t="shared" si="4"/>
        <v>0</v>
      </c>
    </row>
  </sheetData>
  <mergeCells count="1">
    <mergeCell ref="B1:E1"/>
  </mergeCells>
  <conditionalFormatting sqref="G111 G73 G78:G83 G116:G117">
    <cfRule type="duplicateValues" dxfId="83" priority="3"/>
  </conditionalFormatting>
  <conditionalFormatting sqref="M158">
    <cfRule type="duplicateValues" dxfId="82" priority="1"/>
  </conditionalFormatting>
  <conditionalFormatting sqref="M158:M207">
    <cfRule type="duplicateValues" dxfId="81" priority="2"/>
  </conditionalFormatting>
  <conditionalFormatting sqref="Q9 G37:G38 G40 G45:G50 G62 G67:G68">
    <cfRule type="duplicateValues" dxfId="80" priority="4"/>
  </conditionalFormatting>
  <pageMargins left="0.75" right="0.75" top="1" bottom="1" header="0.5" footer="0.5"/>
  <pageSetup paperSize="9" orientation="portrait" r:id="rId1"/>
  <headerFooter alignWithMargins="0">
    <oddHeader>&amp;C&amp;"Calibri"&amp;10&amp;KFF0000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C7FB4-E798-4B82-A3A9-213D590261D3}">
  <sheetPr codeName="Sheet26"/>
  <dimension ref="A1:P324"/>
  <sheetViews>
    <sheetView topLeftCell="A134" zoomScaleNormal="100" workbookViewId="0">
      <selection activeCell="C150" sqref="C150"/>
    </sheetView>
  </sheetViews>
  <sheetFormatPr defaultColWidth="8.54296875" defaultRowHeight="13" x14ac:dyDescent="0.3"/>
  <cols>
    <col min="1" max="1" width="4.54296875" style="3" bestFit="1" customWidth="1"/>
    <col min="2" max="2" width="44.1796875" style="1" bestFit="1" customWidth="1"/>
    <col min="3" max="3" width="15.26953125" style="2" bestFit="1" customWidth="1"/>
    <col min="4" max="4" width="10.54296875" style="2" bestFit="1" customWidth="1"/>
    <col min="5" max="5" width="9.54296875" style="2" bestFit="1" customWidth="1"/>
    <col min="6" max="6" width="21.453125" style="2" bestFit="1" customWidth="1"/>
    <col min="7" max="7" width="20.54296875" style="2" bestFit="1" customWidth="1"/>
    <col min="8" max="9" width="12" style="1" hidden="1" customWidth="1"/>
    <col min="10" max="10" width="11.54296875" style="1" bestFit="1" customWidth="1"/>
    <col min="12" max="12" width="20.26953125" customWidth="1"/>
  </cols>
  <sheetData>
    <row r="1" spans="1:16" x14ac:dyDescent="0.3">
      <c r="A1" s="18"/>
      <c r="B1" s="219" t="s">
        <v>8</v>
      </c>
      <c r="C1" s="220"/>
      <c r="D1" s="220"/>
      <c r="E1" s="221"/>
      <c r="F1" s="15"/>
      <c r="G1" s="15"/>
      <c r="J1" s="46"/>
    </row>
    <row r="2" spans="1:16" x14ac:dyDescent="0.3">
      <c r="A2" s="17" t="s">
        <v>7</v>
      </c>
      <c r="B2" s="16">
        <v>45838.958333333336</v>
      </c>
      <c r="C2" s="16">
        <v>45839.291666666664</v>
      </c>
      <c r="D2" s="15"/>
      <c r="E2" s="15"/>
      <c r="F2" s="15"/>
      <c r="G2" s="15"/>
    </row>
    <row r="3" spans="1:16" s="11" customFormat="1" x14ac:dyDescent="0.25">
      <c r="A3" s="13" t="s">
        <v>6</v>
      </c>
      <c r="B3" s="13" t="s">
        <v>5</v>
      </c>
      <c r="C3" s="13" t="s">
        <v>4</v>
      </c>
      <c r="D3" s="14" t="s">
        <v>3</v>
      </c>
      <c r="E3" s="13" t="s">
        <v>2</v>
      </c>
      <c r="F3" s="13" t="s">
        <v>1</v>
      </c>
      <c r="G3" s="13" t="s">
        <v>0</v>
      </c>
      <c r="H3" s="12"/>
      <c r="I3" s="12"/>
      <c r="J3" s="12"/>
    </row>
    <row r="4" spans="1:16" ht="12.5" x14ac:dyDescent="0.25">
      <c r="A4" s="5"/>
      <c r="B4" s="71" t="s">
        <v>238</v>
      </c>
      <c r="C4" s="127">
        <v>1964441.75</v>
      </c>
      <c r="D4" s="127">
        <v>1971505.5</v>
      </c>
      <c r="E4" s="127">
        <v>7063.75</v>
      </c>
      <c r="F4" s="8">
        <v>0</v>
      </c>
      <c r="H4" s="10"/>
      <c r="J4" s="126">
        <f>E4*0.001</f>
        <v>7.0637499999999998</v>
      </c>
      <c r="L4" t="s">
        <v>508</v>
      </c>
    </row>
    <row r="5" spans="1:16" ht="12.5" x14ac:dyDescent="0.25">
      <c r="A5" s="5"/>
      <c r="B5" s="72" t="s">
        <v>239</v>
      </c>
      <c r="C5" s="127">
        <v>457.25544600000001</v>
      </c>
      <c r="D5" s="127">
        <v>457.25544600000001</v>
      </c>
      <c r="E5" s="127">
        <v>0</v>
      </c>
      <c r="F5" s="8">
        <v>0</v>
      </c>
      <c r="H5" s="10"/>
      <c r="J5" s="126">
        <f t="shared" ref="J5:J68" si="0">E5</f>
        <v>0</v>
      </c>
      <c r="L5" t="s">
        <v>509</v>
      </c>
    </row>
    <row r="6" spans="1:16" ht="12.5" x14ac:dyDescent="0.25">
      <c r="A6" s="5"/>
      <c r="B6" s="72" t="s">
        <v>240</v>
      </c>
      <c r="C6" s="127">
        <v>667.67336400000011</v>
      </c>
      <c r="D6" s="127">
        <v>670.18204500000002</v>
      </c>
      <c r="E6" s="127">
        <v>2.5086809999999105</v>
      </c>
      <c r="F6" s="8">
        <v>0</v>
      </c>
      <c r="H6" s="10"/>
      <c r="J6" s="126">
        <f t="shared" si="0"/>
        <v>2.5086809999999105</v>
      </c>
      <c r="L6" t="s">
        <v>510</v>
      </c>
    </row>
    <row r="7" spans="1:16" ht="12.5" x14ac:dyDescent="0.25">
      <c r="A7" s="5"/>
      <c r="B7" s="72" t="s">
        <v>241</v>
      </c>
      <c r="C7" s="127">
        <v>435.78276099999999</v>
      </c>
      <c r="D7" s="127">
        <v>437.93799899999999</v>
      </c>
      <c r="E7" s="127">
        <v>2.1552379999999971</v>
      </c>
      <c r="F7" s="8">
        <v>0</v>
      </c>
      <c r="H7" s="10"/>
      <c r="J7" s="126">
        <f t="shared" si="0"/>
        <v>2.1552379999999971</v>
      </c>
      <c r="L7" t="s">
        <v>511</v>
      </c>
    </row>
    <row r="8" spans="1:16" ht="12.5" x14ac:dyDescent="0.25">
      <c r="A8" s="5"/>
      <c r="B8" s="72" t="s">
        <v>242</v>
      </c>
      <c r="C8" s="127">
        <v>459.21040600000003</v>
      </c>
      <c r="D8" s="127">
        <v>461.58613199999996</v>
      </c>
      <c r="E8" s="127">
        <v>2.3757259999999292</v>
      </c>
      <c r="F8" s="8">
        <v>0</v>
      </c>
      <c r="H8" s="10"/>
      <c r="J8" s="126">
        <f t="shared" si="0"/>
        <v>2.3757259999999292</v>
      </c>
      <c r="L8" t="s">
        <v>512</v>
      </c>
    </row>
    <row r="9" spans="1:16" ht="12.5" x14ac:dyDescent="0.25">
      <c r="A9" s="5"/>
      <c r="B9" s="72" t="s">
        <v>243</v>
      </c>
      <c r="C9" s="127">
        <v>40.003732999999997</v>
      </c>
      <c r="D9" s="127">
        <v>40.003732999999997</v>
      </c>
      <c r="E9" s="127">
        <v>0</v>
      </c>
      <c r="F9" s="8">
        <v>0</v>
      </c>
      <c r="H9" s="10"/>
      <c r="J9" s="126">
        <f t="shared" si="0"/>
        <v>0</v>
      </c>
      <c r="L9" t="s">
        <v>513</v>
      </c>
      <c r="N9">
        <v>2</v>
      </c>
      <c r="O9">
        <v>1</v>
      </c>
      <c r="P9">
        <v>2</v>
      </c>
    </row>
    <row r="10" spans="1:16" ht="12.5" x14ac:dyDescent="0.25">
      <c r="A10" s="5"/>
      <c r="B10" s="72" t="s">
        <v>248</v>
      </c>
      <c r="C10" s="127">
        <v>9.869269000000001</v>
      </c>
      <c r="D10" s="127">
        <v>9.869269000000001</v>
      </c>
      <c r="E10" s="127">
        <v>0</v>
      </c>
      <c r="F10" s="8">
        <v>0</v>
      </c>
      <c r="H10" s="10"/>
      <c r="J10" s="126">
        <f t="shared" si="0"/>
        <v>0</v>
      </c>
      <c r="L10" t="s">
        <v>514</v>
      </c>
      <c r="N10">
        <v>4</v>
      </c>
      <c r="O10">
        <v>3</v>
      </c>
      <c r="P10">
        <v>2</v>
      </c>
    </row>
    <row r="11" spans="1:16" ht="12.5" x14ac:dyDescent="0.25">
      <c r="A11" s="5"/>
      <c r="B11" s="72" t="s">
        <v>247</v>
      </c>
      <c r="C11" s="127">
        <v>10.170618000000001</v>
      </c>
      <c r="D11" s="127">
        <v>10.170618000000001</v>
      </c>
      <c r="E11" s="127">
        <v>0</v>
      </c>
      <c r="F11" s="8">
        <v>0</v>
      </c>
      <c r="H11" s="10"/>
      <c r="J11" s="126">
        <f t="shared" si="0"/>
        <v>0</v>
      </c>
      <c r="L11" t="s">
        <v>515</v>
      </c>
    </row>
    <row r="12" spans="1:16" ht="12.5" x14ac:dyDescent="0.25">
      <c r="A12" s="5"/>
      <c r="B12" s="72" t="s">
        <v>246</v>
      </c>
      <c r="C12" s="127">
        <v>2.942987</v>
      </c>
      <c r="D12" s="127">
        <v>2.942987</v>
      </c>
      <c r="E12" s="127">
        <v>0</v>
      </c>
      <c r="F12" s="8">
        <v>0</v>
      </c>
      <c r="H12" s="10"/>
      <c r="J12" s="126">
        <f t="shared" si="0"/>
        <v>0</v>
      </c>
      <c r="L12" t="s">
        <v>516</v>
      </c>
    </row>
    <row r="13" spans="1:16" ht="12.5" x14ac:dyDescent="0.25">
      <c r="A13" s="5"/>
      <c r="B13" s="72" t="s">
        <v>245</v>
      </c>
      <c r="C13" s="127">
        <v>2.8945349999999999</v>
      </c>
      <c r="D13" s="127">
        <v>2.8945349999999999</v>
      </c>
      <c r="E13" s="127">
        <v>0</v>
      </c>
      <c r="F13" s="8">
        <v>0</v>
      </c>
      <c r="H13" s="10"/>
      <c r="J13" s="126">
        <f t="shared" si="0"/>
        <v>0</v>
      </c>
      <c r="L13" t="s">
        <v>517</v>
      </c>
    </row>
    <row r="14" spans="1:16" ht="12.5" x14ac:dyDescent="0.25">
      <c r="A14" s="5"/>
      <c r="B14" s="72" t="s">
        <v>244</v>
      </c>
      <c r="C14" s="127">
        <v>7.9683799999999998</v>
      </c>
      <c r="D14" s="127">
        <v>7.9683799999999998</v>
      </c>
      <c r="E14" s="127">
        <v>0</v>
      </c>
      <c r="F14" s="8">
        <v>0</v>
      </c>
      <c r="H14" s="10"/>
      <c r="J14" s="126">
        <f t="shared" si="0"/>
        <v>0</v>
      </c>
      <c r="L14" t="s">
        <v>518</v>
      </c>
    </row>
    <row r="15" spans="1:16" ht="12.5" x14ac:dyDescent="0.25">
      <c r="A15" s="5"/>
      <c r="B15" s="72" t="s">
        <v>249</v>
      </c>
      <c r="C15" s="127">
        <v>39.668343999999998</v>
      </c>
      <c r="D15" s="127">
        <v>39.668343999999998</v>
      </c>
      <c r="E15" s="127">
        <v>0</v>
      </c>
      <c r="F15" s="8">
        <v>0</v>
      </c>
      <c r="H15" s="10"/>
      <c r="J15" s="126">
        <f t="shared" si="0"/>
        <v>0</v>
      </c>
      <c r="L15" t="s">
        <v>519</v>
      </c>
    </row>
    <row r="16" spans="1:16" ht="12.5" x14ac:dyDescent="0.25">
      <c r="A16" s="5"/>
      <c r="B16" s="72" t="s">
        <v>250</v>
      </c>
      <c r="C16" s="127">
        <v>624.26259900000002</v>
      </c>
      <c r="D16" s="127">
        <v>624.31163900000001</v>
      </c>
      <c r="E16" s="127">
        <v>4.9039999999990869E-2</v>
      </c>
      <c r="F16" s="8">
        <v>0</v>
      </c>
      <c r="H16" s="10"/>
      <c r="J16" s="126">
        <f t="shared" si="0"/>
        <v>4.9039999999990869E-2</v>
      </c>
      <c r="L16" t="s">
        <v>520</v>
      </c>
    </row>
    <row r="17" spans="1:14" ht="12.5" x14ac:dyDescent="0.25">
      <c r="A17" s="5"/>
      <c r="B17" s="72" t="s">
        <v>251</v>
      </c>
      <c r="C17" s="127">
        <v>669.30066499999998</v>
      </c>
      <c r="D17" s="127">
        <v>669.35258900000008</v>
      </c>
      <c r="E17" s="127">
        <v>5.1924000000099113E-2</v>
      </c>
      <c r="F17" s="8">
        <v>0</v>
      </c>
      <c r="H17" s="10"/>
      <c r="J17" s="126">
        <f t="shared" si="0"/>
        <v>5.1924000000099113E-2</v>
      </c>
      <c r="L17" t="s">
        <v>521</v>
      </c>
    </row>
    <row r="18" spans="1:14" ht="12.5" x14ac:dyDescent="0.25">
      <c r="A18" s="5"/>
      <c r="B18" s="72" t="s">
        <v>252</v>
      </c>
      <c r="C18" s="127">
        <v>40.260080000000002</v>
      </c>
      <c r="D18" s="127">
        <v>40.261482999999998</v>
      </c>
      <c r="E18" s="127">
        <v>1.4029999999962683E-3</v>
      </c>
      <c r="F18" s="8">
        <v>0</v>
      </c>
      <c r="H18" s="10"/>
      <c r="J18" s="126">
        <f t="shared" si="0"/>
        <v>1.4029999999962683E-3</v>
      </c>
      <c r="L18" t="s">
        <v>522</v>
      </c>
    </row>
    <row r="19" spans="1:14" ht="12.5" x14ac:dyDescent="0.25">
      <c r="A19" s="5"/>
      <c r="B19" s="72" t="s">
        <v>253</v>
      </c>
      <c r="C19" s="127"/>
      <c r="D19" s="127"/>
      <c r="E19" s="127"/>
      <c r="F19" s="8">
        <v>0</v>
      </c>
      <c r="H19" s="10"/>
      <c r="J19" s="126">
        <f t="shared" si="0"/>
        <v>0</v>
      </c>
      <c r="L19" t="s">
        <v>523</v>
      </c>
      <c r="N19" s="93"/>
    </row>
    <row r="20" spans="1:14" ht="12.5" x14ac:dyDescent="0.25">
      <c r="A20" s="5"/>
      <c r="B20" s="72" t="s">
        <v>254</v>
      </c>
      <c r="C20" s="127">
        <v>17521.115136</v>
      </c>
      <c r="D20" s="127">
        <v>17523.580927999999</v>
      </c>
      <c r="E20" s="127">
        <v>2.4657919999990554</v>
      </c>
      <c r="F20" s="8">
        <v>0</v>
      </c>
      <c r="H20" s="10"/>
      <c r="J20" s="126">
        <f t="shared" si="0"/>
        <v>2.4657919999990554</v>
      </c>
      <c r="L20" t="s">
        <v>524</v>
      </c>
    </row>
    <row r="21" spans="1:14" ht="12.5" x14ac:dyDescent="0.25">
      <c r="A21" s="5"/>
      <c r="B21" s="72" t="s">
        <v>255</v>
      </c>
      <c r="C21" s="127">
        <v>7559.697408</v>
      </c>
      <c r="D21" s="127">
        <v>7561.7776639999993</v>
      </c>
      <c r="E21" s="127">
        <v>2.0802559999992809</v>
      </c>
      <c r="F21" s="8">
        <v>0</v>
      </c>
      <c r="H21" s="10"/>
      <c r="J21" s="126">
        <f t="shared" si="0"/>
        <v>2.0802559999992809</v>
      </c>
      <c r="L21" t="s">
        <v>525</v>
      </c>
      <c r="N21" s="93"/>
    </row>
    <row r="22" spans="1:14" ht="12.5" x14ac:dyDescent="0.25">
      <c r="A22" s="5"/>
      <c r="B22" s="72" t="s">
        <v>256</v>
      </c>
      <c r="C22" s="127">
        <v>17504.817152</v>
      </c>
      <c r="D22" s="127">
        <v>17507.16416</v>
      </c>
      <c r="E22" s="127">
        <v>2.3470080000006419</v>
      </c>
      <c r="F22" s="8">
        <v>0</v>
      </c>
      <c r="G22"/>
      <c r="H22" s="10"/>
      <c r="J22" s="126">
        <f t="shared" si="0"/>
        <v>2.3470080000006419</v>
      </c>
      <c r="L22" t="s">
        <v>526</v>
      </c>
    </row>
    <row r="23" spans="1:14" ht="12.5" x14ac:dyDescent="0.25">
      <c r="A23" s="5"/>
      <c r="B23" s="72" t="s">
        <v>138</v>
      </c>
      <c r="C23" s="127">
        <v>85.756079999999997</v>
      </c>
      <c r="D23" s="127">
        <v>85.915055999999993</v>
      </c>
      <c r="E23" s="127">
        <v>0.15897599999999557</v>
      </c>
      <c r="F23" s="8">
        <v>0</v>
      </c>
      <c r="G23"/>
      <c r="H23" s="10"/>
      <c r="J23" s="126">
        <f t="shared" si="0"/>
        <v>0.15897599999999557</v>
      </c>
      <c r="L23" t="s">
        <v>527</v>
      </c>
    </row>
    <row r="24" spans="1:14" ht="12.5" x14ac:dyDescent="0.25">
      <c r="A24" s="5"/>
      <c r="B24" s="72" t="s">
        <v>139</v>
      </c>
      <c r="C24" s="127">
        <v>32.010427999999997</v>
      </c>
      <c r="D24" s="127">
        <v>32.059655999999997</v>
      </c>
      <c r="E24" s="127">
        <v>4.9227999999999383E-2</v>
      </c>
      <c r="F24" s="8">
        <v>0</v>
      </c>
      <c r="G24"/>
      <c r="H24" s="10"/>
      <c r="J24" s="126">
        <f t="shared" si="0"/>
        <v>4.9227999999999383E-2</v>
      </c>
      <c r="L24" t="s">
        <v>528</v>
      </c>
    </row>
    <row r="25" spans="1:14" ht="12.5" x14ac:dyDescent="0.25">
      <c r="A25" s="5"/>
      <c r="B25" s="72" t="s">
        <v>140</v>
      </c>
      <c r="C25" s="127">
        <v>15.547384999999998</v>
      </c>
      <c r="D25" s="127">
        <v>15.554527999999999</v>
      </c>
      <c r="E25" s="127">
        <v>7.1430000000010097E-3</v>
      </c>
      <c r="F25" s="8">
        <v>0</v>
      </c>
      <c r="G25"/>
      <c r="H25" s="10"/>
      <c r="J25" s="126">
        <f t="shared" si="0"/>
        <v>7.1430000000010097E-3</v>
      </c>
      <c r="L25" t="s">
        <v>529</v>
      </c>
    </row>
    <row r="26" spans="1:14" ht="12.5" x14ac:dyDescent="0.25">
      <c r="A26" s="5"/>
      <c r="B26" s="72" t="s">
        <v>141</v>
      </c>
      <c r="C26" s="127">
        <v>14.539118</v>
      </c>
      <c r="D26" s="127">
        <v>14.558180999999999</v>
      </c>
      <c r="E26" s="127">
        <v>1.9062999999999164E-2</v>
      </c>
      <c r="F26" s="8">
        <v>0</v>
      </c>
      <c r="G26"/>
      <c r="H26" s="10"/>
      <c r="J26" s="126">
        <f t="shared" si="0"/>
        <v>1.9062999999999164E-2</v>
      </c>
      <c r="L26" t="s">
        <v>530</v>
      </c>
    </row>
    <row r="27" spans="1:14" ht="12.5" x14ac:dyDescent="0.25">
      <c r="A27" s="5"/>
      <c r="B27" s="72" t="s">
        <v>142</v>
      </c>
      <c r="C27" s="127"/>
      <c r="D27" s="127"/>
      <c r="E27" s="127"/>
      <c r="F27" s="8"/>
      <c r="G27"/>
      <c r="H27" s="10"/>
      <c r="J27" s="126">
        <f t="shared" si="0"/>
        <v>0</v>
      </c>
      <c r="L27" t="s">
        <v>531</v>
      </c>
    </row>
    <row r="28" spans="1:14" ht="12.5" x14ac:dyDescent="0.25">
      <c r="A28" s="5"/>
      <c r="B28" s="72" t="s">
        <v>143</v>
      </c>
      <c r="C28" s="127">
        <v>12.003843999999999</v>
      </c>
      <c r="D28" s="127">
        <v>12.020104</v>
      </c>
      <c r="E28" s="127">
        <v>1.6260000000000829E-2</v>
      </c>
      <c r="F28" s="8">
        <v>0</v>
      </c>
      <c r="G28"/>
      <c r="H28" s="10"/>
      <c r="J28" s="126">
        <f t="shared" si="0"/>
        <v>1.6260000000000829E-2</v>
      </c>
      <c r="L28" t="s">
        <v>532</v>
      </c>
    </row>
    <row r="29" spans="1:14" ht="12.5" x14ac:dyDescent="0.25">
      <c r="A29" s="5"/>
      <c r="B29" s="72" t="s">
        <v>144</v>
      </c>
      <c r="C29" s="127">
        <v>27.233705999999998</v>
      </c>
      <c r="D29" s="127">
        <v>27.262349999999998</v>
      </c>
      <c r="E29" s="127">
        <v>2.8643999999999892E-2</v>
      </c>
      <c r="F29" s="8">
        <v>0</v>
      </c>
      <c r="G29"/>
      <c r="H29" s="10"/>
      <c r="J29" s="126">
        <f t="shared" si="0"/>
        <v>2.8643999999999892E-2</v>
      </c>
      <c r="L29" t="s">
        <v>533</v>
      </c>
    </row>
    <row r="30" spans="1:14" ht="12.5" x14ac:dyDescent="0.25">
      <c r="A30" s="5"/>
      <c r="B30" s="72" t="s">
        <v>145</v>
      </c>
      <c r="C30" s="127">
        <v>29.237803999999997</v>
      </c>
      <c r="D30" s="127">
        <v>29.285733999999998</v>
      </c>
      <c r="E30" s="127">
        <v>4.7930000000000916E-2</v>
      </c>
      <c r="F30" s="8">
        <v>0</v>
      </c>
      <c r="G30"/>
      <c r="H30" s="10"/>
      <c r="J30" s="126">
        <f t="shared" si="0"/>
        <v>4.7930000000000916E-2</v>
      </c>
      <c r="L30" t="s">
        <v>534</v>
      </c>
    </row>
    <row r="31" spans="1:14" ht="12.5" x14ac:dyDescent="0.25">
      <c r="A31" s="5"/>
      <c r="B31" s="72" t="s">
        <v>146</v>
      </c>
      <c r="C31" s="127">
        <v>23.430820000000001</v>
      </c>
      <c r="D31" s="127">
        <v>23.47711</v>
      </c>
      <c r="E31" s="127">
        <v>4.6289999999999054E-2</v>
      </c>
      <c r="F31" s="8">
        <v>0</v>
      </c>
      <c r="G31"/>
      <c r="H31" s="10"/>
      <c r="J31" s="126">
        <f t="shared" si="0"/>
        <v>4.6289999999999054E-2</v>
      </c>
      <c r="L31" t="s">
        <v>535</v>
      </c>
    </row>
    <row r="32" spans="1:14" ht="12.5" x14ac:dyDescent="0.25">
      <c r="A32" s="5"/>
      <c r="B32" s="72" t="s">
        <v>147</v>
      </c>
      <c r="C32" s="127">
        <v>8.8276640000000004</v>
      </c>
      <c r="D32" s="127">
        <v>8.8410829999999994</v>
      </c>
      <c r="E32" s="127">
        <v>1.341899999999896E-2</v>
      </c>
      <c r="F32" s="8">
        <v>0</v>
      </c>
      <c r="G32"/>
      <c r="H32" s="10"/>
      <c r="J32" s="126">
        <f t="shared" si="0"/>
        <v>1.341899999999896E-2</v>
      </c>
      <c r="L32" t="s">
        <v>536</v>
      </c>
    </row>
    <row r="33" spans="1:12" ht="12.5" x14ac:dyDescent="0.25">
      <c r="A33" s="5"/>
      <c r="B33" s="72" t="s">
        <v>148</v>
      </c>
      <c r="C33" s="127">
        <v>7.1632745</v>
      </c>
      <c r="D33" s="127">
        <v>7.1731929999999995</v>
      </c>
      <c r="E33" s="127">
        <v>9.9184999999994972E-3</v>
      </c>
      <c r="F33" s="8">
        <v>0</v>
      </c>
      <c r="G33"/>
      <c r="H33" s="10"/>
      <c r="J33" s="126">
        <f t="shared" si="0"/>
        <v>9.9184999999994972E-3</v>
      </c>
      <c r="L33" t="s">
        <v>537</v>
      </c>
    </row>
    <row r="34" spans="1:12" ht="12.5" x14ac:dyDescent="0.25">
      <c r="A34" s="5"/>
      <c r="B34" s="72" t="s">
        <v>149</v>
      </c>
      <c r="C34" s="127">
        <v>17.672433999999999</v>
      </c>
      <c r="D34" s="127">
        <v>17.672433999999999</v>
      </c>
      <c r="E34" s="127">
        <v>0</v>
      </c>
      <c r="F34" s="8">
        <v>0</v>
      </c>
      <c r="G34"/>
      <c r="H34" s="10"/>
      <c r="J34" s="126">
        <f t="shared" si="0"/>
        <v>0</v>
      </c>
      <c r="L34" t="s">
        <v>538</v>
      </c>
    </row>
    <row r="35" spans="1:12" ht="12.5" x14ac:dyDescent="0.25">
      <c r="A35" s="5"/>
      <c r="B35" s="72" t="s">
        <v>150</v>
      </c>
      <c r="C35" s="127">
        <v>4.3166934999999995</v>
      </c>
      <c r="D35" s="127">
        <v>4.3381904999999996</v>
      </c>
      <c r="E35" s="127">
        <v>2.1497000000000099E-2</v>
      </c>
      <c r="F35" s="8">
        <v>0</v>
      </c>
      <c r="G35"/>
      <c r="H35" s="10"/>
      <c r="J35" s="126">
        <f t="shared" si="0"/>
        <v>2.1497000000000099E-2</v>
      </c>
      <c r="L35" t="s">
        <v>539</v>
      </c>
    </row>
    <row r="36" spans="1:12" ht="12.5" x14ac:dyDescent="0.25">
      <c r="A36" s="5"/>
      <c r="B36" s="72" t="s">
        <v>128</v>
      </c>
      <c r="C36" s="127">
        <v>413.26438400000001</v>
      </c>
      <c r="D36" s="127">
        <v>413.82716799999997</v>
      </c>
      <c r="E36" s="127">
        <v>0.56278399999996509</v>
      </c>
      <c r="F36" s="8">
        <v>0</v>
      </c>
      <c r="G36"/>
      <c r="H36" s="10"/>
      <c r="J36" s="126">
        <f t="shared" si="0"/>
        <v>0.56278399999996509</v>
      </c>
      <c r="L36" t="s">
        <v>540</v>
      </c>
    </row>
    <row r="37" spans="1:12" ht="12.5" x14ac:dyDescent="0.25">
      <c r="A37" s="5"/>
      <c r="B37" s="72" t="s">
        <v>688</v>
      </c>
      <c r="C37" s="127"/>
      <c r="D37" s="127"/>
      <c r="E37" s="127"/>
      <c r="F37" s="8"/>
      <c r="G37"/>
      <c r="H37" s="10"/>
      <c r="J37" s="126">
        <f t="shared" si="0"/>
        <v>0</v>
      </c>
      <c r="L37" t="s">
        <v>541</v>
      </c>
    </row>
    <row r="38" spans="1:12" ht="12.5" x14ac:dyDescent="0.25">
      <c r="A38" s="5"/>
      <c r="B38" s="72" t="s">
        <v>130</v>
      </c>
      <c r="C38" s="127">
        <v>5.7504460000000002</v>
      </c>
      <c r="D38" s="127">
        <v>5.7561374999999995</v>
      </c>
      <c r="E38" s="127">
        <v>5.6914999999992943E-3</v>
      </c>
      <c r="F38" s="8">
        <v>0</v>
      </c>
      <c r="G38"/>
      <c r="H38" s="10"/>
      <c r="J38" s="126">
        <f t="shared" si="0"/>
        <v>5.6914999999992943E-3</v>
      </c>
      <c r="L38" t="s">
        <v>542</v>
      </c>
    </row>
    <row r="39" spans="1:12" ht="12.5" x14ac:dyDescent="0.25">
      <c r="A39" s="5"/>
      <c r="B39" s="72" t="s">
        <v>131</v>
      </c>
      <c r="C39" s="127"/>
      <c r="D39" s="127"/>
      <c r="E39" s="127"/>
      <c r="F39" s="8"/>
      <c r="G39"/>
      <c r="H39" s="10"/>
      <c r="J39" s="126">
        <f t="shared" si="0"/>
        <v>0</v>
      </c>
      <c r="L39" t="s">
        <v>543</v>
      </c>
    </row>
    <row r="40" spans="1:12" ht="12.5" x14ac:dyDescent="0.25">
      <c r="A40" s="5"/>
      <c r="B40" s="72" t="s">
        <v>132</v>
      </c>
      <c r="C40" s="127">
        <v>0.39160662499999999</v>
      </c>
      <c r="D40" s="127">
        <v>0.453649625</v>
      </c>
      <c r="E40" s="127">
        <v>6.2043000000000015E-2</v>
      </c>
      <c r="F40" s="8">
        <v>0</v>
      </c>
      <c r="G40"/>
      <c r="H40" s="10"/>
      <c r="J40" s="126">
        <f t="shared" si="0"/>
        <v>6.2043000000000015E-2</v>
      </c>
      <c r="L40" t="s">
        <v>544</v>
      </c>
    </row>
    <row r="41" spans="1:12" ht="12.5" x14ac:dyDescent="0.25">
      <c r="A41" s="5"/>
      <c r="B41" s="72" t="s">
        <v>133</v>
      </c>
      <c r="C41" s="127">
        <v>86.087136000000001</v>
      </c>
      <c r="D41" s="127">
        <v>86.252727999999991</v>
      </c>
      <c r="E41" s="127">
        <v>0.16559199999998953</v>
      </c>
      <c r="F41" s="8">
        <v>0</v>
      </c>
      <c r="G41"/>
      <c r="H41" s="10"/>
      <c r="J41" s="126">
        <f t="shared" si="0"/>
        <v>0.16559199999998953</v>
      </c>
      <c r="L41" t="s">
        <v>545</v>
      </c>
    </row>
    <row r="42" spans="1:12" ht="12.5" x14ac:dyDescent="0.25">
      <c r="A42" s="5"/>
      <c r="B42" s="72" t="s">
        <v>134</v>
      </c>
      <c r="C42" s="127">
        <v>78.252184</v>
      </c>
      <c r="D42" s="127">
        <v>78.376007999999999</v>
      </c>
      <c r="E42" s="127">
        <v>0.12382399999999905</v>
      </c>
      <c r="F42" s="8">
        <v>0</v>
      </c>
      <c r="G42"/>
      <c r="H42" s="10"/>
      <c r="J42" s="126">
        <f t="shared" si="0"/>
        <v>0.12382399999999905</v>
      </c>
      <c r="L42" t="s">
        <v>546</v>
      </c>
    </row>
    <row r="43" spans="1:12" ht="12.5" x14ac:dyDescent="0.25">
      <c r="A43" s="5"/>
      <c r="B43" s="72" t="s">
        <v>135</v>
      </c>
      <c r="C43" s="127">
        <v>36.460616000000002</v>
      </c>
      <c r="D43" s="127">
        <v>36.504331999999998</v>
      </c>
      <c r="E43" s="127">
        <v>4.3715999999996313E-2</v>
      </c>
      <c r="F43" s="8">
        <v>0</v>
      </c>
      <c r="G43"/>
      <c r="H43" s="10"/>
      <c r="J43" s="126">
        <f t="shared" si="0"/>
        <v>4.3715999999996313E-2</v>
      </c>
      <c r="L43" t="s">
        <v>547</v>
      </c>
    </row>
    <row r="44" spans="1:12" ht="12.5" x14ac:dyDescent="0.25">
      <c r="A44" s="5"/>
      <c r="B44" s="72" t="s">
        <v>687</v>
      </c>
      <c r="C44" s="127">
        <v>20.497709999999998</v>
      </c>
      <c r="D44" s="127">
        <v>20.524956</v>
      </c>
      <c r="E44" s="127">
        <v>2.7246000000001658E-2</v>
      </c>
      <c r="F44" s="8">
        <v>0</v>
      </c>
      <c r="G44"/>
      <c r="H44" s="10"/>
      <c r="J44" s="126">
        <f t="shared" si="0"/>
        <v>2.7246000000001658E-2</v>
      </c>
      <c r="L44" t="s">
        <v>548</v>
      </c>
    </row>
    <row r="45" spans="1:12" ht="12.5" x14ac:dyDescent="0.25">
      <c r="A45" s="5"/>
      <c r="B45" s="72" t="s">
        <v>137</v>
      </c>
      <c r="C45" s="127">
        <v>64.209940000000003</v>
      </c>
      <c r="D45" s="127">
        <v>64.316851999999997</v>
      </c>
      <c r="E45" s="127">
        <v>0.10691199999999412</v>
      </c>
      <c r="F45" s="8">
        <v>0</v>
      </c>
      <c r="G45"/>
      <c r="H45" s="10"/>
      <c r="J45" s="126">
        <f t="shared" si="0"/>
        <v>0.10691199999999412</v>
      </c>
      <c r="L45" t="s">
        <v>549</v>
      </c>
    </row>
    <row r="46" spans="1:12" ht="12.5" x14ac:dyDescent="0.25">
      <c r="A46" s="5"/>
      <c r="B46" s="72" t="s">
        <v>257</v>
      </c>
      <c r="C46" s="127">
        <v>589.22355199999993</v>
      </c>
      <c r="D46" s="127">
        <v>590.53484800000001</v>
      </c>
      <c r="E46" s="127">
        <v>1.3112960000000839</v>
      </c>
      <c r="F46" s="8">
        <v>0</v>
      </c>
      <c r="G46"/>
      <c r="H46" s="10"/>
      <c r="J46" s="126">
        <f t="shared" si="0"/>
        <v>1.3112960000000839</v>
      </c>
      <c r="L46" t="s">
        <v>550</v>
      </c>
    </row>
    <row r="47" spans="1:12" ht="12.5" x14ac:dyDescent="0.25">
      <c r="A47" s="5"/>
      <c r="B47" s="72" t="s">
        <v>258</v>
      </c>
      <c r="C47" s="127">
        <v>7.2263364999999995</v>
      </c>
      <c r="D47" s="127">
        <v>7.2301344999999992</v>
      </c>
      <c r="E47" s="127">
        <v>3.797999999999746E-3</v>
      </c>
      <c r="F47" s="8">
        <v>0</v>
      </c>
      <c r="G47"/>
      <c r="H47" s="10"/>
      <c r="J47" s="126">
        <f t="shared" si="0"/>
        <v>3.797999999999746E-3</v>
      </c>
      <c r="L47" t="s">
        <v>551</v>
      </c>
    </row>
    <row r="48" spans="1:12" ht="12.5" x14ac:dyDescent="0.25">
      <c r="A48" s="5"/>
      <c r="B48" s="72" t="s">
        <v>259</v>
      </c>
      <c r="C48" s="127"/>
      <c r="D48" s="127"/>
      <c r="E48" s="127"/>
      <c r="F48" s="8"/>
      <c r="G48"/>
      <c r="H48" s="10"/>
      <c r="J48" s="126">
        <f t="shared" si="0"/>
        <v>0</v>
      </c>
      <c r="L48" t="s">
        <v>552</v>
      </c>
    </row>
    <row r="49" spans="1:13" ht="12.5" x14ac:dyDescent="0.25">
      <c r="A49" s="5"/>
      <c r="B49" s="72" t="s">
        <v>260</v>
      </c>
      <c r="C49" s="127">
        <v>36.744332</v>
      </c>
      <c r="D49" s="127">
        <v>36.761423999999998</v>
      </c>
      <c r="E49" s="127">
        <v>1.7091999999998109E-2</v>
      </c>
      <c r="F49" s="8">
        <v>0</v>
      </c>
      <c r="G49"/>
      <c r="H49" s="10"/>
      <c r="J49" s="126">
        <f t="shared" si="0"/>
        <v>1.7091999999998109E-2</v>
      </c>
      <c r="L49" t="s">
        <v>553</v>
      </c>
    </row>
    <row r="50" spans="1:13" ht="12.5" x14ac:dyDescent="0.25">
      <c r="A50" s="5"/>
      <c r="B50" s="72" t="s">
        <v>261</v>
      </c>
      <c r="C50" s="127">
        <v>6.7302399999999993</v>
      </c>
      <c r="D50" s="127">
        <v>6.7338819999999995</v>
      </c>
      <c r="E50" s="127">
        <v>3.6420000000001451E-3</v>
      </c>
      <c r="F50" s="8">
        <v>0</v>
      </c>
      <c r="G50"/>
      <c r="H50" s="10"/>
      <c r="J50" s="126">
        <f t="shared" si="0"/>
        <v>3.6420000000001451E-3</v>
      </c>
      <c r="L50" t="s">
        <v>554</v>
      </c>
    </row>
    <row r="51" spans="1:13" ht="12.5" x14ac:dyDescent="0.25">
      <c r="A51" s="5"/>
      <c r="B51" s="72" t="s">
        <v>262</v>
      </c>
      <c r="C51" s="127">
        <v>745.42188799999997</v>
      </c>
      <c r="D51" s="127">
        <v>745.75545599999998</v>
      </c>
      <c r="E51" s="127">
        <v>0.33356800000001385</v>
      </c>
      <c r="F51" s="8">
        <v>0</v>
      </c>
      <c r="G51"/>
      <c r="H51" s="10"/>
      <c r="J51" s="126">
        <f t="shared" si="0"/>
        <v>0.33356800000001385</v>
      </c>
      <c r="L51" t="s">
        <v>555</v>
      </c>
    </row>
    <row r="52" spans="1:13" ht="12.5" x14ac:dyDescent="0.25">
      <c r="A52" s="5"/>
      <c r="B52" s="72" t="s">
        <v>263</v>
      </c>
      <c r="C52" s="127"/>
      <c r="D52" s="127"/>
      <c r="E52" s="127"/>
      <c r="F52" s="8"/>
      <c r="G52"/>
      <c r="H52" s="10"/>
      <c r="J52" s="126">
        <f t="shared" si="0"/>
        <v>0</v>
      </c>
      <c r="L52" t="s">
        <v>556</v>
      </c>
      <c r="M52" s="9"/>
    </row>
    <row r="53" spans="1:13" ht="12.5" x14ac:dyDescent="0.25">
      <c r="A53" s="5"/>
      <c r="B53" s="72" t="s">
        <v>264</v>
      </c>
      <c r="C53" s="127">
        <v>7.109413</v>
      </c>
      <c r="D53" s="127">
        <v>7.1307404999999999</v>
      </c>
      <c r="E53" s="127">
        <v>2.1327499999999944E-2</v>
      </c>
      <c r="F53" s="8">
        <v>0</v>
      </c>
      <c r="G53"/>
      <c r="H53" s="10"/>
      <c r="J53" s="126">
        <f t="shared" si="0"/>
        <v>2.1327499999999944E-2</v>
      </c>
      <c r="L53" t="s">
        <v>557</v>
      </c>
    </row>
    <row r="54" spans="1:13" ht="12.5" x14ac:dyDescent="0.25">
      <c r="A54" s="5"/>
      <c r="B54" s="72" t="s">
        <v>265</v>
      </c>
      <c r="C54" s="127">
        <v>5.3502299999999998</v>
      </c>
      <c r="D54" s="127">
        <v>5.3502324999999997</v>
      </c>
      <c r="E54" s="127">
        <v>2.4999999999053557E-6</v>
      </c>
      <c r="F54" s="8">
        <v>0</v>
      </c>
      <c r="G54"/>
      <c r="H54" s="10"/>
      <c r="J54" s="126">
        <f t="shared" si="0"/>
        <v>2.4999999999053557E-6</v>
      </c>
      <c r="L54" t="s">
        <v>558</v>
      </c>
      <c r="M54" s="93"/>
    </row>
    <row r="55" spans="1:13" ht="12.5" x14ac:dyDescent="0.25">
      <c r="A55" s="5"/>
      <c r="B55" s="72" t="s">
        <v>266</v>
      </c>
      <c r="C55" s="127"/>
      <c r="D55" s="127"/>
      <c r="E55" s="127"/>
      <c r="F55" s="8"/>
      <c r="G55"/>
      <c r="H55" s="10"/>
      <c r="J55" s="126">
        <f t="shared" si="0"/>
        <v>0</v>
      </c>
      <c r="L55" t="s">
        <v>559</v>
      </c>
    </row>
    <row r="56" spans="1:13" ht="12.5" x14ac:dyDescent="0.25">
      <c r="A56" s="5"/>
      <c r="B56" s="72" t="s">
        <v>267</v>
      </c>
      <c r="C56" s="127"/>
      <c r="D56" s="127"/>
      <c r="E56" s="127"/>
      <c r="F56" s="8"/>
      <c r="G56"/>
      <c r="H56" s="10"/>
      <c r="J56" s="126">
        <f t="shared" si="0"/>
        <v>0</v>
      </c>
      <c r="L56" t="s">
        <v>560</v>
      </c>
    </row>
    <row r="57" spans="1:13" ht="12.5" x14ac:dyDescent="0.25">
      <c r="A57" s="5"/>
      <c r="B57" s="72" t="s">
        <v>268</v>
      </c>
      <c r="C57" s="127"/>
      <c r="D57" s="127"/>
      <c r="E57" s="127"/>
      <c r="F57" s="8"/>
      <c r="G57"/>
      <c r="H57" s="10"/>
      <c r="J57" s="126">
        <f t="shared" si="0"/>
        <v>0</v>
      </c>
      <c r="L57" t="s">
        <v>561</v>
      </c>
    </row>
    <row r="58" spans="1:13" ht="12.5" x14ac:dyDescent="0.25">
      <c r="A58" s="5"/>
      <c r="B58" s="72" t="s">
        <v>269</v>
      </c>
      <c r="C58" s="127">
        <v>7.9926062499999992E-2</v>
      </c>
      <c r="D58" s="127">
        <v>8.1032406249999994E-2</v>
      </c>
      <c r="E58" s="127">
        <v>1.1063437500000023E-3</v>
      </c>
      <c r="F58" s="8">
        <v>0</v>
      </c>
      <c r="G58"/>
      <c r="H58" s="10"/>
      <c r="J58" s="126">
        <f t="shared" si="0"/>
        <v>1.1063437500000023E-3</v>
      </c>
      <c r="L58" t="s">
        <v>562</v>
      </c>
    </row>
    <row r="59" spans="1:13" ht="12.5" x14ac:dyDescent="0.25">
      <c r="A59" s="5"/>
      <c r="B59" s="72" t="s">
        <v>270</v>
      </c>
      <c r="C59" s="127">
        <v>19.876932</v>
      </c>
      <c r="D59" s="127">
        <v>19.916705999999998</v>
      </c>
      <c r="E59" s="127">
        <v>3.9773999999997756E-2</v>
      </c>
      <c r="F59" s="8">
        <v>0</v>
      </c>
      <c r="G59"/>
      <c r="H59" s="10"/>
      <c r="J59" s="126">
        <f t="shared" si="0"/>
        <v>3.9773999999997756E-2</v>
      </c>
      <c r="L59" t="s">
        <v>563</v>
      </c>
    </row>
    <row r="60" spans="1:13" ht="12.5" x14ac:dyDescent="0.25">
      <c r="A60" s="5"/>
      <c r="B60" s="72" t="s">
        <v>271</v>
      </c>
      <c r="C60" s="127"/>
      <c r="D60" s="127"/>
      <c r="E60" s="127"/>
      <c r="F60" s="8"/>
      <c r="G60"/>
      <c r="H60" s="10"/>
      <c r="J60" s="126">
        <f t="shared" si="0"/>
        <v>0</v>
      </c>
      <c r="L60" t="s">
        <v>564</v>
      </c>
    </row>
    <row r="61" spans="1:13" ht="12.5" x14ac:dyDescent="0.25">
      <c r="A61" s="5"/>
      <c r="B61" s="72" t="s">
        <v>272</v>
      </c>
      <c r="C61" s="127">
        <v>14.912624999999998</v>
      </c>
      <c r="D61" s="127">
        <v>14.916352999999999</v>
      </c>
      <c r="E61" s="127">
        <v>3.7280000000006197E-3</v>
      </c>
      <c r="F61" s="8">
        <v>0</v>
      </c>
      <c r="G61"/>
      <c r="H61" s="10"/>
      <c r="J61" s="126">
        <f t="shared" si="0"/>
        <v>3.7280000000006197E-3</v>
      </c>
      <c r="L61" t="s">
        <v>565</v>
      </c>
    </row>
    <row r="62" spans="1:13" ht="12.5" x14ac:dyDescent="0.25">
      <c r="A62" s="5"/>
      <c r="B62" s="72" t="s">
        <v>273</v>
      </c>
      <c r="C62" s="127">
        <v>31.850639999999999</v>
      </c>
      <c r="D62" s="127">
        <v>31.856037999999998</v>
      </c>
      <c r="E62" s="127">
        <v>5.3979999999995698E-3</v>
      </c>
      <c r="F62" s="8">
        <v>0</v>
      </c>
      <c r="G62"/>
      <c r="H62" s="10"/>
      <c r="J62" s="126">
        <f t="shared" si="0"/>
        <v>5.3979999999995698E-3</v>
      </c>
      <c r="L62" t="s">
        <v>566</v>
      </c>
    </row>
    <row r="63" spans="1:13" ht="12.5" x14ac:dyDescent="0.25">
      <c r="A63" s="5"/>
      <c r="B63" s="72" t="s">
        <v>274</v>
      </c>
      <c r="C63" s="127">
        <v>322.94876799999997</v>
      </c>
      <c r="D63" s="127">
        <v>323.74431999999996</v>
      </c>
      <c r="E63" s="127">
        <v>0.79555199999998649</v>
      </c>
      <c r="F63" s="8">
        <v>0</v>
      </c>
      <c r="G63"/>
      <c r="H63" s="10"/>
      <c r="J63" s="126">
        <f t="shared" si="0"/>
        <v>0.79555199999998649</v>
      </c>
      <c r="L63" t="s">
        <v>567</v>
      </c>
    </row>
    <row r="64" spans="1:13" ht="12.5" x14ac:dyDescent="0.25">
      <c r="A64" s="5"/>
      <c r="B64" s="72" t="s">
        <v>275</v>
      </c>
      <c r="C64" s="127">
        <v>16.272205</v>
      </c>
      <c r="D64" s="127">
        <v>16.272221999999999</v>
      </c>
      <c r="E64" s="127">
        <v>1.699999999971169E-5</v>
      </c>
      <c r="F64" s="8">
        <v>0</v>
      </c>
      <c r="G64"/>
      <c r="H64" s="10"/>
      <c r="J64" s="126">
        <f t="shared" si="0"/>
        <v>1.699999999971169E-5</v>
      </c>
      <c r="L64" t="s">
        <v>568</v>
      </c>
    </row>
    <row r="65" spans="1:12" ht="12.5" x14ac:dyDescent="0.25">
      <c r="A65" s="5"/>
      <c r="B65" s="72" t="s">
        <v>276</v>
      </c>
      <c r="C65" s="127">
        <v>7.9756424999999993</v>
      </c>
      <c r="D65" s="127">
        <v>7.9935649999999994</v>
      </c>
      <c r="E65" s="127">
        <v>1.7922500000000063E-2</v>
      </c>
      <c r="F65" s="8">
        <v>0</v>
      </c>
      <c r="G65"/>
      <c r="H65" s="10"/>
      <c r="J65" s="126">
        <f t="shared" si="0"/>
        <v>1.7922500000000063E-2</v>
      </c>
      <c r="L65" t="s">
        <v>569</v>
      </c>
    </row>
    <row r="66" spans="1:12" ht="12.5" x14ac:dyDescent="0.25">
      <c r="A66" s="5"/>
      <c r="B66" s="72" t="s">
        <v>277</v>
      </c>
      <c r="C66" s="127">
        <v>21.908904</v>
      </c>
      <c r="D66" s="127">
        <v>21.908904</v>
      </c>
      <c r="E66" s="127">
        <v>0</v>
      </c>
      <c r="F66" s="8">
        <v>0</v>
      </c>
      <c r="G66"/>
      <c r="H66" s="10"/>
      <c r="J66" s="126">
        <f t="shared" si="0"/>
        <v>0</v>
      </c>
      <c r="L66" t="s">
        <v>570</v>
      </c>
    </row>
    <row r="67" spans="1:12" ht="12.5" x14ac:dyDescent="0.25">
      <c r="A67" s="5"/>
      <c r="B67" s="72" t="s">
        <v>278</v>
      </c>
      <c r="C67" s="127">
        <v>282.65894399999996</v>
      </c>
      <c r="D67" s="127">
        <v>283.38019199999997</v>
      </c>
      <c r="E67" s="127">
        <v>0.72124800000000278</v>
      </c>
      <c r="F67" s="8">
        <v>0</v>
      </c>
      <c r="G67"/>
      <c r="H67" s="10"/>
      <c r="J67" s="126">
        <f t="shared" si="0"/>
        <v>0.72124800000000278</v>
      </c>
      <c r="L67" t="s">
        <v>571</v>
      </c>
    </row>
    <row r="68" spans="1:12" ht="12.5" x14ac:dyDescent="0.25">
      <c r="A68" s="5"/>
      <c r="B68" s="72" t="s">
        <v>279</v>
      </c>
      <c r="C68" s="127"/>
      <c r="D68" s="127"/>
      <c r="E68" s="127"/>
      <c r="F68" s="8"/>
      <c r="G68"/>
      <c r="H68" s="10"/>
      <c r="J68" s="126">
        <f t="shared" si="0"/>
        <v>0</v>
      </c>
      <c r="L68" t="s">
        <v>572</v>
      </c>
    </row>
    <row r="69" spans="1:12" ht="12.5" x14ac:dyDescent="0.25">
      <c r="A69" s="5"/>
      <c r="B69" s="72" t="s">
        <v>280</v>
      </c>
      <c r="C69" s="127">
        <v>16.972352000000001</v>
      </c>
      <c r="D69" s="127">
        <v>17.056632</v>
      </c>
      <c r="E69" s="127">
        <v>8.4279999999999688E-2</v>
      </c>
      <c r="F69" s="8">
        <v>0</v>
      </c>
      <c r="G69"/>
      <c r="H69" s="10"/>
      <c r="J69" s="126">
        <f t="shared" ref="J69:J132" si="1">E69</f>
        <v>8.4279999999999688E-2</v>
      </c>
      <c r="L69" t="s">
        <v>573</v>
      </c>
    </row>
    <row r="70" spans="1:12" ht="12.5" x14ac:dyDescent="0.25">
      <c r="A70" s="5"/>
      <c r="B70" s="72" t="s">
        <v>281</v>
      </c>
      <c r="C70" s="127"/>
      <c r="D70" s="127"/>
      <c r="E70" s="127"/>
      <c r="F70" s="8">
        <v>0</v>
      </c>
      <c r="G70"/>
      <c r="H70" s="10"/>
      <c r="J70" s="126">
        <f t="shared" si="1"/>
        <v>0</v>
      </c>
      <c r="L70" t="s">
        <v>574</v>
      </c>
    </row>
    <row r="71" spans="1:12" ht="12.5" x14ac:dyDescent="0.25">
      <c r="A71" s="5"/>
      <c r="B71" s="72" t="s">
        <v>282</v>
      </c>
      <c r="C71" s="127"/>
      <c r="D71" s="127"/>
      <c r="E71" s="127"/>
      <c r="F71" s="8"/>
      <c r="G71"/>
      <c r="H71" s="10"/>
      <c r="J71" s="126">
        <f t="shared" si="1"/>
        <v>0</v>
      </c>
      <c r="L71" t="s">
        <v>575</v>
      </c>
    </row>
    <row r="72" spans="1:12" ht="12.5" x14ac:dyDescent="0.25">
      <c r="A72" s="5"/>
      <c r="B72" s="72" t="s">
        <v>283</v>
      </c>
      <c r="C72" s="127"/>
      <c r="D72" s="127"/>
      <c r="E72" s="127"/>
      <c r="F72" s="8">
        <v>0</v>
      </c>
      <c r="G72"/>
      <c r="H72" s="10"/>
      <c r="J72" s="126">
        <f t="shared" si="1"/>
        <v>0</v>
      </c>
      <c r="L72" t="s">
        <v>507</v>
      </c>
    </row>
    <row r="73" spans="1:12" ht="12.5" x14ac:dyDescent="0.25">
      <c r="A73" s="5"/>
      <c r="B73" s="72" t="s">
        <v>284</v>
      </c>
      <c r="C73" s="127"/>
      <c r="D73" s="127"/>
      <c r="E73" s="127"/>
      <c r="F73" s="8">
        <v>0</v>
      </c>
      <c r="G73"/>
      <c r="H73" s="10"/>
      <c r="J73" s="126">
        <f t="shared" si="1"/>
        <v>0</v>
      </c>
      <c r="L73" t="s">
        <v>576</v>
      </c>
    </row>
    <row r="74" spans="1:12" ht="12.5" x14ac:dyDescent="0.25">
      <c r="A74" s="5"/>
      <c r="B74" s="72" t="s">
        <v>285</v>
      </c>
      <c r="C74" s="127">
        <v>53.342515999999996</v>
      </c>
      <c r="D74" s="127">
        <v>53.432043999999998</v>
      </c>
      <c r="E74" s="127">
        <v>8.9528000000001384E-2</v>
      </c>
      <c r="F74" s="8">
        <v>0</v>
      </c>
      <c r="G74"/>
      <c r="H74" s="10"/>
      <c r="J74" s="126">
        <f t="shared" si="1"/>
        <v>8.9528000000001384E-2</v>
      </c>
      <c r="L74" t="s">
        <v>577</v>
      </c>
    </row>
    <row r="75" spans="1:12" ht="12.5" x14ac:dyDescent="0.25">
      <c r="A75" s="5"/>
      <c r="B75" s="72" t="s">
        <v>286</v>
      </c>
      <c r="C75" s="127"/>
      <c r="D75" s="127"/>
      <c r="E75" s="127"/>
      <c r="F75" s="8">
        <v>0</v>
      </c>
      <c r="G75"/>
      <c r="H75" s="10"/>
      <c r="J75" s="126">
        <f t="shared" si="1"/>
        <v>0</v>
      </c>
      <c r="L75" t="s">
        <v>578</v>
      </c>
    </row>
    <row r="76" spans="1:12" ht="12.5" x14ac:dyDescent="0.25">
      <c r="A76" s="5"/>
      <c r="B76" s="72" t="s">
        <v>287</v>
      </c>
      <c r="C76" s="127"/>
      <c r="D76" s="127"/>
      <c r="E76" s="127"/>
      <c r="F76" s="8"/>
      <c r="G76"/>
      <c r="H76" s="10"/>
      <c r="J76" s="126">
        <f t="shared" si="1"/>
        <v>0</v>
      </c>
      <c r="L76" t="s">
        <v>579</v>
      </c>
    </row>
    <row r="77" spans="1:12" ht="12.5" x14ac:dyDescent="0.25">
      <c r="A77" s="5"/>
      <c r="B77" s="72" t="s">
        <v>288</v>
      </c>
      <c r="C77" s="127"/>
      <c r="D77" s="127"/>
      <c r="E77" s="127"/>
      <c r="F77" s="8"/>
      <c r="G77"/>
      <c r="H77" s="10"/>
      <c r="J77" s="126">
        <f t="shared" si="1"/>
        <v>0</v>
      </c>
      <c r="L77" t="s">
        <v>580</v>
      </c>
    </row>
    <row r="78" spans="1:12" ht="12.5" x14ac:dyDescent="0.25">
      <c r="A78" s="5"/>
      <c r="B78" s="72" t="s">
        <v>289</v>
      </c>
      <c r="C78" s="127"/>
      <c r="D78" s="127"/>
      <c r="E78" s="127"/>
      <c r="F78" s="8">
        <v>0</v>
      </c>
      <c r="G78"/>
      <c r="H78" s="10"/>
      <c r="J78" s="126">
        <f t="shared" si="1"/>
        <v>0</v>
      </c>
      <c r="L78" t="s">
        <v>581</v>
      </c>
    </row>
    <row r="79" spans="1:12" ht="12.5" x14ac:dyDescent="0.25">
      <c r="A79" s="5"/>
      <c r="B79" s="72" t="s">
        <v>290</v>
      </c>
      <c r="C79" s="127">
        <v>1.4891672499999999</v>
      </c>
      <c r="D79" s="127">
        <v>1.4891672499999999</v>
      </c>
      <c r="E79" s="127">
        <v>0</v>
      </c>
      <c r="F79" s="8">
        <v>0</v>
      </c>
      <c r="G79"/>
      <c r="H79" s="10"/>
      <c r="J79" s="126">
        <f t="shared" si="1"/>
        <v>0</v>
      </c>
      <c r="L79" t="s">
        <v>582</v>
      </c>
    </row>
    <row r="80" spans="1:12" ht="12.5" x14ac:dyDescent="0.25">
      <c r="A80" s="5"/>
      <c r="B80" s="72" t="s">
        <v>291</v>
      </c>
      <c r="C80" s="127">
        <v>106.54208799999999</v>
      </c>
      <c r="D80" s="127">
        <v>106.892184</v>
      </c>
      <c r="E80" s="127">
        <v>0.35009600000000773</v>
      </c>
      <c r="F80" s="8">
        <v>0</v>
      </c>
      <c r="G80"/>
      <c r="H80" s="10"/>
      <c r="J80" s="126">
        <f t="shared" si="1"/>
        <v>0.35009600000000773</v>
      </c>
      <c r="L80" t="s">
        <v>583</v>
      </c>
    </row>
    <row r="81" spans="1:12" ht="12.5" x14ac:dyDescent="0.25">
      <c r="A81" s="5"/>
      <c r="B81" s="72" t="s">
        <v>292</v>
      </c>
      <c r="C81" s="127">
        <v>0.62452631250000001</v>
      </c>
      <c r="D81" s="127">
        <v>0.76070412499999995</v>
      </c>
      <c r="E81" s="127">
        <v>0.13617781249999994</v>
      </c>
      <c r="F81" s="8">
        <v>0</v>
      </c>
      <c r="G81"/>
      <c r="H81" s="10"/>
      <c r="J81" s="126">
        <f t="shared" si="1"/>
        <v>0.13617781249999994</v>
      </c>
      <c r="L81" t="s">
        <v>584</v>
      </c>
    </row>
    <row r="82" spans="1:12" ht="12.5" x14ac:dyDescent="0.25">
      <c r="A82" s="5"/>
      <c r="B82" s="72" t="s">
        <v>293</v>
      </c>
      <c r="C82" s="127"/>
      <c r="D82" s="127"/>
      <c r="E82" s="127"/>
      <c r="F82" s="8"/>
      <c r="G82"/>
      <c r="H82" s="10"/>
      <c r="J82" s="126">
        <f t="shared" si="1"/>
        <v>0</v>
      </c>
      <c r="L82" t="s">
        <v>585</v>
      </c>
    </row>
    <row r="83" spans="1:12" ht="12.5" x14ac:dyDescent="0.25">
      <c r="A83" s="5"/>
      <c r="B83" s="72" t="s">
        <v>294</v>
      </c>
      <c r="C83" s="127"/>
      <c r="D83" s="127"/>
      <c r="E83" s="127"/>
      <c r="F83" s="8"/>
      <c r="G83"/>
      <c r="H83" s="10"/>
      <c r="J83" s="126">
        <f t="shared" si="1"/>
        <v>0</v>
      </c>
      <c r="L83" t="s">
        <v>586</v>
      </c>
    </row>
    <row r="84" spans="1:12" ht="12.5" x14ac:dyDescent="0.25">
      <c r="A84" s="5"/>
      <c r="B84" s="72" t="s">
        <v>295</v>
      </c>
      <c r="C84" s="127"/>
      <c r="D84" s="127"/>
      <c r="E84" s="127"/>
      <c r="F84" s="8"/>
      <c r="G84"/>
      <c r="H84" s="10"/>
      <c r="J84" s="126">
        <f t="shared" si="1"/>
        <v>0</v>
      </c>
      <c r="L84" t="s">
        <v>587</v>
      </c>
    </row>
    <row r="85" spans="1:12" ht="12.5" x14ac:dyDescent="0.25">
      <c r="A85" s="5"/>
      <c r="B85" s="72" t="s">
        <v>296</v>
      </c>
      <c r="C85" s="127"/>
      <c r="D85" s="127"/>
      <c r="E85" s="127"/>
      <c r="F85" s="8"/>
      <c r="G85"/>
      <c r="H85" s="10"/>
      <c r="J85" s="126">
        <f t="shared" si="1"/>
        <v>0</v>
      </c>
      <c r="L85" t="s">
        <v>588</v>
      </c>
    </row>
    <row r="86" spans="1:12" ht="12.5" x14ac:dyDescent="0.25">
      <c r="A86" s="5"/>
      <c r="B86" s="72" t="s">
        <v>297</v>
      </c>
      <c r="C86" s="127">
        <v>15.388053999999999</v>
      </c>
      <c r="D86" s="127">
        <v>15.393146</v>
      </c>
      <c r="E86" s="127">
        <v>5.0920000000012067E-3</v>
      </c>
      <c r="F86" s="8">
        <v>0</v>
      </c>
      <c r="G86"/>
      <c r="H86" s="10"/>
      <c r="J86" s="126">
        <f t="shared" si="1"/>
        <v>5.0920000000012067E-3</v>
      </c>
      <c r="L86" t="s">
        <v>589</v>
      </c>
    </row>
    <row r="87" spans="1:12" ht="12.5" x14ac:dyDescent="0.25">
      <c r="A87" s="5"/>
      <c r="B87" s="72" t="s">
        <v>298</v>
      </c>
      <c r="C87" s="127"/>
      <c r="D87" s="127"/>
      <c r="E87" s="127"/>
      <c r="F87" s="8">
        <v>0</v>
      </c>
      <c r="G87"/>
      <c r="H87" s="10"/>
      <c r="J87" s="126">
        <f t="shared" si="1"/>
        <v>0</v>
      </c>
      <c r="L87" t="s">
        <v>590</v>
      </c>
    </row>
    <row r="88" spans="1:12" ht="12.5" x14ac:dyDescent="0.25">
      <c r="A88" s="5"/>
      <c r="B88" s="72" t="s">
        <v>299</v>
      </c>
      <c r="C88" s="127">
        <v>3.0898159999999999</v>
      </c>
      <c r="D88" s="127">
        <v>3.0948864999999999</v>
      </c>
      <c r="E88" s="127">
        <v>5.0704999999999778E-3</v>
      </c>
      <c r="F88" s="8">
        <v>0</v>
      </c>
      <c r="G88"/>
      <c r="H88" s="10"/>
      <c r="J88" s="126">
        <f t="shared" si="1"/>
        <v>5.0704999999999778E-3</v>
      </c>
      <c r="L88" t="s">
        <v>591</v>
      </c>
    </row>
    <row r="89" spans="1:12" ht="12.5" x14ac:dyDescent="0.25">
      <c r="A89" s="5"/>
      <c r="B89" s="72" t="s">
        <v>300</v>
      </c>
      <c r="C89" s="127"/>
      <c r="D89" s="127"/>
      <c r="E89" s="127"/>
      <c r="F89" s="8"/>
      <c r="G89"/>
      <c r="H89" s="10"/>
      <c r="J89" s="126">
        <f t="shared" si="1"/>
        <v>0</v>
      </c>
      <c r="L89" t="s">
        <v>592</v>
      </c>
    </row>
    <row r="90" spans="1:12" ht="12.5" x14ac:dyDescent="0.25">
      <c r="A90" s="5"/>
      <c r="B90" s="72" t="s">
        <v>301</v>
      </c>
      <c r="C90" s="127"/>
      <c r="D90" s="127"/>
      <c r="E90" s="127"/>
      <c r="F90" s="8"/>
      <c r="G90"/>
      <c r="H90" s="10"/>
      <c r="J90" s="126">
        <f t="shared" si="1"/>
        <v>0</v>
      </c>
      <c r="L90" t="s">
        <v>593</v>
      </c>
    </row>
    <row r="91" spans="1:12" ht="12.5" x14ac:dyDescent="0.25">
      <c r="A91" s="5"/>
      <c r="B91" s="72" t="s">
        <v>302</v>
      </c>
      <c r="C91" s="127"/>
      <c r="D91" s="127"/>
      <c r="E91" s="127"/>
      <c r="F91" s="8">
        <v>0</v>
      </c>
      <c r="G91"/>
      <c r="H91" s="10"/>
      <c r="J91" s="126">
        <f t="shared" si="1"/>
        <v>0</v>
      </c>
      <c r="L91" t="s">
        <v>594</v>
      </c>
    </row>
    <row r="92" spans="1:12" ht="12.5" x14ac:dyDescent="0.25">
      <c r="A92" s="5"/>
      <c r="B92" s="72" t="s">
        <v>303</v>
      </c>
      <c r="C92" s="127">
        <v>25.691596000000001</v>
      </c>
      <c r="D92" s="127">
        <v>25.695377999999998</v>
      </c>
      <c r="E92" s="127">
        <v>3.7819999999975096E-3</v>
      </c>
      <c r="F92" s="8">
        <v>0</v>
      </c>
      <c r="H92" s="10"/>
      <c r="J92" s="126">
        <f t="shared" si="1"/>
        <v>3.7819999999975096E-3</v>
      </c>
      <c r="L92" t="s">
        <v>595</v>
      </c>
    </row>
    <row r="93" spans="1:12" ht="12.5" x14ac:dyDescent="0.25">
      <c r="A93" s="5"/>
      <c r="B93" s="72" t="s">
        <v>304</v>
      </c>
      <c r="C93" s="127">
        <v>1249.819776</v>
      </c>
      <c r="D93" s="127">
        <v>1250.9695999999999</v>
      </c>
      <c r="E93" s="127">
        <v>1.1498239999998532</v>
      </c>
      <c r="F93" s="8">
        <v>0</v>
      </c>
      <c r="H93" s="10"/>
      <c r="J93" s="126">
        <f t="shared" si="1"/>
        <v>1.1498239999998532</v>
      </c>
      <c r="L93" t="s">
        <v>596</v>
      </c>
    </row>
    <row r="94" spans="1:12" ht="12.5" x14ac:dyDescent="0.25">
      <c r="A94" s="5"/>
      <c r="B94" s="72" t="s">
        <v>305</v>
      </c>
      <c r="C94" s="127">
        <v>8.902232999999999</v>
      </c>
      <c r="D94" s="127">
        <v>8.9221690000000002</v>
      </c>
      <c r="E94" s="127">
        <v>1.9936000000001286E-2</v>
      </c>
      <c r="F94" s="8">
        <v>0</v>
      </c>
      <c r="H94" s="10"/>
      <c r="J94" s="126">
        <f t="shared" si="1"/>
        <v>1.9936000000001286E-2</v>
      </c>
      <c r="L94" t="s">
        <v>597</v>
      </c>
    </row>
    <row r="95" spans="1:12" ht="12.5" x14ac:dyDescent="0.25">
      <c r="A95" s="5"/>
      <c r="B95" s="72" t="s">
        <v>306</v>
      </c>
      <c r="C95" s="127">
        <v>71.608823999999998</v>
      </c>
      <c r="D95" s="127">
        <v>71.746911999999995</v>
      </c>
      <c r="E95" s="127">
        <v>0.13808799999999621</v>
      </c>
      <c r="F95" s="8">
        <v>0</v>
      </c>
      <c r="H95" s="10"/>
      <c r="J95" s="126">
        <f t="shared" si="1"/>
        <v>0.13808799999999621</v>
      </c>
      <c r="L95" t="s">
        <v>598</v>
      </c>
    </row>
    <row r="96" spans="1:12" ht="12.5" x14ac:dyDescent="0.25">
      <c r="A96" s="5"/>
      <c r="B96" s="72" t="s">
        <v>307</v>
      </c>
      <c r="C96" s="127"/>
      <c r="D96" s="127"/>
      <c r="E96" s="127"/>
      <c r="F96" s="8"/>
      <c r="H96" s="10"/>
      <c r="J96" s="126">
        <f t="shared" si="1"/>
        <v>0</v>
      </c>
      <c r="L96" t="s">
        <v>599</v>
      </c>
    </row>
    <row r="97" spans="1:12" ht="12.5" x14ac:dyDescent="0.25">
      <c r="A97" s="5"/>
      <c r="B97" s="72" t="s">
        <v>308</v>
      </c>
      <c r="C97" s="127">
        <v>0.36067371874999998</v>
      </c>
      <c r="D97" s="127">
        <v>0.36067371874999998</v>
      </c>
      <c r="E97" s="127">
        <v>0</v>
      </c>
      <c r="F97" s="8">
        <v>0</v>
      </c>
      <c r="H97" s="10"/>
      <c r="J97" s="126">
        <f t="shared" si="1"/>
        <v>0</v>
      </c>
      <c r="L97" t="s">
        <v>600</v>
      </c>
    </row>
    <row r="98" spans="1:12" ht="12.5" x14ac:dyDescent="0.25">
      <c r="A98" s="5"/>
      <c r="B98" s="72" t="s">
        <v>309</v>
      </c>
      <c r="C98" s="127">
        <v>14.601998999999999</v>
      </c>
      <c r="D98" s="127">
        <v>14.644981999999999</v>
      </c>
      <c r="E98" s="127">
        <v>4.2982999999999549E-2</v>
      </c>
      <c r="F98" s="8">
        <v>0</v>
      </c>
      <c r="H98" s="10"/>
      <c r="J98" s="126">
        <f t="shared" si="1"/>
        <v>4.2982999999999549E-2</v>
      </c>
      <c r="L98" t="s">
        <v>601</v>
      </c>
    </row>
    <row r="99" spans="1:12" ht="12.5" x14ac:dyDescent="0.25">
      <c r="A99" s="5"/>
      <c r="B99" s="72" t="s">
        <v>310</v>
      </c>
      <c r="C99" s="127"/>
      <c r="D99" s="127"/>
      <c r="E99" s="127"/>
      <c r="F99" s="8"/>
      <c r="H99" s="10"/>
      <c r="J99" s="126">
        <f t="shared" si="1"/>
        <v>0</v>
      </c>
      <c r="L99" t="s">
        <v>602</v>
      </c>
    </row>
    <row r="100" spans="1:12" ht="12.5" x14ac:dyDescent="0.25">
      <c r="A100" s="5"/>
      <c r="B100" s="72" t="s">
        <v>311</v>
      </c>
      <c r="C100" s="127">
        <v>69.854119999999995</v>
      </c>
      <c r="D100" s="127">
        <v>69.936447999999999</v>
      </c>
      <c r="E100" s="127">
        <v>8.2328000000003954E-2</v>
      </c>
      <c r="F100" s="8">
        <v>0</v>
      </c>
      <c r="H100" s="10"/>
      <c r="J100" s="126">
        <f t="shared" si="1"/>
        <v>8.2328000000003954E-2</v>
      </c>
      <c r="L100" t="s">
        <v>603</v>
      </c>
    </row>
    <row r="101" spans="1:12" ht="12.5" x14ac:dyDescent="0.25">
      <c r="A101" s="5"/>
      <c r="B101" s="72" t="s">
        <v>312</v>
      </c>
      <c r="C101" s="127"/>
      <c r="D101" s="127"/>
      <c r="E101" s="127"/>
      <c r="F101" s="8"/>
      <c r="H101" s="10"/>
      <c r="J101" s="126">
        <f t="shared" si="1"/>
        <v>0</v>
      </c>
      <c r="L101" t="s">
        <v>604</v>
      </c>
    </row>
    <row r="102" spans="1:12" ht="12.5" x14ac:dyDescent="0.25">
      <c r="A102" s="5"/>
      <c r="B102" s="72" t="s">
        <v>313</v>
      </c>
      <c r="C102" s="127">
        <v>1.76172675</v>
      </c>
      <c r="D102" s="127">
        <v>1.7625377499999999</v>
      </c>
      <c r="E102" s="127">
        <v>8.1099999999989514E-4</v>
      </c>
      <c r="F102" s="8">
        <v>0</v>
      </c>
      <c r="H102" s="10"/>
      <c r="J102" s="126">
        <f t="shared" si="1"/>
        <v>8.1099999999989514E-4</v>
      </c>
      <c r="L102" t="s">
        <v>605</v>
      </c>
    </row>
    <row r="103" spans="1:12" ht="12.5" x14ac:dyDescent="0.25">
      <c r="A103" s="5"/>
      <c r="B103" s="72" t="s">
        <v>314</v>
      </c>
      <c r="C103" s="127">
        <v>38.313732000000002</v>
      </c>
      <c r="D103" s="127">
        <v>38.321387999999999</v>
      </c>
      <c r="E103" s="127">
        <v>7.6559999999972206E-3</v>
      </c>
      <c r="F103" s="8">
        <v>0</v>
      </c>
      <c r="H103" s="10"/>
      <c r="J103" s="126">
        <f t="shared" si="1"/>
        <v>7.6559999999972206E-3</v>
      </c>
      <c r="L103" t="s">
        <v>606</v>
      </c>
    </row>
    <row r="104" spans="1:12" ht="12.5" x14ac:dyDescent="0.25">
      <c r="A104" s="5"/>
      <c r="B104" s="72" t="s">
        <v>315</v>
      </c>
      <c r="C104" s="127"/>
      <c r="D104" s="127"/>
      <c r="E104" s="127"/>
      <c r="F104" s="8">
        <v>0</v>
      </c>
      <c r="H104" s="10"/>
      <c r="J104" s="126">
        <f t="shared" si="1"/>
        <v>0</v>
      </c>
      <c r="L104" t="s">
        <v>607</v>
      </c>
    </row>
    <row r="105" spans="1:12" ht="12.5" x14ac:dyDescent="0.25">
      <c r="A105" s="5"/>
      <c r="B105" s="72" t="s">
        <v>316</v>
      </c>
      <c r="C105" s="127">
        <v>1.4719899999999999</v>
      </c>
      <c r="D105" s="127">
        <v>1.4769919999999999</v>
      </c>
      <c r="E105" s="127">
        <v>5.0019999999999509E-3</v>
      </c>
      <c r="F105" s="8">
        <v>0</v>
      </c>
      <c r="H105" s="10"/>
      <c r="J105" s="126">
        <f t="shared" si="1"/>
        <v>5.0019999999999509E-3</v>
      </c>
      <c r="L105" t="s">
        <v>608</v>
      </c>
    </row>
    <row r="106" spans="1:12" ht="12.5" x14ac:dyDescent="0.25">
      <c r="A106" s="5"/>
      <c r="B106" s="72" t="s">
        <v>317</v>
      </c>
      <c r="C106" s="127">
        <v>3.1676752499999998</v>
      </c>
      <c r="D106" s="127">
        <v>3.17527625</v>
      </c>
      <c r="E106" s="127">
        <v>7.6010000000001909E-3</v>
      </c>
      <c r="F106" s="8">
        <v>0</v>
      </c>
      <c r="H106" s="10"/>
      <c r="J106" s="126">
        <f t="shared" si="1"/>
        <v>7.6010000000001909E-3</v>
      </c>
      <c r="L106" t="s">
        <v>609</v>
      </c>
    </row>
    <row r="107" spans="1:12" ht="12.5" x14ac:dyDescent="0.25">
      <c r="A107" s="5"/>
      <c r="B107" s="72" t="s">
        <v>318</v>
      </c>
      <c r="C107" s="127">
        <v>51.293243999999994</v>
      </c>
      <c r="D107" s="127">
        <v>51.385191999999996</v>
      </c>
      <c r="E107" s="127">
        <v>9.1948000000002139E-2</v>
      </c>
      <c r="F107" s="8">
        <v>0</v>
      </c>
      <c r="H107" s="10"/>
      <c r="J107" s="126">
        <f t="shared" si="1"/>
        <v>9.1948000000002139E-2</v>
      </c>
      <c r="L107" t="s">
        <v>610</v>
      </c>
    </row>
    <row r="108" spans="1:12" ht="12.5" x14ac:dyDescent="0.25">
      <c r="A108" s="5"/>
      <c r="B108" s="72" t="s">
        <v>319</v>
      </c>
      <c r="C108" s="127">
        <v>11.608174000000002</v>
      </c>
      <c r="D108" s="127">
        <v>11.639074000000001</v>
      </c>
      <c r="E108" s="127">
        <v>3.0899999999999039E-2</v>
      </c>
      <c r="F108" s="8">
        <v>0</v>
      </c>
      <c r="G108"/>
      <c r="H108" s="10"/>
      <c r="J108" s="126">
        <f t="shared" si="1"/>
        <v>3.0899999999999039E-2</v>
      </c>
      <c r="L108" t="s">
        <v>611</v>
      </c>
    </row>
    <row r="109" spans="1:12" ht="12.5" x14ac:dyDescent="0.25">
      <c r="A109" s="5"/>
      <c r="B109" s="72" t="s">
        <v>320</v>
      </c>
      <c r="C109" s="127">
        <v>1.2969731249999998</v>
      </c>
      <c r="D109" s="127">
        <v>1.3345586249999999</v>
      </c>
      <c r="E109" s="127">
        <v>3.7585500000000049E-2</v>
      </c>
      <c r="F109" s="8">
        <v>0</v>
      </c>
      <c r="G109"/>
      <c r="H109" s="10"/>
      <c r="J109" s="126">
        <f t="shared" si="1"/>
        <v>3.7585500000000049E-2</v>
      </c>
      <c r="L109" t="s">
        <v>612</v>
      </c>
    </row>
    <row r="110" spans="1:12" ht="12.5" x14ac:dyDescent="0.25">
      <c r="A110" s="5"/>
      <c r="B110" s="72" t="s">
        <v>321</v>
      </c>
      <c r="C110" s="127">
        <v>1.5792854999999999</v>
      </c>
      <c r="D110" s="127">
        <v>1.5888793749999999</v>
      </c>
      <c r="E110" s="127">
        <v>9.593874999999974E-3</v>
      </c>
      <c r="F110" s="8">
        <v>0</v>
      </c>
      <c r="G110"/>
      <c r="H110" s="10"/>
      <c r="J110" s="126">
        <f t="shared" si="1"/>
        <v>9.593874999999974E-3</v>
      </c>
      <c r="L110" t="s">
        <v>613</v>
      </c>
    </row>
    <row r="111" spans="1:12" ht="12.5" x14ac:dyDescent="0.25">
      <c r="A111" s="5"/>
      <c r="B111" s="72" t="s">
        <v>322</v>
      </c>
      <c r="C111" s="127"/>
      <c r="D111" s="127"/>
      <c r="E111" s="127"/>
      <c r="F111" s="8"/>
      <c r="G111"/>
      <c r="H111" s="10"/>
      <c r="J111" s="126">
        <f t="shared" si="1"/>
        <v>0</v>
      </c>
      <c r="L111" t="s">
        <v>614</v>
      </c>
    </row>
    <row r="112" spans="1:12" ht="12.5" x14ac:dyDescent="0.25">
      <c r="A112" s="5"/>
      <c r="B112" s="72" t="s">
        <v>323</v>
      </c>
      <c r="C112" s="127">
        <v>2.032216875</v>
      </c>
      <c r="D112" s="127">
        <v>2.032216875</v>
      </c>
      <c r="E112" s="127">
        <v>0</v>
      </c>
      <c r="F112" s="8">
        <v>0</v>
      </c>
      <c r="G112"/>
      <c r="H112" s="10"/>
      <c r="J112" s="126">
        <f t="shared" si="1"/>
        <v>0</v>
      </c>
      <c r="L112" t="s">
        <v>615</v>
      </c>
    </row>
    <row r="113" spans="1:12" ht="12.5" x14ac:dyDescent="0.25">
      <c r="A113" s="5"/>
      <c r="B113" s="72" t="s">
        <v>324</v>
      </c>
      <c r="C113" s="127">
        <v>8.1580204999999992</v>
      </c>
      <c r="D113" s="127">
        <v>8.159632499999999</v>
      </c>
      <c r="E113" s="127">
        <v>1.6119999999997248E-3</v>
      </c>
      <c r="F113" s="8">
        <v>0</v>
      </c>
      <c r="G113"/>
      <c r="H113" s="10"/>
      <c r="J113" s="126">
        <f t="shared" si="1"/>
        <v>1.6119999999997248E-3</v>
      </c>
      <c r="L113" t="s">
        <v>616</v>
      </c>
    </row>
    <row r="114" spans="1:12" ht="12.5" x14ac:dyDescent="0.25">
      <c r="A114" s="5"/>
      <c r="B114" s="72" t="s">
        <v>325</v>
      </c>
      <c r="C114" s="127">
        <v>4.9293420000000001</v>
      </c>
      <c r="D114" s="127">
        <v>4.9363399999999995</v>
      </c>
      <c r="E114" s="127">
        <v>6.9979999999993936E-3</v>
      </c>
      <c r="F114" s="8">
        <v>0</v>
      </c>
      <c r="G114"/>
      <c r="H114" s="10"/>
      <c r="J114" s="126">
        <f t="shared" si="1"/>
        <v>6.9979999999993936E-3</v>
      </c>
      <c r="L114" t="s">
        <v>617</v>
      </c>
    </row>
    <row r="115" spans="1:12" ht="12.5" x14ac:dyDescent="0.25">
      <c r="A115" s="5"/>
      <c r="B115" s="72" t="s">
        <v>326</v>
      </c>
      <c r="C115" s="127">
        <v>694.54143999999997</v>
      </c>
      <c r="D115" s="127">
        <v>695.81606399999998</v>
      </c>
      <c r="E115" s="127">
        <v>1.2746240000000171</v>
      </c>
      <c r="F115" s="8">
        <v>0</v>
      </c>
      <c r="G115"/>
      <c r="H115" s="10"/>
      <c r="J115" s="126">
        <f t="shared" si="1"/>
        <v>1.2746240000000171</v>
      </c>
      <c r="L115" t="s">
        <v>618</v>
      </c>
    </row>
    <row r="116" spans="1:12" ht="12.5" x14ac:dyDescent="0.25">
      <c r="A116" s="5"/>
      <c r="B116" s="72" t="s">
        <v>327</v>
      </c>
      <c r="C116" s="127"/>
      <c r="D116" s="127"/>
      <c r="E116" s="127"/>
      <c r="F116" s="8"/>
      <c r="G116"/>
      <c r="H116" s="10"/>
      <c r="J116" s="126">
        <f t="shared" si="1"/>
        <v>0</v>
      </c>
      <c r="L116" t="s">
        <v>619</v>
      </c>
    </row>
    <row r="117" spans="1:12" ht="12.5" x14ac:dyDescent="0.25">
      <c r="A117" s="5"/>
      <c r="B117" s="72" t="s">
        <v>328</v>
      </c>
      <c r="C117" s="127">
        <v>22.720153999999997</v>
      </c>
      <c r="D117" s="127">
        <v>22.742542</v>
      </c>
      <c r="E117" s="127">
        <v>2.2388000000002961E-2</v>
      </c>
      <c r="F117" s="8">
        <v>0</v>
      </c>
      <c r="G117"/>
      <c r="H117" s="10"/>
      <c r="J117" s="126">
        <f t="shared" si="1"/>
        <v>2.2388000000002961E-2</v>
      </c>
      <c r="L117" t="s">
        <v>620</v>
      </c>
    </row>
    <row r="118" spans="1:12" ht="12.5" x14ac:dyDescent="0.25">
      <c r="A118" s="5"/>
      <c r="B118" s="72" t="s">
        <v>329</v>
      </c>
      <c r="C118" s="127">
        <v>0.24131285937499999</v>
      </c>
      <c r="D118" s="127">
        <v>0.24604701562499998</v>
      </c>
      <c r="E118" s="127">
        <v>4.7341562499999823E-3</v>
      </c>
      <c r="F118" s="8">
        <v>0</v>
      </c>
      <c r="G118"/>
      <c r="H118" s="10"/>
      <c r="J118" s="126">
        <f t="shared" si="1"/>
        <v>4.7341562499999823E-3</v>
      </c>
      <c r="L118" t="s">
        <v>621</v>
      </c>
    </row>
    <row r="119" spans="1:12" ht="12.5" x14ac:dyDescent="0.25">
      <c r="A119" s="5"/>
      <c r="B119" s="72" t="s">
        <v>330</v>
      </c>
      <c r="C119" s="127">
        <v>11.568761</v>
      </c>
      <c r="D119" s="127">
        <v>11.577218</v>
      </c>
      <c r="E119" s="127">
        <v>8.4569999999999368E-3</v>
      </c>
      <c r="F119" s="8">
        <v>0</v>
      </c>
      <c r="G119"/>
      <c r="H119" s="10"/>
      <c r="J119" s="126">
        <f t="shared" si="1"/>
        <v>8.4569999999999368E-3</v>
      </c>
      <c r="L119" t="s">
        <v>622</v>
      </c>
    </row>
    <row r="120" spans="1:12" ht="12.5" x14ac:dyDescent="0.25">
      <c r="A120" s="5"/>
      <c r="B120" s="72" t="s">
        <v>331</v>
      </c>
      <c r="C120" s="127">
        <v>0.85973650000000001</v>
      </c>
      <c r="D120" s="127">
        <v>0.85973650000000001</v>
      </c>
      <c r="E120" s="127">
        <v>0</v>
      </c>
      <c r="F120" s="8">
        <v>0</v>
      </c>
      <c r="G120"/>
      <c r="H120" s="10"/>
      <c r="J120" s="126">
        <f t="shared" si="1"/>
        <v>0</v>
      </c>
      <c r="L120" t="s">
        <v>623</v>
      </c>
    </row>
    <row r="121" spans="1:12" ht="12.5" x14ac:dyDescent="0.25">
      <c r="A121" s="5"/>
      <c r="B121" s="72" t="s">
        <v>332</v>
      </c>
      <c r="C121" s="127">
        <v>185.48843199999999</v>
      </c>
      <c r="D121" s="127">
        <v>185.523584</v>
      </c>
      <c r="E121" s="127">
        <v>3.515200000001073E-2</v>
      </c>
      <c r="F121" s="8">
        <v>0</v>
      </c>
      <c r="H121" s="10"/>
      <c r="J121" s="126">
        <f t="shared" si="1"/>
        <v>3.515200000001073E-2</v>
      </c>
      <c r="L121" t="s">
        <v>624</v>
      </c>
    </row>
    <row r="122" spans="1:12" ht="12.5" x14ac:dyDescent="0.25">
      <c r="A122" s="5"/>
      <c r="B122" s="72" t="s">
        <v>333</v>
      </c>
      <c r="C122" s="127">
        <v>8.2094644999999993</v>
      </c>
      <c r="D122" s="127">
        <v>8.2162880000000005</v>
      </c>
      <c r="E122" s="127">
        <v>6.8235000000012036E-3</v>
      </c>
      <c r="F122" s="8">
        <v>0</v>
      </c>
      <c r="H122" s="10"/>
      <c r="J122" s="126">
        <f t="shared" si="1"/>
        <v>6.8235000000012036E-3</v>
      </c>
      <c r="L122" t="s">
        <v>625</v>
      </c>
    </row>
    <row r="123" spans="1:12" ht="12.5" x14ac:dyDescent="0.25">
      <c r="A123" s="5"/>
      <c r="B123" s="72" t="s">
        <v>334</v>
      </c>
      <c r="C123" s="127">
        <v>4.632733</v>
      </c>
      <c r="D123" s="127">
        <v>4.632733</v>
      </c>
      <c r="E123" s="127">
        <v>0</v>
      </c>
      <c r="F123" s="8">
        <v>0</v>
      </c>
      <c r="H123" s="10"/>
      <c r="J123" s="126">
        <f t="shared" si="1"/>
        <v>0</v>
      </c>
      <c r="L123" t="s">
        <v>626</v>
      </c>
    </row>
    <row r="124" spans="1:12" ht="12.5" x14ac:dyDescent="0.25">
      <c r="A124" s="5"/>
      <c r="B124" s="72" t="s">
        <v>335</v>
      </c>
      <c r="C124" s="127"/>
      <c r="D124" s="127"/>
      <c r="E124" s="127"/>
      <c r="F124" s="8"/>
      <c r="H124" s="10"/>
      <c r="J124" s="126">
        <f t="shared" si="1"/>
        <v>0</v>
      </c>
      <c r="L124" t="s">
        <v>627</v>
      </c>
    </row>
    <row r="125" spans="1:12" ht="12.5" x14ac:dyDescent="0.25">
      <c r="A125" s="5"/>
      <c r="B125" s="72" t="s">
        <v>336</v>
      </c>
      <c r="C125" s="127">
        <v>488.15625599999998</v>
      </c>
      <c r="D125" s="127">
        <v>488.59407999999996</v>
      </c>
      <c r="E125" s="127">
        <v>0.43782399999997779</v>
      </c>
      <c r="F125" s="8">
        <v>0</v>
      </c>
      <c r="H125" s="10"/>
      <c r="J125" s="126">
        <f t="shared" si="1"/>
        <v>0.43782399999997779</v>
      </c>
      <c r="L125" t="s">
        <v>628</v>
      </c>
    </row>
    <row r="126" spans="1:12" ht="12.5" x14ac:dyDescent="0.25">
      <c r="A126" s="5"/>
      <c r="B126" s="72" t="s">
        <v>337</v>
      </c>
      <c r="C126" s="127">
        <v>5.2659994999999995</v>
      </c>
      <c r="D126" s="127">
        <v>5.3726154999999993</v>
      </c>
      <c r="E126" s="127">
        <v>0.10661599999999982</v>
      </c>
      <c r="F126" s="8">
        <v>0</v>
      </c>
      <c r="H126" s="10"/>
      <c r="J126" s="126">
        <f t="shared" si="1"/>
        <v>0.10661599999999982</v>
      </c>
      <c r="L126" t="s">
        <v>629</v>
      </c>
    </row>
    <row r="127" spans="1:12" ht="12.5" x14ac:dyDescent="0.25">
      <c r="A127" s="5"/>
      <c r="B127" s="72" t="s">
        <v>338</v>
      </c>
      <c r="C127" s="127">
        <v>13.678972999999999</v>
      </c>
      <c r="D127" s="127">
        <v>13.679359</v>
      </c>
      <c r="E127" s="127">
        <v>3.8600000000066359E-4</v>
      </c>
      <c r="F127" s="8">
        <v>0</v>
      </c>
      <c r="H127" s="10"/>
      <c r="J127" s="126">
        <f t="shared" si="1"/>
        <v>3.8600000000066359E-4</v>
      </c>
      <c r="L127" t="s">
        <v>630</v>
      </c>
    </row>
    <row r="128" spans="1:12" ht="12.5" x14ac:dyDescent="0.25">
      <c r="A128" s="5"/>
      <c r="B128" s="72" t="s">
        <v>339</v>
      </c>
      <c r="C128" s="127">
        <v>2.9358009999999997</v>
      </c>
      <c r="D128" s="127">
        <v>2.9387684999999997</v>
      </c>
      <c r="E128" s="127">
        <v>2.9675000000000118E-3</v>
      </c>
      <c r="F128" s="8">
        <v>0</v>
      </c>
      <c r="H128" s="10"/>
      <c r="J128" s="126">
        <f t="shared" si="1"/>
        <v>2.9675000000000118E-3</v>
      </c>
      <c r="L128" t="s">
        <v>631</v>
      </c>
    </row>
    <row r="129" spans="1:14" ht="12.5" x14ac:dyDescent="0.25">
      <c r="A129" s="5"/>
      <c r="B129" s="72" t="s">
        <v>340</v>
      </c>
      <c r="C129" s="127"/>
      <c r="D129" s="127"/>
      <c r="E129" s="127"/>
      <c r="F129" s="8"/>
      <c r="H129" s="10"/>
      <c r="J129" s="126">
        <f t="shared" si="1"/>
        <v>0</v>
      </c>
      <c r="L129" t="s">
        <v>632</v>
      </c>
    </row>
    <row r="130" spans="1:14" ht="12.5" x14ac:dyDescent="0.25">
      <c r="A130" s="5"/>
      <c r="B130" s="72" t="s">
        <v>341</v>
      </c>
      <c r="C130" s="127">
        <v>10.280059</v>
      </c>
      <c r="D130" s="127">
        <v>10.30847</v>
      </c>
      <c r="E130" s="127">
        <v>2.8411000000000186E-2</v>
      </c>
      <c r="F130" s="8">
        <v>0</v>
      </c>
      <c r="H130" s="10"/>
      <c r="J130" s="126">
        <f t="shared" si="1"/>
        <v>2.8411000000000186E-2</v>
      </c>
      <c r="L130" t="s">
        <v>633</v>
      </c>
    </row>
    <row r="131" spans="1:14" ht="12.5" x14ac:dyDescent="0.25">
      <c r="A131" s="5"/>
      <c r="B131" s="72" t="s">
        <v>342</v>
      </c>
      <c r="C131" s="127">
        <v>0.61990987499999994</v>
      </c>
      <c r="D131" s="127">
        <v>0.62295806249999996</v>
      </c>
      <c r="E131" s="127">
        <v>3.0481875000000214E-3</v>
      </c>
      <c r="F131" s="8">
        <v>0</v>
      </c>
      <c r="H131" s="10"/>
      <c r="J131" s="126">
        <f t="shared" si="1"/>
        <v>3.0481875000000214E-3</v>
      </c>
      <c r="L131" t="s">
        <v>634</v>
      </c>
    </row>
    <row r="132" spans="1:14" ht="12.5" x14ac:dyDescent="0.25">
      <c r="A132" s="5"/>
      <c r="B132" s="72" t="s">
        <v>343</v>
      </c>
      <c r="C132" s="127">
        <v>27.889146</v>
      </c>
      <c r="D132" s="127">
        <v>27.923331999999998</v>
      </c>
      <c r="E132" s="127">
        <v>3.4185999999998273E-2</v>
      </c>
      <c r="F132" s="8">
        <v>0</v>
      </c>
      <c r="H132" s="10"/>
      <c r="J132" s="126">
        <f t="shared" si="1"/>
        <v>3.4185999999998273E-2</v>
      </c>
      <c r="L132" t="s">
        <v>635</v>
      </c>
    </row>
    <row r="133" spans="1:14" ht="12.5" x14ac:dyDescent="0.25">
      <c r="A133" s="5"/>
      <c r="B133" s="72" t="s">
        <v>344</v>
      </c>
      <c r="C133" s="127">
        <v>1.40665825</v>
      </c>
      <c r="D133" s="127">
        <v>1.40665825</v>
      </c>
      <c r="E133" s="127">
        <v>0</v>
      </c>
      <c r="F133" s="8">
        <v>0</v>
      </c>
      <c r="H133" s="10"/>
      <c r="J133" s="126">
        <f t="shared" ref="J133:J196" si="2">E133</f>
        <v>0</v>
      </c>
      <c r="L133" t="s">
        <v>636</v>
      </c>
    </row>
    <row r="134" spans="1:14" ht="12.5" x14ac:dyDescent="0.25">
      <c r="A134" s="5"/>
      <c r="B134" s="72" t="s">
        <v>345</v>
      </c>
      <c r="C134" s="127">
        <v>220.09825599999999</v>
      </c>
      <c r="D134" s="127">
        <v>220.42927999999998</v>
      </c>
      <c r="E134" s="127">
        <v>0.33102399999998511</v>
      </c>
      <c r="F134" s="8">
        <v>0</v>
      </c>
      <c r="H134" s="10"/>
      <c r="J134" s="126">
        <f t="shared" si="2"/>
        <v>0.33102399999998511</v>
      </c>
      <c r="L134" t="s">
        <v>637</v>
      </c>
    </row>
    <row r="135" spans="1:14" ht="12.5" x14ac:dyDescent="0.25">
      <c r="A135" s="5"/>
      <c r="B135" s="72" t="s">
        <v>346</v>
      </c>
      <c r="C135" s="127">
        <v>185.38153599999998</v>
      </c>
      <c r="D135" s="127">
        <v>185.63187199999999</v>
      </c>
      <c r="E135" s="127">
        <v>0.25033600000000433</v>
      </c>
      <c r="F135" s="8">
        <v>0</v>
      </c>
      <c r="H135" s="10"/>
      <c r="J135" s="126">
        <f t="shared" si="2"/>
        <v>0.25033600000000433</v>
      </c>
      <c r="L135" t="s">
        <v>638</v>
      </c>
    </row>
    <row r="136" spans="1:14" ht="12.5" x14ac:dyDescent="0.25">
      <c r="A136" s="5"/>
      <c r="B136" s="72" t="s">
        <v>347</v>
      </c>
      <c r="C136" s="127">
        <v>3.1762544999999998</v>
      </c>
      <c r="D136" s="127">
        <v>3.182331</v>
      </c>
      <c r="E136" s="127">
        <v>6.0765000000002622E-3</v>
      </c>
      <c r="F136" s="8">
        <v>0</v>
      </c>
      <c r="H136" s="10"/>
      <c r="J136" s="126">
        <f t="shared" si="2"/>
        <v>6.0765000000002622E-3</v>
      </c>
      <c r="L136" t="s">
        <v>639</v>
      </c>
    </row>
    <row r="137" spans="1:14" ht="12.5" x14ac:dyDescent="0.25">
      <c r="A137" s="5"/>
      <c r="B137" s="72" t="s">
        <v>348</v>
      </c>
      <c r="C137" s="127">
        <v>8.04359</v>
      </c>
      <c r="D137" s="127">
        <v>8.0938059999999989</v>
      </c>
      <c r="E137" s="127">
        <v>5.0215999999998928E-2</v>
      </c>
      <c r="F137" s="8">
        <v>0</v>
      </c>
      <c r="H137" s="10"/>
      <c r="J137" s="126">
        <f t="shared" si="2"/>
        <v>5.0215999999998928E-2</v>
      </c>
      <c r="L137" t="s">
        <v>640</v>
      </c>
    </row>
    <row r="138" spans="1:14" ht="12.5" x14ac:dyDescent="0.25">
      <c r="A138" s="5"/>
      <c r="B138" s="72" t="s">
        <v>349</v>
      </c>
      <c r="C138" s="127">
        <v>6171.7180530000005</v>
      </c>
      <c r="D138" s="127">
        <v>6173.935939</v>
      </c>
      <c r="E138" s="127">
        <v>2.2178859999994529</v>
      </c>
      <c r="F138" s="8">
        <v>0</v>
      </c>
      <c r="H138" s="10"/>
      <c r="J138" s="126">
        <f t="shared" si="2"/>
        <v>2.2178859999994529</v>
      </c>
      <c r="L138" t="s">
        <v>641</v>
      </c>
    </row>
    <row r="139" spans="1:14" ht="12.5" x14ac:dyDescent="0.25">
      <c r="A139" s="5"/>
      <c r="B139" s="72" t="s">
        <v>350</v>
      </c>
      <c r="C139" s="127"/>
      <c r="D139" s="127"/>
      <c r="E139" s="127"/>
      <c r="F139" s="8"/>
      <c r="H139" s="10"/>
      <c r="J139" s="126">
        <f t="shared" si="2"/>
        <v>0</v>
      </c>
      <c r="L139" t="s">
        <v>642</v>
      </c>
    </row>
    <row r="140" spans="1:14" ht="12.5" x14ac:dyDescent="0.25">
      <c r="A140" s="5"/>
      <c r="B140" s="72" t="s">
        <v>351</v>
      </c>
      <c r="C140" s="127">
        <v>581.06399999999996</v>
      </c>
      <c r="D140" s="127">
        <v>581.12588799999992</v>
      </c>
      <c r="E140" s="127">
        <v>6.1887999999953536E-2</v>
      </c>
      <c r="F140" s="8">
        <v>0</v>
      </c>
      <c r="H140" s="10"/>
      <c r="J140" s="126">
        <f t="shared" si="2"/>
        <v>6.1887999999953536E-2</v>
      </c>
      <c r="L140" t="s">
        <v>643</v>
      </c>
    </row>
    <row r="141" spans="1:14" ht="12.5" x14ac:dyDescent="0.25">
      <c r="A141" s="5"/>
      <c r="B141" s="72" t="s">
        <v>352</v>
      </c>
      <c r="C141" s="127">
        <v>930.10559999999998</v>
      </c>
      <c r="D141" s="127">
        <v>930.24300799999992</v>
      </c>
      <c r="E141" s="127">
        <v>0.13740799999993669</v>
      </c>
      <c r="F141" s="8">
        <v>0</v>
      </c>
      <c r="H141" s="10"/>
      <c r="J141" s="126">
        <f t="shared" si="2"/>
        <v>0.13740799999993669</v>
      </c>
      <c r="L141" t="s">
        <v>644</v>
      </c>
    </row>
    <row r="142" spans="1:14" ht="12.5" x14ac:dyDescent="0.25">
      <c r="A142" s="5"/>
      <c r="B142" s="72" t="s">
        <v>353</v>
      </c>
      <c r="C142" s="127">
        <v>340.56943999999999</v>
      </c>
      <c r="D142" s="127">
        <v>340.57324799999998</v>
      </c>
      <c r="E142" s="127">
        <v>3.807999999992262E-3</v>
      </c>
      <c r="F142" s="8">
        <v>0</v>
      </c>
      <c r="H142" s="10"/>
      <c r="J142" s="126">
        <f t="shared" si="2"/>
        <v>3.807999999992262E-3</v>
      </c>
      <c r="L142" t="s">
        <v>645</v>
      </c>
    </row>
    <row r="143" spans="1:14" ht="12.5" x14ac:dyDescent="0.25">
      <c r="A143" s="5"/>
      <c r="B143" s="72" t="s">
        <v>354</v>
      </c>
      <c r="C143" s="127"/>
      <c r="D143" s="127"/>
      <c r="E143" s="127"/>
      <c r="F143" s="8">
        <v>0</v>
      </c>
      <c r="H143" s="10"/>
      <c r="J143" s="126">
        <f t="shared" si="2"/>
        <v>0</v>
      </c>
      <c r="L143" t="s">
        <v>646</v>
      </c>
    </row>
    <row r="144" spans="1:14" ht="12.5" x14ac:dyDescent="0.25">
      <c r="A144" s="5"/>
      <c r="B144" s="72" t="s">
        <v>355</v>
      </c>
      <c r="C144" s="127">
        <v>1946.3206399999999</v>
      </c>
      <c r="D144" s="127">
        <v>1946.519552</v>
      </c>
      <c r="E144" s="127">
        <v>0.19891200000006393</v>
      </c>
      <c r="F144" s="8">
        <v>0</v>
      </c>
      <c r="H144" s="10"/>
      <c r="J144" s="126">
        <f t="shared" si="2"/>
        <v>0.19891200000006393</v>
      </c>
      <c r="L144" t="s">
        <v>647</v>
      </c>
      <c r="N144" s="93"/>
    </row>
    <row r="145" spans="1:13" ht="12.5" x14ac:dyDescent="0.25">
      <c r="A145" s="5"/>
      <c r="B145" s="72" t="s">
        <v>356</v>
      </c>
      <c r="C145" s="127">
        <v>2273.9343359999998</v>
      </c>
      <c r="D145" s="127">
        <v>2274.9629439999999</v>
      </c>
      <c r="E145" s="127">
        <v>1.0286080000000766</v>
      </c>
      <c r="F145" s="8">
        <v>0</v>
      </c>
      <c r="H145" s="10"/>
      <c r="J145" s="126">
        <f t="shared" si="2"/>
        <v>1.0286080000000766</v>
      </c>
      <c r="L145" t="s">
        <v>648</v>
      </c>
    </row>
    <row r="146" spans="1:13" ht="12.5" x14ac:dyDescent="0.25">
      <c r="A146" s="5"/>
      <c r="B146" s="72" t="s">
        <v>357</v>
      </c>
      <c r="C146" s="127">
        <v>2550.2538239999999</v>
      </c>
      <c r="D146" s="127">
        <v>2550.2538239999999</v>
      </c>
      <c r="E146" s="127">
        <v>0</v>
      </c>
      <c r="F146" s="8">
        <v>0</v>
      </c>
      <c r="H146" s="10"/>
      <c r="J146" s="126">
        <f t="shared" si="2"/>
        <v>0</v>
      </c>
      <c r="L146" t="s">
        <v>649</v>
      </c>
    </row>
    <row r="147" spans="1:13" ht="12.5" x14ac:dyDescent="0.25">
      <c r="A147" s="5"/>
      <c r="B147" s="72" t="s">
        <v>358</v>
      </c>
      <c r="C147" s="127">
        <v>889.53990399999998</v>
      </c>
      <c r="D147" s="127">
        <v>889.54598399999998</v>
      </c>
      <c r="E147" s="127">
        <v>6.0799999999971988E-3</v>
      </c>
      <c r="F147" s="8">
        <v>0</v>
      </c>
      <c r="H147" s="10"/>
      <c r="J147" s="126">
        <f t="shared" si="2"/>
        <v>6.0799999999971988E-3</v>
      </c>
      <c r="L147" t="s">
        <v>650</v>
      </c>
    </row>
    <row r="148" spans="1:13" ht="12.5" x14ac:dyDescent="0.25">
      <c r="A148" s="5"/>
      <c r="B148" s="72" t="s">
        <v>359</v>
      </c>
      <c r="C148" s="127">
        <v>0</v>
      </c>
      <c r="D148" s="127">
        <v>0</v>
      </c>
      <c r="E148" s="127">
        <v>0</v>
      </c>
      <c r="F148" s="8">
        <v>0</v>
      </c>
      <c r="H148" s="10"/>
      <c r="J148" s="126">
        <f t="shared" si="2"/>
        <v>0</v>
      </c>
      <c r="L148" t="s">
        <v>651</v>
      </c>
    </row>
    <row r="149" spans="1:13" ht="12.5" x14ac:dyDescent="0.25">
      <c r="A149" s="5"/>
      <c r="B149" s="72" t="s">
        <v>360</v>
      </c>
      <c r="C149" s="9"/>
      <c r="D149" s="9"/>
      <c r="E149" s="9"/>
      <c r="F149" s="8"/>
      <c r="H149" s="10"/>
      <c r="J149" s="126">
        <f t="shared" si="2"/>
        <v>0</v>
      </c>
      <c r="L149" t="s">
        <v>652</v>
      </c>
    </row>
    <row r="150" spans="1:13" ht="12.5" x14ac:dyDescent="0.25">
      <c r="A150" s="5"/>
      <c r="B150" s="72" t="s">
        <v>653</v>
      </c>
      <c r="C150" s="165">
        <v>108.442162</v>
      </c>
      <c r="D150" s="165">
        <v>109.22755900000001</v>
      </c>
      <c r="E150" s="9">
        <v>0.78539700000001744</v>
      </c>
      <c r="F150" s="8">
        <v>0</v>
      </c>
      <c r="H150" s="10"/>
      <c r="J150" s="126">
        <f t="shared" si="2"/>
        <v>0.78539700000001744</v>
      </c>
    </row>
    <row r="151" spans="1:13" ht="14.5" x14ac:dyDescent="0.25">
      <c r="A151" s="5"/>
      <c r="B151" s="81" t="s">
        <v>24</v>
      </c>
      <c r="C151" s="9"/>
      <c r="D151" s="9"/>
      <c r="E151" s="9"/>
      <c r="F151" s="8"/>
      <c r="H151" s="10"/>
      <c r="J151" s="126">
        <f t="shared" si="2"/>
        <v>0</v>
      </c>
    </row>
    <row r="152" spans="1:13" ht="14.5" x14ac:dyDescent="0.25">
      <c r="A152" s="5"/>
      <c r="B152" s="81" t="s">
        <v>24</v>
      </c>
      <c r="C152" s="9"/>
      <c r="D152" s="9"/>
      <c r="E152" s="9"/>
      <c r="F152" s="8"/>
      <c r="H152" s="10"/>
      <c r="J152" s="126">
        <f t="shared" si="2"/>
        <v>0</v>
      </c>
    </row>
    <row r="153" spans="1:13" ht="14.5" x14ac:dyDescent="0.25">
      <c r="A153" s="5"/>
      <c r="B153" s="81" t="s">
        <v>24</v>
      </c>
      <c r="C153" s="9"/>
      <c r="D153" s="9"/>
      <c r="E153" s="9"/>
      <c r="F153" s="8"/>
      <c r="H153" s="10"/>
      <c r="J153" s="126">
        <f t="shared" si="2"/>
        <v>0</v>
      </c>
    </row>
    <row r="154" spans="1:13" ht="12.5" x14ac:dyDescent="0.25">
      <c r="A154" s="5"/>
      <c r="B154" s="7"/>
      <c r="C154" s="9"/>
      <c r="D154" s="9"/>
      <c r="E154" s="9"/>
      <c r="F154" s="8"/>
      <c r="H154" s="10"/>
      <c r="J154" s="126">
        <f t="shared" si="2"/>
        <v>0</v>
      </c>
    </row>
    <row r="155" spans="1:13" ht="12.5" x14ac:dyDescent="0.25">
      <c r="A155" s="5"/>
      <c r="B155" s="7"/>
      <c r="C155" s="9"/>
      <c r="D155" s="9"/>
      <c r="E155" s="9"/>
      <c r="F155" s="8"/>
      <c r="H155" s="10"/>
      <c r="J155" s="126">
        <f t="shared" si="2"/>
        <v>0</v>
      </c>
    </row>
    <row r="156" spans="1:13" ht="12.5" x14ac:dyDescent="0.25">
      <c r="A156" s="5"/>
      <c r="B156" s="7"/>
      <c r="C156" s="9"/>
      <c r="D156" s="9"/>
      <c r="E156" s="9"/>
      <c r="F156" s="8"/>
      <c r="H156" s="10"/>
      <c r="J156" s="126">
        <f t="shared" si="2"/>
        <v>0</v>
      </c>
    </row>
    <row r="157" spans="1:13" ht="12.5" x14ac:dyDescent="0.25">
      <c r="A157" s="5"/>
      <c r="B157" s="7"/>
      <c r="C157" s="9"/>
      <c r="D157" s="9"/>
      <c r="E157" s="9"/>
      <c r="F157" s="8"/>
      <c r="H157" s="10"/>
      <c r="J157" s="126">
        <f t="shared" si="2"/>
        <v>0</v>
      </c>
    </row>
    <row r="158" spans="1:13" ht="12.5" x14ac:dyDescent="0.25">
      <c r="A158" s="5"/>
      <c r="B158" s="7"/>
      <c r="C158" s="9"/>
      <c r="D158" s="9"/>
      <c r="E158" s="9"/>
      <c r="F158" s="8"/>
      <c r="H158" s="10"/>
      <c r="J158" s="126">
        <f t="shared" si="2"/>
        <v>0</v>
      </c>
      <c r="M158" s="72"/>
    </row>
    <row r="159" spans="1:13" ht="12.5" x14ac:dyDescent="0.25">
      <c r="A159" s="5"/>
      <c r="B159" s="7"/>
      <c r="C159" s="9"/>
      <c r="D159" s="9"/>
      <c r="E159" s="9"/>
      <c r="F159" s="8"/>
      <c r="H159" s="10"/>
      <c r="J159" s="126">
        <f t="shared" si="2"/>
        <v>0</v>
      </c>
      <c r="M159" s="72"/>
    </row>
    <row r="160" spans="1:13" ht="12.5" x14ac:dyDescent="0.25">
      <c r="A160" s="5"/>
      <c r="B160" s="7"/>
      <c r="C160" s="9"/>
      <c r="D160" s="9"/>
      <c r="E160" s="9"/>
      <c r="F160" s="8"/>
      <c r="H160" s="10"/>
      <c r="J160" s="126">
        <f t="shared" si="2"/>
        <v>0</v>
      </c>
      <c r="M160" s="72"/>
    </row>
    <row r="161" spans="10:13" x14ac:dyDescent="0.3">
      <c r="J161" s="126">
        <f t="shared" si="2"/>
        <v>0</v>
      </c>
      <c r="M161" s="72"/>
    </row>
    <row r="162" spans="10:13" x14ac:dyDescent="0.3">
      <c r="J162" s="126">
        <f t="shared" si="2"/>
        <v>0</v>
      </c>
      <c r="M162" s="72"/>
    </row>
    <row r="163" spans="10:13" x14ac:dyDescent="0.3">
      <c r="J163" s="126">
        <f t="shared" si="2"/>
        <v>0</v>
      </c>
      <c r="M163" s="72"/>
    </row>
    <row r="164" spans="10:13" x14ac:dyDescent="0.3">
      <c r="J164" s="126">
        <f t="shared" si="2"/>
        <v>0</v>
      </c>
      <c r="M164" s="72"/>
    </row>
    <row r="165" spans="10:13" x14ac:dyDescent="0.3">
      <c r="J165" s="126">
        <f t="shared" si="2"/>
        <v>0</v>
      </c>
      <c r="M165" s="72"/>
    </row>
    <row r="166" spans="10:13" x14ac:dyDescent="0.3">
      <c r="J166" s="126">
        <f t="shared" si="2"/>
        <v>0</v>
      </c>
      <c r="M166" s="72"/>
    </row>
    <row r="167" spans="10:13" x14ac:dyDescent="0.3">
      <c r="J167" s="126">
        <f t="shared" si="2"/>
        <v>0</v>
      </c>
      <c r="M167" s="72"/>
    </row>
    <row r="168" spans="10:13" x14ac:dyDescent="0.3">
      <c r="J168" s="126">
        <f t="shared" si="2"/>
        <v>0</v>
      </c>
      <c r="M168" s="72"/>
    </row>
    <row r="169" spans="10:13" x14ac:dyDescent="0.3">
      <c r="J169" s="126">
        <f t="shared" si="2"/>
        <v>0</v>
      </c>
      <c r="M169" s="72"/>
    </row>
    <row r="170" spans="10:13" x14ac:dyDescent="0.3">
      <c r="J170" s="126">
        <f t="shared" si="2"/>
        <v>0</v>
      </c>
      <c r="M170" s="72"/>
    </row>
    <row r="171" spans="10:13" x14ac:dyDescent="0.3">
      <c r="J171" s="126">
        <f t="shared" si="2"/>
        <v>0</v>
      </c>
      <c r="M171" s="72"/>
    </row>
    <row r="172" spans="10:13" x14ac:dyDescent="0.3">
      <c r="J172" s="126">
        <f t="shared" si="2"/>
        <v>0</v>
      </c>
      <c r="M172" s="72"/>
    </row>
    <row r="173" spans="10:13" x14ac:dyDescent="0.3">
      <c r="J173" s="126">
        <f t="shared" si="2"/>
        <v>0</v>
      </c>
      <c r="M173" s="72"/>
    </row>
    <row r="174" spans="10:13" x14ac:dyDescent="0.3">
      <c r="J174" s="126">
        <f t="shared" si="2"/>
        <v>0</v>
      </c>
      <c r="M174" s="72"/>
    </row>
    <row r="175" spans="10:13" x14ac:dyDescent="0.3">
      <c r="J175" s="126">
        <f t="shared" si="2"/>
        <v>0</v>
      </c>
      <c r="M175" s="72"/>
    </row>
    <row r="176" spans="10:13" x14ac:dyDescent="0.3">
      <c r="J176" s="126">
        <f t="shared" si="2"/>
        <v>0</v>
      </c>
      <c r="M176" s="72"/>
    </row>
    <row r="177" spans="10:13" x14ac:dyDescent="0.3">
      <c r="J177" s="126">
        <f t="shared" si="2"/>
        <v>0</v>
      </c>
      <c r="M177" s="72"/>
    </row>
    <row r="178" spans="10:13" x14ac:dyDescent="0.3">
      <c r="J178" s="126">
        <f t="shared" si="2"/>
        <v>0</v>
      </c>
      <c r="M178" s="72"/>
    </row>
    <row r="179" spans="10:13" x14ac:dyDescent="0.3">
      <c r="J179" s="126">
        <f t="shared" si="2"/>
        <v>0</v>
      </c>
      <c r="M179" s="72"/>
    </row>
    <row r="180" spans="10:13" x14ac:dyDescent="0.3">
      <c r="J180" s="126">
        <f t="shared" si="2"/>
        <v>0</v>
      </c>
      <c r="M180" s="72"/>
    </row>
    <row r="181" spans="10:13" x14ac:dyDescent="0.3">
      <c r="J181" s="126">
        <f t="shared" si="2"/>
        <v>0</v>
      </c>
      <c r="M181" s="72"/>
    </row>
    <row r="182" spans="10:13" x14ac:dyDescent="0.3">
      <c r="J182" s="126">
        <f t="shared" si="2"/>
        <v>0</v>
      </c>
      <c r="M182" s="72"/>
    </row>
    <row r="183" spans="10:13" x14ac:dyDescent="0.3">
      <c r="J183" s="126">
        <f t="shared" si="2"/>
        <v>0</v>
      </c>
      <c r="M183" s="72"/>
    </row>
    <row r="184" spans="10:13" x14ac:dyDescent="0.3">
      <c r="J184" s="126">
        <f t="shared" si="2"/>
        <v>0</v>
      </c>
      <c r="M184" s="72"/>
    </row>
    <row r="185" spans="10:13" x14ac:dyDescent="0.3">
      <c r="J185" s="126">
        <f t="shared" si="2"/>
        <v>0</v>
      </c>
      <c r="M185" s="72"/>
    </row>
    <row r="186" spans="10:13" x14ac:dyDescent="0.3">
      <c r="J186" s="126">
        <f t="shared" si="2"/>
        <v>0</v>
      </c>
      <c r="M186" s="72"/>
    </row>
    <row r="187" spans="10:13" x14ac:dyDescent="0.3">
      <c r="J187" s="126">
        <f t="shared" si="2"/>
        <v>0</v>
      </c>
      <c r="M187" s="72"/>
    </row>
    <row r="188" spans="10:13" x14ac:dyDescent="0.3">
      <c r="J188" s="126">
        <f t="shared" si="2"/>
        <v>0</v>
      </c>
      <c r="M188" s="72"/>
    </row>
    <row r="189" spans="10:13" x14ac:dyDescent="0.3">
      <c r="J189" s="126">
        <f t="shared" si="2"/>
        <v>0</v>
      </c>
      <c r="M189" s="72"/>
    </row>
    <row r="190" spans="10:13" x14ac:dyDescent="0.3">
      <c r="J190" s="126">
        <f t="shared" si="2"/>
        <v>0</v>
      </c>
      <c r="M190" s="72"/>
    </row>
    <row r="191" spans="10:13" x14ac:dyDescent="0.3">
      <c r="J191" s="126">
        <f t="shared" si="2"/>
        <v>0</v>
      </c>
      <c r="M191" s="72"/>
    </row>
    <row r="192" spans="10:13" x14ac:dyDescent="0.3">
      <c r="J192" s="126">
        <f t="shared" si="2"/>
        <v>0</v>
      </c>
      <c r="M192" s="72"/>
    </row>
    <row r="193" spans="10:13" x14ac:dyDescent="0.3">
      <c r="J193" s="126">
        <f t="shared" si="2"/>
        <v>0</v>
      </c>
      <c r="M193" s="72"/>
    </row>
    <row r="194" spans="10:13" x14ac:dyDescent="0.3">
      <c r="J194" s="126">
        <f t="shared" si="2"/>
        <v>0</v>
      </c>
      <c r="M194" s="72"/>
    </row>
    <row r="195" spans="10:13" x14ac:dyDescent="0.3">
      <c r="J195" s="126">
        <f t="shared" si="2"/>
        <v>0</v>
      </c>
      <c r="M195" s="72"/>
    </row>
    <row r="196" spans="10:13" x14ac:dyDescent="0.3">
      <c r="J196" s="126">
        <f t="shared" si="2"/>
        <v>0</v>
      </c>
      <c r="M196" s="72"/>
    </row>
    <row r="197" spans="10:13" x14ac:dyDescent="0.3">
      <c r="J197" s="126">
        <f t="shared" ref="J197:J260" si="3">E197</f>
        <v>0</v>
      </c>
      <c r="M197" s="72"/>
    </row>
    <row r="198" spans="10:13" x14ac:dyDescent="0.3">
      <c r="J198" s="126">
        <f t="shared" si="3"/>
        <v>0</v>
      </c>
      <c r="M198" s="72"/>
    </row>
    <row r="199" spans="10:13" x14ac:dyDescent="0.3">
      <c r="J199" s="126">
        <f t="shared" si="3"/>
        <v>0</v>
      </c>
      <c r="M199" s="72"/>
    </row>
    <row r="200" spans="10:13" x14ac:dyDescent="0.3">
      <c r="J200" s="126">
        <f t="shared" si="3"/>
        <v>0</v>
      </c>
      <c r="M200" s="72"/>
    </row>
    <row r="201" spans="10:13" x14ac:dyDescent="0.3">
      <c r="J201" s="126">
        <f t="shared" si="3"/>
        <v>0</v>
      </c>
      <c r="M201" s="72"/>
    </row>
    <row r="202" spans="10:13" x14ac:dyDescent="0.3">
      <c r="J202" s="126">
        <f t="shared" si="3"/>
        <v>0</v>
      </c>
      <c r="M202" s="72"/>
    </row>
    <row r="203" spans="10:13" x14ac:dyDescent="0.3">
      <c r="J203" s="126">
        <f t="shared" si="3"/>
        <v>0</v>
      </c>
      <c r="M203" s="72"/>
    </row>
    <row r="204" spans="10:13" x14ac:dyDescent="0.3">
      <c r="J204" s="126">
        <f t="shared" si="3"/>
        <v>0</v>
      </c>
      <c r="M204" s="72"/>
    </row>
    <row r="205" spans="10:13" x14ac:dyDescent="0.3">
      <c r="J205" s="126">
        <f t="shared" si="3"/>
        <v>0</v>
      </c>
      <c r="M205" s="72"/>
    </row>
    <row r="206" spans="10:13" x14ac:dyDescent="0.3">
      <c r="J206" s="126">
        <f t="shared" si="3"/>
        <v>0</v>
      </c>
      <c r="M206" s="72"/>
    </row>
    <row r="207" spans="10:13" x14ac:dyDescent="0.3">
      <c r="J207" s="126">
        <f t="shared" si="3"/>
        <v>0</v>
      </c>
      <c r="M207" s="72"/>
    </row>
    <row r="208" spans="10:13" x14ac:dyDescent="0.3">
      <c r="J208" s="126">
        <f t="shared" si="3"/>
        <v>0</v>
      </c>
    </row>
    <row r="209" spans="10:10" x14ac:dyDescent="0.3">
      <c r="J209" s="126">
        <f t="shared" si="3"/>
        <v>0</v>
      </c>
    </row>
    <row r="210" spans="10:10" x14ac:dyDescent="0.3">
      <c r="J210" s="126">
        <f t="shared" si="3"/>
        <v>0</v>
      </c>
    </row>
    <row r="211" spans="10:10" x14ac:dyDescent="0.3">
      <c r="J211" s="126">
        <f t="shared" si="3"/>
        <v>0</v>
      </c>
    </row>
    <row r="212" spans="10:10" x14ac:dyDescent="0.3">
      <c r="J212" s="126">
        <f t="shared" si="3"/>
        <v>0</v>
      </c>
    </row>
    <row r="213" spans="10:10" x14ac:dyDescent="0.3">
      <c r="J213" s="126">
        <f t="shared" si="3"/>
        <v>0</v>
      </c>
    </row>
    <row r="214" spans="10:10" x14ac:dyDescent="0.3">
      <c r="J214" s="126">
        <f t="shared" si="3"/>
        <v>0</v>
      </c>
    </row>
    <row r="215" spans="10:10" x14ac:dyDescent="0.3">
      <c r="J215" s="126">
        <f t="shared" si="3"/>
        <v>0</v>
      </c>
    </row>
    <row r="216" spans="10:10" x14ac:dyDescent="0.3">
      <c r="J216" s="126">
        <f t="shared" si="3"/>
        <v>0</v>
      </c>
    </row>
    <row r="217" spans="10:10" x14ac:dyDescent="0.3">
      <c r="J217" s="126">
        <f t="shared" si="3"/>
        <v>0</v>
      </c>
    </row>
    <row r="218" spans="10:10" x14ac:dyDescent="0.3">
      <c r="J218" s="126">
        <f t="shared" si="3"/>
        <v>0</v>
      </c>
    </row>
    <row r="219" spans="10:10" x14ac:dyDescent="0.3">
      <c r="J219" s="126">
        <f t="shared" si="3"/>
        <v>0</v>
      </c>
    </row>
    <row r="220" spans="10:10" x14ac:dyDescent="0.3">
      <c r="J220" s="126">
        <f t="shared" si="3"/>
        <v>0</v>
      </c>
    </row>
    <row r="221" spans="10:10" x14ac:dyDescent="0.3">
      <c r="J221" s="126">
        <f t="shared" si="3"/>
        <v>0</v>
      </c>
    </row>
    <row r="222" spans="10:10" x14ac:dyDescent="0.3">
      <c r="J222" s="126">
        <f t="shared" si="3"/>
        <v>0</v>
      </c>
    </row>
    <row r="223" spans="10:10" x14ac:dyDescent="0.3">
      <c r="J223" s="126">
        <f t="shared" si="3"/>
        <v>0</v>
      </c>
    </row>
    <row r="224" spans="10:10" x14ac:dyDescent="0.3">
      <c r="J224" s="126">
        <f t="shared" si="3"/>
        <v>0</v>
      </c>
    </row>
    <row r="225" spans="10:10" x14ac:dyDescent="0.3">
      <c r="J225" s="126">
        <f t="shared" si="3"/>
        <v>0</v>
      </c>
    </row>
    <row r="226" spans="10:10" x14ac:dyDescent="0.3">
      <c r="J226" s="126">
        <f t="shared" si="3"/>
        <v>0</v>
      </c>
    </row>
    <row r="227" spans="10:10" x14ac:dyDescent="0.3">
      <c r="J227" s="126">
        <f t="shared" si="3"/>
        <v>0</v>
      </c>
    </row>
    <row r="228" spans="10:10" x14ac:dyDescent="0.3">
      <c r="J228" s="126">
        <f t="shared" si="3"/>
        <v>0</v>
      </c>
    </row>
    <row r="229" spans="10:10" x14ac:dyDescent="0.3">
      <c r="J229" s="126">
        <f t="shared" si="3"/>
        <v>0</v>
      </c>
    </row>
    <row r="230" spans="10:10" x14ac:dyDescent="0.3">
      <c r="J230" s="126">
        <f t="shared" si="3"/>
        <v>0</v>
      </c>
    </row>
    <row r="231" spans="10:10" x14ac:dyDescent="0.3">
      <c r="J231" s="126">
        <f t="shared" si="3"/>
        <v>0</v>
      </c>
    </row>
    <row r="232" spans="10:10" x14ac:dyDescent="0.3">
      <c r="J232" s="126">
        <f t="shared" si="3"/>
        <v>0</v>
      </c>
    </row>
    <row r="233" spans="10:10" x14ac:dyDescent="0.3">
      <c r="J233" s="126">
        <f t="shared" si="3"/>
        <v>0</v>
      </c>
    </row>
    <row r="234" spans="10:10" x14ac:dyDescent="0.3">
      <c r="J234" s="126">
        <f t="shared" si="3"/>
        <v>0</v>
      </c>
    </row>
    <row r="235" spans="10:10" x14ac:dyDescent="0.3">
      <c r="J235" s="126">
        <f t="shared" si="3"/>
        <v>0</v>
      </c>
    </row>
    <row r="236" spans="10:10" x14ac:dyDescent="0.3">
      <c r="J236" s="126">
        <f t="shared" si="3"/>
        <v>0</v>
      </c>
    </row>
    <row r="237" spans="10:10" x14ac:dyDescent="0.3">
      <c r="J237" s="126">
        <f t="shared" si="3"/>
        <v>0</v>
      </c>
    </row>
    <row r="238" spans="10:10" x14ac:dyDescent="0.3">
      <c r="J238" s="126">
        <f t="shared" si="3"/>
        <v>0</v>
      </c>
    </row>
    <row r="239" spans="10:10" x14ac:dyDescent="0.3">
      <c r="J239" s="126">
        <f t="shared" si="3"/>
        <v>0</v>
      </c>
    </row>
    <row r="240" spans="10:10" x14ac:dyDescent="0.3">
      <c r="J240" s="126">
        <f t="shared" si="3"/>
        <v>0</v>
      </c>
    </row>
    <row r="241" spans="10:10" x14ac:dyDescent="0.3">
      <c r="J241" s="126">
        <f t="shared" si="3"/>
        <v>0</v>
      </c>
    </row>
    <row r="242" spans="10:10" x14ac:dyDescent="0.3">
      <c r="J242" s="126">
        <f t="shared" si="3"/>
        <v>0</v>
      </c>
    </row>
    <row r="243" spans="10:10" x14ac:dyDescent="0.3">
      <c r="J243" s="126">
        <f t="shared" si="3"/>
        <v>0</v>
      </c>
    </row>
    <row r="244" spans="10:10" x14ac:dyDescent="0.3">
      <c r="J244" s="126">
        <f t="shared" si="3"/>
        <v>0</v>
      </c>
    </row>
    <row r="245" spans="10:10" x14ac:dyDescent="0.3">
      <c r="J245" s="126">
        <f t="shared" si="3"/>
        <v>0</v>
      </c>
    </row>
    <row r="246" spans="10:10" x14ac:dyDescent="0.3">
      <c r="J246" s="126">
        <f t="shared" si="3"/>
        <v>0</v>
      </c>
    </row>
    <row r="247" spans="10:10" x14ac:dyDescent="0.3">
      <c r="J247" s="126">
        <f t="shared" si="3"/>
        <v>0</v>
      </c>
    </row>
    <row r="248" spans="10:10" x14ac:dyDescent="0.3">
      <c r="J248" s="126">
        <f t="shared" si="3"/>
        <v>0</v>
      </c>
    </row>
    <row r="249" spans="10:10" x14ac:dyDescent="0.3">
      <c r="J249" s="126">
        <f t="shared" si="3"/>
        <v>0</v>
      </c>
    </row>
    <row r="250" spans="10:10" x14ac:dyDescent="0.3">
      <c r="J250" s="126">
        <f t="shared" si="3"/>
        <v>0</v>
      </c>
    </row>
    <row r="251" spans="10:10" x14ac:dyDescent="0.3">
      <c r="J251" s="126">
        <f t="shared" si="3"/>
        <v>0</v>
      </c>
    </row>
    <row r="252" spans="10:10" x14ac:dyDescent="0.3">
      <c r="J252" s="126">
        <f t="shared" si="3"/>
        <v>0</v>
      </c>
    </row>
    <row r="253" spans="10:10" x14ac:dyDescent="0.3">
      <c r="J253" s="126">
        <f t="shared" si="3"/>
        <v>0</v>
      </c>
    </row>
    <row r="254" spans="10:10" x14ac:dyDescent="0.3">
      <c r="J254" s="126">
        <f t="shared" si="3"/>
        <v>0</v>
      </c>
    </row>
    <row r="255" spans="10:10" x14ac:dyDescent="0.3">
      <c r="J255" s="126">
        <f t="shared" si="3"/>
        <v>0</v>
      </c>
    </row>
    <row r="256" spans="10:10" x14ac:dyDescent="0.3">
      <c r="J256" s="126">
        <f t="shared" si="3"/>
        <v>0</v>
      </c>
    </row>
    <row r="257" spans="10:10" x14ac:dyDescent="0.3">
      <c r="J257" s="126">
        <f t="shared" si="3"/>
        <v>0</v>
      </c>
    </row>
    <row r="258" spans="10:10" x14ac:dyDescent="0.3">
      <c r="J258" s="126">
        <f t="shared" si="3"/>
        <v>0</v>
      </c>
    </row>
    <row r="259" spans="10:10" x14ac:dyDescent="0.3">
      <c r="J259" s="126">
        <f t="shared" si="3"/>
        <v>0</v>
      </c>
    </row>
    <row r="260" spans="10:10" x14ac:dyDescent="0.3">
      <c r="J260" s="126">
        <f t="shared" si="3"/>
        <v>0</v>
      </c>
    </row>
    <row r="261" spans="10:10" x14ac:dyDescent="0.3">
      <c r="J261" s="126">
        <f t="shared" ref="J261:J324" si="4">E261</f>
        <v>0</v>
      </c>
    </row>
    <row r="262" spans="10:10" x14ac:dyDescent="0.3">
      <c r="J262" s="126">
        <f t="shared" si="4"/>
        <v>0</v>
      </c>
    </row>
    <row r="263" spans="10:10" x14ac:dyDescent="0.3">
      <c r="J263" s="126">
        <f t="shared" si="4"/>
        <v>0</v>
      </c>
    </row>
    <row r="264" spans="10:10" x14ac:dyDescent="0.3">
      <c r="J264" s="126">
        <f t="shared" si="4"/>
        <v>0</v>
      </c>
    </row>
    <row r="265" spans="10:10" x14ac:dyDescent="0.3">
      <c r="J265" s="126">
        <f t="shared" si="4"/>
        <v>0</v>
      </c>
    </row>
    <row r="266" spans="10:10" x14ac:dyDescent="0.3">
      <c r="J266" s="126">
        <f t="shared" si="4"/>
        <v>0</v>
      </c>
    </row>
    <row r="267" spans="10:10" x14ac:dyDescent="0.3">
      <c r="J267" s="126">
        <f t="shared" si="4"/>
        <v>0</v>
      </c>
    </row>
    <row r="268" spans="10:10" x14ac:dyDescent="0.3">
      <c r="J268" s="126">
        <f t="shared" si="4"/>
        <v>0</v>
      </c>
    </row>
    <row r="269" spans="10:10" x14ac:dyDescent="0.3">
      <c r="J269" s="126">
        <f t="shared" si="4"/>
        <v>0</v>
      </c>
    </row>
    <row r="270" spans="10:10" x14ac:dyDescent="0.3">
      <c r="J270" s="126">
        <f t="shared" si="4"/>
        <v>0</v>
      </c>
    </row>
    <row r="271" spans="10:10" x14ac:dyDescent="0.3">
      <c r="J271" s="126">
        <f t="shared" si="4"/>
        <v>0</v>
      </c>
    </row>
    <row r="272" spans="10:10" x14ac:dyDescent="0.3">
      <c r="J272" s="126">
        <f t="shared" si="4"/>
        <v>0</v>
      </c>
    </row>
    <row r="273" spans="10:10" x14ac:dyDescent="0.3">
      <c r="J273" s="126">
        <f t="shared" si="4"/>
        <v>0</v>
      </c>
    </row>
    <row r="274" spans="10:10" x14ac:dyDescent="0.3">
      <c r="J274" s="126">
        <f t="shared" si="4"/>
        <v>0</v>
      </c>
    </row>
    <row r="275" spans="10:10" x14ac:dyDescent="0.3">
      <c r="J275" s="126">
        <f t="shared" si="4"/>
        <v>0</v>
      </c>
    </row>
    <row r="276" spans="10:10" x14ac:dyDescent="0.3">
      <c r="J276" s="126">
        <f t="shared" si="4"/>
        <v>0</v>
      </c>
    </row>
    <row r="277" spans="10:10" x14ac:dyDescent="0.3">
      <c r="J277" s="126">
        <f t="shared" si="4"/>
        <v>0</v>
      </c>
    </row>
    <row r="278" spans="10:10" x14ac:dyDescent="0.3">
      <c r="J278" s="126">
        <f t="shared" si="4"/>
        <v>0</v>
      </c>
    </row>
    <row r="279" spans="10:10" x14ac:dyDescent="0.3">
      <c r="J279" s="126">
        <f t="shared" si="4"/>
        <v>0</v>
      </c>
    </row>
    <row r="280" spans="10:10" x14ac:dyDescent="0.3">
      <c r="J280" s="126">
        <f t="shared" si="4"/>
        <v>0</v>
      </c>
    </row>
    <row r="281" spans="10:10" x14ac:dyDescent="0.3">
      <c r="J281" s="126">
        <f t="shared" si="4"/>
        <v>0</v>
      </c>
    </row>
    <row r="282" spans="10:10" x14ac:dyDescent="0.3">
      <c r="J282" s="126">
        <f t="shared" si="4"/>
        <v>0</v>
      </c>
    </row>
    <row r="283" spans="10:10" x14ac:dyDescent="0.3">
      <c r="J283" s="126">
        <f t="shared" si="4"/>
        <v>0</v>
      </c>
    </row>
    <row r="284" spans="10:10" x14ac:dyDescent="0.3">
      <c r="J284" s="126">
        <f t="shared" si="4"/>
        <v>0</v>
      </c>
    </row>
    <row r="285" spans="10:10" x14ac:dyDescent="0.3">
      <c r="J285" s="126">
        <f t="shared" si="4"/>
        <v>0</v>
      </c>
    </row>
    <row r="286" spans="10:10" x14ac:dyDescent="0.3">
      <c r="J286" s="126">
        <f t="shared" si="4"/>
        <v>0</v>
      </c>
    </row>
    <row r="287" spans="10:10" x14ac:dyDescent="0.3">
      <c r="J287" s="126">
        <f t="shared" si="4"/>
        <v>0</v>
      </c>
    </row>
    <row r="288" spans="10:10" x14ac:dyDescent="0.3">
      <c r="J288" s="126">
        <f t="shared" si="4"/>
        <v>0</v>
      </c>
    </row>
    <row r="289" spans="10:10" x14ac:dyDescent="0.3">
      <c r="J289" s="126">
        <f t="shared" si="4"/>
        <v>0</v>
      </c>
    </row>
    <row r="290" spans="10:10" x14ac:dyDescent="0.3">
      <c r="J290" s="126">
        <f t="shared" si="4"/>
        <v>0</v>
      </c>
    </row>
    <row r="291" spans="10:10" x14ac:dyDescent="0.3">
      <c r="J291" s="126">
        <f t="shared" si="4"/>
        <v>0</v>
      </c>
    </row>
    <row r="292" spans="10:10" x14ac:dyDescent="0.3">
      <c r="J292" s="126">
        <f t="shared" si="4"/>
        <v>0</v>
      </c>
    </row>
    <row r="293" spans="10:10" x14ac:dyDescent="0.3">
      <c r="J293" s="126">
        <f t="shared" si="4"/>
        <v>0</v>
      </c>
    </row>
    <row r="294" spans="10:10" x14ac:dyDescent="0.3">
      <c r="J294" s="126">
        <f t="shared" si="4"/>
        <v>0</v>
      </c>
    </row>
    <row r="295" spans="10:10" x14ac:dyDescent="0.3">
      <c r="J295" s="126">
        <f t="shared" si="4"/>
        <v>0</v>
      </c>
    </row>
    <row r="296" spans="10:10" x14ac:dyDescent="0.3">
      <c r="J296" s="126">
        <f t="shared" si="4"/>
        <v>0</v>
      </c>
    </row>
    <row r="297" spans="10:10" x14ac:dyDescent="0.3">
      <c r="J297" s="126">
        <f t="shared" si="4"/>
        <v>0</v>
      </c>
    </row>
    <row r="298" spans="10:10" x14ac:dyDescent="0.3">
      <c r="J298" s="126">
        <f t="shared" si="4"/>
        <v>0</v>
      </c>
    </row>
    <row r="299" spans="10:10" x14ac:dyDescent="0.3">
      <c r="J299" s="126">
        <f t="shared" si="4"/>
        <v>0</v>
      </c>
    </row>
    <row r="300" spans="10:10" x14ac:dyDescent="0.3">
      <c r="J300" s="126">
        <f t="shared" si="4"/>
        <v>0</v>
      </c>
    </row>
    <row r="301" spans="10:10" x14ac:dyDescent="0.3">
      <c r="J301" s="126">
        <f t="shared" si="4"/>
        <v>0</v>
      </c>
    </row>
    <row r="302" spans="10:10" x14ac:dyDescent="0.3">
      <c r="J302" s="126">
        <f t="shared" si="4"/>
        <v>0</v>
      </c>
    </row>
    <row r="303" spans="10:10" x14ac:dyDescent="0.3">
      <c r="J303" s="126">
        <f t="shared" si="4"/>
        <v>0</v>
      </c>
    </row>
    <row r="304" spans="10:10" x14ac:dyDescent="0.3">
      <c r="J304" s="126">
        <f t="shared" si="4"/>
        <v>0</v>
      </c>
    </row>
    <row r="305" spans="10:10" x14ac:dyDescent="0.3">
      <c r="J305" s="126">
        <f t="shared" si="4"/>
        <v>0</v>
      </c>
    </row>
    <row r="306" spans="10:10" x14ac:dyDescent="0.3">
      <c r="J306" s="126">
        <f t="shared" si="4"/>
        <v>0</v>
      </c>
    </row>
    <row r="307" spans="10:10" x14ac:dyDescent="0.3">
      <c r="J307" s="126">
        <f t="shared" si="4"/>
        <v>0</v>
      </c>
    </row>
    <row r="308" spans="10:10" x14ac:dyDescent="0.3">
      <c r="J308" s="126">
        <f t="shared" si="4"/>
        <v>0</v>
      </c>
    </row>
    <row r="309" spans="10:10" x14ac:dyDescent="0.3">
      <c r="J309" s="126">
        <f t="shared" si="4"/>
        <v>0</v>
      </c>
    </row>
    <row r="310" spans="10:10" x14ac:dyDescent="0.3">
      <c r="J310" s="126">
        <f t="shared" si="4"/>
        <v>0</v>
      </c>
    </row>
    <row r="311" spans="10:10" x14ac:dyDescent="0.3">
      <c r="J311" s="126">
        <f t="shared" si="4"/>
        <v>0</v>
      </c>
    </row>
    <row r="312" spans="10:10" x14ac:dyDescent="0.3">
      <c r="J312" s="126">
        <f t="shared" si="4"/>
        <v>0</v>
      </c>
    </row>
    <row r="313" spans="10:10" x14ac:dyDescent="0.3">
      <c r="J313" s="126">
        <f t="shared" si="4"/>
        <v>0</v>
      </c>
    </row>
    <row r="314" spans="10:10" x14ac:dyDescent="0.3">
      <c r="J314" s="126">
        <f t="shared" si="4"/>
        <v>0</v>
      </c>
    </row>
    <row r="315" spans="10:10" x14ac:dyDescent="0.3">
      <c r="J315" s="126">
        <f t="shared" si="4"/>
        <v>0</v>
      </c>
    </row>
    <row r="316" spans="10:10" x14ac:dyDescent="0.3">
      <c r="J316" s="126">
        <f t="shared" si="4"/>
        <v>0</v>
      </c>
    </row>
    <row r="317" spans="10:10" x14ac:dyDescent="0.3">
      <c r="J317" s="126">
        <f t="shared" si="4"/>
        <v>0</v>
      </c>
    </row>
    <row r="318" spans="10:10" x14ac:dyDescent="0.3">
      <c r="J318" s="126">
        <f t="shared" si="4"/>
        <v>0</v>
      </c>
    </row>
    <row r="319" spans="10:10" x14ac:dyDescent="0.3">
      <c r="J319" s="126">
        <f t="shared" si="4"/>
        <v>0</v>
      </c>
    </row>
    <row r="320" spans="10:10" x14ac:dyDescent="0.3">
      <c r="J320" s="126">
        <f t="shared" si="4"/>
        <v>0</v>
      </c>
    </row>
    <row r="321" spans="10:10" x14ac:dyDescent="0.3">
      <c r="J321" s="126">
        <f t="shared" si="4"/>
        <v>0</v>
      </c>
    </row>
    <row r="322" spans="10:10" x14ac:dyDescent="0.3">
      <c r="J322" s="126">
        <f t="shared" si="4"/>
        <v>0</v>
      </c>
    </row>
    <row r="323" spans="10:10" x14ac:dyDescent="0.3">
      <c r="J323" s="126">
        <f t="shared" si="4"/>
        <v>0</v>
      </c>
    </row>
    <row r="324" spans="10:10" x14ac:dyDescent="0.3">
      <c r="J324" s="126">
        <f t="shared" si="4"/>
        <v>0</v>
      </c>
    </row>
  </sheetData>
  <mergeCells count="1">
    <mergeCell ref="B1:E1"/>
  </mergeCells>
  <conditionalFormatting sqref="G111 G73 G78:G83 G116:G117">
    <cfRule type="duplicateValues" dxfId="79" priority="3"/>
  </conditionalFormatting>
  <conditionalFormatting sqref="M158">
    <cfRule type="duplicateValues" dxfId="78" priority="1"/>
  </conditionalFormatting>
  <conditionalFormatting sqref="M158:M207">
    <cfRule type="duplicateValues" dxfId="77" priority="2"/>
  </conditionalFormatting>
  <conditionalFormatting sqref="Q9 G37:G38 G40 G45:G50 G62 G67:G68">
    <cfRule type="duplicateValues" dxfId="76" priority="4"/>
  </conditionalFormatting>
  <pageMargins left="0.75" right="0.75" top="1" bottom="1" header="0.5" footer="0.5"/>
  <pageSetup paperSize="9" orientation="portrait" r:id="rId1"/>
  <headerFooter alignWithMargins="0">
    <oddHeader>&amp;C&amp;"Calibri"&amp;10&amp;KFF0000 CONFIDENTIAL&amp;1#_x000D_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N324"/>
  <sheetViews>
    <sheetView zoomScaleNormal="100" workbookViewId="0">
      <selection activeCell="C3" sqref="C3:D3"/>
    </sheetView>
  </sheetViews>
  <sheetFormatPr defaultColWidth="8.54296875" defaultRowHeight="13" x14ac:dyDescent="0.3"/>
  <cols>
    <col min="1" max="1" width="4.54296875" style="3" bestFit="1" customWidth="1"/>
    <col min="2" max="2" width="44.1796875" style="1" bestFit="1" customWidth="1"/>
    <col min="3" max="3" width="15.26953125" style="2" bestFit="1" customWidth="1"/>
    <col min="4" max="4" width="10.54296875" style="2" bestFit="1" customWidth="1"/>
    <col min="5" max="5" width="9.54296875" style="2" bestFit="1" customWidth="1"/>
    <col min="6" max="6" width="21.453125" style="2" bestFit="1" customWidth="1"/>
    <col min="7" max="7" width="20.54296875" style="2" bestFit="1" customWidth="1"/>
    <col min="8" max="9" width="12" style="1" hidden="1" customWidth="1"/>
    <col min="10" max="10" width="11.54296875" style="1" bestFit="1" customWidth="1"/>
    <col min="12" max="12" width="20.26953125" customWidth="1"/>
  </cols>
  <sheetData>
    <row r="1" spans="1:12" x14ac:dyDescent="0.3">
      <c r="A1" s="18"/>
      <c r="B1" s="219" t="s">
        <v>8</v>
      </c>
      <c r="C1" s="220"/>
      <c r="D1" s="220"/>
      <c r="E1" s="221"/>
      <c r="F1" s="15"/>
      <c r="G1" s="15"/>
      <c r="J1" s="46"/>
    </row>
    <row r="2" spans="1:12" x14ac:dyDescent="0.3">
      <c r="A2" s="17" t="s">
        <v>7</v>
      </c>
      <c r="B2" s="16">
        <v>45838.291666666664</v>
      </c>
      <c r="C2" s="16">
        <v>45839.291666666664</v>
      </c>
      <c r="D2" s="15"/>
      <c r="E2" s="15"/>
      <c r="F2" s="15"/>
      <c r="G2" s="15"/>
    </row>
    <row r="3" spans="1:12" s="11" customFormat="1" x14ac:dyDescent="0.25">
      <c r="A3" s="13" t="s">
        <v>6</v>
      </c>
      <c r="B3" s="13" t="s">
        <v>5</v>
      </c>
      <c r="C3" s="13" t="s">
        <v>4</v>
      </c>
      <c r="D3" s="14" t="s">
        <v>3</v>
      </c>
      <c r="E3" s="13" t="s">
        <v>2</v>
      </c>
      <c r="F3" s="13" t="s">
        <v>1</v>
      </c>
      <c r="G3" s="13" t="s">
        <v>0</v>
      </c>
      <c r="H3" s="12"/>
      <c r="I3" s="12"/>
      <c r="J3" s="12"/>
    </row>
    <row r="4" spans="1:12" ht="12.5" x14ac:dyDescent="0.25">
      <c r="A4" s="5"/>
      <c r="B4" s="71" t="s">
        <v>238</v>
      </c>
      <c r="C4" s="127">
        <v>1949202.125</v>
      </c>
      <c r="D4" s="127">
        <v>1971505.5</v>
      </c>
      <c r="E4" s="127">
        <v>22303.375</v>
      </c>
      <c r="F4" s="8">
        <v>0</v>
      </c>
      <c r="H4" s="10"/>
      <c r="J4" s="126">
        <f>E4*0.001</f>
        <v>22.303374999999999</v>
      </c>
      <c r="L4" t="s">
        <v>508</v>
      </c>
    </row>
    <row r="5" spans="1:12" ht="12.5" x14ac:dyDescent="0.25">
      <c r="A5" s="5"/>
      <c r="B5" s="72" t="s">
        <v>239</v>
      </c>
      <c r="C5" s="127">
        <v>457.25544600000001</v>
      </c>
      <c r="D5" s="127">
        <v>457.25544600000001</v>
      </c>
      <c r="E5" s="127">
        <v>0</v>
      </c>
      <c r="F5" s="8">
        <v>0</v>
      </c>
      <c r="H5" s="10"/>
      <c r="J5" s="126">
        <f t="shared" ref="J5:J68" si="0">E5</f>
        <v>0</v>
      </c>
      <c r="L5" t="s">
        <v>509</v>
      </c>
    </row>
    <row r="6" spans="1:12" ht="12.5" x14ac:dyDescent="0.25">
      <c r="A6" s="5"/>
      <c r="B6" s="72" t="s">
        <v>240</v>
      </c>
      <c r="C6" s="127">
        <v>662.21501899999998</v>
      </c>
      <c r="D6" s="127">
        <v>670.18204500000002</v>
      </c>
      <c r="E6" s="127">
        <v>7.9670260000000326</v>
      </c>
      <c r="F6" s="8">
        <v>0</v>
      </c>
      <c r="H6" s="10"/>
      <c r="J6" s="126">
        <f t="shared" si="0"/>
        <v>7.9670260000000326</v>
      </c>
      <c r="L6" t="s">
        <v>510</v>
      </c>
    </row>
    <row r="7" spans="1:12" ht="12.5" x14ac:dyDescent="0.25">
      <c r="A7" s="5"/>
      <c r="B7" s="72" t="s">
        <v>241</v>
      </c>
      <c r="C7" s="127">
        <v>431.16646700000001</v>
      </c>
      <c r="D7" s="127">
        <v>437.93799899999999</v>
      </c>
      <c r="E7" s="127">
        <v>6.7715319999999792</v>
      </c>
      <c r="F7" s="8">
        <v>0</v>
      </c>
      <c r="H7" s="10"/>
      <c r="J7" s="126">
        <f t="shared" si="0"/>
        <v>6.7715319999999792</v>
      </c>
      <c r="L7" t="s">
        <v>511</v>
      </c>
    </row>
    <row r="8" spans="1:12" ht="12.5" x14ac:dyDescent="0.25">
      <c r="A8" s="5"/>
      <c r="B8" s="72" t="s">
        <v>242</v>
      </c>
      <c r="C8" s="127">
        <v>454.01093099999997</v>
      </c>
      <c r="D8" s="127">
        <v>461.58613199999996</v>
      </c>
      <c r="E8" s="127">
        <v>7.5752009999999927</v>
      </c>
      <c r="F8" s="8">
        <v>0</v>
      </c>
      <c r="H8" s="10"/>
      <c r="J8" s="126">
        <f t="shared" si="0"/>
        <v>7.5752009999999927</v>
      </c>
      <c r="L8" t="s">
        <v>512</v>
      </c>
    </row>
    <row r="9" spans="1:12" ht="12.5" x14ac:dyDescent="0.25">
      <c r="A9" s="5"/>
      <c r="B9" s="72" t="s">
        <v>243</v>
      </c>
      <c r="C9" s="127">
        <v>40.003732999999997</v>
      </c>
      <c r="D9" s="127">
        <v>40.003732999999997</v>
      </c>
      <c r="E9" s="127">
        <v>0</v>
      </c>
      <c r="F9" s="8">
        <v>0</v>
      </c>
      <c r="H9" s="10"/>
      <c r="J9" s="126">
        <f t="shared" si="0"/>
        <v>0</v>
      </c>
      <c r="L9" t="s">
        <v>513</v>
      </c>
    </row>
    <row r="10" spans="1:12" ht="12.5" x14ac:dyDescent="0.25">
      <c r="A10" s="5"/>
      <c r="B10" s="72" t="s">
        <v>248</v>
      </c>
      <c r="C10" s="127">
        <v>9.869269000000001</v>
      </c>
      <c r="D10" s="127">
        <v>9.869269000000001</v>
      </c>
      <c r="E10" s="127">
        <v>0</v>
      </c>
      <c r="F10" s="8">
        <v>0</v>
      </c>
      <c r="H10" s="10"/>
      <c r="J10" s="126">
        <f t="shared" si="0"/>
        <v>0</v>
      </c>
      <c r="L10" t="s">
        <v>514</v>
      </c>
    </row>
    <row r="11" spans="1:12" ht="12.5" x14ac:dyDescent="0.25">
      <c r="A11" s="5"/>
      <c r="B11" s="72" t="s">
        <v>247</v>
      </c>
      <c r="C11" s="127">
        <v>10.170618000000001</v>
      </c>
      <c r="D11" s="127">
        <v>10.170618000000001</v>
      </c>
      <c r="E11" s="127">
        <v>0</v>
      </c>
      <c r="F11" s="8">
        <v>0</v>
      </c>
      <c r="H11" s="10"/>
      <c r="J11" s="126">
        <f t="shared" si="0"/>
        <v>0</v>
      </c>
      <c r="L11" t="s">
        <v>515</v>
      </c>
    </row>
    <row r="12" spans="1:12" ht="12.5" x14ac:dyDescent="0.25">
      <c r="A12" s="5"/>
      <c r="B12" s="72" t="s">
        <v>246</v>
      </c>
      <c r="C12" s="127">
        <v>2.942987</v>
      </c>
      <c r="D12" s="127">
        <v>2.942987</v>
      </c>
      <c r="E12" s="127">
        <v>0</v>
      </c>
      <c r="F12" s="8">
        <v>0</v>
      </c>
      <c r="H12" s="10"/>
      <c r="J12" s="126">
        <f t="shared" si="0"/>
        <v>0</v>
      </c>
      <c r="L12" t="s">
        <v>516</v>
      </c>
    </row>
    <row r="13" spans="1:12" ht="12.5" x14ac:dyDescent="0.25">
      <c r="A13" s="5"/>
      <c r="B13" s="72" t="s">
        <v>245</v>
      </c>
      <c r="C13" s="127">
        <v>2.8945349999999999</v>
      </c>
      <c r="D13" s="127">
        <v>2.8945349999999999</v>
      </c>
      <c r="E13" s="127">
        <v>0</v>
      </c>
      <c r="F13" s="8">
        <v>0</v>
      </c>
      <c r="H13" s="10"/>
      <c r="J13" s="126">
        <f t="shared" si="0"/>
        <v>0</v>
      </c>
      <c r="L13" t="s">
        <v>517</v>
      </c>
    </row>
    <row r="14" spans="1:12" ht="12.5" x14ac:dyDescent="0.25">
      <c r="A14" s="5"/>
      <c r="B14" s="72" t="s">
        <v>244</v>
      </c>
      <c r="C14" s="127">
        <v>7.9683799999999998</v>
      </c>
      <c r="D14" s="127">
        <v>7.9683799999999998</v>
      </c>
      <c r="E14" s="127">
        <v>0</v>
      </c>
      <c r="F14" s="8">
        <v>0</v>
      </c>
      <c r="H14" s="10"/>
      <c r="J14" s="126">
        <f t="shared" si="0"/>
        <v>0</v>
      </c>
      <c r="L14" t="s">
        <v>518</v>
      </c>
    </row>
    <row r="15" spans="1:12" ht="12.5" x14ac:dyDescent="0.25">
      <c r="A15" s="5"/>
      <c r="B15" s="72" t="s">
        <v>249</v>
      </c>
      <c r="C15" s="127">
        <v>39.668343999999998</v>
      </c>
      <c r="D15" s="127">
        <v>39.668343999999998</v>
      </c>
      <c r="E15" s="127">
        <v>0</v>
      </c>
      <c r="F15" s="8">
        <v>0</v>
      </c>
      <c r="H15" s="10"/>
      <c r="J15" s="126">
        <f t="shared" si="0"/>
        <v>0</v>
      </c>
      <c r="L15" t="s">
        <v>519</v>
      </c>
    </row>
    <row r="16" spans="1:12" ht="12.5" x14ac:dyDescent="0.25">
      <c r="A16" s="5"/>
      <c r="B16" s="72" t="s">
        <v>250</v>
      </c>
      <c r="C16" s="127">
        <v>621.97296600000004</v>
      </c>
      <c r="D16" s="127">
        <v>624.31163900000001</v>
      </c>
      <c r="E16" s="127">
        <v>2.3386729999999716</v>
      </c>
      <c r="F16" s="8">
        <v>0</v>
      </c>
      <c r="H16" s="10"/>
      <c r="J16" s="126">
        <f t="shared" si="0"/>
        <v>2.3386729999999716</v>
      </c>
      <c r="L16" t="s">
        <v>520</v>
      </c>
    </row>
    <row r="17" spans="1:14" ht="12.5" x14ac:dyDescent="0.25">
      <c r="A17" s="5"/>
      <c r="B17" s="72" t="s">
        <v>251</v>
      </c>
      <c r="C17" s="127">
        <v>666.93082100000004</v>
      </c>
      <c r="D17" s="127">
        <v>669.35258900000008</v>
      </c>
      <c r="E17" s="127">
        <v>2.4217680000000428</v>
      </c>
      <c r="F17" s="8">
        <v>0</v>
      </c>
      <c r="H17" s="10"/>
      <c r="J17" s="126">
        <f t="shared" si="0"/>
        <v>2.4217680000000428</v>
      </c>
      <c r="L17" t="s">
        <v>521</v>
      </c>
    </row>
    <row r="18" spans="1:14" ht="12.5" x14ac:dyDescent="0.25">
      <c r="A18" s="5"/>
      <c r="B18" s="72" t="s">
        <v>252</v>
      </c>
      <c r="C18" s="127">
        <v>40.120621</v>
      </c>
      <c r="D18" s="127">
        <v>40.261482999999998</v>
      </c>
      <c r="E18" s="127">
        <v>0.14086199999999849</v>
      </c>
      <c r="F18" s="8">
        <v>0</v>
      </c>
      <c r="H18" s="10"/>
      <c r="J18" s="126">
        <f t="shared" si="0"/>
        <v>0.14086199999999849</v>
      </c>
      <c r="L18" t="s">
        <v>522</v>
      </c>
    </row>
    <row r="19" spans="1:14" ht="12.5" x14ac:dyDescent="0.25">
      <c r="A19" s="5"/>
      <c r="B19" s="72" t="s">
        <v>253</v>
      </c>
      <c r="C19" s="127"/>
      <c r="D19" s="127"/>
      <c r="E19" s="127"/>
      <c r="F19" s="8">
        <v>0</v>
      </c>
      <c r="H19" s="10"/>
      <c r="J19" s="126">
        <f t="shared" si="0"/>
        <v>0</v>
      </c>
      <c r="L19" t="s">
        <v>523</v>
      </c>
      <c r="N19" s="93"/>
    </row>
    <row r="20" spans="1:14" ht="12.5" x14ac:dyDescent="0.25">
      <c r="A20" s="5"/>
      <c r="B20" s="72" t="s">
        <v>254</v>
      </c>
      <c r="C20" s="127">
        <v>17515.773952</v>
      </c>
      <c r="D20" s="127">
        <v>17523.580927999999</v>
      </c>
      <c r="E20" s="127">
        <v>7.8069759999998496</v>
      </c>
      <c r="F20" s="8">
        <v>0</v>
      </c>
      <c r="H20" s="10"/>
      <c r="J20" s="126">
        <f t="shared" si="0"/>
        <v>7.8069759999998496</v>
      </c>
      <c r="L20" t="s">
        <v>524</v>
      </c>
    </row>
    <row r="21" spans="1:14" ht="12.5" x14ac:dyDescent="0.25">
      <c r="A21" s="5"/>
      <c r="B21" s="72" t="s">
        <v>255</v>
      </c>
      <c r="C21" s="127">
        <v>7555.2112639999996</v>
      </c>
      <c r="D21" s="127">
        <v>7561.7776639999993</v>
      </c>
      <c r="E21" s="127">
        <v>6.5663999999997031</v>
      </c>
      <c r="F21" s="8">
        <v>0</v>
      </c>
      <c r="H21" s="10"/>
      <c r="J21" s="126">
        <f t="shared" si="0"/>
        <v>6.5663999999997031</v>
      </c>
      <c r="L21" t="s">
        <v>525</v>
      </c>
      <c r="N21" s="93"/>
    </row>
    <row r="22" spans="1:14" ht="12.5" x14ac:dyDescent="0.25">
      <c r="A22" s="5"/>
      <c r="B22" s="72" t="s">
        <v>256</v>
      </c>
      <c r="C22" s="127">
        <v>17499.807743999998</v>
      </c>
      <c r="D22" s="127">
        <v>17507.16416</v>
      </c>
      <c r="E22" s="127">
        <v>7.3564160000023548</v>
      </c>
      <c r="F22" s="8">
        <v>0</v>
      </c>
      <c r="G22"/>
      <c r="H22" s="10"/>
      <c r="J22" s="126">
        <f t="shared" si="0"/>
        <v>7.3564160000023548</v>
      </c>
      <c r="L22" t="s">
        <v>526</v>
      </c>
    </row>
    <row r="23" spans="1:14" ht="12.5" x14ac:dyDescent="0.25">
      <c r="A23" s="5"/>
      <c r="B23" s="72" t="s">
        <v>138</v>
      </c>
      <c r="C23" s="127">
        <v>85.399831999999989</v>
      </c>
      <c r="D23" s="127">
        <v>85.915055999999993</v>
      </c>
      <c r="E23" s="127">
        <v>0.51522400000000346</v>
      </c>
      <c r="F23" s="8">
        <v>0</v>
      </c>
      <c r="G23"/>
      <c r="H23" s="10"/>
      <c r="J23" s="126">
        <f t="shared" si="0"/>
        <v>0.51522400000000346</v>
      </c>
      <c r="L23" t="s">
        <v>527</v>
      </c>
    </row>
    <row r="24" spans="1:14" ht="12.5" x14ac:dyDescent="0.25">
      <c r="A24" s="5"/>
      <c r="B24" s="72" t="s">
        <v>139</v>
      </c>
      <c r="C24" s="127">
        <v>31.924177999999998</v>
      </c>
      <c r="D24" s="127">
        <v>32.059655999999997</v>
      </c>
      <c r="E24" s="127">
        <v>0.1354779999999991</v>
      </c>
      <c r="F24" s="8">
        <v>0</v>
      </c>
      <c r="G24"/>
      <c r="H24" s="10"/>
      <c r="J24" s="126">
        <f t="shared" si="0"/>
        <v>0.1354779999999991</v>
      </c>
      <c r="L24" t="s">
        <v>528</v>
      </c>
    </row>
    <row r="25" spans="1:14" ht="12.5" x14ac:dyDescent="0.25">
      <c r="A25" s="5"/>
      <c r="B25" s="72" t="s">
        <v>140</v>
      </c>
      <c r="C25" s="127">
        <v>15.480639</v>
      </c>
      <c r="D25" s="127">
        <v>15.554527999999999</v>
      </c>
      <c r="E25" s="127">
        <v>7.3888999999999427E-2</v>
      </c>
      <c r="F25" s="8">
        <v>0</v>
      </c>
      <c r="G25"/>
      <c r="H25" s="10"/>
      <c r="J25" s="126">
        <f t="shared" si="0"/>
        <v>7.3888999999999427E-2</v>
      </c>
      <c r="L25" t="s">
        <v>529</v>
      </c>
    </row>
    <row r="26" spans="1:14" ht="12.5" x14ac:dyDescent="0.25">
      <c r="A26" s="5"/>
      <c r="B26" s="72" t="s">
        <v>141</v>
      </c>
      <c r="C26" s="127">
        <v>14.482826999999999</v>
      </c>
      <c r="D26" s="127">
        <v>14.558180999999999</v>
      </c>
      <c r="E26" s="127">
        <v>7.5354000000000809E-2</v>
      </c>
      <c r="F26" s="8">
        <v>0</v>
      </c>
      <c r="G26"/>
      <c r="H26" s="10"/>
      <c r="J26" s="126">
        <f t="shared" si="0"/>
        <v>7.5354000000000809E-2</v>
      </c>
      <c r="L26" t="s">
        <v>530</v>
      </c>
    </row>
    <row r="27" spans="1:14" ht="12.5" x14ac:dyDescent="0.25">
      <c r="A27" s="5"/>
      <c r="B27" s="72" t="s">
        <v>142</v>
      </c>
      <c r="C27" s="127"/>
      <c r="D27" s="127"/>
      <c r="E27" s="127"/>
      <c r="F27" s="8"/>
      <c r="G27"/>
      <c r="H27" s="10"/>
      <c r="J27" s="126">
        <f t="shared" si="0"/>
        <v>0</v>
      </c>
      <c r="L27" t="s">
        <v>531</v>
      </c>
    </row>
    <row r="28" spans="1:14" ht="12.5" x14ac:dyDescent="0.25">
      <c r="A28" s="5"/>
      <c r="B28" s="72" t="s">
        <v>143</v>
      </c>
      <c r="C28" s="127">
        <v>11.970663</v>
      </c>
      <c r="D28" s="127">
        <v>12.020104</v>
      </c>
      <c r="E28" s="127">
        <v>4.9440999999999846E-2</v>
      </c>
      <c r="F28" s="8">
        <v>0</v>
      </c>
      <c r="G28"/>
      <c r="H28" s="10"/>
      <c r="J28" s="126">
        <f t="shared" si="0"/>
        <v>4.9440999999999846E-2</v>
      </c>
      <c r="L28" t="s">
        <v>532</v>
      </c>
    </row>
    <row r="29" spans="1:14" ht="12.5" x14ac:dyDescent="0.25">
      <c r="A29" s="5"/>
      <c r="B29" s="72" t="s">
        <v>144</v>
      </c>
      <c r="C29" s="127">
        <v>27.141154</v>
      </c>
      <c r="D29" s="127">
        <v>27.262349999999998</v>
      </c>
      <c r="E29" s="127">
        <v>0.12119599999999764</v>
      </c>
      <c r="F29" s="8">
        <v>0</v>
      </c>
      <c r="G29"/>
      <c r="H29" s="10"/>
      <c r="J29" s="126">
        <f t="shared" si="0"/>
        <v>0.12119599999999764</v>
      </c>
      <c r="L29" t="s">
        <v>533</v>
      </c>
    </row>
    <row r="30" spans="1:14" ht="12.5" x14ac:dyDescent="0.25">
      <c r="A30" s="5"/>
      <c r="B30" s="72" t="s">
        <v>145</v>
      </c>
      <c r="C30" s="127">
        <v>29.136567999999997</v>
      </c>
      <c r="D30" s="127">
        <v>29.285733999999998</v>
      </c>
      <c r="E30" s="127">
        <v>0.14916600000000102</v>
      </c>
      <c r="F30" s="8">
        <v>0</v>
      </c>
      <c r="G30"/>
      <c r="H30" s="10"/>
      <c r="J30" s="126">
        <f t="shared" si="0"/>
        <v>0.14916600000000102</v>
      </c>
      <c r="L30" t="s">
        <v>534</v>
      </c>
    </row>
    <row r="31" spans="1:14" ht="12.5" x14ac:dyDescent="0.25">
      <c r="A31" s="5"/>
      <c r="B31" s="72" t="s">
        <v>146</v>
      </c>
      <c r="C31" s="127">
        <v>23.389073999999997</v>
      </c>
      <c r="D31" s="127">
        <v>23.47711</v>
      </c>
      <c r="E31" s="127">
        <v>8.8036000000002446E-2</v>
      </c>
      <c r="F31" s="8">
        <v>0</v>
      </c>
      <c r="G31"/>
      <c r="H31" s="10"/>
      <c r="J31" s="126">
        <f t="shared" si="0"/>
        <v>8.8036000000002446E-2</v>
      </c>
      <c r="L31" t="s">
        <v>535</v>
      </c>
    </row>
    <row r="32" spans="1:14" ht="12.5" x14ac:dyDescent="0.25">
      <c r="A32" s="5"/>
      <c r="B32" s="72" t="s">
        <v>147</v>
      </c>
      <c r="C32" s="127">
        <v>8.7850850000000005</v>
      </c>
      <c r="D32" s="127">
        <v>8.8410829999999994</v>
      </c>
      <c r="E32" s="127">
        <v>5.5997999999998882E-2</v>
      </c>
      <c r="F32" s="8">
        <v>0</v>
      </c>
      <c r="G32"/>
      <c r="H32" s="10"/>
      <c r="J32" s="126">
        <f t="shared" si="0"/>
        <v>5.5997999999998882E-2</v>
      </c>
      <c r="L32" t="s">
        <v>536</v>
      </c>
    </row>
    <row r="33" spans="1:12" ht="12.5" x14ac:dyDescent="0.25">
      <c r="A33" s="5"/>
      <c r="B33" s="72" t="s">
        <v>148</v>
      </c>
      <c r="C33" s="127">
        <v>7.1145344999999995</v>
      </c>
      <c r="D33" s="127">
        <v>7.1731929999999995</v>
      </c>
      <c r="E33" s="127">
        <v>5.8658499999999947E-2</v>
      </c>
      <c r="F33" s="8">
        <v>0</v>
      </c>
      <c r="G33"/>
      <c r="H33" s="10"/>
      <c r="J33" s="126">
        <f t="shared" si="0"/>
        <v>5.8658499999999947E-2</v>
      </c>
      <c r="L33" t="s">
        <v>537</v>
      </c>
    </row>
    <row r="34" spans="1:12" ht="12.5" x14ac:dyDescent="0.25">
      <c r="A34" s="5"/>
      <c r="B34" s="72" t="s">
        <v>149</v>
      </c>
      <c r="C34" s="127">
        <v>17.672433999999999</v>
      </c>
      <c r="D34" s="127">
        <v>17.672433999999999</v>
      </c>
      <c r="E34" s="127">
        <v>0</v>
      </c>
      <c r="F34" s="8">
        <v>0</v>
      </c>
      <c r="G34"/>
      <c r="H34" s="10"/>
      <c r="J34" s="126">
        <f t="shared" si="0"/>
        <v>0</v>
      </c>
      <c r="L34" t="s">
        <v>538</v>
      </c>
    </row>
    <row r="35" spans="1:12" ht="12.5" x14ac:dyDescent="0.25">
      <c r="A35" s="5"/>
      <c r="B35" s="72" t="s">
        <v>150</v>
      </c>
      <c r="C35" s="127">
        <v>4.2795930000000002</v>
      </c>
      <c r="D35" s="127">
        <v>4.3381904999999996</v>
      </c>
      <c r="E35" s="127">
        <v>5.8597499999999414E-2</v>
      </c>
      <c r="F35" s="8">
        <v>0</v>
      </c>
      <c r="G35"/>
      <c r="H35" s="10"/>
      <c r="J35" s="126">
        <f t="shared" si="0"/>
        <v>5.8597499999999414E-2</v>
      </c>
      <c r="L35" t="s">
        <v>539</v>
      </c>
    </row>
    <row r="36" spans="1:12" ht="12.5" x14ac:dyDescent="0.25">
      <c r="A36" s="5"/>
      <c r="B36" s="72" t="s">
        <v>128</v>
      </c>
      <c r="C36" s="127">
        <v>411.908704</v>
      </c>
      <c r="D36" s="127">
        <v>413.82716799999997</v>
      </c>
      <c r="E36" s="127">
        <v>1.9184639999999717</v>
      </c>
      <c r="F36" s="8">
        <v>0</v>
      </c>
      <c r="G36"/>
      <c r="H36" s="10"/>
      <c r="J36" s="126">
        <f t="shared" si="0"/>
        <v>1.9184639999999717</v>
      </c>
      <c r="L36" t="s">
        <v>540</v>
      </c>
    </row>
    <row r="37" spans="1:12" ht="12.5" x14ac:dyDescent="0.25">
      <c r="A37" s="5"/>
      <c r="B37" s="72" t="s">
        <v>688</v>
      </c>
      <c r="C37" s="127"/>
      <c r="D37" s="127"/>
      <c r="E37" s="127"/>
      <c r="F37" s="8"/>
      <c r="G37"/>
      <c r="H37" s="10"/>
      <c r="J37" s="126">
        <f t="shared" si="0"/>
        <v>0</v>
      </c>
      <c r="L37" t="s">
        <v>541</v>
      </c>
    </row>
    <row r="38" spans="1:12" ht="12.5" x14ac:dyDescent="0.25">
      <c r="A38" s="5"/>
      <c r="B38" s="72" t="s">
        <v>130</v>
      </c>
      <c r="C38" s="127">
        <v>5.7186379999999994</v>
      </c>
      <c r="D38" s="127">
        <v>5.7561374999999995</v>
      </c>
      <c r="E38" s="127">
        <v>3.7499500000000019E-2</v>
      </c>
      <c r="F38" s="8">
        <v>0</v>
      </c>
      <c r="G38"/>
      <c r="H38" s="10"/>
      <c r="J38" s="126">
        <f t="shared" si="0"/>
        <v>3.7499500000000019E-2</v>
      </c>
      <c r="L38" t="s">
        <v>542</v>
      </c>
    </row>
    <row r="39" spans="1:12" ht="12.5" x14ac:dyDescent="0.25">
      <c r="A39" s="5"/>
      <c r="B39" s="72" t="s">
        <v>131</v>
      </c>
      <c r="C39" s="127"/>
      <c r="D39" s="127"/>
      <c r="E39" s="127"/>
      <c r="F39" s="8"/>
      <c r="G39"/>
      <c r="H39" s="10"/>
      <c r="J39" s="126">
        <f t="shared" si="0"/>
        <v>0</v>
      </c>
      <c r="L39" t="s">
        <v>543</v>
      </c>
    </row>
    <row r="40" spans="1:12" ht="12.5" x14ac:dyDescent="0.25">
      <c r="A40" s="5"/>
      <c r="B40" s="72" t="s">
        <v>132</v>
      </c>
      <c r="C40" s="127">
        <v>0.14484573437500001</v>
      </c>
      <c r="D40" s="127">
        <v>0.453649625</v>
      </c>
      <c r="E40" s="127">
        <v>0.30880389062500002</v>
      </c>
      <c r="F40" s="8">
        <v>0</v>
      </c>
      <c r="G40"/>
      <c r="H40" s="10"/>
      <c r="J40" s="126">
        <f t="shared" si="0"/>
        <v>0.30880389062500002</v>
      </c>
      <c r="L40" t="s">
        <v>544</v>
      </c>
    </row>
    <row r="41" spans="1:12" ht="12.5" x14ac:dyDescent="0.25">
      <c r="A41" s="5"/>
      <c r="B41" s="72" t="s">
        <v>133</v>
      </c>
      <c r="C41" s="127">
        <v>85.764583999999999</v>
      </c>
      <c r="D41" s="127">
        <v>86.252727999999991</v>
      </c>
      <c r="E41" s="127">
        <v>0.48814399999999125</v>
      </c>
      <c r="F41" s="8">
        <v>0</v>
      </c>
      <c r="G41"/>
      <c r="H41" s="10"/>
      <c r="J41" s="126">
        <f t="shared" si="0"/>
        <v>0.48814399999999125</v>
      </c>
      <c r="L41" t="s">
        <v>545</v>
      </c>
    </row>
    <row r="42" spans="1:12" ht="12.5" x14ac:dyDescent="0.25">
      <c r="A42" s="5"/>
      <c r="B42" s="72" t="s">
        <v>134</v>
      </c>
      <c r="C42" s="127">
        <v>78.000439999999998</v>
      </c>
      <c r="D42" s="127">
        <v>78.376007999999999</v>
      </c>
      <c r="E42" s="127">
        <v>0.37556800000000123</v>
      </c>
      <c r="F42" s="8">
        <v>0</v>
      </c>
      <c r="G42"/>
      <c r="H42" s="10"/>
      <c r="J42" s="126">
        <f t="shared" si="0"/>
        <v>0.37556800000000123</v>
      </c>
      <c r="L42" t="s">
        <v>546</v>
      </c>
    </row>
    <row r="43" spans="1:12" ht="12.5" x14ac:dyDescent="0.25">
      <c r="A43" s="5"/>
      <c r="B43" s="72" t="s">
        <v>135</v>
      </c>
      <c r="C43" s="127">
        <v>36.349356</v>
      </c>
      <c r="D43" s="127">
        <v>36.504331999999998</v>
      </c>
      <c r="E43" s="127">
        <v>0.15497599999999778</v>
      </c>
      <c r="F43" s="8">
        <v>0</v>
      </c>
      <c r="G43"/>
      <c r="H43" s="10"/>
      <c r="J43" s="126">
        <f t="shared" si="0"/>
        <v>0.15497599999999778</v>
      </c>
      <c r="L43" t="s">
        <v>547</v>
      </c>
    </row>
    <row r="44" spans="1:12" ht="12.5" x14ac:dyDescent="0.25">
      <c r="A44" s="5"/>
      <c r="B44" s="72" t="s">
        <v>687</v>
      </c>
      <c r="C44" s="127">
        <v>20.443763999999998</v>
      </c>
      <c r="D44" s="127">
        <v>20.524956</v>
      </c>
      <c r="E44" s="127">
        <v>8.1192000000001485E-2</v>
      </c>
      <c r="F44" s="8">
        <v>0</v>
      </c>
      <c r="G44"/>
      <c r="H44" s="10"/>
      <c r="J44" s="126">
        <f t="shared" si="0"/>
        <v>8.1192000000001485E-2</v>
      </c>
      <c r="L44" t="s">
        <v>548</v>
      </c>
    </row>
    <row r="45" spans="1:12" ht="12.5" x14ac:dyDescent="0.25">
      <c r="A45" s="5"/>
      <c r="B45" s="72" t="s">
        <v>137</v>
      </c>
      <c r="C45" s="127">
        <v>63.989891999999998</v>
      </c>
      <c r="D45" s="127">
        <v>64.316851999999997</v>
      </c>
      <c r="E45" s="127">
        <v>0.3269599999999997</v>
      </c>
      <c r="F45" s="8">
        <v>0</v>
      </c>
      <c r="G45"/>
      <c r="H45" s="10"/>
      <c r="J45" s="126">
        <f t="shared" si="0"/>
        <v>0.3269599999999997</v>
      </c>
      <c r="L45" t="s">
        <v>549</v>
      </c>
    </row>
    <row r="46" spans="1:12" ht="12.5" x14ac:dyDescent="0.25">
      <c r="A46" s="5"/>
      <c r="B46" s="72" t="s">
        <v>257</v>
      </c>
      <c r="C46" s="127">
        <v>586.00204799999995</v>
      </c>
      <c r="D46" s="127">
        <v>590.53484800000001</v>
      </c>
      <c r="E46" s="127">
        <v>4.5328000000000657</v>
      </c>
      <c r="F46" s="8">
        <v>0</v>
      </c>
      <c r="G46"/>
      <c r="H46" s="10"/>
      <c r="J46" s="126">
        <f t="shared" si="0"/>
        <v>4.5328000000000657</v>
      </c>
      <c r="L46" t="s">
        <v>550</v>
      </c>
    </row>
    <row r="47" spans="1:12" ht="12.5" x14ac:dyDescent="0.25">
      <c r="A47" s="5"/>
      <c r="B47" s="72" t="s">
        <v>258</v>
      </c>
      <c r="C47" s="127">
        <v>7.1778594999999994</v>
      </c>
      <c r="D47" s="127">
        <v>7.2301344999999992</v>
      </c>
      <c r="E47" s="127">
        <v>5.2274999999999849E-2</v>
      </c>
      <c r="F47" s="8">
        <v>0</v>
      </c>
      <c r="G47"/>
      <c r="H47" s="10"/>
      <c r="J47" s="126">
        <f t="shared" si="0"/>
        <v>5.2274999999999849E-2</v>
      </c>
      <c r="L47" t="s">
        <v>551</v>
      </c>
    </row>
    <row r="48" spans="1:12" ht="12.5" x14ac:dyDescent="0.25">
      <c r="A48" s="5"/>
      <c r="B48" s="72" t="s">
        <v>259</v>
      </c>
      <c r="C48" s="127"/>
      <c r="D48" s="127"/>
      <c r="E48" s="127"/>
      <c r="F48" s="8"/>
      <c r="G48"/>
      <c r="H48" s="10"/>
      <c r="J48" s="126">
        <f t="shared" si="0"/>
        <v>0</v>
      </c>
      <c r="L48" t="s">
        <v>552</v>
      </c>
    </row>
    <row r="49" spans="1:13" ht="12.5" x14ac:dyDescent="0.25">
      <c r="A49" s="5"/>
      <c r="B49" s="72" t="s">
        <v>260</v>
      </c>
      <c r="C49" s="127">
        <v>36.699123999999998</v>
      </c>
      <c r="D49" s="127">
        <v>36.761423999999998</v>
      </c>
      <c r="E49" s="127">
        <v>6.2300000000000466E-2</v>
      </c>
      <c r="F49" s="8">
        <v>0</v>
      </c>
      <c r="G49"/>
      <c r="H49" s="10"/>
      <c r="J49" s="126">
        <f t="shared" si="0"/>
        <v>6.2300000000000466E-2</v>
      </c>
      <c r="L49" t="s">
        <v>553</v>
      </c>
    </row>
    <row r="50" spans="1:13" ht="12.5" x14ac:dyDescent="0.25">
      <c r="A50" s="5"/>
      <c r="B50" s="72" t="s">
        <v>261</v>
      </c>
      <c r="C50" s="127">
        <v>6.6991044999999998</v>
      </c>
      <c r="D50" s="127">
        <v>6.7338819999999995</v>
      </c>
      <c r="E50" s="127">
        <v>3.4777499999999684E-2</v>
      </c>
      <c r="F50" s="8">
        <v>0</v>
      </c>
      <c r="G50"/>
      <c r="H50" s="10"/>
      <c r="J50" s="126">
        <f t="shared" si="0"/>
        <v>3.4777499999999684E-2</v>
      </c>
      <c r="L50" t="s">
        <v>554</v>
      </c>
    </row>
    <row r="51" spans="1:13" ht="12.5" x14ac:dyDescent="0.25">
      <c r="A51" s="5"/>
      <c r="B51" s="72" t="s">
        <v>262</v>
      </c>
      <c r="C51" s="127">
        <v>744.50182399999994</v>
      </c>
      <c r="D51" s="127">
        <v>745.75545599999998</v>
      </c>
      <c r="E51" s="127">
        <v>1.2536320000000387</v>
      </c>
      <c r="F51" s="8">
        <v>0</v>
      </c>
      <c r="G51"/>
      <c r="H51" s="10"/>
      <c r="J51" s="126">
        <f t="shared" si="0"/>
        <v>1.2536320000000387</v>
      </c>
      <c r="L51" t="s">
        <v>555</v>
      </c>
    </row>
    <row r="52" spans="1:13" ht="12.5" x14ac:dyDescent="0.25">
      <c r="A52" s="5"/>
      <c r="B52" s="72" t="s">
        <v>263</v>
      </c>
      <c r="C52" s="127"/>
      <c r="D52" s="127"/>
      <c r="E52" s="127"/>
      <c r="F52" s="8"/>
      <c r="G52"/>
      <c r="H52" s="10"/>
      <c r="J52" s="126">
        <f t="shared" si="0"/>
        <v>0</v>
      </c>
      <c r="L52" t="s">
        <v>556</v>
      </c>
      <c r="M52" s="9"/>
    </row>
    <row r="53" spans="1:13" ht="12.5" x14ac:dyDescent="0.25">
      <c r="A53" s="5"/>
      <c r="B53" s="72" t="s">
        <v>264</v>
      </c>
      <c r="C53" s="127">
        <v>7.0612534999999994</v>
      </c>
      <c r="D53" s="127">
        <v>7.1307404999999999</v>
      </c>
      <c r="E53" s="127">
        <v>6.9487000000000521E-2</v>
      </c>
      <c r="F53" s="8">
        <v>0</v>
      </c>
      <c r="G53"/>
      <c r="H53" s="10"/>
      <c r="J53" s="126">
        <f t="shared" si="0"/>
        <v>6.9487000000000521E-2</v>
      </c>
      <c r="L53" t="s">
        <v>557</v>
      </c>
    </row>
    <row r="54" spans="1:13" ht="12.5" x14ac:dyDescent="0.25">
      <c r="A54" s="5"/>
      <c r="B54" s="72" t="s">
        <v>265</v>
      </c>
      <c r="C54" s="127">
        <v>5.3502289999999997</v>
      </c>
      <c r="D54" s="127">
        <v>5.3502324999999997</v>
      </c>
      <c r="E54" s="127">
        <v>3.5000000000451337E-6</v>
      </c>
      <c r="F54" s="8">
        <v>0</v>
      </c>
      <c r="G54"/>
      <c r="H54" s="10"/>
      <c r="J54" s="126">
        <f t="shared" si="0"/>
        <v>3.5000000000451337E-6</v>
      </c>
      <c r="L54" t="s">
        <v>558</v>
      </c>
      <c r="M54" s="93"/>
    </row>
    <row r="55" spans="1:13" ht="12.5" x14ac:dyDescent="0.25">
      <c r="A55" s="5"/>
      <c r="B55" s="72" t="s">
        <v>266</v>
      </c>
      <c r="C55" s="127"/>
      <c r="D55" s="127"/>
      <c r="E55" s="127"/>
      <c r="F55" s="8"/>
      <c r="G55"/>
      <c r="H55" s="10"/>
      <c r="J55" s="126">
        <f t="shared" si="0"/>
        <v>0</v>
      </c>
      <c r="L55" t="s">
        <v>559</v>
      </c>
    </row>
    <row r="56" spans="1:13" ht="12.5" x14ac:dyDescent="0.25">
      <c r="A56" s="5"/>
      <c r="B56" s="72" t="s">
        <v>267</v>
      </c>
      <c r="C56" s="127"/>
      <c r="D56" s="127"/>
      <c r="E56" s="127"/>
      <c r="F56" s="8"/>
      <c r="G56"/>
      <c r="H56" s="10"/>
      <c r="J56" s="126">
        <f t="shared" si="0"/>
        <v>0</v>
      </c>
      <c r="L56" t="s">
        <v>560</v>
      </c>
    </row>
    <row r="57" spans="1:13" ht="12.5" x14ac:dyDescent="0.25">
      <c r="A57" s="5"/>
      <c r="B57" s="72" t="s">
        <v>268</v>
      </c>
      <c r="C57" s="127"/>
      <c r="D57" s="127"/>
      <c r="E57" s="127"/>
      <c r="F57" s="8"/>
      <c r="G57"/>
      <c r="H57" s="10"/>
      <c r="J57" s="126">
        <f t="shared" si="0"/>
        <v>0</v>
      </c>
      <c r="L57" t="s">
        <v>561</v>
      </c>
    </row>
    <row r="58" spans="1:13" ht="12.5" x14ac:dyDescent="0.25">
      <c r="A58" s="5"/>
      <c r="B58" s="72" t="s">
        <v>269</v>
      </c>
      <c r="C58" s="127">
        <v>7.7605710937500003E-2</v>
      </c>
      <c r="D58" s="127">
        <v>8.1032406249999994E-2</v>
      </c>
      <c r="E58" s="127">
        <v>3.4266953124999916E-3</v>
      </c>
      <c r="F58" s="8">
        <v>0</v>
      </c>
      <c r="G58"/>
      <c r="H58" s="10"/>
      <c r="J58" s="126">
        <f t="shared" si="0"/>
        <v>3.4266953124999916E-3</v>
      </c>
      <c r="L58" t="s">
        <v>562</v>
      </c>
    </row>
    <row r="59" spans="1:13" ht="12.5" x14ac:dyDescent="0.25">
      <c r="A59" s="5"/>
      <c r="B59" s="72" t="s">
        <v>270</v>
      </c>
      <c r="C59" s="127">
        <v>19.798527999999997</v>
      </c>
      <c r="D59" s="127">
        <v>19.916705999999998</v>
      </c>
      <c r="E59" s="127">
        <v>0.11817800000000034</v>
      </c>
      <c r="F59" s="8">
        <v>0</v>
      </c>
      <c r="G59"/>
      <c r="H59" s="10"/>
      <c r="J59" s="126">
        <f t="shared" si="0"/>
        <v>0.11817800000000034</v>
      </c>
      <c r="L59" t="s">
        <v>563</v>
      </c>
    </row>
    <row r="60" spans="1:13" ht="12.5" x14ac:dyDescent="0.25">
      <c r="A60" s="5"/>
      <c r="B60" s="72" t="s">
        <v>271</v>
      </c>
      <c r="C60" s="127"/>
      <c r="D60" s="127"/>
      <c r="E60" s="127"/>
      <c r="F60" s="8"/>
      <c r="G60"/>
      <c r="H60" s="10"/>
      <c r="J60" s="126">
        <f t="shared" si="0"/>
        <v>0</v>
      </c>
      <c r="L60" t="s">
        <v>564</v>
      </c>
    </row>
    <row r="61" spans="1:13" ht="12.5" x14ac:dyDescent="0.25">
      <c r="A61" s="5"/>
      <c r="B61" s="72" t="s">
        <v>272</v>
      </c>
      <c r="C61" s="127">
        <v>14.900392999999999</v>
      </c>
      <c r="D61" s="127">
        <v>14.916352999999999</v>
      </c>
      <c r="E61" s="127">
        <v>1.5959999999999752E-2</v>
      </c>
      <c r="F61" s="8">
        <v>0</v>
      </c>
      <c r="G61"/>
      <c r="H61" s="10"/>
      <c r="J61" s="126">
        <f t="shared" si="0"/>
        <v>1.5959999999999752E-2</v>
      </c>
      <c r="L61" t="s">
        <v>565</v>
      </c>
    </row>
    <row r="62" spans="1:13" ht="12.5" x14ac:dyDescent="0.25">
      <c r="A62" s="5"/>
      <c r="B62" s="72" t="s">
        <v>273</v>
      </c>
      <c r="C62" s="127">
        <v>31.84844</v>
      </c>
      <c r="D62" s="127">
        <v>31.856037999999998</v>
      </c>
      <c r="E62" s="127">
        <v>7.5979999999979952E-3</v>
      </c>
      <c r="F62" s="8">
        <v>0</v>
      </c>
      <c r="G62"/>
      <c r="H62" s="10"/>
      <c r="J62" s="126">
        <f t="shared" si="0"/>
        <v>7.5979999999979952E-3</v>
      </c>
      <c r="L62" t="s">
        <v>566</v>
      </c>
    </row>
    <row r="63" spans="1:13" ht="12.5" x14ac:dyDescent="0.25">
      <c r="A63" s="5"/>
      <c r="B63" s="72" t="s">
        <v>274</v>
      </c>
      <c r="C63" s="127">
        <v>321.16252800000001</v>
      </c>
      <c r="D63" s="127">
        <v>323.74431999999996</v>
      </c>
      <c r="E63" s="127">
        <v>2.5817919999999503</v>
      </c>
      <c r="F63" s="8">
        <v>0</v>
      </c>
      <c r="G63"/>
      <c r="H63" s="10"/>
      <c r="J63" s="126">
        <f t="shared" si="0"/>
        <v>2.5817919999999503</v>
      </c>
      <c r="L63" t="s">
        <v>567</v>
      </c>
    </row>
    <row r="64" spans="1:13" ht="12.5" x14ac:dyDescent="0.25">
      <c r="A64" s="5"/>
      <c r="B64" s="72" t="s">
        <v>275</v>
      </c>
      <c r="C64" s="127">
        <v>16.271673</v>
      </c>
      <c r="D64" s="127">
        <v>16.272221999999999</v>
      </c>
      <c r="E64" s="127">
        <v>5.4899999999946658E-4</v>
      </c>
      <c r="F64" s="8">
        <v>0</v>
      </c>
      <c r="G64"/>
      <c r="H64" s="10"/>
      <c r="J64" s="126">
        <f t="shared" si="0"/>
        <v>5.4899999999946658E-4</v>
      </c>
      <c r="L64" t="s">
        <v>568</v>
      </c>
    </row>
    <row r="65" spans="1:12" ht="12.5" x14ac:dyDescent="0.25">
      <c r="A65" s="5"/>
      <c r="B65" s="72" t="s">
        <v>276</v>
      </c>
      <c r="C65" s="127">
        <v>7.9165859999999997</v>
      </c>
      <c r="D65" s="127">
        <v>7.9935649999999994</v>
      </c>
      <c r="E65" s="127">
        <v>7.6978999999999687E-2</v>
      </c>
      <c r="F65" s="8">
        <v>0</v>
      </c>
      <c r="G65" s="164"/>
      <c r="H65" s="10"/>
      <c r="J65" s="126">
        <f t="shared" si="0"/>
        <v>7.6978999999999687E-2</v>
      </c>
      <c r="L65" t="s">
        <v>569</v>
      </c>
    </row>
    <row r="66" spans="1:12" ht="12.5" x14ac:dyDescent="0.25">
      <c r="A66" s="5"/>
      <c r="B66" s="72" t="s">
        <v>277</v>
      </c>
      <c r="C66" s="127">
        <v>21.908904</v>
      </c>
      <c r="D66" s="127">
        <v>21.908904</v>
      </c>
      <c r="E66" s="127">
        <v>0</v>
      </c>
      <c r="F66" s="8">
        <v>0</v>
      </c>
      <c r="G66"/>
      <c r="H66" s="10"/>
      <c r="J66" s="126">
        <f t="shared" si="0"/>
        <v>0</v>
      </c>
      <c r="L66" t="s">
        <v>570</v>
      </c>
    </row>
    <row r="67" spans="1:12" ht="12.5" x14ac:dyDescent="0.25">
      <c r="A67" s="5"/>
      <c r="B67" s="72" t="s">
        <v>278</v>
      </c>
      <c r="C67" s="127">
        <v>281.11404799999997</v>
      </c>
      <c r="D67" s="127">
        <v>283.38019199999997</v>
      </c>
      <c r="E67" s="127">
        <v>2.266143999999997</v>
      </c>
      <c r="F67" s="8">
        <v>0</v>
      </c>
      <c r="G67"/>
      <c r="H67" s="10"/>
      <c r="J67" s="126">
        <f t="shared" si="0"/>
        <v>2.266143999999997</v>
      </c>
      <c r="L67" t="s">
        <v>571</v>
      </c>
    </row>
    <row r="68" spans="1:12" ht="12.5" x14ac:dyDescent="0.25">
      <c r="A68" s="5"/>
      <c r="B68" s="72" t="s">
        <v>279</v>
      </c>
      <c r="C68" s="127"/>
      <c r="D68" s="127"/>
      <c r="E68" s="127"/>
      <c r="F68" s="8"/>
      <c r="G68"/>
      <c r="H68" s="10"/>
      <c r="J68" s="126">
        <f t="shared" si="0"/>
        <v>0</v>
      </c>
      <c r="L68" t="s">
        <v>572</v>
      </c>
    </row>
    <row r="69" spans="1:12" ht="12.5" x14ac:dyDescent="0.25">
      <c r="A69" s="5"/>
      <c r="B69" s="72" t="s">
        <v>280</v>
      </c>
      <c r="C69" s="127">
        <v>16.588630999999999</v>
      </c>
      <c r="D69" s="127">
        <v>17.056632</v>
      </c>
      <c r="E69" s="127">
        <v>0.468001000000001</v>
      </c>
      <c r="F69" s="8">
        <v>0</v>
      </c>
      <c r="G69"/>
      <c r="H69" s="10"/>
      <c r="J69" s="126">
        <f t="shared" ref="J69:J132" si="1">E69</f>
        <v>0.468001000000001</v>
      </c>
      <c r="L69" t="s">
        <v>573</v>
      </c>
    </row>
    <row r="70" spans="1:12" ht="12.5" x14ac:dyDescent="0.25">
      <c r="A70" s="5"/>
      <c r="B70" s="72" t="s">
        <v>281</v>
      </c>
      <c r="C70" s="127"/>
      <c r="D70" s="127"/>
      <c r="E70" s="127"/>
      <c r="F70" s="8">
        <v>0</v>
      </c>
      <c r="G70"/>
      <c r="H70" s="10"/>
      <c r="J70" s="126">
        <f t="shared" si="1"/>
        <v>0</v>
      </c>
      <c r="L70" t="s">
        <v>574</v>
      </c>
    </row>
    <row r="71" spans="1:12" ht="12.5" x14ac:dyDescent="0.25">
      <c r="A71" s="5"/>
      <c r="B71" s="72" t="s">
        <v>282</v>
      </c>
      <c r="C71" s="127"/>
      <c r="D71" s="127"/>
      <c r="E71" s="127"/>
      <c r="F71" s="8"/>
      <c r="G71"/>
      <c r="H71" s="10"/>
      <c r="J71" s="126">
        <f t="shared" si="1"/>
        <v>0</v>
      </c>
      <c r="L71" t="s">
        <v>575</v>
      </c>
    </row>
    <row r="72" spans="1:12" ht="12.5" x14ac:dyDescent="0.25">
      <c r="A72" s="5"/>
      <c r="B72" s="72" t="s">
        <v>283</v>
      </c>
      <c r="C72" s="127"/>
      <c r="D72" s="127"/>
      <c r="E72" s="127"/>
      <c r="F72" s="8">
        <v>0</v>
      </c>
      <c r="G72"/>
      <c r="H72" s="10"/>
      <c r="J72" s="126">
        <f t="shared" si="1"/>
        <v>0</v>
      </c>
      <c r="L72" t="s">
        <v>507</v>
      </c>
    </row>
    <row r="73" spans="1:12" ht="12.5" x14ac:dyDescent="0.25">
      <c r="A73" s="5"/>
      <c r="B73" s="72" t="s">
        <v>284</v>
      </c>
      <c r="C73" s="127"/>
      <c r="D73" s="127"/>
      <c r="E73" s="127"/>
      <c r="F73" s="8">
        <v>0</v>
      </c>
      <c r="G73"/>
      <c r="H73" s="10"/>
      <c r="J73" s="126">
        <f t="shared" si="1"/>
        <v>0</v>
      </c>
      <c r="L73" t="s">
        <v>576</v>
      </c>
    </row>
    <row r="74" spans="1:12" ht="12.5" x14ac:dyDescent="0.25">
      <c r="A74" s="5"/>
      <c r="B74" s="72" t="s">
        <v>285</v>
      </c>
      <c r="C74" s="127">
        <v>53.186927999999995</v>
      </c>
      <c r="D74" s="127">
        <v>53.432043999999998</v>
      </c>
      <c r="E74" s="127">
        <v>0.245116000000003</v>
      </c>
      <c r="F74" s="8">
        <v>0</v>
      </c>
      <c r="G74"/>
      <c r="H74" s="10"/>
      <c r="J74" s="126">
        <f t="shared" si="1"/>
        <v>0.245116000000003</v>
      </c>
      <c r="L74" t="s">
        <v>577</v>
      </c>
    </row>
    <row r="75" spans="1:12" ht="12.5" x14ac:dyDescent="0.25">
      <c r="A75" s="5"/>
      <c r="B75" s="72" t="s">
        <v>286</v>
      </c>
      <c r="C75" s="127"/>
      <c r="D75" s="127"/>
      <c r="E75" s="127"/>
      <c r="F75" s="8">
        <v>0</v>
      </c>
      <c r="G75"/>
      <c r="H75" s="10"/>
      <c r="J75" s="126">
        <f t="shared" si="1"/>
        <v>0</v>
      </c>
      <c r="L75" t="s">
        <v>578</v>
      </c>
    </row>
    <row r="76" spans="1:12" ht="12.5" x14ac:dyDescent="0.25">
      <c r="A76" s="5"/>
      <c r="B76" s="72" t="s">
        <v>287</v>
      </c>
      <c r="C76" s="127"/>
      <c r="D76" s="127"/>
      <c r="E76" s="127"/>
      <c r="F76" s="8"/>
      <c r="G76"/>
      <c r="H76" s="10"/>
      <c r="J76" s="126">
        <f t="shared" si="1"/>
        <v>0</v>
      </c>
      <c r="L76" t="s">
        <v>579</v>
      </c>
    </row>
    <row r="77" spans="1:12" ht="12.5" x14ac:dyDescent="0.25">
      <c r="A77" s="5"/>
      <c r="B77" s="72" t="s">
        <v>288</v>
      </c>
      <c r="C77" s="127"/>
      <c r="D77" s="127"/>
      <c r="E77" s="127"/>
      <c r="F77" s="8"/>
      <c r="G77"/>
      <c r="H77" s="10"/>
      <c r="J77" s="126">
        <f t="shared" si="1"/>
        <v>0</v>
      </c>
      <c r="L77" t="s">
        <v>580</v>
      </c>
    </row>
    <row r="78" spans="1:12" ht="12.5" x14ac:dyDescent="0.25">
      <c r="A78" s="5"/>
      <c r="B78" s="72" t="s">
        <v>289</v>
      </c>
      <c r="C78" s="127"/>
      <c r="D78" s="127"/>
      <c r="E78" s="127"/>
      <c r="F78" s="8">
        <v>0</v>
      </c>
      <c r="G78"/>
      <c r="H78" s="10"/>
      <c r="J78" s="126">
        <f t="shared" si="1"/>
        <v>0</v>
      </c>
      <c r="L78" t="s">
        <v>581</v>
      </c>
    </row>
    <row r="79" spans="1:12" ht="12.5" x14ac:dyDescent="0.25">
      <c r="A79" s="5"/>
      <c r="B79" s="72" t="s">
        <v>290</v>
      </c>
      <c r="C79" s="127">
        <v>1.4891672499999999</v>
      </c>
      <c r="D79" s="127">
        <v>1.4891672499999999</v>
      </c>
      <c r="E79" s="127">
        <v>0</v>
      </c>
      <c r="F79" s="8">
        <v>0</v>
      </c>
      <c r="G79"/>
      <c r="H79" s="10"/>
      <c r="J79" s="126">
        <f t="shared" si="1"/>
        <v>0</v>
      </c>
      <c r="L79" t="s">
        <v>582</v>
      </c>
    </row>
    <row r="80" spans="1:12" ht="12.5" x14ac:dyDescent="0.25">
      <c r="A80" s="5"/>
      <c r="B80" s="72" t="s">
        <v>291</v>
      </c>
      <c r="C80" s="127">
        <v>105.87555999999999</v>
      </c>
      <c r="D80" s="127">
        <v>106.892184</v>
      </c>
      <c r="E80" s="127">
        <v>1.0166240000000073</v>
      </c>
      <c r="F80" s="8">
        <v>0</v>
      </c>
      <c r="G80"/>
      <c r="H80" s="10"/>
      <c r="J80" s="126">
        <f t="shared" si="1"/>
        <v>1.0166240000000073</v>
      </c>
      <c r="L80" t="s">
        <v>583</v>
      </c>
    </row>
    <row r="81" spans="1:12" ht="12.5" x14ac:dyDescent="0.25">
      <c r="A81" s="5"/>
      <c r="B81" s="72" t="s">
        <v>292</v>
      </c>
      <c r="C81" s="127">
        <v>0.40174634374999996</v>
      </c>
      <c r="D81" s="127">
        <v>0.76070412499999995</v>
      </c>
      <c r="E81" s="127">
        <v>0.35895778125</v>
      </c>
      <c r="F81" s="8">
        <v>0</v>
      </c>
      <c r="G81"/>
      <c r="H81" s="10"/>
      <c r="J81" s="126">
        <f t="shared" si="1"/>
        <v>0.35895778125</v>
      </c>
      <c r="L81" t="s">
        <v>584</v>
      </c>
    </row>
    <row r="82" spans="1:12" ht="12.5" x14ac:dyDescent="0.25">
      <c r="A82" s="5"/>
      <c r="B82" s="72" t="s">
        <v>293</v>
      </c>
      <c r="C82" s="127"/>
      <c r="D82" s="127"/>
      <c r="E82" s="127"/>
      <c r="F82" s="8"/>
      <c r="G82"/>
      <c r="H82" s="10"/>
      <c r="J82" s="126">
        <f t="shared" si="1"/>
        <v>0</v>
      </c>
      <c r="L82" t="s">
        <v>585</v>
      </c>
    </row>
    <row r="83" spans="1:12" ht="12.5" x14ac:dyDescent="0.25">
      <c r="A83" s="5"/>
      <c r="B83" s="72" t="s">
        <v>294</v>
      </c>
      <c r="C83" s="127"/>
      <c r="D83" s="127"/>
      <c r="E83" s="127"/>
      <c r="F83" s="8"/>
      <c r="G83"/>
      <c r="H83" s="10"/>
      <c r="J83" s="126">
        <f t="shared" si="1"/>
        <v>0</v>
      </c>
      <c r="L83" t="s">
        <v>586</v>
      </c>
    </row>
    <row r="84" spans="1:12" ht="12.5" x14ac:dyDescent="0.25">
      <c r="A84" s="5"/>
      <c r="B84" s="72" t="s">
        <v>295</v>
      </c>
      <c r="C84" s="127"/>
      <c r="D84" s="127"/>
      <c r="E84" s="127"/>
      <c r="F84" s="8"/>
      <c r="G84"/>
      <c r="H84" s="10"/>
      <c r="J84" s="126">
        <f t="shared" si="1"/>
        <v>0</v>
      </c>
      <c r="L84" t="s">
        <v>587</v>
      </c>
    </row>
    <row r="85" spans="1:12" ht="12.5" x14ac:dyDescent="0.25">
      <c r="A85" s="5"/>
      <c r="B85" s="72" t="s">
        <v>296</v>
      </c>
      <c r="C85" s="127"/>
      <c r="D85" s="127"/>
      <c r="E85" s="127"/>
      <c r="F85" s="8"/>
      <c r="G85"/>
      <c r="H85" s="10"/>
      <c r="J85" s="126">
        <f t="shared" si="1"/>
        <v>0</v>
      </c>
      <c r="L85" t="s">
        <v>588</v>
      </c>
    </row>
    <row r="86" spans="1:12" ht="12.5" x14ac:dyDescent="0.25">
      <c r="A86" s="5"/>
      <c r="B86" s="72" t="s">
        <v>297</v>
      </c>
      <c r="C86" s="127">
        <v>15.369556999999999</v>
      </c>
      <c r="D86" s="127">
        <v>15.393146</v>
      </c>
      <c r="E86" s="127">
        <v>2.3589000000001192E-2</v>
      </c>
      <c r="F86" s="8">
        <v>0</v>
      </c>
      <c r="G86"/>
      <c r="H86" s="10"/>
      <c r="J86" s="126">
        <f t="shared" si="1"/>
        <v>2.3589000000001192E-2</v>
      </c>
      <c r="L86" t="s">
        <v>589</v>
      </c>
    </row>
    <row r="87" spans="1:12" ht="12.5" x14ac:dyDescent="0.25">
      <c r="A87" s="5"/>
      <c r="B87" s="72" t="s">
        <v>298</v>
      </c>
      <c r="C87" s="127"/>
      <c r="D87" s="127"/>
      <c r="E87" s="127"/>
      <c r="F87" s="8">
        <v>0</v>
      </c>
      <c r="G87"/>
      <c r="H87" s="10"/>
      <c r="J87" s="126">
        <f t="shared" si="1"/>
        <v>0</v>
      </c>
      <c r="L87" t="s">
        <v>590</v>
      </c>
    </row>
    <row r="88" spans="1:12" ht="12.5" x14ac:dyDescent="0.25">
      <c r="A88" s="5"/>
      <c r="B88" s="72" t="s">
        <v>299</v>
      </c>
      <c r="C88" s="127">
        <v>3.0774352499999997</v>
      </c>
      <c r="D88" s="127">
        <v>3.0948864999999999</v>
      </c>
      <c r="E88" s="127">
        <v>1.745125000000014E-2</v>
      </c>
      <c r="F88" s="8">
        <v>0</v>
      </c>
      <c r="G88"/>
      <c r="H88" s="10"/>
      <c r="J88" s="126">
        <f t="shared" si="1"/>
        <v>1.745125000000014E-2</v>
      </c>
      <c r="L88" t="s">
        <v>591</v>
      </c>
    </row>
    <row r="89" spans="1:12" ht="12.5" x14ac:dyDescent="0.25">
      <c r="A89" s="5"/>
      <c r="B89" s="72" t="s">
        <v>300</v>
      </c>
      <c r="C89" s="127"/>
      <c r="D89" s="127"/>
      <c r="E89" s="127"/>
      <c r="F89" s="8"/>
      <c r="G89"/>
      <c r="H89" s="10"/>
      <c r="J89" s="126">
        <f t="shared" si="1"/>
        <v>0</v>
      </c>
      <c r="L89" t="s">
        <v>592</v>
      </c>
    </row>
    <row r="90" spans="1:12" ht="12.5" x14ac:dyDescent="0.25">
      <c r="A90" s="5"/>
      <c r="B90" s="72" t="s">
        <v>301</v>
      </c>
      <c r="C90" s="127"/>
      <c r="D90" s="127"/>
      <c r="E90" s="127"/>
      <c r="F90" s="8"/>
      <c r="G90"/>
      <c r="H90" s="10"/>
      <c r="J90" s="126">
        <f t="shared" si="1"/>
        <v>0</v>
      </c>
      <c r="L90" t="s">
        <v>593</v>
      </c>
    </row>
    <row r="91" spans="1:12" ht="12.5" x14ac:dyDescent="0.25">
      <c r="A91" s="5"/>
      <c r="B91" s="72" t="s">
        <v>302</v>
      </c>
      <c r="C91" s="127"/>
      <c r="D91" s="127"/>
      <c r="E91" s="127"/>
      <c r="F91" s="8">
        <v>0</v>
      </c>
      <c r="G91"/>
      <c r="H91" s="10"/>
      <c r="J91" s="126">
        <f t="shared" si="1"/>
        <v>0</v>
      </c>
      <c r="L91" t="s">
        <v>594</v>
      </c>
    </row>
    <row r="92" spans="1:12" ht="12.5" x14ac:dyDescent="0.25">
      <c r="A92" s="5"/>
      <c r="B92" s="72" t="s">
        <v>303</v>
      </c>
      <c r="C92" s="127">
        <v>25.666043999999999</v>
      </c>
      <c r="D92" s="127">
        <v>25.695377999999998</v>
      </c>
      <c r="E92" s="127">
        <v>2.9333999999998639E-2</v>
      </c>
      <c r="F92" s="8">
        <v>0</v>
      </c>
      <c r="H92" s="10"/>
      <c r="J92" s="126">
        <f t="shared" si="1"/>
        <v>2.9333999999998639E-2</v>
      </c>
      <c r="L92" t="s">
        <v>595</v>
      </c>
    </row>
    <row r="93" spans="1:12" ht="12.5" x14ac:dyDescent="0.25">
      <c r="A93" s="5"/>
      <c r="B93" s="72" t="s">
        <v>304</v>
      </c>
      <c r="C93" s="127">
        <v>1246.7487999999998</v>
      </c>
      <c r="D93" s="127">
        <v>1250.9695999999999</v>
      </c>
      <c r="E93" s="127">
        <v>4.2208000000000538</v>
      </c>
      <c r="F93" s="8">
        <v>0</v>
      </c>
      <c r="H93" s="10"/>
      <c r="J93" s="126">
        <f t="shared" si="1"/>
        <v>4.2208000000000538</v>
      </c>
      <c r="L93" t="s">
        <v>596</v>
      </c>
    </row>
    <row r="94" spans="1:12" ht="12.5" x14ac:dyDescent="0.25">
      <c r="A94" s="5"/>
      <c r="B94" s="72" t="s">
        <v>305</v>
      </c>
      <c r="C94" s="127">
        <v>8.8672550000000001</v>
      </c>
      <c r="D94" s="127">
        <v>8.9221690000000002</v>
      </c>
      <c r="E94" s="127">
        <v>5.4914000000000129E-2</v>
      </c>
      <c r="F94" s="8">
        <v>0</v>
      </c>
      <c r="H94" s="10"/>
      <c r="J94" s="126">
        <f t="shared" si="1"/>
        <v>5.4914000000000129E-2</v>
      </c>
      <c r="L94" t="s">
        <v>597</v>
      </c>
    </row>
    <row r="95" spans="1:12" ht="12.5" x14ac:dyDescent="0.25">
      <c r="A95" s="5"/>
      <c r="B95" s="72" t="s">
        <v>306</v>
      </c>
      <c r="C95" s="127">
        <v>71.151383999999993</v>
      </c>
      <c r="D95" s="127">
        <v>71.746911999999995</v>
      </c>
      <c r="E95" s="127">
        <v>0.59552800000000161</v>
      </c>
      <c r="F95" s="8">
        <v>0</v>
      </c>
      <c r="H95" s="10"/>
      <c r="J95" s="126">
        <f t="shared" si="1"/>
        <v>0.59552800000000161</v>
      </c>
      <c r="L95" t="s">
        <v>598</v>
      </c>
    </row>
    <row r="96" spans="1:12" ht="12.5" x14ac:dyDescent="0.25">
      <c r="A96" s="5"/>
      <c r="B96" s="72" t="s">
        <v>307</v>
      </c>
      <c r="C96" s="127"/>
      <c r="D96" s="127"/>
      <c r="E96" s="127"/>
      <c r="F96" s="8"/>
      <c r="H96" s="10"/>
      <c r="J96" s="126">
        <f t="shared" si="1"/>
        <v>0</v>
      </c>
      <c r="L96" t="s">
        <v>599</v>
      </c>
    </row>
    <row r="97" spans="1:12" ht="12.5" x14ac:dyDescent="0.25">
      <c r="A97" s="5"/>
      <c r="B97" s="72" t="s">
        <v>308</v>
      </c>
      <c r="C97" s="127">
        <v>0.36067371874999998</v>
      </c>
      <c r="D97" s="127">
        <v>0.36067371874999998</v>
      </c>
      <c r="E97" s="127">
        <v>0</v>
      </c>
      <c r="F97" s="8">
        <v>0</v>
      </c>
      <c r="H97" s="10"/>
      <c r="J97" s="126">
        <f t="shared" si="1"/>
        <v>0</v>
      </c>
      <c r="L97" t="s">
        <v>600</v>
      </c>
    </row>
    <row r="98" spans="1:12" ht="12.5" x14ac:dyDescent="0.25">
      <c r="A98" s="5"/>
      <c r="B98" s="72" t="s">
        <v>309</v>
      </c>
      <c r="C98" s="127">
        <v>14.489376999999999</v>
      </c>
      <c r="D98" s="127">
        <v>14.644981999999999</v>
      </c>
      <c r="E98" s="127">
        <v>0.15560499999999955</v>
      </c>
      <c r="F98" s="8">
        <v>0</v>
      </c>
      <c r="H98" s="10"/>
      <c r="J98" s="126">
        <f t="shared" si="1"/>
        <v>0.15560499999999955</v>
      </c>
      <c r="L98" t="s">
        <v>601</v>
      </c>
    </row>
    <row r="99" spans="1:12" ht="12.5" x14ac:dyDescent="0.25">
      <c r="A99" s="5"/>
      <c r="B99" s="72" t="s">
        <v>310</v>
      </c>
      <c r="C99" s="127"/>
      <c r="D99" s="127"/>
      <c r="E99" s="127"/>
      <c r="F99" s="8"/>
      <c r="H99" s="10"/>
      <c r="J99" s="126">
        <f t="shared" si="1"/>
        <v>0</v>
      </c>
      <c r="L99" t="s">
        <v>602</v>
      </c>
    </row>
    <row r="100" spans="1:12" ht="12.5" x14ac:dyDescent="0.25">
      <c r="A100" s="5"/>
      <c r="B100" s="72" t="s">
        <v>311</v>
      </c>
      <c r="C100" s="127">
        <v>69.738303999999999</v>
      </c>
      <c r="D100" s="127">
        <v>69.936447999999999</v>
      </c>
      <c r="E100" s="127">
        <v>0.19814399999999921</v>
      </c>
      <c r="F100" s="8">
        <v>0</v>
      </c>
      <c r="H100" s="10"/>
      <c r="J100" s="126">
        <f t="shared" si="1"/>
        <v>0.19814399999999921</v>
      </c>
      <c r="L100" t="s">
        <v>603</v>
      </c>
    </row>
    <row r="101" spans="1:12" ht="12.5" x14ac:dyDescent="0.25">
      <c r="A101" s="5"/>
      <c r="B101" s="72" t="s">
        <v>312</v>
      </c>
      <c r="C101" s="127"/>
      <c r="D101" s="127"/>
      <c r="E101" s="127"/>
      <c r="F101" s="8"/>
      <c r="H101" s="10"/>
      <c r="J101" s="126">
        <f t="shared" si="1"/>
        <v>0</v>
      </c>
      <c r="L101" t="s">
        <v>604</v>
      </c>
    </row>
    <row r="102" spans="1:12" ht="12.5" x14ac:dyDescent="0.25">
      <c r="A102" s="5"/>
      <c r="B102" s="72" t="s">
        <v>313</v>
      </c>
      <c r="C102" s="127">
        <v>1.7479486249999998</v>
      </c>
      <c r="D102" s="127">
        <v>1.7625377499999999</v>
      </c>
      <c r="E102" s="127">
        <v>1.4589125000000092E-2</v>
      </c>
      <c r="F102" s="8">
        <v>0</v>
      </c>
      <c r="H102" s="10"/>
      <c r="J102" s="126">
        <f t="shared" si="1"/>
        <v>1.4589125000000092E-2</v>
      </c>
      <c r="L102" t="s">
        <v>605</v>
      </c>
    </row>
    <row r="103" spans="1:12" ht="12.5" x14ac:dyDescent="0.25">
      <c r="A103" s="5"/>
      <c r="B103" s="72" t="s">
        <v>314</v>
      </c>
      <c r="C103" s="127">
        <v>38.263860000000001</v>
      </c>
      <c r="D103" s="127">
        <v>38.321387999999999</v>
      </c>
      <c r="E103" s="127">
        <v>5.7527999999997803E-2</v>
      </c>
      <c r="F103" s="8">
        <v>0</v>
      </c>
      <c r="H103" s="10"/>
      <c r="J103" s="126">
        <f t="shared" si="1"/>
        <v>5.7527999999997803E-2</v>
      </c>
      <c r="L103" t="s">
        <v>606</v>
      </c>
    </row>
    <row r="104" spans="1:12" ht="12.5" x14ac:dyDescent="0.25">
      <c r="A104" s="5"/>
      <c r="B104" s="72" t="s">
        <v>315</v>
      </c>
      <c r="C104" s="127"/>
      <c r="D104" s="127"/>
      <c r="E104" s="127"/>
      <c r="F104" s="8">
        <v>0</v>
      </c>
      <c r="H104" s="10"/>
      <c r="J104" s="126">
        <f t="shared" si="1"/>
        <v>0</v>
      </c>
      <c r="L104" t="s">
        <v>607</v>
      </c>
    </row>
    <row r="105" spans="1:12" ht="12.5" x14ac:dyDescent="0.25">
      <c r="A105" s="5"/>
      <c r="B105" s="72" t="s">
        <v>316</v>
      </c>
      <c r="C105" s="127">
        <v>1.461303</v>
      </c>
      <c r="D105" s="127">
        <v>1.4769919999999999</v>
      </c>
      <c r="E105" s="127">
        <v>1.5688999999999842E-2</v>
      </c>
      <c r="F105" s="8">
        <v>0</v>
      </c>
      <c r="H105" s="10"/>
      <c r="J105" s="126">
        <f t="shared" si="1"/>
        <v>1.5688999999999842E-2</v>
      </c>
      <c r="L105" t="s">
        <v>608</v>
      </c>
    </row>
    <row r="106" spans="1:12" ht="12.5" x14ac:dyDescent="0.25">
      <c r="A106" s="5"/>
      <c r="B106" s="72" t="s">
        <v>317</v>
      </c>
      <c r="C106" s="127">
        <v>3.1493549999999999</v>
      </c>
      <c r="D106" s="127">
        <v>3.17527625</v>
      </c>
      <c r="E106" s="127">
        <v>2.5921250000000118E-2</v>
      </c>
      <c r="F106" s="8">
        <v>0</v>
      </c>
      <c r="H106" s="10"/>
      <c r="J106" s="126">
        <f t="shared" si="1"/>
        <v>2.5921250000000118E-2</v>
      </c>
      <c r="L106" t="s">
        <v>609</v>
      </c>
    </row>
    <row r="107" spans="1:12" ht="12.5" x14ac:dyDescent="0.25">
      <c r="A107" s="5"/>
      <c r="B107" s="72" t="s">
        <v>318</v>
      </c>
      <c r="C107" s="127">
        <v>51.107383999999996</v>
      </c>
      <c r="D107" s="127">
        <v>51.385191999999996</v>
      </c>
      <c r="E107" s="127">
        <v>0.27780800000000028</v>
      </c>
      <c r="F107" s="8">
        <v>0</v>
      </c>
      <c r="H107" s="10"/>
      <c r="J107" s="126">
        <f t="shared" si="1"/>
        <v>0.27780800000000028</v>
      </c>
      <c r="L107" t="s">
        <v>610</v>
      </c>
    </row>
    <row r="108" spans="1:12" ht="12.5" x14ac:dyDescent="0.25">
      <c r="A108" s="5"/>
      <c r="B108" s="72" t="s">
        <v>319</v>
      </c>
      <c r="C108" s="127">
        <v>11.523637000000001</v>
      </c>
      <c r="D108" s="127">
        <v>11.639074000000001</v>
      </c>
      <c r="E108" s="127">
        <v>0.11543700000000001</v>
      </c>
      <c r="F108" s="8">
        <v>0</v>
      </c>
      <c r="G108"/>
      <c r="H108" s="10"/>
      <c r="J108" s="126">
        <f t="shared" si="1"/>
        <v>0.11543700000000001</v>
      </c>
      <c r="L108" t="s">
        <v>611</v>
      </c>
    </row>
    <row r="109" spans="1:12" ht="12.5" x14ac:dyDescent="0.25">
      <c r="A109" s="5"/>
      <c r="B109" s="72" t="s">
        <v>320</v>
      </c>
      <c r="C109" s="127">
        <v>1.1778273749999999</v>
      </c>
      <c r="D109" s="127">
        <v>1.3345586249999999</v>
      </c>
      <c r="E109" s="127">
        <v>0.15673124999999999</v>
      </c>
      <c r="F109" s="8">
        <v>0</v>
      </c>
      <c r="G109"/>
      <c r="H109" s="10"/>
      <c r="J109" s="126">
        <f t="shared" si="1"/>
        <v>0.15673124999999999</v>
      </c>
      <c r="L109" t="s">
        <v>612</v>
      </c>
    </row>
    <row r="110" spans="1:12" ht="12.5" x14ac:dyDescent="0.25">
      <c r="A110" s="5"/>
      <c r="B110" s="72" t="s">
        <v>321</v>
      </c>
      <c r="C110" s="127">
        <v>1.559650625</v>
      </c>
      <c r="D110" s="127">
        <v>1.5888793749999999</v>
      </c>
      <c r="E110" s="127">
        <v>2.9228749999999915E-2</v>
      </c>
      <c r="F110" s="8">
        <v>0</v>
      </c>
      <c r="G110"/>
      <c r="H110" s="10"/>
      <c r="J110" s="126">
        <f t="shared" si="1"/>
        <v>2.9228749999999915E-2</v>
      </c>
      <c r="L110" t="s">
        <v>613</v>
      </c>
    </row>
    <row r="111" spans="1:12" ht="12.5" x14ac:dyDescent="0.25">
      <c r="A111" s="5"/>
      <c r="B111" s="72" t="s">
        <v>322</v>
      </c>
      <c r="C111" s="127"/>
      <c r="D111" s="127"/>
      <c r="E111" s="127"/>
      <c r="F111" s="8"/>
      <c r="G111"/>
      <c r="H111" s="10"/>
      <c r="J111" s="126">
        <f t="shared" si="1"/>
        <v>0</v>
      </c>
      <c r="L111" t="s">
        <v>614</v>
      </c>
    </row>
    <row r="112" spans="1:12" ht="12.5" x14ac:dyDescent="0.25">
      <c r="A112" s="5"/>
      <c r="B112" s="72" t="s">
        <v>323</v>
      </c>
      <c r="C112" s="127">
        <v>2.032216875</v>
      </c>
      <c r="D112" s="127">
        <v>2.032216875</v>
      </c>
      <c r="E112" s="127">
        <v>0</v>
      </c>
      <c r="F112" s="8">
        <v>0</v>
      </c>
      <c r="G112"/>
      <c r="H112" s="10"/>
      <c r="J112" s="126">
        <f t="shared" si="1"/>
        <v>0</v>
      </c>
      <c r="L112" t="s">
        <v>615</v>
      </c>
    </row>
    <row r="113" spans="1:12" ht="12.5" x14ac:dyDescent="0.25">
      <c r="A113" s="5"/>
      <c r="B113" s="72" t="s">
        <v>324</v>
      </c>
      <c r="C113" s="127">
        <v>8.1426634999999994</v>
      </c>
      <c r="D113" s="127">
        <v>8.159632499999999</v>
      </c>
      <c r="E113" s="127">
        <v>1.6968999999999568E-2</v>
      </c>
      <c r="F113" s="8">
        <v>0</v>
      </c>
      <c r="G113"/>
      <c r="H113" s="10"/>
      <c r="J113" s="126">
        <f t="shared" si="1"/>
        <v>1.6968999999999568E-2</v>
      </c>
      <c r="L113" t="s">
        <v>616</v>
      </c>
    </row>
    <row r="114" spans="1:12" ht="12.5" x14ac:dyDescent="0.25">
      <c r="A114" s="5"/>
      <c r="B114" s="72" t="s">
        <v>325</v>
      </c>
      <c r="C114" s="127">
        <v>4.9159774999999994</v>
      </c>
      <c r="D114" s="127">
        <v>4.9363399999999995</v>
      </c>
      <c r="E114" s="127">
        <v>2.0362500000000061E-2</v>
      </c>
      <c r="F114" s="8">
        <v>0</v>
      </c>
      <c r="G114"/>
      <c r="H114" s="10"/>
      <c r="J114" s="126">
        <f t="shared" si="1"/>
        <v>2.0362500000000061E-2</v>
      </c>
      <c r="L114" t="s">
        <v>617</v>
      </c>
    </row>
    <row r="115" spans="1:12" ht="12.5" x14ac:dyDescent="0.25">
      <c r="A115" s="5"/>
      <c r="B115" s="72" t="s">
        <v>326</v>
      </c>
      <c r="C115" s="127">
        <v>691.09337599999992</v>
      </c>
      <c r="D115" s="127">
        <v>695.81606399999998</v>
      </c>
      <c r="E115" s="127">
        <v>4.7226880000000619</v>
      </c>
      <c r="F115" s="8">
        <v>0</v>
      </c>
      <c r="G115"/>
      <c r="H115" s="10"/>
      <c r="J115" s="126">
        <f t="shared" si="1"/>
        <v>4.7226880000000619</v>
      </c>
      <c r="L115" t="s">
        <v>618</v>
      </c>
    </row>
    <row r="116" spans="1:12" ht="12.5" x14ac:dyDescent="0.25">
      <c r="A116" s="5"/>
      <c r="B116" s="72" t="s">
        <v>327</v>
      </c>
      <c r="C116" s="127"/>
      <c r="D116" s="127"/>
      <c r="E116" s="127"/>
      <c r="F116" s="8"/>
      <c r="G116"/>
      <c r="H116" s="10"/>
      <c r="J116" s="126">
        <f t="shared" si="1"/>
        <v>0</v>
      </c>
      <c r="L116" t="s">
        <v>619</v>
      </c>
    </row>
    <row r="117" spans="1:12" ht="12.5" x14ac:dyDescent="0.25">
      <c r="A117" s="5"/>
      <c r="B117" s="72" t="s">
        <v>328</v>
      </c>
      <c r="C117" s="127">
        <v>22.675663999999998</v>
      </c>
      <c r="D117" s="127">
        <v>22.742542</v>
      </c>
      <c r="E117" s="127">
        <v>6.6878000000002658E-2</v>
      </c>
      <c r="F117" s="8">
        <v>0</v>
      </c>
      <c r="G117"/>
      <c r="H117" s="10"/>
      <c r="J117" s="126">
        <f t="shared" si="1"/>
        <v>6.6878000000002658E-2</v>
      </c>
      <c r="L117" t="s">
        <v>620</v>
      </c>
    </row>
    <row r="118" spans="1:12" ht="12.5" x14ac:dyDescent="0.25">
      <c r="A118" s="5"/>
      <c r="B118" s="72" t="s">
        <v>329</v>
      </c>
      <c r="C118" s="127">
        <v>0.226737546875</v>
      </c>
      <c r="D118" s="127">
        <v>0.24604701562499998</v>
      </c>
      <c r="E118" s="127">
        <v>1.9309468749999975E-2</v>
      </c>
      <c r="F118" s="8">
        <v>0</v>
      </c>
      <c r="G118"/>
      <c r="H118" s="10"/>
      <c r="J118" s="126">
        <f t="shared" si="1"/>
        <v>1.9309468749999975E-2</v>
      </c>
      <c r="L118" t="s">
        <v>621</v>
      </c>
    </row>
    <row r="119" spans="1:12" ht="12.5" x14ac:dyDescent="0.25">
      <c r="A119" s="5"/>
      <c r="B119" s="72" t="s">
        <v>330</v>
      </c>
      <c r="C119" s="127">
        <v>11.543201999999999</v>
      </c>
      <c r="D119" s="127">
        <v>11.577218</v>
      </c>
      <c r="E119" s="127">
        <v>3.4016000000001156E-2</v>
      </c>
      <c r="F119" s="8">
        <v>0</v>
      </c>
      <c r="G119"/>
      <c r="H119" s="10"/>
      <c r="J119" s="126">
        <f t="shared" si="1"/>
        <v>3.4016000000001156E-2</v>
      </c>
      <c r="L119" t="s">
        <v>622</v>
      </c>
    </row>
    <row r="120" spans="1:12" ht="12.5" x14ac:dyDescent="0.25">
      <c r="A120" s="5"/>
      <c r="B120" s="72" t="s">
        <v>331</v>
      </c>
      <c r="C120" s="127">
        <v>0.85941574999999992</v>
      </c>
      <c r="D120" s="127">
        <v>0.85973650000000001</v>
      </c>
      <c r="E120" s="127">
        <v>3.207500000000918E-4</v>
      </c>
      <c r="F120" s="8">
        <v>0</v>
      </c>
      <c r="G120"/>
      <c r="H120" s="10"/>
      <c r="J120" s="126">
        <f t="shared" si="1"/>
        <v>3.207500000000918E-4</v>
      </c>
      <c r="L120" t="s">
        <v>623</v>
      </c>
    </row>
    <row r="121" spans="1:12" ht="12.5" x14ac:dyDescent="0.25">
      <c r="A121" s="5"/>
      <c r="B121" s="72" t="s">
        <v>332</v>
      </c>
      <c r="C121" s="127">
        <v>185.373152</v>
      </c>
      <c r="D121" s="127">
        <v>185.523584</v>
      </c>
      <c r="E121" s="127">
        <v>0.15043199999999501</v>
      </c>
      <c r="F121" s="8">
        <v>0</v>
      </c>
      <c r="H121" s="10"/>
      <c r="J121" s="126">
        <f t="shared" si="1"/>
        <v>0.15043199999999501</v>
      </c>
      <c r="L121" t="s">
        <v>624</v>
      </c>
    </row>
    <row r="122" spans="1:12" ht="12.5" x14ac:dyDescent="0.25">
      <c r="A122" s="5"/>
      <c r="B122" s="72" t="s">
        <v>333</v>
      </c>
      <c r="C122" s="127">
        <v>8.1725744999999996</v>
      </c>
      <c r="D122" s="127">
        <v>8.2162880000000005</v>
      </c>
      <c r="E122" s="127">
        <v>4.3713500000000849E-2</v>
      </c>
      <c r="F122" s="8">
        <v>0</v>
      </c>
      <c r="H122" s="10"/>
      <c r="J122" s="126">
        <f t="shared" si="1"/>
        <v>4.3713500000000849E-2</v>
      </c>
      <c r="L122" t="s">
        <v>625</v>
      </c>
    </row>
    <row r="123" spans="1:12" ht="12.5" x14ac:dyDescent="0.25">
      <c r="A123" s="5"/>
      <c r="B123" s="72" t="s">
        <v>334</v>
      </c>
      <c r="C123" s="127">
        <v>4.632733</v>
      </c>
      <c r="D123" s="127">
        <v>4.632733</v>
      </c>
      <c r="E123" s="127">
        <v>0</v>
      </c>
      <c r="F123" s="8">
        <v>0</v>
      </c>
      <c r="H123" s="10"/>
      <c r="J123" s="126">
        <f t="shared" si="1"/>
        <v>0</v>
      </c>
      <c r="L123" t="s">
        <v>626</v>
      </c>
    </row>
    <row r="124" spans="1:12" ht="12.5" x14ac:dyDescent="0.25">
      <c r="A124" s="5"/>
      <c r="B124" s="72" t="s">
        <v>335</v>
      </c>
      <c r="C124" s="127"/>
      <c r="D124" s="127"/>
      <c r="E124" s="127"/>
      <c r="F124" s="8"/>
      <c r="H124" s="10"/>
      <c r="J124" s="126">
        <f t="shared" si="1"/>
        <v>0</v>
      </c>
      <c r="L124" t="s">
        <v>627</v>
      </c>
    </row>
    <row r="125" spans="1:12" ht="12.5" x14ac:dyDescent="0.25">
      <c r="A125" s="5"/>
      <c r="B125" s="72" t="s">
        <v>336</v>
      </c>
      <c r="C125" s="127">
        <v>486.85846399999997</v>
      </c>
      <c r="D125" s="127">
        <v>488.59407999999996</v>
      </c>
      <c r="E125" s="127">
        <v>1.7356159999999932</v>
      </c>
      <c r="F125" s="8">
        <v>0</v>
      </c>
      <c r="H125" s="10"/>
      <c r="J125" s="126">
        <f t="shared" si="1"/>
        <v>1.7356159999999932</v>
      </c>
      <c r="L125" t="s">
        <v>628</v>
      </c>
    </row>
    <row r="126" spans="1:12" ht="12.5" x14ac:dyDescent="0.25">
      <c r="A126" s="5"/>
      <c r="B126" s="72" t="s">
        <v>337</v>
      </c>
      <c r="C126" s="127">
        <v>4.9919595000000001</v>
      </c>
      <c r="D126" s="127">
        <v>5.3726154999999993</v>
      </c>
      <c r="E126" s="127">
        <v>0.38065599999999922</v>
      </c>
      <c r="F126" s="8">
        <v>0</v>
      </c>
      <c r="H126" s="10"/>
      <c r="J126" s="126">
        <f t="shared" si="1"/>
        <v>0.38065599999999922</v>
      </c>
      <c r="L126" t="s">
        <v>629</v>
      </c>
    </row>
    <row r="127" spans="1:12" ht="12.5" x14ac:dyDescent="0.25">
      <c r="A127" s="5"/>
      <c r="B127" s="72" t="s">
        <v>338</v>
      </c>
      <c r="C127" s="127">
        <v>13.67887</v>
      </c>
      <c r="D127" s="127">
        <v>13.679359</v>
      </c>
      <c r="E127" s="127">
        <v>4.8899999999996169E-4</v>
      </c>
      <c r="F127" s="8">
        <v>0</v>
      </c>
      <c r="H127" s="10"/>
      <c r="J127" s="126">
        <f t="shared" si="1"/>
        <v>4.8899999999996169E-4</v>
      </c>
      <c r="L127" t="s">
        <v>630</v>
      </c>
    </row>
    <row r="128" spans="1:12" ht="12.5" x14ac:dyDescent="0.25">
      <c r="A128" s="5"/>
      <c r="B128" s="72" t="s">
        <v>339</v>
      </c>
      <c r="C128" s="127">
        <v>2.9275772499999997</v>
      </c>
      <c r="D128" s="127">
        <v>2.9387684999999997</v>
      </c>
      <c r="E128" s="127">
        <v>1.1191249999999986E-2</v>
      </c>
      <c r="F128" s="8">
        <v>0</v>
      </c>
      <c r="H128" s="10"/>
      <c r="J128" s="126">
        <f t="shared" si="1"/>
        <v>1.1191249999999986E-2</v>
      </c>
      <c r="L128" t="s">
        <v>631</v>
      </c>
    </row>
    <row r="129" spans="1:14" ht="12.5" x14ac:dyDescent="0.25">
      <c r="A129" s="5"/>
      <c r="B129" s="72" t="s">
        <v>340</v>
      </c>
      <c r="C129" s="127"/>
      <c r="D129" s="127"/>
      <c r="E129" s="127"/>
      <c r="F129" s="8"/>
      <c r="H129" s="10"/>
      <c r="J129" s="126">
        <f t="shared" si="1"/>
        <v>0</v>
      </c>
      <c r="L129" t="s">
        <v>632</v>
      </c>
    </row>
    <row r="130" spans="1:14" ht="12.5" x14ac:dyDescent="0.25">
      <c r="A130" s="5"/>
      <c r="B130" s="72" t="s">
        <v>341</v>
      </c>
      <c r="C130" s="127">
        <v>10.221974999999999</v>
      </c>
      <c r="D130" s="127">
        <v>10.30847</v>
      </c>
      <c r="E130" s="127">
        <v>8.6495000000001099E-2</v>
      </c>
      <c r="F130" s="8">
        <v>0</v>
      </c>
      <c r="H130" s="10"/>
      <c r="J130" s="126">
        <f t="shared" si="1"/>
        <v>8.6495000000001099E-2</v>
      </c>
      <c r="L130" t="s">
        <v>633</v>
      </c>
    </row>
    <row r="131" spans="1:14" ht="12.5" x14ac:dyDescent="0.25">
      <c r="A131" s="5"/>
      <c r="B131" s="72" t="s">
        <v>342</v>
      </c>
      <c r="C131" s="127">
        <v>0.61625581249999994</v>
      </c>
      <c r="D131" s="127">
        <v>0.62295806249999996</v>
      </c>
      <c r="E131" s="127">
        <v>6.7022500000000207E-3</v>
      </c>
      <c r="F131" s="8">
        <v>0</v>
      </c>
      <c r="H131" s="10"/>
      <c r="J131" s="126">
        <f t="shared" si="1"/>
        <v>6.7022500000000207E-3</v>
      </c>
      <c r="L131" t="s">
        <v>634</v>
      </c>
    </row>
    <row r="132" spans="1:14" ht="12.5" x14ac:dyDescent="0.25">
      <c r="A132" s="5"/>
      <c r="B132" s="72" t="s">
        <v>343</v>
      </c>
      <c r="C132" s="127">
        <v>27.819516</v>
      </c>
      <c r="D132" s="127">
        <v>27.923331999999998</v>
      </c>
      <c r="E132" s="127">
        <v>0.10381599999999835</v>
      </c>
      <c r="F132" s="8">
        <v>0</v>
      </c>
      <c r="H132" s="10"/>
      <c r="J132" s="126">
        <f t="shared" si="1"/>
        <v>0.10381599999999835</v>
      </c>
      <c r="L132" t="s">
        <v>635</v>
      </c>
    </row>
    <row r="133" spans="1:14" ht="12.5" x14ac:dyDescent="0.25">
      <c r="A133" s="5"/>
      <c r="B133" s="72" t="s">
        <v>344</v>
      </c>
      <c r="C133" s="127">
        <v>1.40665825</v>
      </c>
      <c r="D133" s="127">
        <v>1.40665825</v>
      </c>
      <c r="E133" s="127">
        <v>0</v>
      </c>
      <c r="F133" s="8">
        <v>0</v>
      </c>
      <c r="H133" s="10"/>
      <c r="J133" s="126">
        <f t="shared" ref="J133:J196" si="2">E133</f>
        <v>0</v>
      </c>
      <c r="L133" t="s">
        <v>636</v>
      </c>
    </row>
    <row r="134" spans="1:14" ht="12.5" x14ac:dyDescent="0.25">
      <c r="A134" s="5"/>
      <c r="B134" s="72" t="s">
        <v>345</v>
      </c>
      <c r="C134" s="127">
        <v>219.11270399999998</v>
      </c>
      <c r="D134" s="127">
        <v>220.42927999999998</v>
      </c>
      <c r="E134" s="127">
        <v>1.3165759999999977</v>
      </c>
      <c r="F134" s="8">
        <v>0</v>
      </c>
      <c r="H134" s="10"/>
      <c r="J134" s="126">
        <f t="shared" si="2"/>
        <v>1.3165759999999977</v>
      </c>
      <c r="L134" t="s">
        <v>637</v>
      </c>
    </row>
    <row r="135" spans="1:14" ht="12.5" x14ac:dyDescent="0.25">
      <c r="A135" s="5"/>
      <c r="B135" s="72" t="s">
        <v>346</v>
      </c>
      <c r="C135" s="127">
        <v>184.89552</v>
      </c>
      <c r="D135" s="127">
        <v>185.63187199999999</v>
      </c>
      <c r="E135" s="127">
        <v>0.73635199999998235</v>
      </c>
      <c r="F135" s="8">
        <v>0</v>
      </c>
      <c r="H135" s="10"/>
      <c r="J135" s="126">
        <f t="shared" si="2"/>
        <v>0.73635199999998235</v>
      </c>
      <c r="L135" t="s">
        <v>638</v>
      </c>
    </row>
    <row r="136" spans="1:14" ht="12.5" x14ac:dyDescent="0.25">
      <c r="A136" s="5"/>
      <c r="B136" s="72" t="s">
        <v>347</v>
      </c>
      <c r="C136" s="127">
        <v>3.1396029999999997</v>
      </c>
      <c r="D136" s="127">
        <v>3.182331</v>
      </c>
      <c r="E136" s="127">
        <v>4.2728000000000321E-2</v>
      </c>
      <c r="F136" s="8">
        <v>0</v>
      </c>
      <c r="H136" s="10"/>
      <c r="J136" s="126">
        <f t="shared" si="2"/>
        <v>4.2728000000000321E-2</v>
      </c>
      <c r="L136" t="s">
        <v>639</v>
      </c>
    </row>
    <row r="137" spans="1:14" ht="12.5" x14ac:dyDescent="0.25">
      <c r="A137" s="5"/>
      <c r="B137" s="72" t="s">
        <v>348</v>
      </c>
      <c r="C137" s="127">
        <v>7.9525689999999996</v>
      </c>
      <c r="D137" s="127">
        <v>8.0938059999999989</v>
      </c>
      <c r="E137" s="127">
        <v>0.14123699999999939</v>
      </c>
      <c r="F137" s="8">
        <v>0</v>
      </c>
      <c r="H137" s="10"/>
      <c r="J137" s="126">
        <f t="shared" si="2"/>
        <v>0.14123699999999939</v>
      </c>
      <c r="L137" t="s">
        <v>640</v>
      </c>
    </row>
    <row r="138" spans="1:14" ht="12.5" x14ac:dyDescent="0.25">
      <c r="A138" s="5"/>
      <c r="B138" s="72" t="s">
        <v>349</v>
      </c>
      <c r="C138" s="127">
        <v>6164.2286740000009</v>
      </c>
      <c r="D138" s="127">
        <v>6173.935939</v>
      </c>
      <c r="E138" s="127">
        <v>9.7072649999990972</v>
      </c>
      <c r="F138" s="8">
        <v>0</v>
      </c>
      <c r="H138" s="10"/>
      <c r="J138" s="126">
        <f t="shared" si="2"/>
        <v>9.7072649999990972</v>
      </c>
      <c r="L138" t="s">
        <v>641</v>
      </c>
    </row>
    <row r="139" spans="1:14" ht="12.5" x14ac:dyDescent="0.25">
      <c r="A139" s="5"/>
      <c r="B139" s="72" t="s">
        <v>350</v>
      </c>
      <c r="C139" s="127"/>
      <c r="D139" s="127"/>
      <c r="E139" s="127"/>
      <c r="F139" s="8"/>
      <c r="H139" s="10"/>
      <c r="J139" s="126">
        <f t="shared" si="2"/>
        <v>0</v>
      </c>
      <c r="L139" t="s">
        <v>642</v>
      </c>
    </row>
    <row r="140" spans="1:14" ht="12.5" x14ac:dyDescent="0.25">
      <c r="A140" s="5"/>
      <c r="B140" s="72" t="s">
        <v>351</v>
      </c>
      <c r="C140" s="127">
        <v>580.65631999999994</v>
      </c>
      <c r="D140" s="127">
        <v>581.12588799999992</v>
      </c>
      <c r="E140" s="127">
        <v>0.46956799999998111</v>
      </c>
      <c r="F140" s="8">
        <v>0</v>
      </c>
      <c r="H140" s="10"/>
      <c r="J140" s="126">
        <f t="shared" si="2"/>
        <v>0.46956799999998111</v>
      </c>
      <c r="L140" t="s">
        <v>643</v>
      </c>
    </row>
    <row r="141" spans="1:14" ht="12.5" x14ac:dyDescent="0.25">
      <c r="A141" s="5"/>
      <c r="B141" s="72" t="s">
        <v>352</v>
      </c>
      <c r="C141" s="127">
        <v>929.71231999999998</v>
      </c>
      <c r="D141" s="127">
        <v>930.24300799999992</v>
      </c>
      <c r="E141" s="127">
        <v>0.53068799999994098</v>
      </c>
      <c r="F141" s="8">
        <v>0</v>
      </c>
      <c r="H141" s="10"/>
      <c r="J141" s="126">
        <f t="shared" si="2"/>
        <v>0.53068799999994098</v>
      </c>
      <c r="L141" t="s">
        <v>644</v>
      </c>
    </row>
    <row r="142" spans="1:14" ht="12.5" x14ac:dyDescent="0.25">
      <c r="A142" s="5"/>
      <c r="B142" s="72" t="s">
        <v>353</v>
      </c>
      <c r="C142" s="127">
        <v>340.51049599999999</v>
      </c>
      <c r="D142" s="127">
        <v>340.57324799999998</v>
      </c>
      <c r="E142" s="127">
        <v>6.2751999999989039E-2</v>
      </c>
      <c r="F142" s="8">
        <v>0</v>
      </c>
      <c r="H142" s="10"/>
      <c r="J142" s="126">
        <f t="shared" si="2"/>
        <v>6.2751999999989039E-2</v>
      </c>
      <c r="L142" t="s">
        <v>645</v>
      </c>
    </row>
    <row r="143" spans="1:14" ht="12.5" x14ac:dyDescent="0.25">
      <c r="A143" s="5"/>
      <c r="B143" s="72" t="s">
        <v>354</v>
      </c>
      <c r="C143" s="127"/>
      <c r="D143" s="127"/>
      <c r="E143" s="127"/>
      <c r="F143" s="8">
        <v>0</v>
      </c>
      <c r="H143" s="10"/>
      <c r="J143" s="126">
        <f t="shared" si="2"/>
        <v>0</v>
      </c>
      <c r="L143" t="s">
        <v>646</v>
      </c>
    </row>
    <row r="144" spans="1:14" ht="12.5" x14ac:dyDescent="0.25">
      <c r="A144" s="5"/>
      <c r="B144" s="72" t="s">
        <v>355</v>
      </c>
      <c r="C144" s="127">
        <v>1944.279808</v>
      </c>
      <c r="D144" s="127">
        <v>1946.519552</v>
      </c>
      <c r="E144" s="127">
        <v>2.2397439999999733</v>
      </c>
      <c r="F144" s="8">
        <v>0</v>
      </c>
      <c r="H144" s="10"/>
      <c r="J144" s="126">
        <f t="shared" si="2"/>
        <v>2.2397439999999733</v>
      </c>
      <c r="L144" t="s">
        <v>647</v>
      </c>
      <c r="N144" s="93"/>
    </row>
    <row r="145" spans="1:13" ht="12.5" x14ac:dyDescent="0.25">
      <c r="A145" s="5"/>
      <c r="B145" s="72" t="s">
        <v>356</v>
      </c>
      <c r="C145" s="127">
        <v>2271.4350079999999</v>
      </c>
      <c r="D145" s="127">
        <v>2274.9629439999999</v>
      </c>
      <c r="E145" s="127">
        <v>3.5279359999999542</v>
      </c>
      <c r="F145" s="8">
        <v>0</v>
      </c>
      <c r="H145" s="10"/>
      <c r="J145" s="126">
        <f t="shared" si="2"/>
        <v>3.5279359999999542</v>
      </c>
      <c r="L145" t="s">
        <v>648</v>
      </c>
    </row>
    <row r="146" spans="1:13" ht="12.5" x14ac:dyDescent="0.25">
      <c r="A146" s="5"/>
      <c r="B146" s="72" t="s">
        <v>357</v>
      </c>
      <c r="C146" s="127">
        <v>2549.9335679999999</v>
      </c>
      <c r="D146" s="127">
        <v>2550.2538239999999</v>
      </c>
      <c r="E146" s="127">
        <v>0.32025599999997212</v>
      </c>
      <c r="F146" s="8">
        <v>0</v>
      </c>
      <c r="H146" s="10"/>
      <c r="J146" s="126">
        <f t="shared" si="2"/>
        <v>0.32025599999997212</v>
      </c>
      <c r="L146" t="s">
        <v>649</v>
      </c>
    </row>
    <row r="147" spans="1:13" ht="12.5" x14ac:dyDescent="0.25">
      <c r="A147" s="5"/>
      <c r="B147" s="72" t="s">
        <v>358</v>
      </c>
      <c r="C147" s="127">
        <v>889.52780799999994</v>
      </c>
      <c r="D147" s="127">
        <v>889.54598399999998</v>
      </c>
      <c r="E147" s="127">
        <v>1.8176000000039494E-2</v>
      </c>
      <c r="F147" s="8">
        <v>0</v>
      </c>
      <c r="H147" s="10"/>
      <c r="J147" s="126">
        <f t="shared" si="2"/>
        <v>1.8176000000039494E-2</v>
      </c>
      <c r="L147" t="s">
        <v>650</v>
      </c>
    </row>
    <row r="148" spans="1:13" ht="12.5" x14ac:dyDescent="0.25">
      <c r="A148" s="5"/>
      <c r="B148" s="72" t="s">
        <v>359</v>
      </c>
      <c r="C148" s="127">
        <v>0</v>
      </c>
      <c r="D148" s="127">
        <v>0</v>
      </c>
      <c r="E148" s="127">
        <v>0</v>
      </c>
      <c r="F148" s="8">
        <v>0</v>
      </c>
      <c r="H148" s="10"/>
      <c r="J148" s="126">
        <f t="shared" si="2"/>
        <v>0</v>
      </c>
      <c r="L148" t="s">
        <v>651</v>
      </c>
    </row>
    <row r="149" spans="1:13" ht="12.5" x14ac:dyDescent="0.25">
      <c r="A149" s="5"/>
      <c r="B149" s="72" t="s">
        <v>360</v>
      </c>
      <c r="C149" s="9"/>
      <c r="D149" s="9"/>
      <c r="E149" s="9"/>
      <c r="F149" s="8"/>
      <c r="H149" s="10"/>
      <c r="J149" s="126">
        <f t="shared" si="2"/>
        <v>0</v>
      </c>
      <c r="L149" t="s">
        <v>652</v>
      </c>
    </row>
    <row r="150" spans="1:13" ht="12.5" x14ac:dyDescent="0.25">
      <c r="A150" s="5"/>
      <c r="B150" s="72" t="s">
        <v>653</v>
      </c>
      <c r="C150" s="166">
        <v>106.679644</v>
      </c>
      <c r="D150" s="166">
        <v>109.22755900000001</v>
      </c>
      <c r="E150" s="9">
        <v>2.5479150000000175</v>
      </c>
      <c r="F150" s="8">
        <v>0</v>
      </c>
      <c r="H150" s="10"/>
      <c r="J150" s="126">
        <f t="shared" si="2"/>
        <v>2.5479150000000175</v>
      </c>
    </row>
    <row r="151" spans="1:13" ht="14.5" x14ac:dyDescent="0.25">
      <c r="A151" s="5"/>
      <c r="B151" s="81" t="s">
        <v>24</v>
      </c>
      <c r="C151" s="9"/>
      <c r="D151" s="9"/>
      <c r="E151" s="9"/>
      <c r="F151" s="8"/>
      <c r="H151" s="10"/>
      <c r="J151" s="126">
        <f>REP_Interval!C103</f>
        <v>0</v>
      </c>
    </row>
    <row r="152" spans="1:13" ht="14.5" x14ac:dyDescent="0.25">
      <c r="A152" s="5"/>
      <c r="B152" s="81" t="s">
        <v>24</v>
      </c>
      <c r="C152" s="9"/>
      <c r="D152" s="9"/>
      <c r="E152" s="9"/>
      <c r="F152" s="8"/>
      <c r="H152" s="10"/>
      <c r="J152" s="126">
        <f t="shared" si="2"/>
        <v>0</v>
      </c>
    </row>
    <row r="153" spans="1:13" ht="14.5" x14ac:dyDescent="0.25">
      <c r="A153" s="5"/>
      <c r="B153" s="81" t="s">
        <v>24</v>
      </c>
      <c r="C153" s="9"/>
      <c r="D153" s="9"/>
      <c r="E153" s="9"/>
      <c r="F153" s="8"/>
      <c r="H153" s="10"/>
      <c r="J153" s="126">
        <f t="shared" si="2"/>
        <v>0</v>
      </c>
    </row>
    <row r="154" spans="1:13" ht="12.5" x14ac:dyDescent="0.25">
      <c r="A154" s="5"/>
      <c r="B154" s="7"/>
      <c r="C154" s="9"/>
      <c r="D154" s="9"/>
      <c r="E154" s="9"/>
      <c r="F154" s="8"/>
      <c r="H154" s="10"/>
      <c r="J154" s="126">
        <f t="shared" si="2"/>
        <v>0</v>
      </c>
    </row>
    <row r="155" spans="1:13" ht="12.5" x14ac:dyDescent="0.25">
      <c r="A155" s="5"/>
      <c r="B155" s="7"/>
      <c r="C155" s="9"/>
      <c r="D155" s="9"/>
      <c r="E155" s="9"/>
      <c r="F155" s="8"/>
      <c r="H155" s="10"/>
      <c r="J155" s="126">
        <f t="shared" si="2"/>
        <v>0</v>
      </c>
    </row>
    <row r="156" spans="1:13" ht="12.5" x14ac:dyDescent="0.25">
      <c r="A156" s="5"/>
      <c r="B156" s="7"/>
      <c r="C156" s="9"/>
      <c r="D156" s="9"/>
      <c r="E156" s="9"/>
      <c r="F156" s="8"/>
      <c r="H156" s="10"/>
      <c r="J156" s="126">
        <f t="shared" si="2"/>
        <v>0</v>
      </c>
    </row>
    <row r="157" spans="1:13" ht="12.5" x14ac:dyDescent="0.25">
      <c r="A157" s="5"/>
      <c r="B157" s="7"/>
      <c r="C157" s="9"/>
      <c r="D157" s="9"/>
      <c r="E157" s="9"/>
      <c r="F157" s="8"/>
      <c r="H157" s="10"/>
      <c r="J157" s="126">
        <f t="shared" si="2"/>
        <v>0</v>
      </c>
    </row>
    <row r="158" spans="1:13" ht="12.5" x14ac:dyDescent="0.25">
      <c r="A158" s="5"/>
      <c r="B158" s="7"/>
      <c r="C158" s="9"/>
      <c r="D158" s="9"/>
      <c r="E158" s="9"/>
      <c r="F158" s="8"/>
      <c r="H158" s="10"/>
      <c r="J158" s="126">
        <f t="shared" si="2"/>
        <v>0</v>
      </c>
      <c r="M158" s="72"/>
    </row>
    <row r="159" spans="1:13" ht="12.5" x14ac:dyDescent="0.25">
      <c r="A159" s="5"/>
      <c r="B159" s="7"/>
      <c r="C159" s="9"/>
      <c r="D159" s="9"/>
      <c r="E159" s="9"/>
      <c r="F159" s="8"/>
      <c r="H159" s="10"/>
      <c r="J159" s="126">
        <f t="shared" si="2"/>
        <v>0</v>
      </c>
      <c r="M159" s="72"/>
    </row>
    <row r="160" spans="1:13" ht="12.5" x14ac:dyDescent="0.25">
      <c r="A160" s="5"/>
      <c r="B160" s="7"/>
      <c r="C160" s="9"/>
      <c r="D160" s="9"/>
      <c r="E160" s="9"/>
      <c r="F160" s="8"/>
      <c r="H160" s="10"/>
      <c r="J160" s="126">
        <f t="shared" si="2"/>
        <v>0</v>
      </c>
      <c r="M160" s="72"/>
    </row>
    <row r="161" spans="10:13" x14ac:dyDescent="0.3">
      <c r="J161" s="126">
        <f t="shared" si="2"/>
        <v>0</v>
      </c>
      <c r="M161" s="72"/>
    </row>
    <row r="162" spans="10:13" x14ac:dyDescent="0.3">
      <c r="J162" s="126">
        <f t="shared" si="2"/>
        <v>0</v>
      </c>
      <c r="M162" s="72"/>
    </row>
    <row r="163" spans="10:13" x14ac:dyDescent="0.3">
      <c r="J163" s="126">
        <f t="shared" si="2"/>
        <v>0</v>
      </c>
      <c r="M163" s="72"/>
    </row>
    <row r="164" spans="10:13" x14ac:dyDescent="0.3">
      <c r="J164" s="126">
        <f t="shared" si="2"/>
        <v>0</v>
      </c>
      <c r="M164" s="72"/>
    </row>
    <row r="165" spans="10:13" x14ac:dyDescent="0.3">
      <c r="J165" s="126">
        <f t="shared" si="2"/>
        <v>0</v>
      </c>
      <c r="M165" s="72"/>
    </row>
    <row r="166" spans="10:13" x14ac:dyDescent="0.3">
      <c r="J166" s="126">
        <f t="shared" si="2"/>
        <v>0</v>
      </c>
      <c r="M166" s="72"/>
    </row>
    <row r="167" spans="10:13" x14ac:dyDescent="0.3">
      <c r="J167" s="126">
        <f t="shared" si="2"/>
        <v>0</v>
      </c>
      <c r="M167" s="72"/>
    </row>
    <row r="168" spans="10:13" x14ac:dyDescent="0.3">
      <c r="J168" s="126">
        <f t="shared" si="2"/>
        <v>0</v>
      </c>
      <c r="M168" s="72"/>
    </row>
    <row r="169" spans="10:13" x14ac:dyDescent="0.3">
      <c r="J169" s="126">
        <f t="shared" si="2"/>
        <v>0</v>
      </c>
      <c r="M169" s="72"/>
    </row>
    <row r="170" spans="10:13" x14ac:dyDescent="0.3">
      <c r="J170" s="126">
        <f t="shared" si="2"/>
        <v>0</v>
      </c>
      <c r="M170" s="72"/>
    </row>
    <row r="171" spans="10:13" x14ac:dyDescent="0.3">
      <c r="J171" s="126">
        <f t="shared" si="2"/>
        <v>0</v>
      </c>
      <c r="M171" s="72"/>
    </row>
    <row r="172" spans="10:13" x14ac:dyDescent="0.3">
      <c r="J172" s="126">
        <f t="shared" si="2"/>
        <v>0</v>
      </c>
      <c r="M172" s="72"/>
    </row>
    <row r="173" spans="10:13" x14ac:dyDescent="0.3">
      <c r="J173" s="126">
        <f t="shared" si="2"/>
        <v>0</v>
      </c>
      <c r="M173" s="72"/>
    </row>
    <row r="174" spans="10:13" x14ac:dyDescent="0.3">
      <c r="J174" s="126">
        <f t="shared" si="2"/>
        <v>0</v>
      </c>
      <c r="M174" s="72"/>
    </row>
    <row r="175" spans="10:13" x14ac:dyDescent="0.3">
      <c r="J175" s="126">
        <f t="shared" si="2"/>
        <v>0</v>
      </c>
      <c r="M175" s="72"/>
    </row>
    <row r="176" spans="10:13" x14ac:dyDescent="0.3">
      <c r="J176" s="126">
        <f t="shared" si="2"/>
        <v>0</v>
      </c>
      <c r="M176" s="72"/>
    </row>
    <row r="177" spans="10:13" x14ac:dyDescent="0.3">
      <c r="J177" s="126">
        <f t="shared" si="2"/>
        <v>0</v>
      </c>
      <c r="M177" s="72"/>
    </row>
    <row r="178" spans="10:13" x14ac:dyDescent="0.3">
      <c r="J178" s="126">
        <f t="shared" si="2"/>
        <v>0</v>
      </c>
      <c r="M178" s="72"/>
    </row>
    <row r="179" spans="10:13" x14ac:dyDescent="0.3">
      <c r="J179" s="126">
        <f t="shared" si="2"/>
        <v>0</v>
      </c>
      <c r="M179" s="72"/>
    </row>
    <row r="180" spans="10:13" x14ac:dyDescent="0.3">
      <c r="J180" s="126">
        <f t="shared" si="2"/>
        <v>0</v>
      </c>
      <c r="M180" s="72"/>
    </row>
    <row r="181" spans="10:13" x14ac:dyDescent="0.3">
      <c r="J181" s="126">
        <f t="shared" si="2"/>
        <v>0</v>
      </c>
      <c r="M181" s="72"/>
    </row>
    <row r="182" spans="10:13" x14ac:dyDescent="0.3">
      <c r="J182" s="126">
        <f t="shared" si="2"/>
        <v>0</v>
      </c>
      <c r="M182" s="72"/>
    </row>
    <row r="183" spans="10:13" x14ac:dyDescent="0.3">
      <c r="J183" s="126">
        <f t="shared" si="2"/>
        <v>0</v>
      </c>
      <c r="M183" s="72"/>
    </row>
    <row r="184" spans="10:13" x14ac:dyDescent="0.3">
      <c r="J184" s="126">
        <f t="shared" si="2"/>
        <v>0</v>
      </c>
      <c r="M184" s="72"/>
    </row>
    <row r="185" spans="10:13" x14ac:dyDescent="0.3">
      <c r="J185" s="126">
        <f t="shared" si="2"/>
        <v>0</v>
      </c>
      <c r="M185" s="72"/>
    </row>
    <row r="186" spans="10:13" x14ac:dyDescent="0.3">
      <c r="J186" s="126">
        <f t="shared" si="2"/>
        <v>0</v>
      </c>
      <c r="M186" s="72"/>
    </row>
    <row r="187" spans="10:13" x14ac:dyDescent="0.3">
      <c r="J187" s="126">
        <f t="shared" si="2"/>
        <v>0</v>
      </c>
      <c r="M187" s="72"/>
    </row>
    <row r="188" spans="10:13" x14ac:dyDescent="0.3">
      <c r="J188" s="126">
        <f t="shared" si="2"/>
        <v>0</v>
      </c>
      <c r="M188" s="72"/>
    </row>
    <row r="189" spans="10:13" x14ac:dyDescent="0.3">
      <c r="J189" s="126">
        <f t="shared" si="2"/>
        <v>0</v>
      </c>
      <c r="M189" s="72"/>
    </row>
    <row r="190" spans="10:13" x14ac:dyDescent="0.3">
      <c r="J190" s="126">
        <f t="shared" si="2"/>
        <v>0</v>
      </c>
      <c r="M190" s="72"/>
    </row>
    <row r="191" spans="10:13" x14ac:dyDescent="0.3">
      <c r="J191" s="126">
        <f t="shared" si="2"/>
        <v>0</v>
      </c>
      <c r="M191" s="72"/>
    </row>
    <row r="192" spans="10:13" x14ac:dyDescent="0.3">
      <c r="J192" s="126">
        <f t="shared" si="2"/>
        <v>0</v>
      </c>
      <c r="M192" s="72"/>
    </row>
    <row r="193" spans="10:13" x14ac:dyDescent="0.3">
      <c r="J193" s="126">
        <f t="shared" si="2"/>
        <v>0</v>
      </c>
      <c r="M193" s="72"/>
    </row>
    <row r="194" spans="10:13" x14ac:dyDescent="0.3">
      <c r="J194" s="126">
        <f t="shared" si="2"/>
        <v>0</v>
      </c>
      <c r="M194" s="72"/>
    </row>
    <row r="195" spans="10:13" x14ac:dyDescent="0.3">
      <c r="J195" s="126">
        <f t="shared" si="2"/>
        <v>0</v>
      </c>
      <c r="M195" s="72"/>
    </row>
    <row r="196" spans="10:13" x14ac:dyDescent="0.3">
      <c r="J196" s="126">
        <f t="shared" si="2"/>
        <v>0</v>
      </c>
      <c r="M196" s="72"/>
    </row>
    <row r="197" spans="10:13" x14ac:dyDescent="0.3">
      <c r="J197" s="126">
        <f t="shared" ref="J197:J260" si="3">E197</f>
        <v>0</v>
      </c>
      <c r="M197" s="72"/>
    </row>
    <row r="198" spans="10:13" x14ac:dyDescent="0.3">
      <c r="J198" s="126">
        <f t="shared" si="3"/>
        <v>0</v>
      </c>
      <c r="M198" s="72"/>
    </row>
    <row r="199" spans="10:13" x14ac:dyDescent="0.3">
      <c r="J199" s="126">
        <f t="shared" si="3"/>
        <v>0</v>
      </c>
      <c r="M199" s="72"/>
    </row>
    <row r="200" spans="10:13" x14ac:dyDescent="0.3">
      <c r="J200" s="126">
        <f t="shared" si="3"/>
        <v>0</v>
      </c>
      <c r="M200" s="72"/>
    </row>
    <row r="201" spans="10:13" x14ac:dyDescent="0.3">
      <c r="J201" s="126">
        <f t="shared" si="3"/>
        <v>0</v>
      </c>
      <c r="M201" s="72"/>
    </row>
    <row r="202" spans="10:13" x14ac:dyDescent="0.3">
      <c r="J202" s="126">
        <f t="shared" si="3"/>
        <v>0</v>
      </c>
      <c r="M202" s="72"/>
    </row>
    <row r="203" spans="10:13" x14ac:dyDescent="0.3">
      <c r="J203" s="126">
        <f t="shared" si="3"/>
        <v>0</v>
      </c>
      <c r="M203" s="72"/>
    </row>
    <row r="204" spans="10:13" x14ac:dyDescent="0.3">
      <c r="J204" s="126">
        <f t="shared" si="3"/>
        <v>0</v>
      </c>
      <c r="M204" s="72"/>
    </row>
    <row r="205" spans="10:13" x14ac:dyDescent="0.3">
      <c r="J205" s="126">
        <f t="shared" si="3"/>
        <v>0</v>
      </c>
      <c r="M205" s="72"/>
    </row>
    <row r="206" spans="10:13" x14ac:dyDescent="0.3">
      <c r="J206" s="126">
        <f t="shared" si="3"/>
        <v>0</v>
      </c>
      <c r="M206" s="72"/>
    </row>
    <row r="207" spans="10:13" x14ac:dyDescent="0.3">
      <c r="J207" s="126">
        <f t="shared" si="3"/>
        <v>0</v>
      </c>
      <c r="M207" s="72"/>
    </row>
    <row r="208" spans="10:13" x14ac:dyDescent="0.3">
      <c r="J208" s="126">
        <f t="shared" si="3"/>
        <v>0</v>
      </c>
    </row>
    <row r="209" spans="10:10" x14ac:dyDescent="0.3">
      <c r="J209" s="126">
        <f t="shared" si="3"/>
        <v>0</v>
      </c>
    </row>
    <row r="210" spans="10:10" x14ac:dyDescent="0.3">
      <c r="J210" s="126">
        <f t="shared" si="3"/>
        <v>0</v>
      </c>
    </row>
    <row r="211" spans="10:10" x14ac:dyDescent="0.3">
      <c r="J211" s="126">
        <f t="shared" si="3"/>
        <v>0</v>
      </c>
    </row>
    <row r="212" spans="10:10" x14ac:dyDescent="0.3">
      <c r="J212" s="126">
        <f t="shared" si="3"/>
        <v>0</v>
      </c>
    </row>
    <row r="213" spans="10:10" x14ac:dyDescent="0.3">
      <c r="J213" s="126">
        <f t="shared" si="3"/>
        <v>0</v>
      </c>
    </row>
    <row r="214" spans="10:10" x14ac:dyDescent="0.3">
      <c r="J214" s="126">
        <f t="shared" si="3"/>
        <v>0</v>
      </c>
    </row>
    <row r="215" spans="10:10" x14ac:dyDescent="0.3">
      <c r="J215" s="126">
        <f t="shared" si="3"/>
        <v>0</v>
      </c>
    </row>
    <row r="216" spans="10:10" x14ac:dyDescent="0.3">
      <c r="J216" s="126">
        <f t="shared" si="3"/>
        <v>0</v>
      </c>
    </row>
    <row r="217" spans="10:10" x14ac:dyDescent="0.3">
      <c r="J217" s="126">
        <f t="shared" si="3"/>
        <v>0</v>
      </c>
    </row>
    <row r="218" spans="10:10" x14ac:dyDescent="0.3">
      <c r="J218" s="126">
        <f t="shared" si="3"/>
        <v>0</v>
      </c>
    </row>
    <row r="219" spans="10:10" x14ac:dyDescent="0.3">
      <c r="J219" s="126">
        <f t="shared" si="3"/>
        <v>0</v>
      </c>
    </row>
    <row r="220" spans="10:10" x14ac:dyDescent="0.3">
      <c r="J220" s="126">
        <f t="shared" si="3"/>
        <v>0</v>
      </c>
    </row>
    <row r="221" spans="10:10" x14ac:dyDescent="0.3">
      <c r="J221" s="126">
        <f t="shared" si="3"/>
        <v>0</v>
      </c>
    </row>
    <row r="222" spans="10:10" x14ac:dyDescent="0.3">
      <c r="J222" s="126">
        <f t="shared" si="3"/>
        <v>0</v>
      </c>
    </row>
    <row r="223" spans="10:10" x14ac:dyDescent="0.3">
      <c r="J223" s="126">
        <f t="shared" si="3"/>
        <v>0</v>
      </c>
    </row>
    <row r="224" spans="10:10" x14ac:dyDescent="0.3">
      <c r="J224" s="126">
        <f t="shared" si="3"/>
        <v>0</v>
      </c>
    </row>
    <row r="225" spans="10:10" x14ac:dyDescent="0.3">
      <c r="J225" s="126">
        <f t="shared" si="3"/>
        <v>0</v>
      </c>
    </row>
    <row r="226" spans="10:10" x14ac:dyDescent="0.3">
      <c r="J226" s="126">
        <f t="shared" si="3"/>
        <v>0</v>
      </c>
    </row>
    <row r="227" spans="10:10" x14ac:dyDescent="0.3">
      <c r="J227" s="126">
        <f t="shared" si="3"/>
        <v>0</v>
      </c>
    </row>
    <row r="228" spans="10:10" x14ac:dyDescent="0.3">
      <c r="J228" s="126">
        <f t="shared" si="3"/>
        <v>0</v>
      </c>
    </row>
    <row r="229" spans="10:10" x14ac:dyDescent="0.3">
      <c r="J229" s="126">
        <f t="shared" si="3"/>
        <v>0</v>
      </c>
    </row>
    <row r="230" spans="10:10" x14ac:dyDescent="0.3">
      <c r="J230" s="126">
        <f t="shared" si="3"/>
        <v>0</v>
      </c>
    </row>
    <row r="231" spans="10:10" x14ac:dyDescent="0.3">
      <c r="J231" s="126">
        <f t="shared" si="3"/>
        <v>0</v>
      </c>
    </row>
    <row r="232" spans="10:10" x14ac:dyDescent="0.3">
      <c r="J232" s="126">
        <f t="shared" si="3"/>
        <v>0</v>
      </c>
    </row>
    <row r="233" spans="10:10" x14ac:dyDescent="0.3">
      <c r="J233" s="126">
        <f t="shared" si="3"/>
        <v>0</v>
      </c>
    </row>
    <row r="234" spans="10:10" x14ac:dyDescent="0.3">
      <c r="J234" s="126">
        <f t="shared" si="3"/>
        <v>0</v>
      </c>
    </row>
    <row r="235" spans="10:10" x14ac:dyDescent="0.3">
      <c r="J235" s="126">
        <f t="shared" si="3"/>
        <v>0</v>
      </c>
    </row>
    <row r="236" spans="10:10" x14ac:dyDescent="0.3">
      <c r="J236" s="126">
        <f t="shared" si="3"/>
        <v>0</v>
      </c>
    </row>
    <row r="237" spans="10:10" x14ac:dyDescent="0.3">
      <c r="J237" s="126">
        <f t="shared" si="3"/>
        <v>0</v>
      </c>
    </row>
    <row r="238" spans="10:10" x14ac:dyDescent="0.3">
      <c r="J238" s="126">
        <f t="shared" si="3"/>
        <v>0</v>
      </c>
    </row>
    <row r="239" spans="10:10" x14ac:dyDescent="0.3">
      <c r="J239" s="126">
        <f t="shared" si="3"/>
        <v>0</v>
      </c>
    </row>
    <row r="240" spans="10:10" x14ac:dyDescent="0.3">
      <c r="J240" s="126">
        <f t="shared" si="3"/>
        <v>0</v>
      </c>
    </row>
    <row r="241" spans="10:10" x14ac:dyDescent="0.3">
      <c r="J241" s="126">
        <f t="shared" si="3"/>
        <v>0</v>
      </c>
    </row>
    <row r="242" spans="10:10" x14ac:dyDescent="0.3">
      <c r="J242" s="126">
        <f t="shared" si="3"/>
        <v>0</v>
      </c>
    </row>
    <row r="243" spans="10:10" x14ac:dyDescent="0.3">
      <c r="J243" s="126">
        <f t="shared" si="3"/>
        <v>0</v>
      </c>
    </row>
    <row r="244" spans="10:10" x14ac:dyDescent="0.3">
      <c r="J244" s="126">
        <f t="shared" si="3"/>
        <v>0</v>
      </c>
    </row>
    <row r="245" spans="10:10" x14ac:dyDescent="0.3">
      <c r="J245" s="126">
        <f t="shared" si="3"/>
        <v>0</v>
      </c>
    </row>
    <row r="246" spans="10:10" x14ac:dyDescent="0.3">
      <c r="J246" s="126">
        <f t="shared" si="3"/>
        <v>0</v>
      </c>
    </row>
    <row r="247" spans="10:10" x14ac:dyDescent="0.3">
      <c r="J247" s="126">
        <f t="shared" si="3"/>
        <v>0</v>
      </c>
    </row>
    <row r="248" spans="10:10" x14ac:dyDescent="0.3">
      <c r="J248" s="126">
        <f t="shared" si="3"/>
        <v>0</v>
      </c>
    </row>
    <row r="249" spans="10:10" x14ac:dyDescent="0.3">
      <c r="J249" s="126">
        <f t="shared" si="3"/>
        <v>0</v>
      </c>
    </row>
    <row r="250" spans="10:10" x14ac:dyDescent="0.3">
      <c r="J250" s="126">
        <f t="shared" si="3"/>
        <v>0</v>
      </c>
    </row>
    <row r="251" spans="10:10" x14ac:dyDescent="0.3">
      <c r="J251" s="126">
        <f t="shared" si="3"/>
        <v>0</v>
      </c>
    </row>
    <row r="252" spans="10:10" x14ac:dyDescent="0.3">
      <c r="J252" s="126">
        <f t="shared" si="3"/>
        <v>0</v>
      </c>
    </row>
    <row r="253" spans="10:10" x14ac:dyDescent="0.3">
      <c r="J253" s="126">
        <f t="shared" si="3"/>
        <v>0</v>
      </c>
    </row>
    <row r="254" spans="10:10" x14ac:dyDescent="0.3">
      <c r="J254" s="126">
        <f t="shared" si="3"/>
        <v>0</v>
      </c>
    </row>
    <row r="255" spans="10:10" x14ac:dyDescent="0.3">
      <c r="J255" s="126">
        <f t="shared" si="3"/>
        <v>0</v>
      </c>
    </row>
    <row r="256" spans="10:10" x14ac:dyDescent="0.3">
      <c r="J256" s="126">
        <f t="shared" si="3"/>
        <v>0</v>
      </c>
    </row>
    <row r="257" spans="10:10" x14ac:dyDescent="0.3">
      <c r="J257" s="126">
        <f t="shared" si="3"/>
        <v>0</v>
      </c>
    </row>
    <row r="258" spans="10:10" x14ac:dyDescent="0.3">
      <c r="J258" s="126">
        <f t="shared" si="3"/>
        <v>0</v>
      </c>
    </row>
    <row r="259" spans="10:10" x14ac:dyDescent="0.3">
      <c r="J259" s="126">
        <f t="shared" si="3"/>
        <v>0</v>
      </c>
    </row>
    <row r="260" spans="10:10" x14ac:dyDescent="0.3">
      <c r="J260" s="126">
        <f t="shared" si="3"/>
        <v>0</v>
      </c>
    </row>
    <row r="261" spans="10:10" x14ac:dyDescent="0.3">
      <c r="J261" s="126">
        <f t="shared" ref="J261:J324" si="4">E261</f>
        <v>0</v>
      </c>
    </row>
    <row r="262" spans="10:10" x14ac:dyDescent="0.3">
      <c r="J262" s="126">
        <f t="shared" si="4"/>
        <v>0</v>
      </c>
    </row>
    <row r="263" spans="10:10" x14ac:dyDescent="0.3">
      <c r="J263" s="126">
        <f t="shared" si="4"/>
        <v>0</v>
      </c>
    </row>
    <row r="264" spans="10:10" x14ac:dyDescent="0.3">
      <c r="J264" s="126">
        <f t="shared" si="4"/>
        <v>0</v>
      </c>
    </row>
    <row r="265" spans="10:10" x14ac:dyDescent="0.3">
      <c r="J265" s="126">
        <f t="shared" si="4"/>
        <v>0</v>
      </c>
    </row>
    <row r="266" spans="10:10" x14ac:dyDescent="0.3">
      <c r="J266" s="126">
        <f t="shared" si="4"/>
        <v>0</v>
      </c>
    </row>
    <row r="267" spans="10:10" x14ac:dyDescent="0.3">
      <c r="J267" s="126">
        <f t="shared" si="4"/>
        <v>0</v>
      </c>
    </row>
    <row r="268" spans="10:10" x14ac:dyDescent="0.3">
      <c r="J268" s="126">
        <f t="shared" si="4"/>
        <v>0</v>
      </c>
    </row>
    <row r="269" spans="10:10" x14ac:dyDescent="0.3">
      <c r="J269" s="126">
        <f t="shared" si="4"/>
        <v>0</v>
      </c>
    </row>
    <row r="270" spans="10:10" x14ac:dyDescent="0.3">
      <c r="J270" s="126">
        <f t="shared" si="4"/>
        <v>0</v>
      </c>
    </row>
    <row r="271" spans="10:10" x14ac:dyDescent="0.3">
      <c r="J271" s="126">
        <f t="shared" si="4"/>
        <v>0</v>
      </c>
    </row>
    <row r="272" spans="10:10" x14ac:dyDescent="0.3">
      <c r="J272" s="126">
        <f t="shared" si="4"/>
        <v>0</v>
      </c>
    </row>
    <row r="273" spans="10:10" x14ac:dyDescent="0.3">
      <c r="J273" s="126">
        <f t="shared" si="4"/>
        <v>0</v>
      </c>
    </row>
    <row r="274" spans="10:10" x14ac:dyDescent="0.3">
      <c r="J274" s="126">
        <f t="shared" si="4"/>
        <v>0</v>
      </c>
    </row>
    <row r="275" spans="10:10" x14ac:dyDescent="0.3">
      <c r="J275" s="126">
        <f t="shared" si="4"/>
        <v>0</v>
      </c>
    </row>
    <row r="276" spans="10:10" x14ac:dyDescent="0.3">
      <c r="J276" s="126">
        <f t="shared" si="4"/>
        <v>0</v>
      </c>
    </row>
    <row r="277" spans="10:10" x14ac:dyDescent="0.3">
      <c r="J277" s="126">
        <f t="shared" si="4"/>
        <v>0</v>
      </c>
    </row>
    <row r="278" spans="10:10" x14ac:dyDescent="0.3">
      <c r="J278" s="126">
        <f t="shared" si="4"/>
        <v>0</v>
      </c>
    </row>
    <row r="279" spans="10:10" x14ac:dyDescent="0.3">
      <c r="J279" s="126">
        <f t="shared" si="4"/>
        <v>0</v>
      </c>
    </row>
    <row r="280" spans="10:10" x14ac:dyDescent="0.3">
      <c r="J280" s="126">
        <f t="shared" si="4"/>
        <v>0</v>
      </c>
    </row>
    <row r="281" spans="10:10" x14ac:dyDescent="0.3">
      <c r="J281" s="126">
        <f t="shared" si="4"/>
        <v>0</v>
      </c>
    </row>
    <row r="282" spans="10:10" x14ac:dyDescent="0.3">
      <c r="J282" s="126">
        <f t="shared" si="4"/>
        <v>0</v>
      </c>
    </row>
    <row r="283" spans="10:10" x14ac:dyDescent="0.3">
      <c r="J283" s="126">
        <f t="shared" si="4"/>
        <v>0</v>
      </c>
    </row>
    <row r="284" spans="10:10" x14ac:dyDescent="0.3">
      <c r="J284" s="126">
        <f t="shared" si="4"/>
        <v>0</v>
      </c>
    </row>
    <row r="285" spans="10:10" x14ac:dyDescent="0.3">
      <c r="J285" s="126">
        <f t="shared" si="4"/>
        <v>0</v>
      </c>
    </row>
    <row r="286" spans="10:10" x14ac:dyDescent="0.3">
      <c r="J286" s="126">
        <f t="shared" si="4"/>
        <v>0</v>
      </c>
    </row>
    <row r="287" spans="10:10" x14ac:dyDescent="0.3">
      <c r="J287" s="126">
        <f t="shared" si="4"/>
        <v>0</v>
      </c>
    </row>
    <row r="288" spans="10:10" x14ac:dyDescent="0.3">
      <c r="J288" s="126">
        <f t="shared" si="4"/>
        <v>0</v>
      </c>
    </row>
    <row r="289" spans="10:10" x14ac:dyDescent="0.3">
      <c r="J289" s="126">
        <f t="shared" si="4"/>
        <v>0</v>
      </c>
    </row>
    <row r="290" spans="10:10" x14ac:dyDescent="0.3">
      <c r="J290" s="126">
        <f t="shared" si="4"/>
        <v>0</v>
      </c>
    </row>
    <row r="291" spans="10:10" x14ac:dyDescent="0.3">
      <c r="J291" s="126">
        <f t="shared" si="4"/>
        <v>0</v>
      </c>
    </row>
    <row r="292" spans="10:10" x14ac:dyDescent="0.3">
      <c r="J292" s="126">
        <f t="shared" si="4"/>
        <v>0</v>
      </c>
    </row>
    <row r="293" spans="10:10" x14ac:dyDescent="0.3">
      <c r="J293" s="126">
        <f t="shared" si="4"/>
        <v>0</v>
      </c>
    </row>
    <row r="294" spans="10:10" x14ac:dyDescent="0.3">
      <c r="J294" s="126">
        <f t="shared" si="4"/>
        <v>0</v>
      </c>
    </row>
    <row r="295" spans="10:10" x14ac:dyDescent="0.3">
      <c r="J295" s="126">
        <f t="shared" si="4"/>
        <v>0</v>
      </c>
    </row>
    <row r="296" spans="10:10" x14ac:dyDescent="0.3">
      <c r="J296" s="126">
        <f t="shared" si="4"/>
        <v>0</v>
      </c>
    </row>
    <row r="297" spans="10:10" x14ac:dyDescent="0.3">
      <c r="J297" s="126">
        <f t="shared" si="4"/>
        <v>0</v>
      </c>
    </row>
    <row r="298" spans="10:10" x14ac:dyDescent="0.3">
      <c r="J298" s="126">
        <f t="shared" si="4"/>
        <v>0</v>
      </c>
    </row>
    <row r="299" spans="10:10" x14ac:dyDescent="0.3">
      <c r="J299" s="126">
        <f t="shared" si="4"/>
        <v>0</v>
      </c>
    </row>
    <row r="300" spans="10:10" x14ac:dyDescent="0.3">
      <c r="J300" s="126">
        <f t="shared" si="4"/>
        <v>0</v>
      </c>
    </row>
    <row r="301" spans="10:10" x14ac:dyDescent="0.3">
      <c r="J301" s="126">
        <f t="shared" si="4"/>
        <v>0</v>
      </c>
    </row>
    <row r="302" spans="10:10" x14ac:dyDescent="0.3">
      <c r="J302" s="126">
        <f t="shared" si="4"/>
        <v>0</v>
      </c>
    </row>
    <row r="303" spans="10:10" x14ac:dyDescent="0.3">
      <c r="J303" s="126">
        <f t="shared" si="4"/>
        <v>0</v>
      </c>
    </row>
    <row r="304" spans="10:10" x14ac:dyDescent="0.3">
      <c r="J304" s="126">
        <f t="shared" si="4"/>
        <v>0</v>
      </c>
    </row>
    <row r="305" spans="10:10" x14ac:dyDescent="0.3">
      <c r="J305" s="126">
        <f t="shared" si="4"/>
        <v>0</v>
      </c>
    </row>
    <row r="306" spans="10:10" x14ac:dyDescent="0.3">
      <c r="J306" s="126">
        <f t="shared" si="4"/>
        <v>0</v>
      </c>
    </row>
    <row r="307" spans="10:10" x14ac:dyDescent="0.3">
      <c r="J307" s="126">
        <f t="shared" si="4"/>
        <v>0</v>
      </c>
    </row>
    <row r="308" spans="10:10" x14ac:dyDescent="0.3">
      <c r="J308" s="126">
        <f t="shared" si="4"/>
        <v>0</v>
      </c>
    </row>
    <row r="309" spans="10:10" x14ac:dyDescent="0.3">
      <c r="J309" s="126">
        <f t="shared" si="4"/>
        <v>0</v>
      </c>
    </row>
    <row r="310" spans="10:10" x14ac:dyDescent="0.3">
      <c r="J310" s="126">
        <f t="shared" si="4"/>
        <v>0</v>
      </c>
    </row>
    <row r="311" spans="10:10" x14ac:dyDescent="0.3">
      <c r="J311" s="126">
        <f t="shared" si="4"/>
        <v>0</v>
      </c>
    </row>
    <row r="312" spans="10:10" x14ac:dyDescent="0.3">
      <c r="J312" s="126">
        <f t="shared" si="4"/>
        <v>0</v>
      </c>
    </row>
    <row r="313" spans="10:10" x14ac:dyDescent="0.3">
      <c r="J313" s="126">
        <f t="shared" si="4"/>
        <v>0</v>
      </c>
    </row>
    <row r="314" spans="10:10" x14ac:dyDescent="0.3">
      <c r="J314" s="126">
        <f t="shared" si="4"/>
        <v>0</v>
      </c>
    </row>
    <row r="315" spans="10:10" x14ac:dyDescent="0.3">
      <c r="J315" s="126">
        <f t="shared" si="4"/>
        <v>0</v>
      </c>
    </row>
    <row r="316" spans="10:10" x14ac:dyDescent="0.3">
      <c r="J316" s="126">
        <f t="shared" si="4"/>
        <v>0</v>
      </c>
    </row>
    <row r="317" spans="10:10" x14ac:dyDescent="0.3">
      <c r="J317" s="126">
        <f t="shared" si="4"/>
        <v>0</v>
      </c>
    </row>
    <row r="318" spans="10:10" x14ac:dyDescent="0.3">
      <c r="J318" s="126">
        <f t="shared" si="4"/>
        <v>0</v>
      </c>
    </row>
    <row r="319" spans="10:10" x14ac:dyDescent="0.3">
      <c r="J319" s="126">
        <f t="shared" si="4"/>
        <v>0</v>
      </c>
    </row>
    <row r="320" spans="10:10" x14ac:dyDescent="0.3">
      <c r="J320" s="126">
        <f t="shared" si="4"/>
        <v>0</v>
      </c>
    </row>
    <row r="321" spans="10:10" x14ac:dyDescent="0.3">
      <c r="J321" s="126">
        <f t="shared" si="4"/>
        <v>0</v>
      </c>
    </row>
    <row r="322" spans="10:10" x14ac:dyDescent="0.3">
      <c r="J322" s="126">
        <f t="shared" si="4"/>
        <v>0</v>
      </c>
    </row>
    <row r="323" spans="10:10" x14ac:dyDescent="0.3">
      <c r="J323" s="126">
        <f t="shared" si="4"/>
        <v>0</v>
      </c>
    </row>
    <row r="324" spans="10:10" x14ac:dyDescent="0.3">
      <c r="J324" s="126">
        <f t="shared" si="4"/>
        <v>0</v>
      </c>
    </row>
  </sheetData>
  <mergeCells count="1">
    <mergeCell ref="B1:E1"/>
  </mergeCells>
  <phoneticPr fontId="47" type="noConversion"/>
  <conditionalFormatting sqref="G111 G73 G78:G83 G116:G117">
    <cfRule type="duplicateValues" dxfId="75" priority="3"/>
  </conditionalFormatting>
  <conditionalFormatting sqref="M158">
    <cfRule type="duplicateValues" dxfId="74" priority="1"/>
  </conditionalFormatting>
  <conditionalFormatting sqref="M158:M207">
    <cfRule type="duplicateValues" dxfId="73" priority="2"/>
  </conditionalFormatting>
  <conditionalFormatting sqref="Q9 G37:G38 G40 G45:G50 G62 G67:G68">
    <cfRule type="duplicateValues" dxfId="72" priority="4"/>
  </conditionalFormatting>
  <pageMargins left="0.75" right="0.75" top="1" bottom="1" header="0.5" footer="0.5"/>
  <pageSetup paperSize="9" orientation="portrait" r:id="rId1"/>
  <headerFooter alignWithMargins="0">
    <oddHeader>&amp;C&amp;"Calibri"&amp;10&amp;KFF0000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7"/>
  <dimension ref="A1:T190"/>
  <sheetViews>
    <sheetView zoomScale="70" zoomScaleNormal="7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1" sqref="F1"/>
    </sheetView>
  </sheetViews>
  <sheetFormatPr defaultColWidth="9.1796875" defaultRowHeight="14.5" x14ac:dyDescent="0.35"/>
  <cols>
    <col min="1" max="1" width="3.1796875" style="95" customWidth="1"/>
    <col min="2" max="2" width="9.453125" style="95" customWidth="1"/>
    <col min="3" max="3" width="9.1796875" style="95"/>
    <col min="4" max="4" width="13" style="95" customWidth="1"/>
    <col min="5" max="5" width="14.81640625" style="95" customWidth="1"/>
    <col min="6" max="6" width="39.81640625" style="95" customWidth="1"/>
    <col min="7" max="8" width="23.453125" style="95" hidden="1" customWidth="1"/>
    <col min="9" max="9" width="39.81640625" style="95" customWidth="1"/>
    <col min="10" max="10" width="14.1796875" style="95" customWidth="1"/>
    <col min="11" max="11" width="12.81640625" style="95" customWidth="1"/>
    <col min="12" max="12" width="14.1796875" style="96" customWidth="1"/>
    <col min="13" max="13" width="13.1796875" style="95" customWidth="1"/>
    <col min="14" max="14" width="9.1796875" style="95"/>
    <col min="15" max="15" width="12.453125" style="95" bestFit="1" customWidth="1"/>
    <col min="16" max="16" width="14" style="95" bestFit="1" customWidth="1"/>
    <col min="17" max="17" width="11.81640625" style="95" bestFit="1" customWidth="1"/>
    <col min="18" max="18" width="9.1796875" style="95"/>
    <col min="19" max="19" width="24.453125" style="95" customWidth="1"/>
    <col min="20" max="16384" width="9.1796875" style="95"/>
  </cols>
  <sheetData>
    <row r="1" spans="1:20" ht="23.5" customHeight="1" x14ac:dyDescent="0.55000000000000004">
      <c r="B1" s="112"/>
      <c r="F1" s="201"/>
      <c r="G1" s="201"/>
      <c r="H1" s="201"/>
      <c r="I1" s="201"/>
      <c r="J1" s="202"/>
      <c r="K1" s="277">
        <f>DAILY_ENERGY!B2</f>
        <v>45838.291666666664</v>
      </c>
      <c r="L1" s="278"/>
      <c r="M1" s="279"/>
    </row>
    <row r="2" spans="1:20" s="110" customFormat="1" ht="15" customHeight="1" x14ac:dyDescent="1">
      <c r="B2" s="224" t="s">
        <v>492</v>
      </c>
      <c r="C2" s="225"/>
      <c r="D2" s="225"/>
      <c r="E2" s="225"/>
      <c r="F2" s="225"/>
      <c r="G2" s="225"/>
      <c r="H2" s="225"/>
      <c r="I2" s="225"/>
      <c r="J2" s="225"/>
      <c r="K2" s="225"/>
      <c r="L2" s="225"/>
      <c r="M2" s="226"/>
      <c r="N2" s="111"/>
      <c r="O2" s="111"/>
    </row>
    <row r="3" spans="1:20" s="110" customFormat="1" ht="15" customHeight="1" x14ac:dyDescent="1">
      <c r="B3" s="227"/>
      <c r="C3" s="228"/>
      <c r="D3" s="228"/>
      <c r="E3" s="228"/>
      <c r="F3" s="228"/>
      <c r="G3" s="228"/>
      <c r="H3" s="228"/>
      <c r="I3" s="228"/>
      <c r="J3" s="228"/>
      <c r="K3" s="228"/>
      <c r="L3" s="228"/>
      <c r="M3" s="229"/>
      <c r="N3" s="111"/>
      <c r="O3" s="111"/>
    </row>
    <row r="4" spans="1:20" s="110" customFormat="1" ht="15" customHeight="1" x14ac:dyDescent="1">
      <c r="B4" s="230"/>
      <c r="C4" s="231"/>
      <c r="D4" s="231"/>
      <c r="E4" s="231"/>
      <c r="F4" s="231"/>
      <c r="G4" s="231"/>
      <c r="H4" s="231"/>
      <c r="I4" s="231"/>
      <c r="J4" s="231"/>
      <c r="K4" s="231"/>
      <c r="L4" s="231"/>
      <c r="M4" s="232"/>
      <c r="N4" s="111"/>
      <c r="O4" s="111"/>
    </row>
    <row r="5" spans="1:20" ht="28" x14ac:dyDescent="0.35">
      <c r="A5" s="98"/>
      <c r="B5" s="109" t="s">
        <v>491</v>
      </c>
      <c r="C5" s="252" t="s">
        <v>490</v>
      </c>
      <c r="D5" s="252"/>
      <c r="E5" s="107" t="s">
        <v>489</v>
      </c>
      <c r="F5" s="107" t="s">
        <v>488</v>
      </c>
      <c r="G5" s="107" t="s">
        <v>4</v>
      </c>
      <c r="H5" s="107" t="s">
        <v>3</v>
      </c>
      <c r="I5" s="101" t="s">
        <v>497</v>
      </c>
      <c r="J5" s="108" t="s">
        <v>487</v>
      </c>
      <c r="K5" s="107" t="s">
        <v>486</v>
      </c>
      <c r="L5" s="280" t="s">
        <v>485</v>
      </c>
      <c r="M5" s="281"/>
    </row>
    <row r="6" spans="1:20" ht="30.25" customHeight="1" x14ac:dyDescent="0.35">
      <c r="A6" s="98"/>
      <c r="B6" s="253" t="s">
        <v>484</v>
      </c>
      <c r="C6" s="260" t="s">
        <v>483</v>
      </c>
      <c r="D6" s="261"/>
      <c r="E6" s="101">
        <v>1</v>
      </c>
      <c r="F6" s="100" t="s">
        <v>482</v>
      </c>
      <c r="G6" s="115">
        <f>DAILY_ENERGY!C10</f>
        <v>9.869269000000001</v>
      </c>
      <c r="H6" s="115">
        <f>DAILY_ENERGY!D10</f>
        <v>9.869269000000001</v>
      </c>
      <c r="I6" s="115">
        <f>DAILY_ENERGY!E10</f>
        <v>0</v>
      </c>
      <c r="J6" s="275">
        <f>SUM(I6:I10)</f>
        <v>0</v>
      </c>
      <c r="K6" s="249">
        <f>SUM(I6:I15)</f>
        <v>27.204678000000012</v>
      </c>
      <c r="L6" s="242">
        <f>J6/K6</f>
        <v>0</v>
      </c>
      <c r="M6" s="243"/>
      <c r="T6" s="106"/>
    </row>
    <row r="7" spans="1:20" ht="30.25" customHeight="1" x14ac:dyDescent="0.35">
      <c r="A7" s="98"/>
      <c r="B7" s="253"/>
      <c r="C7" s="262"/>
      <c r="D7" s="263"/>
      <c r="E7" s="101">
        <v>2</v>
      </c>
      <c r="F7" s="100" t="s">
        <v>480</v>
      </c>
      <c r="G7" s="115">
        <f>DAILY_ENERGY!C11</f>
        <v>10.170618000000001</v>
      </c>
      <c r="H7" s="115">
        <f>DAILY_ENERGY!D11</f>
        <v>10.170618000000001</v>
      </c>
      <c r="I7" s="115">
        <f>DAILY_ENERGY!E11</f>
        <v>0</v>
      </c>
      <c r="J7" s="276"/>
      <c r="K7" s="250"/>
      <c r="L7" s="244"/>
      <c r="M7" s="245"/>
    </row>
    <row r="8" spans="1:20" ht="30.25" customHeight="1" x14ac:dyDescent="0.35">
      <c r="A8" s="98"/>
      <c r="B8" s="253"/>
      <c r="C8" s="262"/>
      <c r="D8" s="263"/>
      <c r="E8" s="101">
        <v>3</v>
      </c>
      <c r="F8" s="100" t="s">
        <v>478</v>
      </c>
      <c r="G8" s="115">
        <f>DAILY_ENERGY!C12</f>
        <v>2.942987</v>
      </c>
      <c r="H8" s="115">
        <f>DAILY_ENERGY!D12</f>
        <v>2.942987</v>
      </c>
      <c r="I8" s="115">
        <f>DAILY_ENERGY!E12</f>
        <v>0</v>
      </c>
      <c r="J8" s="276"/>
      <c r="K8" s="250"/>
      <c r="L8" s="244"/>
      <c r="M8" s="245"/>
    </row>
    <row r="9" spans="1:20" ht="30.25" customHeight="1" x14ac:dyDescent="0.35">
      <c r="A9" s="98"/>
      <c r="B9" s="253"/>
      <c r="C9" s="262"/>
      <c r="D9" s="263"/>
      <c r="E9" s="101">
        <v>4</v>
      </c>
      <c r="F9" s="100" t="s">
        <v>477</v>
      </c>
      <c r="G9" s="115">
        <f>DAILY_ENERGY!C13</f>
        <v>2.8945349999999999</v>
      </c>
      <c r="H9" s="115">
        <f>DAILY_ENERGY!D13</f>
        <v>2.8945349999999999</v>
      </c>
      <c r="I9" s="115">
        <f>DAILY_ENERGY!E13</f>
        <v>0</v>
      </c>
      <c r="J9" s="276"/>
      <c r="K9" s="250"/>
      <c r="L9" s="244"/>
      <c r="M9" s="245"/>
    </row>
    <row r="10" spans="1:20" ht="30.25" customHeight="1" x14ac:dyDescent="0.35">
      <c r="A10" s="98"/>
      <c r="B10" s="253"/>
      <c r="C10" s="262"/>
      <c r="D10" s="263"/>
      <c r="E10" s="101">
        <v>5</v>
      </c>
      <c r="F10" s="100" t="s">
        <v>96</v>
      </c>
      <c r="G10" s="115">
        <f>DAILY_ENERGY!C14</f>
        <v>7.9683799999999998</v>
      </c>
      <c r="H10" s="115">
        <f>DAILY_ENERGY!D14</f>
        <v>7.9683799999999998</v>
      </c>
      <c r="I10" s="115">
        <f>DAILY_ENERGY!E14</f>
        <v>0</v>
      </c>
      <c r="J10" s="276"/>
      <c r="K10" s="250"/>
      <c r="L10" s="244"/>
      <c r="M10" s="245"/>
    </row>
    <row r="11" spans="1:20" ht="30.25" customHeight="1" x14ac:dyDescent="0.35">
      <c r="A11" s="98"/>
      <c r="B11" s="253"/>
      <c r="C11" s="260" t="s">
        <v>476</v>
      </c>
      <c r="D11" s="261"/>
      <c r="E11" s="101">
        <v>6</v>
      </c>
      <c r="F11" s="100" t="s">
        <v>475</v>
      </c>
      <c r="G11" s="115">
        <f>DAILY_ENERGY!C9</f>
        <v>40.003732999999997</v>
      </c>
      <c r="H11" s="115">
        <f>DAILY_ENERGY!D9</f>
        <v>40.003732999999997</v>
      </c>
      <c r="I11" s="115">
        <f>DAILY_ENERGY!E9</f>
        <v>0</v>
      </c>
      <c r="J11" s="116">
        <f>I11</f>
        <v>0</v>
      </c>
      <c r="K11" s="250"/>
      <c r="L11" s="242">
        <f>J11/K6</f>
        <v>0</v>
      </c>
      <c r="M11" s="243"/>
    </row>
    <row r="12" spans="1:20" ht="30.25" customHeight="1" x14ac:dyDescent="0.35">
      <c r="A12" s="98"/>
      <c r="B12" s="253"/>
      <c r="C12" s="260" t="s">
        <v>474</v>
      </c>
      <c r="D12" s="261"/>
      <c r="E12" s="101">
        <v>7</v>
      </c>
      <c r="F12" s="100" t="s">
        <v>473</v>
      </c>
      <c r="G12" s="115">
        <f>DAILY_ENERGY!C18</f>
        <v>40.120621</v>
      </c>
      <c r="H12" s="115">
        <f>DAILY_ENERGY!D18</f>
        <v>40.261482999999998</v>
      </c>
      <c r="I12" s="115">
        <f>DAILY_ENERGY!E18</f>
        <v>0.14086199999999849</v>
      </c>
      <c r="J12" s="249">
        <f>I12+I13+I14</f>
        <v>4.9013030000000128</v>
      </c>
      <c r="K12" s="250"/>
      <c r="L12" s="242">
        <f>J12/K6</f>
        <v>0.18016397768060372</v>
      </c>
      <c r="M12" s="243"/>
    </row>
    <row r="13" spans="1:20" ht="30.25" customHeight="1" x14ac:dyDescent="0.35">
      <c r="A13" s="98"/>
      <c r="B13" s="253"/>
      <c r="C13" s="262"/>
      <c r="D13" s="263"/>
      <c r="E13" s="101">
        <v>8</v>
      </c>
      <c r="F13" s="100" t="s">
        <v>472</v>
      </c>
      <c r="G13" s="115">
        <f>DAILY_ENERGY!C16</f>
        <v>621.97296600000004</v>
      </c>
      <c r="H13" s="115">
        <f>DAILY_ENERGY!D16</f>
        <v>624.31163900000001</v>
      </c>
      <c r="I13" s="115">
        <f>DAILY_ENERGY!E16</f>
        <v>2.3386729999999716</v>
      </c>
      <c r="J13" s="250"/>
      <c r="K13" s="250"/>
      <c r="L13" s="244"/>
      <c r="M13" s="245"/>
    </row>
    <row r="14" spans="1:20" ht="30.25" customHeight="1" x14ac:dyDescent="0.35">
      <c r="A14" s="98"/>
      <c r="B14" s="253"/>
      <c r="C14" s="262"/>
      <c r="D14" s="263"/>
      <c r="E14" s="101">
        <v>9</v>
      </c>
      <c r="F14" s="100" t="s">
        <v>471</v>
      </c>
      <c r="G14" s="115">
        <f>DAILY_ENERGY!C17</f>
        <v>666.93082100000004</v>
      </c>
      <c r="H14" s="115">
        <f>DAILY_ENERGY!D17</f>
        <v>669.35258900000008</v>
      </c>
      <c r="I14" s="115">
        <f>DAILY_ENERGY!E17</f>
        <v>2.4217680000000428</v>
      </c>
      <c r="J14" s="250"/>
      <c r="K14" s="250"/>
      <c r="L14" s="244"/>
      <c r="M14" s="245"/>
    </row>
    <row r="15" spans="1:20" ht="30.25" customHeight="1" x14ac:dyDescent="0.35">
      <c r="A15" s="98"/>
      <c r="B15" s="253"/>
      <c r="C15" s="252" t="s">
        <v>470</v>
      </c>
      <c r="D15" s="252"/>
      <c r="E15" s="101">
        <v>10</v>
      </c>
      <c r="F15" s="100" t="s">
        <v>469</v>
      </c>
      <c r="G15" s="115">
        <f>DAILY_ENERGY!C4*0.001</f>
        <v>1949.202125</v>
      </c>
      <c r="H15" s="115">
        <f>DAILY_ENERGY!D4*0.001</f>
        <v>1971.5055</v>
      </c>
      <c r="I15" s="115">
        <f>DAILY_ENERGY!E4*0.001</f>
        <v>22.303374999999999</v>
      </c>
      <c r="J15" s="116">
        <f>I15</f>
        <v>22.303374999999999</v>
      </c>
      <c r="K15" s="251"/>
      <c r="L15" s="233">
        <f>J15/K6</f>
        <v>0.81983602231939634</v>
      </c>
      <c r="M15" s="234"/>
    </row>
    <row r="16" spans="1:20" ht="30.25" customHeight="1" x14ac:dyDescent="0.35">
      <c r="A16" s="98"/>
      <c r="B16" s="285" t="s">
        <v>467</v>
      </c>
      <c r="C16" s="260" t="s">
        <v>466</v>
      </c>
      <c r="D16" s="261"/>
      <c r="E16" s="101">
        <v>11</v>
      </c>
      <c r="F16" s="100" t="s">
        <v>122</v>
      </c>
      <c r="G16" s="117">
        <f>DAILY_ENERGY!C46</f>
        <v>586.00204799999995</v>
      </c>
      <c r="H16" s="117">
        <f>DAILY_ENERGY!D46</f>
        <v>590.53484800000001</v>
      </c>
      <c r="I16" s="117">
        <f>DAILY_ENERGY!E46</f>
        <v>4.5328000000000657</v>
      </c>
      <c r="J16" s="118">
        <f>I16</f>
        <v>4.5328000000000657</v>
      </c>
      <c r="K16" s="266">
        <f>SUM(J16:J20)</f>
        <v>25.449696999999276</v>
      </c>
      <c r="L16" s="233">
        <f>J16/K6</f>
        <v>0.16661840290850213</v>
      </c>
      <c r="M16" s="234"/>
    </row>
    <row r="17" spans="1:13" ht="30.25" customHeight="1" x14ac:dyDescent="0.35">
      <c r="A17" s="98"/>
      <c r="B17" s="285"/>
      <c r="C17" s="262"/>
      <c r="D17" s="263"/>
      <c r="E17" s="101">
        <v>12</v>
      </c>
      <c r="F17" s="100" t="s">
        <v>123</v>
      </c>
      <c r="G17" s="117">
        <f>DAILY_ENERGY!C67</f>
        <v>281.11404799999997</v>
      </c>
      <c r="H17" s="117">
        <f>DAILY_ENERGY!D67</f>
        <v>283.38019199999997</v>
      </c>
      <c r="I17" s="117">
        <f>DAILY_ENERGY!E67</f>
        <v>2.266143999999997</v>
      </c>
      <c r="J17" s="118">
        <f t="shared" ref="J17:J20" si="0">I17</f>
        <v>2.266143999999997</v>
      </c>
      <c r="K17" s="267"/>
      <c r="L17" s="233">
        <f>J17/K6</f>
        <v>8.3299791307950635E-2</v>
      </c>
      <c r="M17" s="234"/>
    </row>
    <row r="18" spans="1:13" ht="30.25" customHeight="1" x14ac:dyDescent="0.35">
      <c r="A18" s="98"/>
      <c r="B18" s="285"/>
      <c r="C18" s="262"/>
      <c r="D18" s="263"/>
      <c r="E18" s="101">
        <v>13</v>
      </c>
      <c r="F18" s="100" t="s">
        <v>124</v>
      </c>
      <c r="G18" s="117">
        <f>DAILY_ENERGY!C93</f>
        <v>1246.7487999999998</v>
      </c>
      <c r="H18" s="117">
        <f>DAILY_ENERGY!D93</f>
        <v>1250.9695999999999</v>
      </c>
      <c r="I18" s="117">
        <f>DAILY_ENERGY!E93</f>
        <v>4.2208000000000538</v>
      </c>
      <c r="J18" s="118">
        <f t="shared" si="0"/>
        <v>4.2208000000000538</v>
      </c>
      <c r="K18" s="267"/>
      <c r="L18" s="233">
        <f>J18/K6</f>
        <v>0.1551497871064694</v>
      </c>
      <c r="M18" s="234"/>
    </row>
    <row r="19" spans="1:13" ht="30.25" customHeight="1" x14ac:dyDescent="0.35">
      <c r="A19" s="98"/>
      <c r="B19" s="285"/>
      <c r="C19" s="262"/>
      <c r="D19" s="263"/>
      <c r="E19" s="101">
        <v>14</v>
      </c>
      <c r="F19" s="100" t="s">
        <v>125</v>
      </c>
      <c r="G19" s="117">
        <f>DAILY_ENERGY!C115</f>
        <v>691.09337599999992</v>
      </c>
      <c r="H19" s="117">
        <f>DAILY_ENERGY!D115</f>
        <v>695.81606399999998</v>
      </c>
      <c r="I19" s="117">
        <f>DAILY_ENERGY!E115</f>
        <v>4.7226880000000619</v>
      </c>
      <c r="J19" s="118">
        <f t="shared" si="0"/>
        <v>4.7226880000000619</v>
      </c>
      <c r="K19" s="267"/>
      <c r="L19" s="233">
        <f>J19/K6</f>
        <v>0.17359837892586194</v>
      </c>
      <c r="M19" s="234"/>
    </row>
    <row r="20" spans="1:13" ht="30.25" customHeight="1" x14ac:dyDescent="0.35">
      <c r="A20" s="98"/>
      <c r="B20" s="285"/>
      <c r="C20" s="262"/>
      <c r="D20" s="263"/>
      <c r="E20" s="101">
        <v>15</v>
      </c>
      <c r="F20" s="100" t="s">
        <v>126</v>
      </c>
      <c r="G20" s="117">
        <f>DAILY_ENERGY!C138</f>
        <v>6164.2286740000009</v>
      </c>
      <c r="H20" s="117">
        <f>DAILY_ENERGY!D138</f>
        <v>6173.935939</v>
      </c>
      <c r="I20" s="117">
        <f>DAILY_ENERGY!E138</f>
        <v>9.7072649999990972</v>
      </c>
      <c r="J20" s="118">
        <f t="shared" si="0"/>
        <v>9.7072649999990972</v>
      </c>
      <c r="K20" s="268"/>
      <c r="L20" s="233">
        <f>J20/K6</f>
        <v>0.35682337427405292</v>
      </c>
      <c r="M20" s="234"/>
    </row>
    <row r="21" spans="1:13" ht="30.25" customHeight="1" x14ac:dyDescent="0.35">
      <c r="A21" s="98"/>
      <c r="B21" s="235" t="s">
        <v>465</v>
      </c>
      <c r="C21" s="253" t="s">
        <v>464</v>
      </c>
      <c r="D21" s="253"/>
      <c r="E21" s="101">
        <v>16</v>
      </c>
      <c r="F21" s="100" t="s">
        <v>498</v>
      </c>
      <c r="G21" s="119">
        <f>SUM('Zone wise Meter data'!D2:D19)</f>
        <v>205.81762349999997</v>
      </c>
      <c r="H21" s="119">
        <f>SUM('Zone wise Meter data'!E2:E19)</f>
        <v>206.87729899999997</v>
      </c>
      <c r="I21" s="119">
        <f>SUM('Zone wise Meter data'!F2:F19)</f>
        <v>1.0596754999999973</v>
      </c>
      <c r="J21" s="250">
        <f>SUM(I21:I25)</f>
        <v>17.254582890624889</v>
      </c>
      <c r="K21" s="249">
        <f>SUM(I21:I32)</f>
        <v>22.821214210937377</v>
      </c>
      <c r="L21" s="269">
        <v>0</v>
      </c>
      <c r="M21" s="270"/>
    </row>
    <row r="22" spans="1:13" ht="30.25" customHeight="1" x14ac:dyDescent="0.35">
      <c r="A22" s="98"/>
      <c r="B22" s="236"/>
      <c r="C22" s="253"/>
      <c r="D22" s="253"/>
      <c r="E22" s="101">
        <v>17</v>
      </c>
      <c r="F22" s="100" t="s">
        <v>462</v>
      </c>
      <c r="G22" s="115">
        <f>SUM('Zone wise Meter data'!D20:D36)</f>
        <v>415.01759373437494</v>
      </c>
      <c r="H22" s="115">
        <f>SUM('Zone wise Meter data'!E20:E36)</f>
        <v>417.46517012499993</v>
      </c>
      <c r="I22" s="115">
        <f>SUM('Zone wise Meter data'!F20:F36)</f>
        <v>2.4475763906249903</v>
      </c>
      <c r="J22" s="250"/>
      <c r="K22" s="250"/>
      <c r="L22" s="271"/>
      <c r="M22" s="272"/>
    </row>
    <row r="23" spans="1:13" ht="30.25" customHeight="1" x14ac:dyDescent="0.35">
      <c r="A23" s="98"/>
      <c r="B23" s="236"/>
      <c r="C23" s="253"/>
      <c r="D23" s="253"/>
      <c r="E23" s="101">
        <v>18</v>
      </c>
      <c r="F23" s="100" t="s">
        <v>461</v>
      </c>
      <c r="G23" s="115">
        <f>SUM('Zone wise Meter data'!D37:D40)</f>
        <v>1858.0569954999999</v>
      </c>
      <c r="H23" s="115">
        <f>SUM('Zone wise Meter data'!E37:E40)</f>
        <v>1859.1722784999997</v>
      </c>
      <c r="I23" s="115">
        <f>SUM('Zone wise Meter data'!F37:F40)</f>
        <v>1.115282999999911</v>
      </c>
      <c r="J23" s="250"/>
      <c r="K23" s="250"/>
      <c r="L23" s="271"/>
      <c r="M23" s="272"/>
    </row>
    <row r="24" spans="1:13" ht="30.25" customHeight="1" x14ac:dyDescent="0.35">
      <c r="A24" s="98"/>
      <c r="B24" s="236"/>
      <c r="C24" s="253"/>
      <c r="D24" s="253"/>
      <c r="E24" s="101">
        <v>19</v>
      </c>
      <c r="F24" s="100" t="s">
        <v>460</v>
      </c>
      <c r="G24" s="115">
        <f>SUM('Zone wise Meter data'!D41:D42)</f>
        <v>1231.3602879999999</v>
      </c>
      <c r="H24" s="115">
        <f>SUM('Zone wise Meter data'!E41:E42)</f>
        <v>1234.3495359999999</v>
      </c>
      <c r="I24" s="115">
        <f>SUM('Zone wise Meter data'!F41:F42)</f>
        <v>2.9892480000000319</v>
      </c>
      <c r="J24" s="250"/>
      <c r="K24" s="250"/>
      <c r="L24" s="271"/>
      <c r="M24" s="272"/>
    </row>
    <row r="25" spans="1:13" ht="30.25" customHeight="1" x14ac:dyDescent="0.35">
      <c r="A25" s="98"/>
      <c r="B25" s="236"/>
      <c r="C25" s="253"/>
      <c r="D25" s="253"/>
      <c r="E25" s="101">
        <v>20</v>
      </c>
      <c r="F25" s="100" t="s">
        <v>459</v>
      </c>
      <c r="G25" s="115">
        <f>SUM('Zone wise Meter data'!D43:D51)</f>
        <v>7895.6382409999997</v>
      </c>
      <c r="H25" s="115">
        <f>SUM('Zone wise Meter data'!E43:E51)</f>
        <v>7905.2810409999993</v>
      </c>
      <c r="I25" s="115">
        <f>SUM('Zone wise Meter data'!F43:F51)</f>
        <v>9.6427999999999585</v>
      </c>
      <c r="J25" s="251"/>
      <c r="K25" s="250"/>
      <c r="L25" s="273"/>
      <c r="M25" s="274"/>
    </row>
    <row r="26" spans="1:13" ht="30.25" customHeight="1" x14ac:dyDescent="0.35">
      <c r="A26" s="98"/>
      <c r="B26" s="236"/>
      <c r="C26" s="254" t="s">
        <v>458</v>
      </c>
      <c r="D26" s="255"/>
      <c r="E26" s="101">
        <v>21</v>
      </c>
      <c r="F26" s="100" t="s">
        <v>457</v>
      </c>
      <c r="G26" s="115">
        <f>SUM('Zone wise Meter data'!D52:D63)</f>
        <v>66.144509499999998</v>
      </c>
      <c r="H26" s="115">
        <f>SUM('Zone wise Meter data'!E52:E63)</f>
        <v>66.712928750000003</v>
      </c>
      <c r="I26" s="115">
        <f>SUM('Zone wise Meter data'!F52:F63)</f>
        <v>0.56841924999999849</v>
      </c>
      <c r="J26" s="249">
        <f>SUM(I26:I32)</f>
        <v>5.5666313203124851</v>
      </c>
      <c r="K26" s="250"/>
      <c r="L26" s="269">
        <f>J26/K6</f>
        <v>0.20462037155199861</v>
      </c>
      <c r="M26" s="270"/>
    </row>
    <row r="27" spans="1:13" ht="30.25" customHeight="1" x14ac:dyDescent="0.35">
      <c r="A27" s="98"/>
      <c r="B27" s="236"/>
      <c r="C27" s="254"/>
      <c r="D27" s="255"/>
      <c r="E27" s="101">
        <v>22</v>
      </c>
      <c r="F27" s="100" t="s">
        <v>236</v>
      </c>
      <c r="G27" s="115">
        <f>SUM('Zone wise Meter data'!D64:D70)</f>
        <v>4.825383875</v>
      </c>
      <c r="H27" s="115">
        <f>SUM('Zone wise Meter data'!E64:E70)</f>
        <v>4.8574242499999993</v>
      </c>
      <c r="I27" s="115">
        <f>SUM('Zone wise Meter data'!F64:F70)</f>
        <v>3.2040375000000232E-2</v>
      </c>
      <c r="J27" s="250"/>
      <c r="K27" s="250"/>
      <c r="L27" s="271"/>
      <c r="M27" s="272"/>
    </row>
    <row r="28" spans="1:13" ht="30.25" customHeight="1" x14ac:dyDescent="0.35">
      <c r="A28" s="98"/>
      <c r="B28" s="236"/>
      <c r="C28" s="254"/>
      <c r="D28" s="255"/>
      <c r="E28" s="101">
        <v>23</v>
      </c>
      <c r="F28" s="100" t="s">
        <v>456</v>
      </c>
      <c r="G28" s="115">
        <f>SUM('Zone wise Meter data'!D71:D76)</f>
        <v>179.82575084374997</v>
      </c>
      <c r="H28" s="115">
        <f>SUM('Zone wise Meter data'!E71:E76)</f>
        <v>181.85069362499999</v>
      </c>
      <c r="I28" s="115">
        <f>SUM('Zone wise Meter data'!F71:F76)</f>
        <v>2.0249427812500107</v>
      </c>
      <c r="J28" s="250"/>
      <c r="K28" s="250"/>
      <c r="L28" s="271"/>
      <c r="M28" s="272"/>
    </row>
    <row r="29" spans="1:13" ht="30.25" customHeight="1" x14ac:dyDescent="0.35">
      <c r="A29" s="98"/>
      <c r="B29" s="236"/>
      <c r="C29" s="254"/>
      <c r="D29" s="255"/>
      <c r="E29" s="101">
        <v>24</v>
      </c>
      <c r="F29" s="100" t="s">
        <v>455</v>
      </c>
      <c r="G29" s="115">
        <f>SUM('Zone wise Meter data'!D77:D80)</f>
        <v>406.40111459374998</v>
      </c>
      <c r="H29" s="115">
        <f>SUM('Zone wise Meter data'!E77:E80)</f>
        <v>408.45404259374999</v>
      </c>
      <c r="I29" s="115">
        <f>SUM('Zone wise Meter data'!F77:F80)</f>
        <v>2.0529279999999801</v>
      </c>
      <c r="J29" s="250"/>
      <c r="K29" s="250"/>
      <c r="L29" s="271"/>
      <c r="M29" s="272"/>
    </row>
    <row r="30" spans="1:13" ht="30.25" customHeight="1" x14ac:dyDescent="0.35">
      <c r="A30" s="98"/>
      <c r="B30" s="236"/>
      <c r="C30" s="254"/>
      <c r="D30" s="255"/>
      <c r="E30" s="101">
        <v>25</v>
      </c>
      <c r="F30" s="100" t="s">
        <v>454</v>
      </c>
      <c r="G30" s="115">
        <f>SUM('Zone wise Meter data'!D81:D95)</f>
        <v>330.07580181249995</v>
      </c>
      <c r="H30" s="115">
        <f>SUM('Zone wise Meter data'!E81:E95)</f>
        <v>330.71983356249996</v>
      </c>
      <c r="I30" s="115">
        <f>SUM('Zone wise Meter data'!F81:F95)</f>
        <v>0.64403174999999491</v>
      </c>
      <c r="J30" s="250"/>
      <c r="K30" s="250"/>
      <c r="L30" s="271"/>
      <c r="M30" s="272"/>
    </row>
    <row r="31" spans="1:13" ht="30.25" customHeight="1" x14ac:dyDescent="0.35">
      <c r="A31" s="98"/>
      <c r="B31" s="236"/>
      <c r="C31" s="254"/>
      <c r="D31" s="255"/>
      <c r="E31" s="101">
        <v>26</v>
      </c>
      <c r="F31" s="100" t="s">
        <v>656</v>
      </c>
      <c r="G31" s="115">
        <f>SUM('Zone wise Meter data'!D96:D105)</f>
        <v>130.0204997578125</v>
      </c>
      <c r="H31" s="115">
        <f>SUM('Zone wise Meter data'!E96:E105)</f>
        <v>130.264768921875</v>
      </c>
      <c r="I31" s="115">
        <f>SUM('Zone wise Meter data'!F96:F105)</f>
        <v>0.24426916406250171</v>
      </c>
      <c r="J31" s="250"/>
      <c r="K31" s="250"/>
      <c r="L31" s="271"/>
      <c r="M31" s="272"/>
    </row>
    <row r="32" spans="1:13" ht="30.25" customHeight="1" x14ac:dyDescent="0.35">
      <c r="A32" s="98"/>
      <c r="B32" s="236"/>
      <c r="C32" s="256"/>
      <c r="D32" s="257"/>
      <c r="E32" s="101">
        <v>27</v>
      </c>
      <c r="F32" s="100" t="s">
        <v>505</v>
      </c>
      <c r="G32" s="115">
        <f>SUM('Zone wise Meter data'!D106:D121)</f>
        <v>0</v>
      </c>
      <c r="H32" s="115">
        <f>SUM('Zone wise Meter data'!E106:E121)</f>
        <v>0</v>
      </c>
      <c r="I32" s="115">
        <f>SUM('Zone wise Meter data'!F106:F121)</f>
        <v>0</v>
      </c>
      <c r="J32" s="251"/>
      <c r="K32" s="250"/>
      <c r="L32" s="273"/>
      <c r="M32" s="274"/>
    </row>
    <row r="33" spans="1:13" ht="30.25" customHeight="1" x14ac:dyDescent="0.35">
      <c r="A33" s="98"/>
      <c r="B33" s="236"/>
      <c r="C33" s="252" t="s">
        <v>496</v>
      </c>
      <c r="D33" s="252"/>
      <c r="E33" s="101">
        <v>28</v>
      </c>
      <c r="F33" s="100" t="s">
        <v>453</v>
      </c>
      <c r="G33" s="115">
        <f>DAILY_ENERGY!C51</f>
        <v>744.50182399999994</v>
      </c>
      <c r="H33" s="115">
        <f>DAILY_ENERGY!D51</f>
        <v>745.75545599999998</v>
      </c>
      <c r="I33" s="115">
        <f>DAILY_ENERGY!E51</f>
        <v>1.2536320000000387</v>
      </c>
      <c r="J33" s="249">
        <f>I33+I34</f>
        <v>2.9892480000000319</v>
      </c>
      <c r="K33" s="249"/>
      <c r="L33" s="242">
        <f>J33/K6</f>
        <v>0.10987992579805689</v>
      </c>
      <c r="M33" s="243"/>
    </row>
    <row r="34" spans="1:13" ht="30.25" customHeight="1" x14ac:dyDescent="0.35">
      <c r="A34" s="98"/>
      <c r="B34" s="236"/>
      <c r="C34" s="252"/>
      <c r="D34" s="252"/>
      <c r="E34" s="101">
        <v>29</v>
      </c>
      <c r="F34" s="100" t="s">
        <v>451</v>
      </c>
      <c r="G34" s="115">
        <f>DAILY_ENERGY!C125</f>
        <v>486.85846399999997</v>
      </c>
      <c r="H34" s="115">
        <f>DAILY_ENERGY!D125</f>
        <v>488.59407999999996</v>
      </c>
      <c r="I34" s="115">
        <f>DAILY_ENERGY!E125</f>
        <v>1.7356159999999932</v>
      </c>
      <c r="J34" s="250"/>
      <c r="K34" s="250"/>
      <c r="L34" s="246"/>
      <c r="M34" s="247"/>
    </row>
    <row r="35" spans="1:13" ht="30.25" customHeight="1" x14ac:dyDescent="0.35">
      <c r="A35" s="98"/>
      <c r="B35" s="236"/>
      <c r="C35" s="252" t="s">
        <v>449</v>
      </c>
      <c r="D35" s="252"/>
      <c r="E35" s="101">
        <v>30</v>
      </c>
      <c r="F35" s="100" t="s">
        <v>448</v>
      </c>
      <c r="G35" s="115">
        <f>DAILY_ENERGY!C144</f>
        <v>1944.279808</v>
      </c>
      <c r="H35" s="115">
        <f>DAILY_ENERGY!D144</f>
        <v>1946.519552</v>
      </c>
      <c r="I35" s="115">
        <f>DAILY_ENERGY!E144</f>
        <v>2.2397439999999733</v>
      </c>
      <c r="J35" s="249">
        <f>SUM(I35:I40)</f>
        <v>8.6540269999999566</v>
      </c>
      <c r="K35" s="241"/>
      <c r="L35" s="242">
        <f>J35/K6</f>
        <v>0.31810804744683813</v>
      </c>
      <c r="M35" s="243"/>
    </row>
    <row r="36" spans="1:13" ht="30.25" customHeight="1" x14ac:dyDescent="0.35">
      <c r="A36" s="98"/>
      <c r="B36" s="236"/>
      <c r="C36" s="252"/>
      <c r="D36" s="252"/>
      <c r="E36" s="101">
        <v>31</v>
      </c>
      <c r="F36" s="100" t="s">
        <v>447</v>
      </c>
      <c r="G36" s="115">
        <f>DAILY_ENERGY!C143</f>
        <v>0</v>
      </c>
      <c r="H36" s="115">
        <f>DAILY_ENERGY!D143</f>
        <v>0</v>
      </c>
      <c r="I36" s="115">
        <f>DAILY_ENERGY!E143</f>
        <v>0</v>
      </c>
      <c r="J36" s="250"/>
      <c r="K36" s="241"/>
      <c r="L36" s="244"/>
      <c r="M36" s="245"/>
    </row>
    <row r="37" spans="1:13" ht="30.25" customHeight="1" x14ac:dyDescent="0.35">
      <c r="A37" s="98"/>
      <c r="B37" s="236"/>
      <c r="C37" s="252"/>
      <c r="D37" s="252"/>
      <c r="E37" s="101">
        <v>32</v>
      </c>
      <c r="F37" s="100" t="s">
        <v>446</v>
      </c>
      <c r="G37" s="115">
        <f>DAILY_ENERGY!C146</f>
        <v>2549.9335679999999</v>
      </c>
      <c r="H37" s="115">
        <f>DAILY_ENERGY!D146</f>
        <v>2550.2538239999999</v>
      </c>
      <c r="I37" s="115">
        <f>DAILY_ENERGY!E146</f>
        <v>0.32025599999997212</v>
      </c>
      <c r="J37" s="250"/>
      <c r="K37" s="241"/>
      <c r="L37" s="244"/>
      <c r="M37" s="245"/>
    </row>
    <row r="38" spans="1:13" ht="30.25" customHeight="1" x14ac:dyDescent="0.35">
      <c r="A38" s="98"/>
      <c r="B38" s="236"/>
      <c r="C38" s="252"/>
      <c r="D38" s="252"/>
      <c r="E38" s="101">
        <v>33</v>
      </c>
      <c r="F38" s="100" t="s">
        <v>445</v>
      </c>
      <c r="G38" s="115">
        <f>DAILY_ENERGY!C147</f>
        <v>889.52780799999994</v>
      </c>
      <c r="H38" s="115">
        <f>DAILY_ENERGY!D147</f>
        <v>889.54598399999998</v>
      </c>
      <c r="I38" s="115">
        <f>DAILY_ENERGY!E147</f>
        <v>1.8176000000039494E-2</v>
      </c>
      <c r="J38" s="250"/>
      <c r="K38" s="241"/>
      <c r="L38" s="244"/>
      <c r="M38" s="245"/>
    </row>
    <row r="39" spans="1:13" ht="30.25" customHeight="1" x14ac:dyDescent="0.35">
      <c r="A39" s="98"/>
      <c r="B39" s="236"/>
      <c r="C39" s="252"/>
      <c r="D39" s="252"/>
      <c r="E39" s="101">
        <v>34</v>
      </c>
      <c r="F39" s="100" t="s">
        <v>444</v>
      </c>
      <c r="G39" s="115">
        <f>DAILY_ENERGY!C145</f>
        <v>2271.4350079999999</v>
      </c>
      <c r="H39" s="115">
        <f>DAILY_ENERGY!D145</f>
        <v>2274.9629439999999</v>
      </c>
      <c r="I39" s="115">
        <f>DAILY_ENERGY!E145</f>
        <v>3.5279359999999542</v>
      </c>
      <c r="J39" s="250"/>
      <c r="K39" s="241"/>
      <c r="L39" s="244"/>
      <c r="M39" s="245"/>
    </row>
    <row r="40" spans="1:13" ht="30.25" customHeight="1" x14ac:dyDescent="0.35">
      <c r="A40" s="98"/>
      <c r="B40" s="236"/>
      <c r="C40" s="252"/>
      <c r="D40" s="252"/>
      <c r="E40" s="101">
        <v>35</v>
      </c>
      <c r="F40" s="100" t="s">
        <v>654</v>
      </c>
      <c r="G40" s="115">
        <f>DAILY_ENERGY!C150</f>
        <v>106.679644</v>
      </c>
      <c r="H40" s="115">
        <f>DAILY_ENERGY!D150</f>
        <v>109.22755900000001</v>
      </c>
      <c r="I40" s="115">
        <f>DAILY_ENERGY!E150</f>
        <v>2.5479150000000175</v>
      </c>
      <c r="J40" s="251"/>
      <c r="K40" s="241"/>
      <c r="L40" s="246"/>
      <c r="M40" s="247"/>
    </row>
    <row r="41" spans="1:13" ht="30.25" customHeight="1" x14ac:dyDescent="0.35">
      <c r="A41" s="98"/>
      <c r="B41" s="236"/>
      <c r="C41" s="252" t="s">
        <v>442</v>
      </c>
      <c r="D41" s="252"/>
      <c r="E41" s="101">
        <v>36</v>
      </c>
      <c r="F41" s="100" t="s">
        <v>441</v>
      </c>
      <c r="G41" s="115">
        <f>DAILY_ENERGY!C141</f>
        <v>929.71231999999998</v>
      </c>
      <c r="H41" s="115">
        <f>DAILY_ENERGY!D141</f>
        <v>930.24300799999992</v>
      </c>
      <c r="I41" s="115">
        <f>DAILY_ENERGY!E141</f>
        <v>0.53068799999994098</v>
      </c>
      <c r="J41" s="241">
        <f>SUM(I41:I43)</f>
        <v>1.2541799999999217</v>
      </c>
      <c r="K41" s="241"/>
      <c r="L41" s="248">
        <f>J41/K6</f>
        <v>4.6101630021128027E-2</v>
      </c>
      <c r="M41" s="248"/>
    </row>
    <row r="42" spans="1:13" ht="30.25" customHeight="1" x14ac:dyDescent="0.35">
      <c r="A42" s="98"/>
      <c r="B42" s="236"/>
      <c r="C42" s="252"/>
      <c r="D42" s="252"/>
      <c r="E42" s="101">
        <v>37</v>
      </c>
      <c r="F42" s="100" t="s">
        <v>440</v>
      </c>
      <c r="G42" s="115">
        <f>DAILY_ENERGY!C140 + DAILY_ENERGY!C47</f>
        <v>587.83417949999989</v>
      </c>
      <c r="H42" s="115">
        <f>DAILY_ENERGY!D140 + DAILY_ENERGY!D47</f>
        <v>588.35602249999988</v>
      </c>
      <c r="I42" s="115">
        <f>DAILY_ENERGY!E140 + DAILY_ENERGY!E47</f>
        <v>0.52184299999998096</v>
      </c>
      <c r="J42" s="241"/>
      <c r="K42" s="241"/>
      <c r="L42" s="248"/>
      <c r="M42" s="248"/>
    </row>
    <row r="43" spans="1:13" ht="30.25" customHeight="1" x14ac:dyDescent="0.35">
      <c r="A43" s="98"/>
      <c r="B43" s="236"/>
      <c r="C43" s="252"/>
      <c r="D43" s="252"/>
      <c r="E43" s="101">
        <v>38</v>
      </c>
      <c r="F43" s="100" t="s">
        <v>439</v>
      </c>
      <c r="G43" s="115">
        <f>SUM(DAILY_ENERGY!C104:C105,DAILY_ENERGY!C109:C110)</f>
        <v>4.1987809999999994</v>
      </c>
      <c r="H43" s="115">
        <f>SUM(DAILY_ENERGY!D104:D105,DAILY_ENERGY!D109:D110)</f>
        <v>4.4004300000000001</v>
      </c>
      <c r="I43" s="115">
        <f>SUM(DAILY_ENERGY!E104:E105,DAILY_ENERGY!E109:E110)</f>
        <v>0.20164899999999975</v>
      </c>
      <c r="J43" s="241"/>
      <c r="K43" s="241"/>
      <c r="L43" s="248"/>
      <c r="M43" s="248"/>
    </row>
    <row r="44" spans="1:13" ht="45.75" customHeight="1" x14ac:dyDescent="0.35">
      <c r="A44" s="98"/>
      <c r="B44" s="236"/>
      <c r="C44" s="252" t="s">
        <v>438</v>
      </c>
      <c r="D44" s="252"/>
      <c r="E44" s="101">
        <v>39</v>
      </c>
      <c r="F44" s="100" t="s">
        <v>425</v>
      </c>
      <c r="G44" s="119">
        <f>SUM(DAILY_ENERGY!C37:C45)</f>
        <v>290.41151973437496</v>
      </c>
      <c r="H44" s="119">
        <f>SUM(DAILY_ENERGY!D37:D45)</f>
        <v>292.18466312499999</v>
      </c>
      <c r="I44" s="119">
        <f>SUM(DAILY_ENERGY!E37:E45)</f>
        <v>1.7731433906249916</v>
      </c>
      <c r="J44" s="250">
        <f>I44+I45</f>
        <v>2.6389573906249901</v>
      </c>
      <c r="K44" s="241"/>
      <c r="L44" s="242">
        <f>J44/K6</f>
        <v>9.7003809073755221E-2</v>
      </c>
      <c r="M44" s="243"/>
    </row>
    <row r="45" spans="1:13" ht="30.25" customHeight="1" x14ac:dyDescent="0.35">
      <c r="A45" s="98"/>
      <c r="B45" s="236"/>
      <c r="C45" s="252"/>
      <c r="D45" s="252"/>
      <c r="E45" s="101">
        <v>40</v>
      </c>
      <c r="F45" s="100" t="s">
        <v>437</v>
      </c>
      <c r="G45" s="119">
        <f>(SUM(DAILY_ENERGY!C24:C35))</f>
        <v>191.37674950000002</v>
      </c>
      <c r="H45" s="119">
        <f>(SUM(DAILY_ENERGY!D24:D35))</f>
        <v>192.24256349999999</v>
      </c>
      <c r="I45" s="119">
        <f>(SUM(DAILY_ENERGY!E24:E35))</f>
        <v>0.86581399999999853</v>
      </c>
      <c r="J45" s="251"/>
      <c r="K45" s="241"/>
      <c r="L45" s="246"/>
      <c r="M45" s="247"/>
    </row>
    <row r="46" spans="1:13" ht="30.25" customHeight="1" x14ac:dyDescent="0.35">
      <c r="A46" s="98"/>
      <c r="B46" s="236"/>
      <c r="C46" s="252" t="s">
        <v>436</v>
      </c>
      <c r="D46" s="252"/>
      <c r="E46" s="101">
        <v>41</v>
      </c>
      <c r="F46" s="105" t="s">
        <v>435</v>
      </c>
      <c r="G46" s="115">
        <f>DAILY_ENERGY!C108</f>
        <v>11.523637000000001</v>
      </c>
      <c r="H46" s="115">
        <f>DAILY_ENERGY!D108</f>
        <v>11.639074000000001</v>
      </c>
      <c r="I46" s="115">
        <f>DAILY_ENERGY!E108</f>
        <v>0.11543700000000001</v>
      </c>
      <c r="J46" s="250">
        <f>I46+I47</f>
        <v>0.71096500000000162</v>
      </c>
      <c r="K46" s="241"/>
      <c r="L46" s="242">
        <f>J46/K6</f>
        <v>2.6133924466961209E-2</v>
      </c>
      <c r="M46" s="243"/>
    </row>
    <row r="47" spans="1:13" ht="30.25" customHeight="1" x14ac:dyDescent="0.35">
      <c r="A47" s="98"/>
      <c r="B47" s="236"/>
      <c r="C47" s="252"/>
      <c r="D47" s="252"/>
      <c r="E47" s="101">
        <v>42</v>
      </c>
      <c r="F47" s="100" t="s">
        <v>433</v>
      </c>
      <c r="G47" s="115">
        <f>DAILY_ENERGY!C95</f>
        <v>71.151383999999993</v>
      </c>
      <c r="H47" s="115">
        <f>DAILY_ENERGY!D95</f>
        <v>71.746911999999995</v>
      </c>
      <c r="I47" s="115">
        <f>DAILY_ENERGY!E95</f>
        <v>0.59552800000000161</v>
      </c>
      <c r="J47" s="251"/>
      <c r="K47" s="241"/>
      <c r="L47" s="246"/>
      <c r="M47" s="247"/>
    </row>
    <row r="48" spans="1:13" ht="30.25" customHeight="1" x14ac:dyDescent="0.35">
      <c r="A48" s="98"/>
      <c r="B48" s="237"/>
      <c r="C48" s="252" t="s">
        <v>431</v>
      </c>
      <c r="D48" s="252"/>
      <c r="E48" s="101">
        <v>43</v>
      </c>
      <c r="F48" s="100" t="s">
        <v>431</v>
      </c>
      <c r="G48" s="115">
        <f>DAILY_ENERGY!C64</f>
        <v>16.271673</v>
      </c>
      <c r="H48" s="115">
        <f>DAILY_ENERGY!D64</f>
        <v>16.272221999999999</v>
      </c>
      <c r="I48" s="115">
        <f>DAILY_ENERGY!E64</f>
        <v>5.4899999999946658E-4</v>
      </c>
      <c r="J48" s="118">
        <f>I48</f>
        <v>5.4899999999946658E-4</v>
      </c>
      <c r="K48" s="118"/>
      <c r="L48" s="233">
        <f>J48/K6</f>
        <v>2.0180352805479496E-5</v>
      </c>
      <c r="M48" s="234"/>
    </row>
    <row r="49" spans="1:13" ht="30.25" customHeight="1" x14ac:dyDescent="0.35">
      <c r="A49" s="98"/>
      <c r="B49" s="238" t="s">
        <v>462</v>
      </c>
      <c r="C49" s="252" t="s">
        <v>429</v>
      </c>
      <c r="D49" s="252"/>
      <c r="E49" s="101">
        <v>44</v>
      </c>
      <c r="F49" s="100" t="s">
        <v>97</v>
      </c>
      <c r="G49" s="115">
        <f>DAILY_ENERGY!C23</f>
        <v>85.399831999999989</v>
      </c>
      <c r="H49" s="115">
        <f>DAILY_ENERGY!D23</f>
        <v>85.915055999999993</v>
      </c>
      <c r="I49" s="115">
        <f>DAILY_ENERGY!E23</f>
        <v>0.51522400000000346</v>
      </c>
      <c r="J49" s="249">
        <f>SUM(I50:I61)</f>
        <v>0.86581399999999853</v>
      </c>
      <c r="K49" s="241"/>
      <c r="L49" s="248">
        <f>J49/K6</f>
        <v>3.1825923468015251E-2</v>
      </c>
      <c r="M49" s="248"/>
    </row>
    <row r="50" spans="1:13" ht="30.25" customHeight="1" x14ac:dyDescent="0.35">
      <c r="A50" s="98"/>
      <c r="B50" s="239"/>
      <c r="C50" s="252"/>
      <c r="D50" s="252"/>
      <c r="E50" s="101">
        <v>45</v>
      </c>
      <c r="F50" s="100" t="s">
        <v>157</v>
      </c>
      <c r="G50" s="115">
        <f>DAILY_ENERGY!C24</f>
        <v>31.924177999999998</v>
      </c>
      <c r="H50" s="115">
        <f>DAILY_ENERGY!D24</f>
        <v>32.059655999999997</v>
      </c>
      <c r="I50" s="115">
        <f>DAILY_ENERGY!E24</f>
        <v>0.1354779999999991</v>
      </c>
      <c r="J50" s="250"/>
      <c r="K50" s="241"/>
      <c r="L50" s="248"/>
      <c r="M50" s="248"/>
    </row>
    <row r="51" spans="1:13" ht="30.25" customHeight="1" x14ac:dyDescent="0.35">
      <c r="A51" s="98"/>
      <c r="B51" s="239"/>
      <c r="C51" s="252"/>
      <c r="D51" s="252"/>
      <c r="E51" s="101">
        <v>46</v>
      </c>
      <c r="F51" s="100" t="s">
        <v>158</v>
      </c>
      <c r="G51" s="115">
        <f>DAILY_ENERGY!C25</f>
        <v>15.480639</v>
      </c>
      <c r="H51" s="115">
        <f>DAILY_ENERGY!D25</f>
        <v>15.554527999999999</v>
      </c>
      <c r="I51" s="115">
        <f>DAILY_ENERGY!E25</f>
        <v>7.3888999999999427E-2</v>
      </c>
      <c r="J51" s="250"/>
      <c r="K51" s="241"/>
      <c r="L51" s="248"/>
      <c r="M51" s="248"/>
    </row>
    <row r="52" spans="1:13" ht="30.25" customHeight="1" x14ac:dyDescent="0.35">
      <c r="A52" s="98"/>
      <c r="B52" s="239"/>
      <c r="C52" s="252"/>
      <c r="D52" s="252"/>
      <c r="E52" s="101">
        <v>47</v>
      </c>
      <c r="F52" s="100" t="s">
        <v>159</v>
      </c>
      <c r="G52" s="115">
        <f>DAILY_ENERGY!C26</f>
        <v>14.482826999999999</v>
      </c>
      <c r="H52" s="115">
        <f>DAILY_ENERGY!D26</f>
        <v>14.558180999999999</v>
      </c>
      <c r="I52" s="115">
        <f>DAILY_ENERGY!E26</f>
        <v>7.5354000000000809E-2</v>
      </c>
      <c r="J52" s="250"/>
      <c r="K52" s="241"/>
      <c r="L52" s="248"/>
      <c r="M52" s="248"/>
    </row>
    <row r="53" spans="1:13" ht="30.25" customHeight="1" x14ac:dyDescent="0.35">
      <c r="A53" s="98"/>
      <c r="B53" s="239"/>
      <c r="C53" s="252"/>
      <c r="D53" s="252"/>
      <c r="E53" s="101">
        <v>48</v>
      </c>
      <c r="F53" s="100" t="s">
        <v>160</v>
      </c>
      <c r="G53" s="115">
        <f>DAILY_ENERGY!C27</f>
        <v>0</v>
      </c>
      <c r="H53" s="115">
        <f>DAILY_ENERGY!D27</f>
        <v>0</v>
      </c>
      <c r="I53" s="115">
        <f>DAILY_ENERGY!E27</f>
        <v>0</v>
      </c>
      <c r="J53" s="250"/>
      <c r="K53" s="241"/>
      <c r="L53" s="248"/>
      <c r="M53" s="248"/>
    </row>
    <row r="54" spans="1:13" ht="30.25" customHeight="1" x14ac:dyDescent="0.35">
      <c r="A54" s="98"/>
      <c r="B54" s="239"/>
      <c r="C54" s="252"/>
      <c r="D54" s="252"/>
      <c r="E54" s="101">
        <v>49</v>
      </c>
      <c r="F54" s="100" t="s">
        <v>161</v>
      </c>
      <c r="G54" s="115">
        <f>DAILY_ENERGY!C28</f>
        <v>11.970663</v>
      </c>
      <c r="H54" s="115">
        <f>DAILY_ENERGY!D28</f>
        <v>12.020104</v>
      </c>
      <c r="I54" s="115">
        <f>DAILY_ENERGY!E28</f>
        <v>4.9440999999999846E-2</v>
      </c>
      <c r="J54" s="250"/>
      <c r="K54" s="241"/>
      <c r="L54" s="248"/>
      <c r="M54" s="248"/>
    </row>
    <row r="55" spans="1:13" ht="30.25" customHeight="1" x14ac:dyDescent="0.35">
      <c r="A55" s="98"/>
      <c r="B55" s="239"/>
      <c r="C55" s="252"/>
      <c r="D55" s="252"/>
      <c r="E55" s="101">
        <v>50</v>
      </c>
      <c r="F55" s="100" t="s">
        <v>162</v>
      </c>
      <c r="G55" s="115">
        <f>DAILY_ENERGY!C29</f>
        <v>27.141154</v>
      </c>
      <c r="H55" s="115">
        <f>DAILY_ENERGY!D29</f>
        <v>27.262349999999998</v>
      </c>
      <c r="I55" s="115">
        <f>DAILY_ENERGY!E29</f>
        <v>0.12119599999999764</v>
      </c>
      <c r="J55" s="250"/>
      <c r="K55" s="241"/>
      <c r="L55" s="248"/>
      <c r="M55" s="248"/>
    </row>
    <row r="56" spans="1:13" ht="30.25" customHeight="1" x14ac:dyDescent="0.35">
      <c r="A56" s="98"/>
      <c r="B56" s="239"/>
      <c r="C56" s="252"/>
      <c r="D56" s="252"/>
      <c r="E56" s="101">
        <v>51</v>
      </c>
      <c r="F56" s="100" t="s">
        <v>163</v>
      </c>
      <c r="G56" s="115">
        <f>DAILY_ENERGY!C30</f>
        <v>29.136567999999997</v>
      </c>
      <c r="H56" s="115">
        <f>DAILY_ENERGY!D30</f>
        <v>29.285733999999998</v>
      </c>
      <c r="I56" s="115">
        <f>DAILY_ENERGY!E30</f>
        <v>0.14916600000000102</v>
      </c>
      <c r="J56" s="250"/>
      <c r="K56" s="241"/>
      <c r="L56" s="248"/>
      <c r="M56" s="248"/>
    </row>
    <row r="57" spans="1:13" ht="30.25" customHeight="1" x14ac:dyDescent="0.35">
      <c r="A57" s="98"/>
      <c r="B57" s="239"/>
      <c r="C57" s="252"/>
      <c r="D57" s="252"/>
      <c r="E57" s="101">
        <v>52</v>
      </c>
      <c r="F57" s="100" t="s">
        <v>164</v>
      </c>
      <c r="G57" s="115">
        <f>DAILY_ENERGY!C31</f>
        <v>23.389073999999997</v>
      </c>
      <c r="H57" s="115">
        <f>DAILY_ENERGY!D31</f>
        <v>23.47711</v>
      </c>
      <c r="I57" s="115">
        <f>DAILY_ENERGY!E31</f>
        <v>8.8036000000002446E-2</v>
      </c>
      <c r="J57" s="250"/>
      <c r="K57" s="241"/>
      <c r="L57" s="248"/>
      <c r="M57" s="248"/>
    </row>
    <row r="58" spans="1:13" ht="30.25" customHeight="1" x14ac:dyDescent="0.35">
      <c r="A58" s="98"/>
      <c r="B58" s="239"/>
      <c r="C58" s="252"/>
      <c r="D58" s="252"/>
      <c r="E58" s="101">
        <v>53</v>
      </c>
      <c r="F58" s="100" t="s">
        <v>165</v>
      </c>
      <c r="G58" s="115">
        <f>DAILY_ENERGY!C32</f>
        <v>8.7850850000000005</v>
      </c>
      <c r="H58" s="115">
        <f>DAILY_ENERGY!D32</f>
        <v>8.8410829999999994</v>
      </c>
      <c r="I58" s="115">
        <f>DAILY_ENERGY!E32</f>
        <v>5.5997999999998882E-2</v>
      </c>
      <c r="J58" s="250"/>
      <c r="K58" s="241"/>
      <c r="L58" s="248"/>
      <c r="M58" s="248"/>
    </row>
    <row r="59" spans="1:13" ht="30.25" customHeight="1" x14ac:dyDescent="0.35">
      <c r="A59" s="98"/>
      <c r="B59" s="239"/>
      <c r="C59" s="252"/>
      <c r="D59" s="252"/>
      <c r="E59" s="101">
        <v>54</v>
      </c>
      <c r="F59" s="100" t="s">
        <v>166</v>
      </c>
      <c r="G59" s="115">
        <f>DAILY_ENERGY!C33</f>
        <v>7.1145344999999995</v>
      </c>
      <c r="H59" s="115">
        <f>DAILY_ENERGY!D33</f>
        <v>7.1731929999999995</v>
      </c>
      <c r="I59" s="115">
        <f>DAILY_ENERGY!E33</f>
        <v>5.8658499999999947E-2</v>
      </c>
      <c r="J59" s="250"/>
      <c r="K59" s="241"/>
      <c r="L59" s="248"/>
      <c r="M59" s="248"/>
    </row>
    <row r="60" spans="1:13" ht="30.25" customHeight="1" x14ac:dyDescent="0.35">
      <c r="A60" s="98"/>
      <c r="B60" s="239"/>
      <c r="C60" s="252"/>
      <c r="D60" s="252"/>
      <c r="E60" s="101">
        <v>55</v>
      </c>
      <c r="F60" s="100" t="s">
        <v>167</v>
      </c>
      <c r="G60" s="115">
        <f>DAILY_ENERGY!C34</f>
        <v>17.672433999999999</v>
      </c>
      <c r="H60" s="115">
        <f>DAILY_ENERGY!D34</f>
        <v>17.672433999999999</v>
      </c>
      <c r="I60" s="115">
        <f>DAILY_ENERGY!E34</f>
        <v>0</v>
      </c>
      <c r="J60" s="250"/>
      <c r="K60" s="241"/>
      <c r="L60" s="248"/>
      <c r="M60" s="248"/>
    </row>
    <row r="61" spans="1:13" ht="30.25" customHeight="1" x14ac:dyDescent="0.35">
      <c r="A61" s="98"/>
      <c r="B61" s="239"/>
      <c r="C61" s="252"/>
      <c r="D61" s="252"/>
      <c r="E61" s="101">
        <v>56</v>
      </c>
      <c r="F61" s="104" t="s">
        <v>168</v>
      </c>
      <c r="G61" s="115">
        <f>DAILY_ENERGY!C35</f>
        <v>4.2795930000000002</v>
      </c>
      <c r="H61" s="115">
        <f>DAILY_ENERGY!D35</f>
        <v>4.3381904999999996</v>
      </c>
      <c r="I61" s="115">
        <f>DAILY_ENERGY!E35</f>
        <v>5.8597499999999414E-2</v>
      </c>
      <c r="J61" s="250"/>
      <c r="K61" s="241"/>
      <c r="L61" s="248"/>
      <c r="M61" s="248"/>
    </row>
    <row r="62" spans="1:13" ht="30.25" customHeight="1" x14ac:dyDescent="0.35">
      <c r="A62" s="98"/>
      <c r="B62" s="239"/>
      <c r="C62" s="252" t="s">
        <v>425</v>
      </c>
      <c r="D62" s="252"/>
      <c r="E62" s="101">
        <v>57</v>
      </c>
      <c r="F62" s="100" t="s">
        <v>97</v>
      </c>
      <c r="G62" s="115">
        <f>DAILY_ENERGY!C36</f>
        <v>411.908704</v>
      </c>
      <c r="H62" s="115">
        <f>DAILY_ENERGY!D36</f>
        <v>413.82716799999997</v>
      </c>
      <c r="I62" s="115">
        <f>DAILY_ENERGY!E36</f>
        <v>1.9184639999999717</v>
      </c>
      <c r="J62" s="241">
        <f>SUM(I63:I71)</f>
        <v>1.7731433906249916</v>
      </c>
      <c r="K62" s="241"/>
      <c r="L62" s="242">
        <f>J62/K6</f>
        <v>6.5177885605739963E-2</v>
      </c>
      <c r="M62" s="243"/>
    </row>
    <row r="63" spans="1:13" ht="30.25" customHeight="1" x14ac:dyDescent="0.35">
      <c r="A63" s="98"/>
      <c r="B63" s="239"/>
      <c r="C63" s="252"/>
      <c r="D63" s="252"/>
      <c r="E63" s="101">
        <v>58</v>
      </c>
      <c r="F63" s="100" t="s">
        <v>493</v>
      </c>
      <c r="G63" s="115">
        <f>DAILY_ENERGY!C37</f>
        <v>0</v>
      </c>
      <c r="H63" s="115">
        <f>DAILY_ENERGY!D37</f>
        <v>0</v>
      </c>
      <c r="I63" s="115">
        <f>DAILY_ENERGY!E37</f>
        <v>0</v>
      </c>
      <c r="J63" s="241"/>
      <c r="K63" s="241"/>
      <c r="L63" s="244"/>
      <c r="M63" s="245"/>
    </row>
    <row r="64" spans="1:13" ht="30.25" customHeight="1" x14ac:dyDescent="0.35">
      <c r="A64" s="98"/>
      <c r="B64" s="239"/>
      <c r="C64" s="252"/>
      <c r="D64" s="252"/>
      <c r="E64" s="101">
        <v>59</v>
      </c>
      <c r="F64" s="100" t="s">
        <v>151</v>
      </c>
      <c r="G64" s="115">
        <f>DAILY_ENERGY!C38</f>
        <v>5.7186379999999994</v>
      </c>
      <c r="H64" s="115">
        <f>DAILY_ENERGY!D38</f>
        <v>5.7561374999999995</v>
      </c>
      <c r="I64" s="115">
        <f>DAILY_ENERGY!E38</f>
        <v>3.7499500000000019E-2</v>
      </c>
      <c r="J64" s="241"/>
      <c r="K64" s="241"/>
      <c r="L64" s="244"/>
      <c r="M64" s="245"/>
    </row>
    <row r="65" spans="1:13" ht="30.25" customHeight="1" x14ac:dyDescent="0.35">
      <c r="A65" s="98"/>
      <c r="B65" s="239"/>
      <c r="C65" s="252"/>
      <c r="D65" s="252"/>
      <c r="E65" s="101">
        <v>60</v>
      </c>
      <c r="F65" s="100" t="s">
        <v>24</v>
      </c>
      <c r="G65" s="115">
        <f>DAILY_ENERGY!C37</f>
        <v>0</v>
      </c>
      <c r="H65" s="115">
        <f>DAILY_ENERGY!D37</f>
        <v>0</v>
      </c>
      <c r="I65" s="115">
        <f>DAILY_ENERGY!E37</f>
        <v>0</v>
      </c>
      <c r="J65" s="241"/>
      <c r="K65" s="241"/>
      <c r="L65" s="244"/>
      <c r="M65" s="245"/>
    </row>
    <row r="66" spans="1:13" ht="30.25" customHeight="1" x14ac:dyDescent="0.35">
      <c r="A66" s="98"/>
      <c r="B66" s="239"/>
      <c r="C66" s="252"/>
      <c r="D66" s="252"/>
      <c r="E66" s="101">
        <v>61</v>
      </c>
      <c r="F66" s="100" t="s">
        <v>152</v>
      </c>
      <c r="G66" s="115">
        <f>DAILY_ENERGY!C40</f>
        <v>0.14484573437500001</v>
      </c>
      <c r="H66" s="115">
        <f>DAILY_ENERGY!D40</f>
        <v>0.453649625</v>
      </c>
      <c r="I66" s="115">
        <f>DAILY_ENERGY!E40</f>
        <v>0.30880389062500002</v>
      </c>
      <c r="J66" s="241"/>
      <c r="K66" s="241"/>
      <c r="L66" s="244"/>
      <c r="M66" s="245"/>
    </row>
    <row r="67" spans="1:13" ht="30.25" customHeight="1" x14ac:dyDescent="0.35">
      <c r="A67" s="98"/>
      <c r="B67" s="239"/>
      <c r="C67" s="252"/>
      <c r="D67" s="252"/>
      <c r="E67" s="101">
        <v>62</v>
      </c>
      <c r="F67" s="100" t="s">
        <v>153</v>
      </c>
      <c r="G67" s="115">
        <f>DAILY_ENERGY!C41</f>
        <v>85.764583999999999</v>
      </c>
      <c r="H67" s="115">
        <f>DAILY_ENERGY!D41</f>
        <v>86.252727999999991</v>
      </c>
      <c r="I67" s="115">
        <f>DAILY_ENERGY!E41</f>
        <v>0.48814399999999125</v>
      </c>
      <c r="J67" s="241"/>
      <c r="K67" s="241"/>
      <c r="L67" s="244"/>
      <c r="M67" s="245"/>
    </row>
    <row r="68" spans="1:13" ht="30.25" customHeight="1" x14ac:dyDescent="0.35">
      <c r="A68" s="98"/>
      <c r="B68" s="239"/>
      <c r="C68" s="252"/>
      <c r="D68" s="252"/>
      <c r="E68" s="101">
        <v>63</v>
      </c>
      <c r="F68" s="100" t="s">
        <v>154</v>
      </c>
      <c r="G68" s="115">
        <f>DAILY_ENERGY!C42</f>
        <v>78.000439999999998</v>
      </c>
      <c r="H68" s="115">
        <f>DAILY_ENERGY!D42</f>
        <v>78.376007999999999</v>
      </c>
      <c r="I68" s="115">
        <f>DAILY_ENERGY!E42</f>
        <v>0.37556800000000123</v>
      </c>
      <c r="J68" s="241"/>
      <c r="K68" s="241"/>
      <c r="L68" s="244"/>
      <c r="M68" s="245"/>
    </row>
    <row r="69" spans="1:13" ht="30.25" customHeight="1" x14ac:dyDescent="0.35">
      <c r="A69" s="98"/>
      <c r="B69" s="239"/>
      <c r="C69" s="252"/>
      <c r="D69" s="252"/>
      <c r="E69" s="101">
        <v>64</v>
      </c>
      <c r="F69" s="100" t="s">
        <v>155</v>
      </c>
      <c r="G69" s="115">
        <f>DAILY_ENERGY!C43</f>
        <v>36.349356</v>
      </c>
      <c r="H69" s="115">
        <f>DAILY_ENERGY!D43</f>
        <v>36.504331999999998</v>
      </c>
      <c r="I69" s="115">
        <f>DAILY_ENERGY!E43</f>
        <v>0.15497599999999778</v>
      </c>
      <c r="J69" s="241"/>
      <c r="K69" s="241"/>
      <c r="L69" s="244"/>
      <c r="M69" s="245"/>
    </row>
    <row r="70" spans="1:13" ht="30.25" customHeight="1" x14ac:dyDescent="0.35">
      <c r="A70" s="98"/>
      <c r="B70" s="239"/>
      <c r="C70" s="252"/>
      <c r="D70" s="252"/>
      <c r="E70" s="101">
        <v>65</v>
      </c>
      <c r="F70" s="100" t="s">
        <v>494</v>
      </c>
      <c r="G70" s="115">
        <f>DAILY_ENERGY!C44</f>
        <v>20.443763999999998</v>
      </c>
      <c r="H70" s="115">
        <f>DAILY_ENERGY!D44</f>
        <v>20.524956</v>
      </c>
      <c r="I70" s="115">
        <f>DAILY_ENERGY!E44</f>
        <v>8.1192000000001485E-2</v>
      </c>
      <c r="J70" s="241"/>
      <c r="K70" s="241"/>
      <c r="L70" s="244"/>
      <c r="M70" s="245"/>
    </row>
    <row r="71" spans="1:13" ht="30.25" customHeight="1" x14ac:dyDescent="0.35">
      <c r="A71" s="98"/>
      <c r="B71" s="240"/>
      <c r="C71" s="252"/>
      <c r="D71" s="252"/>
      <c r="E71" s="101">
        <v>66</v>
      </c>
      <c r="F71" s="100" t="s">
        <v>156</v>
      </c>
      <c r="G71" s="115">
        <f>DAILY_ENERGY!C45</f>
        <v>63.989891999999998</v>
      </c>
      <c r="H71" s="115">
        <f>DAILY_ENERGY!D45</f>
        <v>64.316851999999997</v>
      </c>
      <c r="I71" s="115">
        <f>DAILY_ENERGY!E45</f>
        <v>0.3269599999999997</v>
      </c>
      <c r="J71" s="241"/>
      <c r="K71" s="241"/>
      <c r="L71" s="246"/>
      <c r="M71" s="247"/>
    </row>
    <row r="72" spans="1:13" ht="30.25" customHeight="1" x14ac:dyDescent="0.35">
      <c r="A72" s="98"/>
      <c r="B72" s="238" t="s">
        <v>495</v>
      </c>
      <c r="C72" s="252" t="s">
        <v>122</v>
      </c>
      <c r="D72" s="252"/>
      <c r="E72" s="101">
        <v>67</v>
      </c>
      <c r="F72" s="100" t="s">
        <v>169</v>
      </c>
      <c r="G72" s="115">
        <f>DAILY_ENERGY!C46</f>
        <v>586.00204799999995</v>
      </c>
      <c r="H72" s="115">
        <f>DAILY_ENERGY!D46</f>
        <v>590.53484800000001</v>
      </c>
      <c r="I72" s="115">
        <f>DAILY_ENERGY!E46</f>
        <v>4.5328000000000657</v>
      </c>
      <c r="J72" s="249">
        <f>SUM(I73:I92)</f>
        <v>4.276957695312487</v>
      </c>
      <c r="K72" s="241"/>
      <c r="L72" s="242">
        <f>J72/K6</f>
        <v>0.15721405323424467</v>
      </c>
      <c r="M72" s="243"/>
    </row>
    <row r="73" spans="1:13" ht="30.25" customHeight="1" x14ac:dyDescent="0.35">
      <c r="A73" s="98"/>
      <c r="B73" s="239"/>
      <c r="C73" s="252"/>
      <c r="D73" s="252"/>
      <c r="E73" s="101">
        <v>68</v>
      </c>
      <c r="F73" s="100" t="s">
        <v>170</v>
      </c>
      <c r="G73" s="115">
        <f>DAILY_ENERGY!C47</f>
        <v>7.1778594999999994</v>
      </c>
      <c r="H73" s="115">
        <f>DAILY_ENERGY!D47</f>
        <v>7.2301344999999992</v>
      </c>
      <c r="I73" s="115">
        <f>DAILY_ENERGY!E47</f>
        <v>5.2274999999999849E-2</v>
      </c>
      <c r="J73" s="250"/>
      <c r="K73" s="241"/>
      <c r="L73" s="244"/>
      <c r="M73" s="245"/>
    </row>
    <row r="74" spans="1:13" ht="30.25" customHeight="1" x14ac:dyDescent="0.35">
      <c r="A74" s="98"/>
      <c r="B74" s="239"/>
      <c r="C74" s="252"/>
      <c r="D74" s="252"/>
      <c r="E74" s="101">
        <v>69</v>
      </c>
      <c r="F74" s="100" t="s">
        <v>24</v>
      </c>
      <c r="G74" s="115">
        <f>DAILY_ENERGY!C48</f>
        <v>0</v>
      </c>
      <c r="H74" s="115">
        <f>DAILY_ENERGY!D48</f>
        <v>0</v>
      </c>
      <c r="I74" s="115">
        <f>DAILY_ENERGY!E48</f>
        <v>0</v>
      </c>
      <c r="J74" s="250"/>
      <c r="K74" s="241"/>
      <c r="L74" s="244"/>
      <c r="M74" s="245"/>
    </row>
    <row r="75" spans="1:13" ht="30.25" customHeight="1" x14ac:dyDescent="0.35">
      <c r="A75" s="98"/>
      <c r="B75" s="239"/>
      <c r="C75" s="252"/>
      <c r="D75" s="252"/>
      <c r="E75" s="101">
        <v>70</v>
      </c>
      <c r="F75" s="100" t="s">
        <v>171</v>
      </c>
      <c r="G75" s="115">
        <f>DAILY_ENERGY!C49</f>
        <v>36.699123999999998</v>
      </c>
      <c r="H75" s="115">
        <f>DAILY_ENERGY!D49</f>
        <v>36.761423999999998</v>
      </c>
      <c r="I75" s="115">
        <f>DAILY_ENERGY!E49</f>
        <v>6.2300000000000466E-2</v>
      </c>
      <c r="J75" s="250"/>
      <c r="K75" s="241"/>
      <c r="L75" s="244"/>
      <c r="M75" s="245"/>
    </row>
    <row r="76" spans="1:13" ht="30.25" customHeight="1" x14ac:dyDescent="0.35">
      <c r="A76" s="98"/>
      <c r="B76" s="239"/>
      <c r="C76" s="252"/>
      <c r="D76" s="252"/>
      <c r="E76" s="101">
        <v>71</v>
      </c>
      <c r="F76" s="100" t="s">
        <v>172</v>
      </c>
      <c r="G76" s="115">
        <f>DAILY_ENERGY!C50</f>
        <v>6.6991044999999998</v>
      </c>
      <c r="H76" s="115">
        <f>DAILY_ENERGY!D50</f>
        <v>6.7338819999999995</v>
      </c>
      <c r="I76" s="115">
        <f>DAILY_ENERGY!E50</f>
        <v>3.4777499999999684E-2</v>
      </c>
      <c r="J76" s="250"/>
      <c r="K76" s="241"/>
      <c r="L76" s="244"/>
      <c r="M76" s="245"/>
    </row>
    <row r="77" spans="1:13" ht="30.25" customHeight="1" x14ac:dyDescent="0.35">
      <c r="A77" s="98"/>
      <c r="B77" s="239"/>
      <c r="C77" s="252"/>
      <c r="D77" s="252"/>
      <c r="E77" s="101">
        <v>72</v>
      </c>
      <c r="F77" s="100" t="s">
        <v>173</v>
      </c>
      <c r="G77" s="115">
        <f>DAILY_ENERGY!C51</f>
        <v>744.50182399999994</v>
      </c>
      <c r="H77" s="115">
        <f>DAILY_ENERGY!D51</f>
        <v>745.75545599999998</v>
      </c>
      <c r="I77" s="115">
        <f>DAILY_ENERGY!E51</f>
        <v>1.2536320000000387</v>
      </c>
      <c r="J77" s="250"/>
      <c r="K77" s="241"/>
      <c r="L77" s="244"/>
      <c r="M77" s="245"/>
    </row>
    <row r="78" spans="1:13" ht="30.25" customHeight="1" x14ac:dyDescent="0.35">
      <c r="A78" s="98"/>
      <c r="B78" s="239"/>
      <c r="C78" s="252"/>
      <c r="D78" s="252"/>
      <c r="E78" s="101">
        <v>73</v>
      </c>
      <c r="F78" s="100" t="s">
        <v>24</v>
      </c>
      <c r="G78" s="115">
        <f>DAILY_ENERGY!C52</f>
        <v>0</v>
      </c>
      <c r="H78" s="115">
        <f>DAILY_ENERGY!D52</f>
        <v>0</v>
      </c>
      <c r="I78" s="115">
        <f>DAILY_ENERGY!E52</f>
        <v>0</v>
      </c>
      <c r="J78" s="250"/>
      <c r="K78" s="241"/>
      <c r="L78" s="244"/>
      <c r="M78" s="245"/>
    </row>
    <row r="79" spans="1:13" ht="30.25" customHeight="1" x14ac:dyDescent="0.35">
      <c r="A79" s="98"/>
      <c r="B79" s="239"/>
      <c r="C79" s="252"/>
      <c r="D79" s="252"/>
      <c r="E79" s="101">
        <v>74</v>
      </c>
      <c r="F79" s="100" t="s">
        <v>174</v>
      </c>
      <c r="G79" s="115">
        <f>DAILY_ENERGY!C53</f>
        <v>7.0612534999999994</v>
      </c>
      <c r="H79" s="115">
        <f>DAILY_ENERGY!D53</f>
        <v>7.1307404999999999</v>
      </c>
      <c r="I79" s="115">
        <f>DAILY_ENERGY!E53</f>
        <v>6.9487000000000521E-2</v>
      </c>
      <c r="J79" s="250"/>
      <c r="K79" s="241"/>
      <c r="L79" s="244"/>
      <c r="M79" s="245"/>
    </row>
    <row r="80" spans="1:13" ht="30.25" customHeight="1" x14ac:dyDescent="0.35">
      <c r="A80" s="98"/>
      <c r="B80" s="239"/>
      <c r="C80" s="252"/>
      <c r="D80" s="252"/>
      <c r="E80" s="101">
        <v>75</v>
      </c>
      <c r="F80" s="100" t="s">
        <v>175</v>
      </c>
      <c r="G80" s="115">
        <f>DAILY_ENERGY!C54</f>
        <v>5.3502289999999997</v>
      </c>
      <c r="H80" s="115">
        <f>DAILY_ENERGY!D54</f>
        <v>5.3502324999999997</v>
      </c>
      <c r="I80" s="115">
        <f>DAILY_ENERGY!E54</f>
        <v>3.5000000000451337E-6</v>
      </c>
      <c r="J80" s="250"/>
      <c r="K80" s="241"/>
      <c r="L80" s="244"/>
      <c r="M80" s="245"/>
    </row>
    <row r="81" spans="1:13" ht="30.25" customHeight="1" x14ac:dyDescent="0.35">
      <c r="A81" s="98"/>
      <c r="B81" s="239"/>
      <c r="C81" s="252"/>
      <c r="D81" s="252"/>
      <c r="E81" s="101">
        <v>76</v>
      </c>
      <c r="F81" s="100" t="s">
        <v>24</v>
      </c>
      <c r="G81" s="115">
        <f>DAILY_ENERGY!C55</f>
        <v>0</v>
      </c>
      <c r="H81" s="115">
        <f>DAILY_ENERGY!D55</f>
        <v>0</v>
      </c>
      <c r="I81" s="115">
        <f>DAILY_ENERGY!E55</f>
        <v>0</v>
      </c>
      <c r="J81" s="250"/>
      <c r="K81" s="241"/>
      <c r="L81" s="244"/>
      <c r="M81" s="245"/>
    </row>
    <row r="82" spans="1:13" ht="30.25" customHeight="1" x14ac:dyDescent="0.35">
      <c r="A82" s="98"/>
      <c r="B82" s="239"/>
      <c r="C82" s="252"/>
      <c r="D82" s="252"/>
      <c r="E82" s="101">
        <v>77</v>
      </c>
      <c r="F82" s="100" t="s">
        <v>24</v>
      </c>
      <c r="G82" s="115">
        <f>DAILY_ENERGY!C56</f>
        <v>0</v>
      </c>
      <c r="H82" s="115">
        <f>DAILY_ENERGY!D56</f>
        <v>0</v>
      </c>
      <c r="I82" s="115">
        <f>DAILY_ENERGY!E56</f>
        <v>0</v>
      </c>
      <c r="J82" s="250"/>
      <c r="K82" s="241"/>
      <c r="L82" s="244"/>
      <c r="M82" s="245"/>
    </row>
    <row r="83" spans="1:13" ht="30.25" customHeight="1" x14ac:dyDescent="0.35">
      <c r="A83" s="98"/>
      <c r="B83" s="239"/>
      <c r="C83" s="252"/>
      <c r="D83" s="252"/>
      <c r="E83" s="101">
        <v>78</v>
      </c>
      <c r="F83" s="100" t="s">
        <v>24</v>
      </c>
      <c r="G83" s="115">
        <f>DAILY_ENERGY!C57</f>
        <v>0</v>
      </c>
      <c r="H83" s="115">
        <f>DAILY_ENERGY!D57</f>
        <v>0</v>
      </c>
      <c r="I83" s="115">
        <f>DAILY_ENERGY!E57</f>
        <v>0</v>
      </c>
      <c r="J83" s="250"/>
      <c r="K83" s="241"/>
      <c r="L83" s="244"/>
      <c r="M83" s="245"/>
    </row>
    <row r="84" spans="1:13" ht="30.25" customHeight="1" x14ac:dyDescent="0.35">
      <c r="A84" s="98"/>
      <c r="B84" s="239"/>
      <c r="C84" s="252"/>
      <c r="D84" s="252"/>
      <c r="E84" s="101">
        <v>79</v>
      </c>
      <c r="F84" s="100" t="s">
        <v>176</v>
      </c>
      <c r="G84" s="115">
        <f>DAILY_ENERGY!C58</f>
        <v>7.7605710937500003E-2</v>
      </c>
      <c r="H84" s="115">
        <f>DAILY_ENERGY!D58</f>
        <v>8.1032406249999994E-2</v>
      </c>
      <c r="I84" s="115">
        <f>DAILY_ENERGY!E58</f>
        <v>3.4266953124999916E-3</v>
      </c>
      <c r="J84" s="250"/>
      <c r="K84" s="241"/>
      <c r="L84" s="244"/>
      <c r="M84" s="245"/>
    </row>
    <row r="85" spans="1:13" ht="30.25" customHeight="1" x14ac:dyDescent="0.35">
      <c r="A85" s="98"/>
      <c r="B85" s="239"/>
      <c r="C85" s="252"/>
      <c r="D85" s="252"/>
      <c r="E85" s="101">
        <v>80</v>
      </c>
      <c r="F85" s="100" t="s">
        <v>167</v>
      </c>
      <c r="G85" s="115">
        <f>DAILY_ENERGY!C59</f>
        <v>19.798527999999997</v>
      </c>
      <c r="H85" s="115">
        <f>DAILY_ENERGY!D59</f>
        <v>19.916705999999998</v>
      </c>
      <c r="I85" s="115">
        <f>DAILY_ENERGY!E59</f>
        <v>0.11817800000000034</v>
      </c>
      <c r="J85" s="250"/>
      <c r="K85" s="241"/>
      <c r="L85" s="244"/>
      <c r="M85" s="245"/>
    </row>
    <row r="86" spans="1:13" ht="30.25" customHeight="1" x14ac:dyDescent="0.35">
      <c r="A86" s="98"/>
      <c r="B86" s="239"/>
      <c r="C86" s="252"/>
      <c r="D86" s="252"/>
      <c r="E86" s="101">
        <v>81</v>
      </c>
      <c r="F86" s="100" t="s">
        <v>24</v>
      </c>
      <c r="G86" s="115">
        <f>DAILY_ENERGY!C60</f>
        <v>0</v>
      </c>
      <c r="H86" s="115">
        <f>DAILY_ENERGY!D60</f>
        <v>0</v>
      </c>
      <c r="I86" s="115">
        <f>DAILY_ENERGY!E60</f>
        <v>0</v>
      </c>
      <c r="J86" s="250"/>
      <c r="K86" s="241"/>
      <c r="L86" s="244"/>
      <c r="M86" s="245"/>
    </row>
    <row r="87" spans="1:13" ht="30.25" customHeight="1" x14ac:dyDescent="0.35">
      <c r="A87" s="98"/>
      <c r="B87" s="239"/>
      <c r="C87" s="252"/>
      <c r="D87" s="252"/>
      <c r="E87" s="101">
        <v>82</v>
      </c>
      <c r="F87" s="100" t="s">
        <v>177</v>
      </c>
      <c r="G87" s="115">
        <f>DAILY_ENERGY!C61</f>
        <v>14.900392999999999</v>
      </c>
      <c r="H87" s="115">
        <f>DAILY_ENERGY!D61</f>
        <v>14.916352999999999</v>
      </c>
      <c r="I87" s="115">
        <f>DAILY_ENERGY!E61</f>
        <v>1.5959999999999752E-2</v>
      </c>
      <c r="J87" s="250"/>
      <c r="K87" s="241"/>
      <c r="L87" s="244"/>
      <c r="M87" s="245"/>
    </row>
    <row r="88" spans="1:13" ht="30.25" customHeight="1" x14ac:dyDescent="0.35">
      <c r="A88" s="98"/>
      <c r="B88" s="239"/>
      <c r="C88" s="252"/>
      <c r="D88" s="252"/>
      <c r="E88" s="101">
        <v>83</v>
      </c>
      <c r="F88" s="100" t="s">
        <v>178</v>
      </c>
      <c r="G88" s="115">
        <f>DAILY_ENERGY!C62</f>
        <v>31.84844</v>
      </c>
      <c r="H88" s="115">
        <f>DAILY_ENERGY!D62</f>
        <v>31.856037999999998</v>
      </c>
      <c r="I88" s="115">
        <f>DAILY_ENERGY!E62</f>
        <v>7.5979999999979952E-3</v>
      </c>
      <c r="J88" s="250"/>
      <c r="K88" s="241"/>
      <c r="L88" s="244"/>
      <c r="M88" s="245"/>
    </row>
    <row r="89" spans="1:13" ht="30.25" customHeight="1" x14ac:dyDescent="0.35">
      <c r="A89" s="98"/>
      <c r="B89" s="239"/>
      <c r="C89" s="252"/>
      <c r="D89" s="252"/>
      <c r="E89" s="101">
        <v>84</v>
      </c>
      <c r="F89" s="100" t="s">
        <v>179</v>
      </c>
      <c r="G89" s="115">
        <f>DAILY_ENERGY!C63</f>
        <v>321.16252800000001</v>
      </c>
      <c r="H89" s="115">
        <f>DAILY_ENERGY!D63</f>
        <v>323.74431999999996</v>
      </c>
      <c r="I89" s="115">
        <f>DAILY_ENERGY!E63</f>
        <v>2.5817919999999503</v>
      </c>
      <c r="J89" s="250"/>
      <c r="K89" s="241"/>
      <c r="L89" s="244"/>
      <c r="M89" s="245"/>
    </row>
    <row r="90" spans="1:13" ht="30.25" customHeight="1" x14ac:dyDescent="0.35">
      <c r="A90" s="98"/>
      <c r="B90" s="239"/>
      <c r="C90" s="252"/>
      <c r="D90" s="252"/>
      <c r="E90" s="101">
        <v>85</v>
      </c>
      <c r="F90" s="100" t="s">
        <v>180</v>
      </c>
      <c r="G90" s="115">
        <f>DAILY_ENERGY!C64</f>
        <v>16.271673</v>
      </c>
      <c r="H90" s="115">
        <f>DAILY_ENERGY!D64</f>
        <v>16.272221999999999</v>
      </c>
      <c r="I90" s="115">
        <f>DAILY_ENERGY!E64</f>
        <v>5.4899999999946658E-4</v>
      </c>
      <c r="J90" s="250"/>
      <c r="K90" s="241"/>
      <c r="L90" s="244"/>
      <c r="M90" s="245"/>
    </row>
    <row r="91" spans="1:13" ht="30.25" customHeight="1" x14ac:dyDescent="0.35">
      <c r="A91" s="98"/>
      <c r="B91" s="239"/>
      <c r="C91" s="252"/>
      <c r="D91" s="252"/>
      <c r="E91" s="101">
        <v>86</v>
      </c>
      <c r="F91" s="100" t="s">
        <v>181</v>
      </c>
      <c r="G91" s="115">
        <f>DAILY_ENERGY!C65</f>
        <v>7.9165859999999997</v>
      </c>
      <c r="H91" s="115">
        <f>DAILY_ENERGY!D65</f>
        <v>7.9935649999999994</v>
      </c>
      <c r="I91" s="115">
        <f>DAILY_ENERGY!E65</f>
        <v>7.6978999999999687E-2</v>
      </c>
      <c r="J91" s="250"/>
      <c r="K91" s="241"/>
      <c r="L91" s="244"/>
      <c r="M91" s="245"/>
    </row>
    <row r="92" spans="1:13" ht="30.25" customHeight="1" x14ac:dyDescent="0.35">
      <c r="A92" s="98"/>
      <c r="B92" s="239"/>
      <c r="C92" s="252"/>
      <c r="D92" s="252"/>
      <c r="E92" s="101">
        <v>87</v>
      </c>
      <c r="F92" s="100" t="s">
        <v>182</v>
      </c>
      <c r="G92" s="115">
        <f>DAILY_ENERGY!C66</f>
        <v>21.908904</v>
      </c>
      <c r="H92" s="115">
        <f>DAILY_ENERGY!D66</f>
        <v>21.908904</v>
      </c>
      <c r="I92" s="115">
        <f>DAILY_ENERGY!E66</f>
        <v>0</v>
      </c>
      <c r="J92" s="251"/>
      <c r="K92" s="241"/>
      <c r="L92" s="246"/>
      <c r="M92" s="247"/>
    </row>
    <row r="93" spans="1:13" ht="30.25" customHeight="1" x14ac:dyDescent="0.35">
      <c r="A93" s="98"/>
      <c r="B93" s="239"/>
      <c r="C93" s="252" t="s">
        <v>123</v>
      </c>
      <c r="D93" s="252"/>
      <c r="E93" s="101">
        <v>88</v>
      </c>
      <c r="F93" s="100" t="s">
        <v>98</v>
      </c>
      <c r="G93" s="115">
        <f>DAILY_ENERGY!C67</f>
        <v>281.11404799999997</v>
      </c>
      <c r="H93" s="115">
        <f>DAILY_ENERGY!D67</f>
        <v>283.38019199999997</v>
      </c>
      <c r="I93" s="115">
        <f>DAILY_ENERGY!E67</f>
        <v>2.266143999999997</v>
      </c>
      <c r="J93" s="249">
        <f>SUM(I94:I118)</f>
        <v>2.1590730312500113</v>
      </c>
      <c r="K93" s="241"/>
      <c r="L93" s="248">
        <f>J93/K6</f>
        <v>7.936403552543464E-2</v>
      </c>
      <c r="M93" s="248"/>
    </row>
    <row r="94" spans="1:13" ht="30.25" customHeight="1" x14ac:dyDescent="0.35">
      <c r="A94" s="98"/>
      <c r="B94" s="239"/>
      <c r="C94" s="252"/>
      <c r="D94" s="252"/>
      <c r="E94" s="101">
        <v>89</v>
      </c>
      <c r="F94" s="100" t="s">
        <v>24</v>
      </c>
      <c r="G94" s="115">
        <f>DAILY_ENERGY!C68</f>
        <v>0</v>
      </c>
      <c r="H94" s="115">
        <f>DAILY_ENERGY!D68</f>
        <v>0</v>
      </c>
      <c r="I94" s="115">
        <f>DAILY_ENERGY!E68</f>
        <v>0</v>
      </c>
      <c r="J94" s="250"/>
      <c r="K94" s="241"/>
      <c r="L94" s="248"/>
      <c r="M94" s="248"/>
    </row>
    <row r="95" spans="1:13" ht="30.25" customHeight="1" x14ac:dyDescent="0.35">
      <c r="A95" s="98"/>
      <c r="B95" s="239"/>
      <c r="C95" s="252"/>
      <c r="D95" s="252"/>
      <c r="E95" s="101">
        <v>90</v>
      </c>
      <c r="F95" s="100" t="s">
        <v>99</v>
      </c>
      <c r="G95" s="115">
        <f>DAILY_ENERGY!C69</f>
        <v>16.588630999999999</v>
      </c>
      <c r="H95" s="115">
        <f>DAILY_ENERGY!D69</f>
        <v>17.056632</v>
      </c>
      <c r="I95" s="115">
        <f>DAILY_ENERGY!E69</f>
        <v>0.468001000000001</v>
      </c>
      <c r="J95" s="250"/>
      <c r="K95" s="241"/>
      <c r="L95" s="248"/>
      <c r="M95" s="248"/>
    </row>
    <row r="96" spans="1:13" ht="30.25" customHeight="1" x14ac:dyDescent="0.35">
      <c r="A96" s="98"/>
      <c r="B96" s="239"/>
      <c r="C96" s="252"/>
      <c r="D96" s="252"/>
      <c r="E96" s="101">
        <v>91</v>
      </c>
      <c r="F96" s="100" t="s">
        <v>183</v>
      </c>
      <c r="G96" s="115">
        <f>DAILY_ENERGY!C70</f>
        <v>0</v>
      </c>
      <c r="H96" s="115">
        <f>DAILY_ENERGY!D70</f>
        <v>0</v>
      </c>
      <c r="I96" s="115">
        <f>DAILY_ENERGY!E70</f>
        <v>0</v>
      </c>
      <c r="J96" s="250"/>
      <c r="K96" s="241"/>
      <c r="L96" s="248"/>
      <c r="M96" s="248"/>
    </row>
    <row r="97" spans="1:13" ht="30.25" customHeight="1" x14ac:dyDescent="0.35">
      <c r="A97" s="98"/>
      <c r="B97" s="239"/>
      <c r="C97" s="252"/>
      <c r="D97" s="252"/>
      <c r="E97" s="101">
        <v>92</v>
      </c>
      <c r="F97" s="100" t="s">
        <v>100</v>
      </c>
      <c r="G97" s="115">
        <f>DAILY_ENERGY!C71</f>
        <v>0</v>
      </c>
      <c r="H97" s="115">
        <f>DAILY_ENERGY!D71</f>
        <v>0</v>
      </c>
      <c r="I97" s="115">
        <f>DAILY_ENERGY!E71</f>
        <v>0</v>
      </c>
      <c r="J97" s="250"/>
      <c r="K97" s="241"/>
      <c r="L97" s="248"/>
      <c r="M97" s="248"/>
    </row>
    <row r="98" spans="1:13" ht="30.25" customHeight="1" x14ac:dyDescent="0.35">
      <c r="A98" s="98"/>
      <c r="B98" s="239"/>
      <c r="C98" s="252"/>
      <c r="D98" s="252"/>
      <c r="E98" s="101">
        <v>93</v>
      </c>
      <c r="F98" s="100" t="s">
        <v>184</v>
      </c>
      <c r="G98" s="115">
        <f>DAILY_ENERGY!C72</f>
        <v>0</v>
      </c>
      <c r="H98" s="115">
        <f>DAILY_ENERGY!D72</f>
        <v>0</v>
      </c>
      <c r="I98" s="115">
        <f>DAILY_ENERGY!E72</f>
        <v>0</v>
      </c>
      <c r="J98" s="250"/>
      <c r="K98" s="241"/>
      <c r="L98" s="248"/>
      <c r="M98" s="248"/>
    </row>
    <row r="99" spans="1:13" ht="30.25" customHeight="1" x14ac:dyDescent="0.35">
      <c r="A99" s="98"/>
      <c r="B99" s="239"/>
      <c r="C99" s="252"/>
      <c r="D99" s="252"/>
      <c r="E99" s="101">
        <v>94</v>
      </c>
      <c r="F99" s="100" t="s">
        <v>185</v>
      </c>
      <c r="G99" s="115">
        <f>DAILY_ENERGY!C73</f>
        <v>0</v>
      </c>
      <c r="H99" s="115">
        <f>DAILY_ENERGY!D73</f>
        <v>0</v>
      </c>
      <c r="I99" s="115">
        <f>DAILY_ENERGY!E73</f>
        <v>0</v>
      </c>
      <c r="J99" s="250"/>
      <c r="K99" s="241"/>
      <c r="L99" s="248"/>
      <c r="M99" s="248"/>
    </row>
    <row r="100" spans="1:13" ht="30.25" customHeight="1" x14ac:dyDescent="0.35">
      <c r="A100" s="98"/>
      <c r="B100" s="239"/>
      <c r="C100" s="252"/>
      <c r="D100" s="252"/>
      <c r="E100" s="101">
        <v>95</v>
      </c>
      <c r="F100" s="100" t="s">
        <v>101</v>
      </c>
      <c r="G100" s="115">
        <f>DAILY_ENERGY!C74</f>
        <v>53.186927999999995</v>
      </c>
      <c r="H100" s="115">
        <f>DAILY_ENERGY!D74</f>
        <v>53.432043999999998</v>
      </c>
      <c r="I100" s="115">
        <f>DAILY_ENERGY!E74</f>
        <v>0.245116000000003</v>
      </c>
      <c r="J100" s="250"/>
      <c r="K100" s="241"/>
      <c r="L100" s="248"/>
      <c r="M100" s="248"/>
    </row>
    <row r="101" spans="1:13" ht="30.25" customHeight="1" x14ac:dyDescent="0.35">
      <c r="A101" s="98"/>
      <c r="B101" s="239"/>
      <c r="C101" s="252"/>
      <c r="D101" s="252"/>
      <c r="E101" s="101">
        <v>96</v>
      </c>
      <c r="F101" s="100" t="s">
        <v>186</v>
      </c>
      <c r="G101" s="115">
        <f>DAILY_ENERGY!C75</f>
        <v>0</v>
      </c>
      <c r="H101" s="115">
        <f>DAILY_ENERGY!D75</f>
        <v>0</v>
      </c>
      <c r="I101" s="115">
        <f>DAILY_ENERGY!E75</f>
        <v>0</v>
      </c>
      <c r="J101" s="250"/>
      <c r="K101" s="241"/>
      <c r="L101" s="248"/>
      <c r="M101" s="248"/>
    </row>
    <row r="102" spans="1:13" ht="30.25" customHeight="1" x14ac:dyDescent="0.35">
      <c r="A102" s="98"/>
      <c r="B102" s="239"/>
      <c r="C102" s="252"/>
      <c r="D102" s="252"/>
      <c r="E102" s="101">
        <v>97</v>
      </c>
      <c r="F102" s="100" t="s">
        <v>187</v>
      </c>
      <c r="G102" s="115">
        <f>DAILY_ENERGY!C76</f>
        <v>0</v>
      </c>
      <c r="H102" s="115">
        <f>DAILY_ENERGY!D76</f>
        <v>0</v>
      </c>
      <c r="I102" s="115">
        <f>DAILY_ENERGY!E76</f>
        <v>0</v>
      </c>
      <c r="J102" s="250"/>
      <c r="K102" s="241"/>
      <c r="L102" s="248"/>
      <c r="M102" s="248"/>
    </row>
    <row r="103" spans="1:13" ht="30.25" customHeight="1" x14ac:dyDescent="0.35">
      <c r="A103" s="98"/>
      <c r="B103" s="239"/>
      <c r="C103" s="252"/>
      <c r="D103" s="252"/>
      <c r="E103" s="101">
        <v>98</v>
      </c>
      <c r="F103" s="100" t="s">
        <v>188</v>
      </c>
      <c r="G103" s="115">
        <f>DAILY_ENERGY!C77</f>
        <v>0</v>
      </c>
      <c r="H103" s="115">
        <f>DAILY_ENERGY!D77</f>
        <v>0</v>
      </c>
      <c r="I103" s="115">
        <f>DAILY_ENERGY!E77</f>
        <v>0</v>
      </c>
      <c r="J103" s="250"/>
      <c r="K103" s="241"/>
      <c r="L103" s="248"/>
      <c r="M103" s="248"/>
    </row>
    <row r="104" spans="1:13" ht="30.25" customHeight="1" x14ac:dyDescent="0.35">
      <c r="A104" s="98"/>
      <c r="B104" s="239"/>
      <c r="C104" s="252"/>
      <c r="D104" s="252"/>
      <c r="E104" s="101">
        <v>99</v>
      </c>
      <c r="F104" s="100" t="s">
        <v>189</v>
      </c>
      <c r="G104" s="115">
        <f>DAILY_ENERGY!C78</f>
        <v>0</v>
      </c>
      <c r="H104" s="115">
        <f>DAILY_ENERGY!D78</f>
        <v>0</v>
      </c>
      <c r="I104" s="115">
        <f>DAILY_ENERGY!E78</f>
        <v>0</v>
      </c>
      <c r="J104" s="250"/>
      <c r="K104" s="241"/>
      <c r="L104" s="248"/>
      <c r="M104" s="248"/>
    </row>
    <row r="105" spans="1:13" ht="30.25" customHeight="1" x14ac:dyDescent="0.35">
      <c r="A105" s="98"/>
      <c r="B105" s="239"/>
      <c r="C105" s="252"/>
      <c r="D105" s="252"/>
      <c r="E105" s="101">
        <v>100</v>
      </c>
      <c r="F105" s="100" t="s">
        <v>190</v>
      </c>
      <c r="G105" s="115">
        <f>DAILY_ENERGY!C79</f>
        <v>1.4891672499999999</v>
      </c>
      <c r="H105" s="115">
        <f>DAILY_ENERGY!D79</f>
        <v>1.4891672499999999</v>
      </c>
      <c r="I105" s="115">
        <f>DAILY_ENERGY!E79</f>
        <v>0</v>
      </c>
      <c r="J105" s="250"/>
      <c r="K105" s="241"/>
      <c r="L105" s="248"/>
      <c r="M105" s="248"/>
    </row>
    <row r="106" spans="1:13" ht="30.25" customHeight="1" x14ac:dyDescent="0.35">
      <c r="A106" s="98"/>
      <c r="B106" s="239"/>
      <c r="C106" s="252"/>
      <c r="D106" s="252"/>
      <c r="E106" s="101">
        <v>101</v>
      </c>
      <c r="F106" s="100" t="s">
        <v>102</v>
      </c>
      <c r="G106" s="115">
        <f>DAILY_ENERGY!C80</f>
        <v>105.87555999999999</v>
      </c>
      <c r="H106" s="115">
        <f>DAILY_ENERGY!D80</f>
        <v>106.892184</v>
      </c>
      <c r="I106" s="115">
        <f>DAILY_ENERGY!E80</f>
        <v>1.0166240000000073</v>
      </c>
      <c r="J106" s="250"/>
      <c r="K106" s="241"/>
      <c r="L106" s="248"/>
      <c r="M106" s="248"/>
    </row>
    <row r="107" spans="1:13" ht="30.25" customHeight="1" x14ac:dyDescent="0.35">
      <c r="A107" s="98"/>
      <c r="B107" s="239"/>
      <c r="C107" s="252"/>
      <c r="D107" s="252"/>
      <c r="E107" s="101">
        <v>102</v>
      </c>
      <c r="F107" s="100" t="s">
        <v>103</v>
      </c>
      <c r="G107" s="115">
        <f>DAILY_ENERGY!C81</f>
        <v>0.40174634374999996</v>
      </c>
      <c r="H107" s="115">
        <f>DAILY_ENERGY!D81</f>
        <v>0.76070412499999995</v>
      </c>
      <c r="I107" s="115">
        <f>DAILY_ENERGY!E81</f>
        <v>0.35895778125</v>
      </c>
      <c r="J107" s="250"/>
      <c r="K107" s="241"/>
      <c r="L107" s="248"/>
      <c r="M107" s="248"/>
    </row>
    <row r="108" spans="1:13" ht="30.25" customHeight="1" x14ac:dyDescent="0.35">
      <c r="A108" s="98"/>
      <c r="B108" s="239"/>
      <c r="C108" s="252"/>
      <c r="D108" s="252"/>
      <c r="E108" s="101">
        <v>103</v>
      </c>
      <c r="F108" s="100" t="s">
        <v>191</v>
      </c>
      <c r="G108" s="115">
        <f>DAILY_ENERGY!C82</f>
        <v>0</v>
      </c>
      <c r="H108" s="115">
        <f>DAILY_ENERGY!D82</f>
        <v>0</v>
      </c>
      <c r="I108" s="115">
        <f>DAILY_ENERGY!E82</f>
        <v>0</v>
      </c>
      <c r="J108" s="250"/>
      <c r="K108" s="241"/>
      <c r="L108" s="248"/>
      <c r="M108" s="248"/>
    </row>
    <row r="109" spans="1:13" ht="30.25" customHeight="1" x14ac:dyDescent="0.35">
      <c r="A109" s="98"/>
      <c r="B109" s="239"/>
      <c r="C109" s="252"/>
      <c r="D109" s="252"/>
      <c r="E109" s="101">
        <v>104</v>
      </c>
      <c r="F109" s="100" t="s">
        <v>192</v>
      </c>
      <c r="G109" s="115">
        <f>DAILY_ENERGY!C83</f>
        <v>0</v>
      </c>
      <c r="H109" s="115">
        <f>DAILY_ENERGY!D83</f>
        <v>0</v>
      </c>
      <c r="I109" s="115">
        <f>DAILY_ENERGY!E83</f>
        <v>0</v>
      </c>
      <c r="J109" s="250"/>
      <c r="K109" s="241"/>
      <c r="L109" s="248"/>
      <c r="M109" s="248"/>
    </row>
    <row r="110" spans="1:13" ht="30.25" customHeight="1" x14ac:dyDescent="0.35">
      <c r="A110" s="98"/>
      <c r="B110" s="239"/>
      <c r="C110" s="252"/>
      <c r="D110" s="252"/>
      <c r="E110" s="101">
        <v>105</v>
      </c>
      <c r="F110" s="100" t="s">
        <v>24</v>
      </c>
      <c r="G110" s="115">
        <f>DAILY_ENERGY!C84</f>
        <v>0</v>
      </c>
      <c r="H110" s="115">
        <f>DAILY_ENERGY!D84</f>
        <v>0</v>
      </c>
      <c r="I110" s="115">
        <f>DAILY_ENERGY!E84</f>
        <v>0</v>
      </c>
      <c r="J110" s="250"/>
      <c r="K110" s="241"/>
      <c r="L110" s="248"/>
      <c r="M110" s="248"/>
    </row>
    <row r="111" spans="1:13" ht="30.25" customHeight="1" x14ac:dyDescent="0.35">
      <c r="A111" s="98"/>
      <c r="B111" s="239"/>
      <c r="C111" s="252"/>
      <c r="D111" s="252"/>
      <c r="E111" s="101">
        <v>106</v>
      </c>
      <c r="F111" s="100" t="s">
        <v>24</v>
      </c>
      <c r="G111" s="115">
        <f>DAILY_ENERGY!C85</f>
        <v>0</v>
      </c>
      <c r="H111" s="115">
        <f>DAILY_ENERGY!D85</f>
        <v>0</v>
      </c>
      <c r="I111" s="115">
        <f>DAILY_ENERGY!E85</f>
        <v>0</v>
      </c>
      <c r="J111" s="250"/>
      <c r="K111" s="241"/>
      <c r="L111" s="248"/>
      <c r="M111" s="248"/>
    </row>
    <row r="112" spans="1:13" ht="30.25" customHeight="1" x14ac:dyDescent="0.35">
      <c r="A112" s="98"/>
      <c r="B112" s="239"/>
      <c r="C112" s="252"/>
      <c r="D112" s="252"/>
      <c r="E112" s="101">
        <v>107</v>
      </c>
      <c r="F112" s="100" t="s">
        <v>104</v>
      </c>
      <c r="G112" s="115">
        <f>DAILY_ENERGY!C86</f>
        <v>15.369556999999999</v>
      </c>
      <c r="H112" s="115">
        <f>DAILY_ENERGY!D86</f>
        <v>15.393146</v>
      </c>
      <c r="I112" s="115">
        <f>DAILY_ENERGY!E86</f>
        <v>2.3589000000001192E-2</v>
      </c>
      <c r="J112" s="250"/>
      <c r="K112" s="241"/>
      <c r="L112" s="248"/>
      <c r="M112" s="248"/>
    </row>
    <row r="113" spans="1:13" ht="30.25" customHeight="1" x14ac:dyDescent="0.35">
      <c r="A113" s="98"/>
      <c r="B113" s="239"/>
      <c r="C113" s="252"/>
      <c r="D113" s="252"/>
      <c r="E113" s="101">
        <v>108</v>
      </c>
      <c r="F113" s="100" t="s">
        <v>193</v>
      </c>
      <c r="G113" s="115">
        <f>DAILY_ENERGY!C87</f>
        <v>0</v>
      </c>
      <c r="H113" s="115">
        <f>DAILY_ENERGY!D87</f>
        <v>0</v>
      </c>
      <c r="I113" s="115">
        <f>DAILY_ENERGY!E87</f>
        <v>0</v>
      </c>
      <c r="J113" s="250"/>
      <c r="K113" s="241"/>
      <c r="L113" s="248"/>
      <c r="M113" s="248"/>
    </row>
    <row r="114" spans="1:13" ht="30.25" customHeight="1" x14ac:dyDescent="0.35">
      <c r="A114" s="98"/>
      <c r="B114" s="239"/>
      <c r="C114" s="252"/>
      <c r="D114" s="252"/>
      <c r="E114" s="101">
        <v>109</v>
      </c>
      <c r="F114" s="100" t="s">
        <v>105</v>
      </c>
      <c r="G114" s="115">
        <f>DAILY_ENERGY!C88</f>
        <v>3.0774352499999997</v>
      </c>
      <c r="H114" s="115">
        <f>DAILY_ENERGY!D88</f>
        <v>3.0948864999999999</v>
      </c>
      <c r="I114" s="115">
        <f>DAILY_ENERGY!E88</f>
        <v>1.745125000000014E-2</v>
      </c>
      <c r="J114" s="250"/>
      <c r="K114" s="241"/>
      <c r="L114" s="248"/>
      <c r="M114" s="248"/>
    </row>
    <row r="115" spans="1:13" ht="30.25" customHeight="1" x14ac:dyDescent="0.35">
      <c r="A115" s="98"/>
      <c r="B115" s="239"/>
      <c r="C115" s="252"/>
      <c r="D115" s="252"/>
      <c r="E115" s="101">
        <v>110</v>
      </c>
      <c r="F115" s="100" t="s">
        <v>194</v>
      </c>
      <c r="G115" s="115">
        <f>DAILY_ENERGY!C89</f>
        <v>0</v>
      </c>
      <c r="H115" s="115">
        <f>DAILY_ENERGY!D89</f>
        <v>0</v>
      </c>
      <c r="I115" s="115">
        <f>DAILY_ENERGY!E89</f>
        <v>0</v>
      </c>
      <c r="J115" s="250"/>
      <c r="K115" s="241"/>
      <c r="L115" s="248"/>
      <c r="M115" s="248"/>
    </row>
    <row r="116" spans="1:13" ht="30.25" customHeight="1" x14ac:dyDescent="0.35">
      <c r="A116" s="98"/>
      <c r="B116" s="239"/>
      <c r="C116" s="252"/>
      <c r="D116" s="252"/>
      <c r="E116" s="101">
        <v>111</v>
      </c>
      <c r="F116" s="100" t="s">
        <v>24</v>
      </c>
      <c r="G116" s="115">
        <f>DAILY_ENERGY!C90</f>
        <v>0</v>
      </c>
      <c r="H116" s="115">
        <f>DAILY_ENERGY!D90</f>
        <v>0</v>
      </c>
      <c r="I116" s="115">
        <f>DAILY_ENERGY!E90</f>
        <v>0</v>
      </c>
      <c r="J116" s="250"/>
      <c r="K116" s="241"/>
      <c r="L116" s="248"/>
      <c r="M116" s="248"/>
    </row>
    <row r="117" spans="1:13" ht="30.25" customHeight="1" x14ac:dyDescent="0.35">
      <c r="A117" s="98"/>
      <c r="B117" s="239"/>
      <c r="C117" s="252"/>
      <c r="D117" s="252"/>
      <c r="E117" s="101">
        <v>112</v>
      </c>
      <c r="F117" s="100" t="s">
        <v>106</v>
      </c>
      <c r="G117" s="115">
        <f>DAILY_ENERGY!C91</f>
        <v>0</v>
      </c>
      <c r="H117" s="115">
        <f>DAILY_ENERGY!D91</f>
        <v>0</v>
      </c>
      <c r="I117" s="115">
        <f>DAILY_ENERGY!E91</f>
        <v>0</v>
      </c>
      <c r="J117" s="250"/>
      <c r="K117" s="241"/>
      <c r="L117" s="248"/>
      <c r="M117" s="248"/>
    </row>
    <row r="118" spans="1:13" ht="30.25" customHeight="1" x14ac:dyDescent="0.35">
      <c r="A118" s="98"/>
      <c r="B118" s="239"/>
      <c r="C118" s="252"/>
      <c r="D118" s="252"/>
      <c r="E118" s="101">
        <v>113</v>
      </c>
      <c r="F118" s="100" t="s">
        <v>182</v>
      </c>
      <c r="G118" s="115">
        <f>DAILY_ENERGY!C92</f>
        <v>25.666043999999999</v>
      </c>
      <c r="H118" s="115">
        <f>DAILY_ENERGY!D92</f>
        <v>25.695377999999998</v>
      </c>
      <c r="I118" s="115">
        <f>DAILY_ENERGY!E92</f>
        <v>2.9333999999998639E-2</v>
      </c>
      <c r="J118" s="250"/>
      <c r="K118" s="241"/>
      <c r="L118" s="248"/>
      <c r="M118" s="248"/>
    </row>
    <row r="119" spans="1:13" ht="30.25" customHeight="1" x14ac:dyDescent="0.35">
      <c r="A119" s="98"/>
      <c r="B119" s="239"/>
      <c r="C119" s="252" t="s">
        <v>124</v>
      </c>
      <c r="D119" s="252"/>
      <c r="E119" s="101">
        <v>114</v>
      </c>
      <c r="F119" s="100" t="s">
        <v>107</v>
      </c>
      <c r="G119" s="115">
        <f>DAILY_ENERGY!C93</f>
        <v>1246.7487999999998</v>
      </c>
      <c r="H119" s="115">
        <f>DAILY_ENERGY!D93</f>
        <v>1250.9695999999999</v>
      </c>
      <c r="I119" s="115">
        <f>DAILY_ENERGY!E93</f>
        <v>4.2208000000000538</v>
      </c>
      <c r="J119" s="241">
        <f>SUM(I120:I140)</f>
        <v>1.7344548749999982</v>
      </c>
      <c r="K119" s="249"/>
      <c r="L119" s="242">
        <f>J119/K6</f>
        <v>6.3755758292746476E-2</v>
      </c>
      <c r="M119" s="243"/>
    </row>
    <row r="120" spans="1:13" ht="30.25" customHeight="1" x14ac:dyDescent="0.35">
      <c r="A120" s="98"/>
      <c r="B120" s="239"/>
      <c r="C120" s="252"/>
      <c r="D120" s="252"/>
      <c r="E120" s="101">
        <v>115</v>
      </c>
      <c r="F120" s="100" t="s">
        <v>195</v>
      </c>
      <c r="G120" s="115">
        <f>DAILY_ENERGY!C94</f>
        <v>8.8672550000000001</v>
      </c>
      <c r="H120" s="115">
        <f>DAILY_ENERGY!D94</f>
        <v>8.9221690000000002</v>
      </c>
      <c r="I120" s="115">
        <f>DAILY_ENERGY!E94</f>
        <v>5.4914000000000129E-2</v>
      </c>
      <c r="J120" s="241"/>
      <c r="K120" s="250"/>
      <c r="L120" s="244"/>
      <c r="M120" s="245"/>
    </row>
    <row r="121" spans="1:13" ht="30.25" customHeight="1" x14ac:dyDescent="0.35">
      <c r="A121" s="98"/>
      <c r="B121" s="239"/>
      <c r="C121" s="252"/>
      <c r="D121" s="252"/>
      <c r="E121" s="101">
        <v>116</v>
      </c>
      <c r="F121" s="100" t="s">
        <v>196</v>
      </c>
      <c r="G121" s="115">
        <f>DAILY_ENERGY!C95</f>
        <v>71.151383999999993</v>
      </c>
      <c r="H121" s="115">
        <f>DAILY_ENERGY!D95</f>
        <v>71.746911999999995</v>
      </c>
      <c r="I121" s="115">
        <f>DAILY_ENERGY!E95</f>
        <v>0.59552800000000161</v>
      </c>
      <c r="J121" s="241"/>
      <c r="K121" s="250"/>
      <c r="L121" s="244"/>
      <c r="M121" s="245"/>
    </row>
    <row r="122" spans="1:13" ht="30.25" customHeight="1" x14ac:dyDescent="0.35">
      <c r="A122" s="98"/>
      <c r="B122" s="239"/>
      <c r="C122" s="252"/>
      <c r="D122" s="252"/>
      <c r="E122" s="101">
        <v>117</v>
      </c>
      <c r="F122" s="100" t="s">
        <v>24</v>
      </c>
      <c r="G122" s="115">
        <f>DAILY_ENERGY!C96</f>
        <v>0</v>
      </c>
      <c r="H122" s="115">
        <f>DAILY_ENERGY!D96</f>
        <v>0</v>
      </c>
      <c r="I122" s="115">
        <f>DAILY_ENERGY!E96</f>
        <v>0</v>
      </c>
      <c r="J122" s="241"/>
      <c r="K122" s="250"/>
      <c r="L122" s="244"/>
      <c r="M122" s="245"/>
    </row>
    <row r="123" spans="1:13" ht="30.25" customHeight="1" x14ac:dyDescent="0.35">
      <c r="A123" s="98"/>
      <c r="B123" s="239"/>
      <c r="C123" s="252"/>
      <c r="D123" s="252"/>
      <c r="E123" s="101">
        <v>118</v>
      </c>
      <c r="F123" s="100" t="s">
        <v>197</v>
      </c>
      <c r="G123" s="115">
        <f>DAILY_ENERGY!C97</f>
        <v>0.36067371874999998</v>
      </c>
      <c r="H123" s="115">
        <f>DAILY_ENERGY!D97</f>
        <v>0.36067371874999998</v>
      </c>
      <c r="I123" s="115">
        <f>DAILY_ENERGY!E97</f>
        <v>0</v>
      </c>
      <c r="J123" s="241"/>
      <c r="K123" s="250"/>
      <c r="L123" s="244"/>
      <c r="M123" s="245"/>
    </row>
    <row r="124" spans="1:13" ht="30.25" customHeight="1" x14ac:dyDescent="0.35">
      <c r="A124" s="98"/>
      <c r="B124" s="239"/>
      <c r="C124" s="252"/>
      <c r="D124" s="252"/>
      <c r="E124" s="101">
        <v>119</v>
      </c>
      <c r="F124" s="100" t="s">
        <v>198</v>
      </c>
      <c r="G124" s="115">
        <f>DAILY_ENERGY!C98</f>
        <v>14.489376999999999</v>
      </c>
      <c r="H124" s="115">
        <f>DAILY_ENERGY!D98</f>
        <v>14.644981999999999</v>
      </c>
      <c r="I124" s="115">
        <f>DAILY_ENERGY!E98</f>
        <v>0.15560499999999955</v>
      </c>
      <c r="J124" s="241"/>
      <c r="K124" s="250"/>
      <c r="L124" s="244"/>
      <c r="M124" s="245"/>
    </row>
    <row r="125" spans="1:13" ht="30.25" customHeight="1" x14ac:dyDescent="0.35">
      <c r="A125" s="98"/>
      <c r="B125" s="239"/>
      <c r="C125" s="252"/>
      <c r="D125" s="252"/>
      <c r="E125" s="101">
        <v>120</v>
      </c>
      <c r="F125" s="100" t="s">
        <v>24</v>
      </c>
      <c r="G125" s="115">
        <f>DAILY_ENERGY!C99</f>
        <v>0</v>
      </c>
      <c r="H125" s="115">
        <f>DAILY_ENERGY!D99</f>
        <v>0</v>
      </c>
      <c r="I125" s="115">
        <f>DAILY_ENERGY!E99</f>
        <v>0</v>
      </c>
      <c r="J125" s="241"/>
      <c r="K125" s="250"/>
      <c r="L125" s="244"/>
      <c r="M125" s="245"/>
    </row>
    <row r="126" spans="1:13" ht="30.25" customHeight="1" x14ac:dyDescent="0.35">
      <c r="A126" s="98"/>
      <c r="B126" s="239"/>
      <c r="C126" s="252"/>
      <c r="D126" s="252"/>
      <c r="E126" s="101">
        <v>121</v>
      </c>
      <c r="F126" s="100" t="s">
        <v>199</v>
      </c>
      <c r="G126" s="115">
        <f>DAILY_ENERGY!C100</f>
        <v>69.738303999999999</v>
      </c>
      <c r="H126" s="115">
        <f>DAILY_ENERGY!D100</f>
        <v>69.936447999999999</v>
      </c>
      <c r="I126" s="115">
        <f>DAILY_ENERGY!E100</f>
        <v>0.19814399999999921</v>
      </c>
      <c r="J126" s="241"/>
      <c r="K126" s="250"/>
      <c r="L126" s="244"/>
      <c r="M126" s="245"/>
    </row>
    <row r="127" spans="1:13" ht="30.25" customHeight="1" x14ac:dyDescent="0.35">
      <c r="A127" s="98"/>
      <c r="B127" s="239"/>
      <c r="C127" s="252"/>
      <c r="D127" s="252"/>
      <c r="E127" s="101">
        <v>122</v>
      </c>
      <c r="F127" s="100" t="s">
        <v>24</v>
      </c>
      <c r="G127" s="115">
        <f>DAILY_ENERGY!C101</f>
        <v>0</v>
      </c>
      <c r="H127" s="115">
        <f>DAILY_ENERGY!D101</f>
        <v>0</v>
      </c>
      <c r="I127" s="115">
        <f>DAILY_ENERGY!E101</f>
        <v>0</v>
      </c>
      <c r="J127" s="241"/>
      <c r="K127" s="250"/>
      <c r="L127" s="244"/>
      <c r="M127" s="245"/>
    </row>
    <row r="128" spans="1:13" ht="30.25" customHeight="1" x14ac:dyDescent="0.35">
      <c r="A128" s="98"/>
      <c r="B128" s="239"/>
      <c r="C128" s="252"/>
      <c r="D128" s="252"/>
      <c r="E128" s="101">
        <v>123</v>
      </c>
      <c r="F128" s="100" t="s">
        <v>200</v>
      </c>
      <c r="G128" s="115">
        <f>DAILY_ENERGY!C102</f>
        <v>1.7479486249999998</v>
      </c>
      <c r="H128" s="115">
        <f>DAILY_ENERGY!D102</f>
        <v>1.7625377499999999</v>
      </c>
      <c r="I128" s="115">
        <f>DAILY_ENERGY!E102</f>
        <v>1.4589125000000092E-2</v>
      </c>
      <c r="J128" s="241"/>
      <c r="K128" s="250"/>
      <c r="L128" s="244"/>
      <c r="M128" s="245"/>
    </row>
    <row r="129" spans="1:13" ht="30.25" customHeight="1" x14ac:dyDescent="0.35">
      <c r="A129" s="98"/>
      <c r="B129" s="239"/>
      <c r="C129" s="252"/>
      <c r="D129" s="252"/>
      <c r="E129" s="101">
        <v>124</v>
      </c>
      <c r="F129" s="100" t="s">
        <v>108</v>
      </c>
      <c r="G129" s="115">
        <f>DAILY_ENERGY!C103</f>
        <v>38.263860000000001</v>
      </c>
      <c r="H129" s="115">
        <f>DAILY_ENERGY!D103</f>
        <v>38.321387999999999</v>
      </c>
      <c r="I129" s="115">
        <f>DAILY_ENERGY!E103</f>
        <v>5.7527999999997803E-2</v>
      </c>
      <c r="J129" s="241"/>
      <c r="K129" s="250"/>
      <c r="L129" s="244"/>
      <c r="M129" s="245"/>
    </row>
    <row r="130" spans="1:13" ht="30.25" customHeight="1" x14ac:dyDescent="0.35">
      <c r="A130" s="98"/>
      <c r="B130" s="239"/>
      <c r="C130" s="252"/>
      <c r="D130" s="252"/>
      <c r="E130" s="101">
        <v>125</v>
      </c>
      <c r="F130" s="100" t="s">
        <v>201</v>
      </c>
      <c r="G130" s="115">
        <f>DAILY_ENERGY!C104</f>
        <v>0</v>
      </c>
      <c r="H130" s="115">
        <f>DAILY_ENERGY!D104</f>
        <v>0</v>
      </c>
      <c r="I130" s="115">
        <f>DAILY_ENERGY!E104</f>
        <v>0</v>
      </c>
      <c r="J130" s="241"/>
      <c r="K130" s="250"/>
      <c r="L130" s="244"/>
      <c r="M130" s="245"/>
    </row>
    <row r="131" spans="1:13" ht="30.25" customHeight="1" x14ac:dyDescent="0.35">
      <c r="A131" s="98"/>
      <c r="B131" s="239"/>
      <c r="C131" s="252"/>
      <c r="D131" s="252"/>
      <c r="E131" s="101">
        <v>126</v>
      </c>
      <c r="F131" s="100" t="s">
        <v>202</v>
      </c>
      <c r="G131" s="115">
        <f>DAILY_ENERGY!C105</f>
        <v>1.461303</v>
      </c>
      <c r="H131" s="115">
        <f>DAILY_ENERGY!D105</f>
        <v>1.4769919999999999</v>
      </c>
      <c r="I131" s="115">
        <f>DAILY_ENERGY!E105</f>
        <v>1.5688999999999842E-2</v>
      </c>
      <c r="J131" s="241"/>
      <c r="K131" s="250"/>
      <c r="L131" s="244"/>
      <c r="M131" s="245"/>
    </row>
    <row r="132" spans="1:13" ht="30.25" customHeight="1" x14ac:dyDescent="0.35">
      <c r="A132" s="98"/>
      <c r="B132" s="239"/>
      <c r="C132" s="252"/>
      <c r="D132" s="252"/>
      <c r="E132" s="101">
        <v>127</v>
      </c>
      <c r="F132" s="100" t="s">
        <v>109</v>
      </c>
      <c r="G132" s="115">
        <f>DAILY_ENERGY!C106</f>
        <v>3.1493549999999999</v>
      </c>
      <c r="H132" s="115">
        <f>DAILY_ENERGY!D106</f>
        <v>3.17527625</v>
      </c>
      <c r="I132" s="115">
        <f>DAILY_ENERGY!E106</f>
        <v>2.5921250000000118E-2</v>
      </c>
      <c r="J132" s="241"/>
      <c r="K132" s="250"/>
      <c r="L132" s="244"/>
      <c r="M132" s="245"/>
    </row>
    <row r="133" spans="1:13" ht="30.25" customHeight="1" x14ac:dyDescent="0.35">
      <c r="A133" s="98"/>
      <c r="B133" s="239"/>
      <c r="C133" s="252"/>
      <c r="D133" s="252"/>
      <c r="E133" s="101">
        <v>128</v>
      </c>
      <c r="F133" s="100" t="s">
        <v>203</v>
      </c>
      <c r="G133" s="115">
        <f>DAILY_ENERGY!C107</f>
        <v>51.107383999999996</v>
      </c>
      <c r="H133" s="115">
        <f>DAILY_ENERGY!D107</f>
        <v>51.385191999999996</v>
      </c>
      <c r="I133" s="115">
        <f>DAILY_ENERGY!E107</f>
        <v>0.27780800000000028</v>
      </c>
      <c r="J133" s="241"/>
      <c r="K133" s="250"/>
      <c r="L133" s="244"/>
      <c r="M133" s="245"/>
    </row>
    <row r="134" spans="1:13" ht="30.25" customHeight="1" x14ac:dyDescent="0.35">
      <c r="A134" s="98"/>
      <c r="B134" s="239"/>
      <c r="C134" s="252"/>
      <c r="D134" s="252"/>
      <c r="E134" s="101">
        <v>129</v>
      </c>
      <c r="F134" s="100" t="s">
        <v>204</v>
      </c>
      <c r="G134" s="115">
        <f>DAILY_ENERGY!C108</f>
        <v>11.523637000000001</v>
      </c>
      <c r="H134" s="115">
        <f>DAILY_ENERGY!D108</f>
        <v>11.639074000000001</v>
      </c>
      <c r="I134" s="115">
        <f>DAILY_ENERGY!E108</f>
        <v>0.11543700000000001</v>
      </c>
      <c r="J134" s="241"/>
      <c r="K134" s="250"/>
      <c r="L134" s="244"/>
      <c r="M134" s="245"/>
    </row>
    <row r="135" spans="1:13" ht="30.25" customHeight="1" x14ac:dyDescent="0.35">
      <c r="A135" s="98"/>
      <c r="B135" s="239"/>
      <c r="C135" s="252"/>
      <c r="D135" s="252"/>
      <c r="E135" s="101">
        <v>130</v>
      </c>
      <c r="F135" s="100" t="s">
        <v>205</v>
      </c>
      <c r="G135" s="115">
        <f>DAILY_ENERGY!C109</f>
        <v>1.1778273749999999</v>
      </c>
      <c r="H135" s="115">
        <f>DAILY_ENERGY!D109</f>
        <v>1.3345586249999999</v>
      </c>
      <c r="I135" s="115">
        <f>DAILY_ENERGY!E109</f>
        <v>0.15673124999999999</v>
      </c>
      <c r="J135" s="241"/>
      <c r="K135" s="250"/>
      <c r="L135" s="244"/>
      <c r="M135" s="245"/>
    </row>
    <row r="136" spans="1:13" ht="30.25" customHeight="1" x14ac:dyDescent="0.35">
      <c r="A136" s="98"/>
      <c r="B136" s="239"/>
      <c r="C136" s="252"/>
      <c r="D136" s="252"/>
      <c r="E136" s="101">
        <v>131</v>
      </c>
      <c r="F136" s="100" t="s">
        <v>206</v>
      </c>
      <c r="G136" s="115">
        <f>DAILY_ENERGY!C110</f>
        <v>1.559650625</v>
      </c>
      <c r="H136" s="115">
        <f>DAILY_ENERGY!D110</f>
        <v>1.5888793749999999</v>
      </c>
      <c r="I136" s="115">
        <f>DAILY_ENERGY!E110</f>
        <v>2.9228749999999915E-2</v>
      </c>
      <c r="J136" s="241"/>
      <c r="K136" s="250"/>
      <c r="L136" s="244"/>
      <c r="M136" s="245"/>
    </row>
    <row r="137" spans="1:13" ht="30.25" customHeight="1" x14ac:dyDescent="0.35">
      <c r="A137" s="98"/>
      <c r="B137" s="239"/>
      <c r="C137" s="252"/>
      <c r="D137" s="252"/>
      <c r="E137" s="101">
        <v>132</v>
      </c>
      <c r="F137" s="100" t="s">
        <v>207</v>
      </c>
      <c r="G137" s="115">
        <f>DAILY_ENERGY!C111</f>
        <v>0</v>
      </c>
      <c r="H137" s="115">
        <f>DAILY_ENERGY!D111</f>
        <v>0</v>
      </c>
      <c r="I137" s="115">
        <f>DAILY_ENERGY!E111</f>
        <v>0</v>
      </c>
      <c r="J137" s="241"/>
      <c r="K137" s="250"/>
      <c r="L137" s="244"/>
      <c r="M137" s="245"/>
    </row>
    <row r="138" spans="1:13" ht="30.25" customHeight="1" x14ac:dyDescent="0.35">
      <c r="A138" s="98"/>
      <c r="B138" s="239"/>
      <c r="C138" s="252"/>
      <c r="D138" s="252"/>
      <c r="E138" s="101">
        <v>133</v>
      </c>
      <c r="F138" s="100" t="s">
        <v>208</v>
      </c>
      <c r="G138" s="115">
        <f>DAILY_ENERGY!C112</f>
        <v>2.032216875</v>
      </c>
      <c r="H138" s="115">
        <f>DAILY_ENERGY!D112</f>
        <v>2.032216875</v>
      </c>
      <c r="I138" s="115">
        <f>DAILY_ENERGY!E112</f>
        <v>0</v>
      </c>
      <c r="J138" s="241"/>
      <c r="K138" s="250"/>
      <c r="L138" s="244"/>
      <c r="M138" s="245"/>
    </row>
    <row r="139" spans="1:13" ht="30.25" customHeight="1" x14ac:dyDescent="0.35">
      <c r="A139" s="98"/>
      <c r="B139" s="239"/>
      <c r="C139" s="252"/>
      <c r="D139" s="252"/>
      <c r="E139" s="101">
        <v>134</v>
      </c>
      <c r="F139" s="100" t="s">
        <v>110</v>
      </c>
      <c r="G139" s="115">
        <f>DAILY_ENERGY!C113</f>
        <v>8.1426634999999994</v>
      </c>
      <c r="H139" s="115">
        <f>DAILY_ENERGY!D113</f>
        <v>8.159632499999999</v>
      </c>
      <c r="I139" s="115">
        <f>DAILY_ENERGY!E113</f>
        <v>1.6968999999999568E-2</v>
      </c>
      <c r="J139" s="241"/>
      <c r="K139" s="250"/>
      <c r="L139" s="244"/>
      <c r="M139" s="245"/>
    </row>
    <row r="140" spans="1:13" ht="30.25" customHeight="1" x14ac:dyDescent="0.35">
      <c r="A140" s="98"/>
      <c r="B140" s="239"/>
      <c r="C140" s="252"/>
      <c r="D140" s="252"/>
      <c r="E140" s="101">
        <v>135</v>
      </c>
      <c r="F140" s="100" t="s">
        <v>182</v>
      </c>
      <c r="G140" s="115">
        <f>DAILY_ENERGY!C114</f>
        <v>4.9159774999999994</v>
      </c>
      <c r="H140" s="115">
        <f>DAILY_ENERGY!D114</f>
        <v>4.9363399999999995</v>
      </c>
      <c r="I140" s="115">
        <f>DAILY_ENERGY!E114</f>
        <v>2.0362500000000061E-2</v>
      </c>
      <c r="J140" s="241"/>
      <c r="K140" s="251"/>
      <c r="L140" s="246"/>
      <c r="M140" s="247"/>
    </row>
    <row r="141" spans="1:13" ht="30.25" customHeight="1" x14ac:dyDescent="0.35">
      <c r="A141" s="98"/>
      <c r="B141" s="239"/>
      <c r="C141" s="252" t="s">
        <v>125</v>
      </c>
      <c r="D141" s="252"/>
      <c r="E141" s="101">
        <v>136</v>
      </c>
      <c r="F141" s="100" t="s">
        <v>111</v>
      </c>
      <c r="G141" s="115">
        <f>DAILY_ENERGY!C115</f>
        <v>691.09337599999992</v>
      </c>
      <c r="H141" s="115">
        <f>DAILY_ENERGY!D115</f>
        <v>695.81606399999998</v>
      </c>
      <c r="I141" s="115">
        <f>DAILY_ENERGY!E115</f>
        <v>4.7226880000000619</v>
      </c>
      <c r="J141" s="249">
        <f>SUM(I142:I163)</f>
        <v>4.8765282187499714</v>
      </c>
      <c r="K141" s="249"/>
      <c r="L141" s="242">
        <f>J141/K6</f>
        <v>0.17925329675837257</v>
      </c>
      <c r="M141" s="243"/>
    </row>
    <row r="142" spans="1:13" ht="30.25" customHeight="1" x14ac:dyDescent="0.35">
      <c r="A142" s="98"/>
      <c r="B142" s="239"/>
      <c r="C142" s="252"/>
      <c r="D142" s="252"/>
      <c r="E142" s="101">
        <v>137</v>
      </c>
      <c r="F142" s="100" t="s">
        <v>209</v>
      </c>
      <c r="G142" s="115">
        <f>DAILY_ENERGY!C116</f>
        <v>0</v>
      </c>
      <c r="H142" s="115">
        <f>DAILY_ENERGY!D116</f>
        <v>0</v>
      </c>
      <c r="I142" s="115">
        <f>DAILY_ENERGY!E116</f>
        <v>0</v>
      </c>
      <c r="J142" s="250"/>
      <c r="K142" s="250"/>
      <c r="L142" s="244"/>
      <c r="M142" s="245"/>
    </row>
    <row r="143" spans="1:13" ht="30.25" customHeight="1" x14ac:dyDescent="0.35">
      <c r="A143" s="98"/>
      <c r="B143" s="239"/>
      <c r="C143" s="252"/>
      <c r="D143" s="252"/>
      <c r="E143" s="101">
        <v>138</v>
      </c>
      <c r="F143" s="100" t="s">
        <v>210</v>
      </c>
      <c r="G143" s="115">
        <f>DAILY_ENERGY!C117</f>
        <v>22.675663999999998</v>
      </c>
      <c r="H143" s="115">
        <f>DAILY_ENERGY!D117</f>
        <v>22.742542</v>
      </c>
      <c r="I143" s="115">
        <f>DAILY_ENERGY!E117</f>
        <v>6.6878000000002658E-2</v>
      </c>
      <c r="J143" s="250"/>
      <c r="K143" s="250"/>
      <c r="L143" s="244"/>
      <c r="M143" s="245"/>
    </row>
    <row r="144" spans="1:13" ht="30.25" customHeight="1" x14ac:dyDescent="0.35">
      <c r="A144" s="98"/>
      <c r="B144" s="239"/>
      <c r="C144" s="252"/>
      <c r="D144" s="252"/>
      <c r="E144" s="101">
        <v>139</v>
      </c>
      <c r="F144" s="100" t="s">
        <v>211</v>
      </c>
      <c r="G144" s="115">
        <f>DAILY_ENERGY!C118</f>
        <v>0.226737546875</v>
      </c>
      <c r="H144" s="115">
        <f>DAILY_ENERGY!D118</f>
        <v>0.24604701562499998</v>
      </c>
      <c r="I144" s="115">
        <f>DAILY_ENERGY!E118</f>
        <v>1.9309468749999975E-2</v>
      </c>
      <c r="J144" s="250"/>
      <c r="K144" s="250"/>
      <c r="L144" s="244"/>
      <c r="M144" s="245"/>
    </row>
    <row r="145" spans="1:19" ht="30.25" customHeight="1" x14ac:dyDescent="0.35">
      <c r="A145" s="98"/>
      <c r="B145" s="239"/>
      <c r="C145" s="252"/>
      <c r="D145" s="252"/>
      <c r="E145" s="101">
        <v>140</v>
      </c>
      <c r="F145" s="100" t="s">
        <v>212</v>
      </c>
      <c r="G145" s="115">
        <f>DAILY_ENERGY!C119</f>
        <v>11.543201999999999</v>
      </c>
      <c r="H145" s="115">
        <f>DAILY_ENERGY!D119</f>
        <v>11.577218</v>
      </c>
      <c r="I145" s="115">
        <f>DAILY_ENERGY!E119</f>
        <v>3.4016000000001156E-2</v>
      </c>
      <c r="J145" s="250"/>
      <c r="K145" s="250"/>
      <c r="L145" s="244"/>
      <c r="M145" s="245"/>
    </row>
    <row r="146" spans="1:19" ht="30.25" customHeight="1" x14ac:dyDescent="0.35">
      <c r="A146" s="98"/>
      <c r="B146" s="239"/>
      <c r="C146" s="252"/>
      <c r="D146" s="252"/>
      <c r="E146" s="101">
        <v>141</v>
      </c>
      <c r="F146" s="100" t="s">
        <v>112</v>
      </c>
      <c r="G146" s="115">
        <f>DAILY_ENERGY!C120</f>
        <v>0.85941574999999992</v>
      </c>
      <c r="H146" s="115">
        <f>DAILY_ENERGY!D120</f>
        <v>0.85973650000000001</v>
      </c>
      <c r="I146" s="115">
        <f>DAILY_ENERGY!E120</f>
        <v>3.207500000000918E-4</v>
      </c>
      <c r="J146" s="250"/>
      <c r="K146" s="250"/>
      <c r="L146" s="244"/>
      <c r="M146" s="245"/>
    </row>
    <row r="147" spans="1:19" ht="30.25" customHeight="1" x14ac:dyDescent="0.35">
      <c r="A147" s="98"/>
      <c r="B147" s="239"/>
      <c r="C147" s="252"/>
      <c r="D147" s="252"/>
      <c r="E147" s="101">
        <v>142</v>
      </c>
      <c r="F147" s="100" t="s">
        <v>213</v>
      </c>
      <c r="G147" s="115">
        <f>DAILY_ENERGY!C121</f>
        <v>185.373152</v>
      </c>
      <c r="H147" s="115">
        <f>DAILY_ENERGY!D121</f>
        <v>185.523584</v>
      </c>
      <c r="I147" s="115">
        <f>DAILY_ENERGY!E121</f>
        <v>0.15043199999999501</v>
      </c>
      <c r="J147" s="250"/>
      <c r="K147" s="250"/>
      <c r="L147" s="244"/>
      <c r="M147" s="245"/>
    </row>
    <row r="148" spans="1:19" ht="30.25" customHeight="1" x14ac:dyDescent="0.35">
      <c r="A148" s="98"/>
      <c r="B148" s="239"/>
      <c r="C148" s="252"/>
      <c r="D148" s="252"/>
      <c r="E148" s="101">
        <v>143</v>
      </c>
      <c r="F148" s="100" t="s">
        <v>214</v>
      </c>
      <c r="G148" s="115">
        <f>DAILY_ENERGY!C122</f>
        <v>8.1725744999999996</v>
      </c>
      <c r="H148" s="115">
        <f>DAILY_ENERGY!D122</f>
        <v>8.2162880000000005</v>
      </c>
      <c r="I148" s="115">
        <f>DAILY_ENERGY!E122</f>
        <v>4.3713500000000849E-2</v>
      </c>
      <c r="J148" s="250"/>
      <c r="K148" s="250"/>
      <c r="L148" s="244"/>
      <c r="M148" s="245"/>
    </row>
    <row r="149" spans="1:19" ht="30.25" customHeight="1" x14ac:dyDescent="0.35">
      <c r="A149" s="98"/>
      <c r="B149" s="239"/>
      <c r="C149" s="252"/>
      <c r="D149" s="252"/>
      <c r="E149" s="101">
        <v>144</v>
      </c>
      <c r="F149" s="100" t="s">
        <v>215</v>
      </c>
      <c r="G149" s="115">
        <f>DAILY_ENERGY!C123</f>
        <v>4.632733</v>
      </c>
      <c r="H149" s="115">
        <f>DAILY_ENERGY!D123</f>
        <v>4.632733</v>
      </c>
      <c r="I149" s="115">
        <f>DAILY_ENERGY!E123</f>
        <v>0</v>
      </c>
      <c r="J149" s="250"/>
      <c r="K149" s="250"/>
      <c r="L149" s="244"/>
      <c r="M149" s="245"/>
    </row>
    <row r="150" spans="1:19" ht="30.25" customHeight="1" x14ac:dyDescent="0.35">
      <c r="A150" s="98"/>
      <c r="B150" s="239"/>
      <c r="C150" s="252"/>
      <c r="D150" s="252"/>
      <c r="E150" s="101">
        <v>145</v>
      </c>
      <c r="F150" s="100" t="s">
        <v>216</v>
      </c>
      <c r="G150" s="115">
        <f>DAILY_ENERGY!C124</f>
        <v>0</v>
      </c>
      <c r="H150" s="115">
        <f>DAILY_ENERGY!D124</f>
        <v>0</v>
      </c>
      <c r="I150" s="115">
        <f>DAILY_ENERGY!E124</f>
        <v>0</v>
      </c>
      <c r="J150" s="250"/>
      <c r="K150" s="250"/>
      <c r="L150" s="244"/>
      <c r="M150" s="245"/>
      <c r="S150" s="102"/>
    </row>
    <row r="151" spans="1:19" ht="30.25" customHeight="1" x14ac:dyDescent="0.35">
      <c r="A151" s="98"/>
      <c r="B151" s="239"/>
      <c r="C151" s="252"/>
      <c r="D151" s="252"/>
      <c r="E151" s="101">
        <v>146</v>
      </c>
      <c r="F151" s="100" t="s">
        <v>217</v>
      </c>
      <c r="G151" s="115">
        <f>DAILY_ENERGY!C125</f>
        <v>486.85846399999997</v>
      </c>
      <c r="H151" s="115">
        <f>DAILY_ENERGY!D125</f>
        <v>488.59407999999996</v>
      </c>
      <c r="I151" s="115">
        <f>DAILY_ENERGY!E125</f>
        <v>1.7356159999999932</v>
      </c>
      <c r="J151" s="250"/>
      <c r="K151" s="250"/>
      <c r="L151" s="244"/>
      <c r="M151" s="245"/>
      <c r="O151" s="103"/>
      <c r="P151" s="103"/>
      <c r="Q151" s="103"/>
      <c r="R151" s="103"/>
      <c r="S151" s="102"/>
    </row>
    <row r="152" spans="1:19" ht="30.25" customHeight="1" x14ac:dyDescent="0.35">
      <c r="A152" s="98"/>
      <c r="B152" s="239"/>
      <c r="C152" s="252"/>
      <c r="D152" s="252"/>
      <c r="E152" s="101">
        <v>147</v>
      </c>
      <c r="F152" s="100" t="s">
        <v>218</v>
      </c>
      <c r="G152" s="115">
        <f>DAILY_ENERGY!C126</f>
        <v>4.9919595000000001</v>
      </c>
      <c r="H152" s="115">
        <f>DAILY_ENERGY!D126</f>
        <v>5.3726154999999993</v>
      </c>
      <c r="I152" s="115">
        <f>DAILY_ENERGY!E126</f>
        <v>0.38065599999999922</v>
      </c>
      <c r="J152" s="250"/>
      <c r="K152" s="250"/>
      <c r="L152" s="244"/>
      <c r="M152" s="245"/>
      <c r="O152" s="103"/>
      <c r="P152" s="103"/>
      <c r="Q152" s="103"/>
      <c r="R152" s="103"/>
      <c r="S152" s="102"/>
    </row>
    <row r="153" spans="1:19" ht="30.25" customHeight="1" x14ac:dyDescent="0.35">
      <c r="A153" s="98"/>
      <c r="B153" s="239"/>
      <c r="C153" s="252"/>
      <c r="D153" s="252"/>
      <c r="E153" s="101">
        <v>148</v>
      </c>
      <c r="F153" s="100" t="s">
        <v>219</v>
      </c>
      <c r="G153" s="115">
        <f>DAILY_ENERGY!C127</f>
        <v>13.67887</v>
      </c>
      <c r="H153" s="115">
        <f>DAILY_ENERGY!D127</f>
        <v>13.679359</v>
      </c>
      <c r="I153" s="115">
        <f>DAILY_ENERGY!E127</f>
        <v>4.8899999999996169E-4</v>
      </c>
      <c r="J153" s="250"/>
      <c r="K153" s="250"/>
      <c r="L153" s="244"/>
      <c r="M153" s="245"/>
      <c r="O153" s="103"/>
      <c r="P153" s="103"/>
      <c r="Q153" s="103"/>
      <c r="R153" s="103"/>
      <c r="S153" s="102"/>
    </row>
    <row r="154" spans="1:19" ht="30.25" customHeight="1" x14ac:dyDescent="0.35">
      <c r="A154" s="98"/>
      <c r="B154" s="239"/>
      <c r="C154" s="252"/>
      <c r="D154" s="252"/>
      <c r="E154" s="101">
        <v>149</v>
      </c>
      <c r="F154" s="100" t="s">
        <v>220</v>
      </c>
      <c r="G154" s="115">
        <f>DAILY_ENERGY!C128</f>
        <v>2.9275772499999997</v>
      </c>
      <c r="H154" s="115">
        <f>DAILY_ENERGY!D128</f>
        <v>2.9387684999999997</v>
      </c>
      <c r="I154" s="115">
        <f>DAILY_ENERGY!E128</f>
        <v>1.1191249999999986E-2</v>
      </c>
      <c r="J154" s="250"/>
      <c r="K154" s="250"/>
      <c r="L154" s="244"/>
      <c r="M154" s="245"/>
      <c r="O154" s="103"/>
      <c r="P154" s="103"/>
      <c r="Q154" s="103"/>
      <c r="R154" s="103"/>
      <c r="S154" s="102"/>
    </row>
    <row r="155" spans="1:19" ht="30.25" customHeight="1" x14ac:dyDescent="0.35">
      <c r="A155" s="98"/>
      <c r="B155" s="239"/>
      <c r="C155" s="252"/>
      <c r="D155" s="252"/>
      <c r="E155" s="101">
        <v>150</v>
      </c>
      <c r="F155" s="100" t="s">
        <v>221</v>
      </c>
      <c r="G155" s="115">
        <f>DAILY_ENERGY!C129</f>
        <v>0</v>
      </c>
      <c r="H155" s="115">
        <f>DAILY_ENERGY!D129</f>
        <v>0</v>
      </c>
      <c r="I155" s="115">
        <f>DAILY_ENERGY!E129</f>
        <v>0</v>
      </c>
      <c r="J155" s="250"/>
      <c r="K155" s="250"/>
      <c r="L155" s="244"/>
      <c r="M155" s="245"/>
      <c r="O155" s="103"/>
      <c r="P155" s="103"/>
      <c r="Q155" s="103"/>
      <c r="R155" s="103"/>
      <c r="S155" s="102"/>
    </row>
    <row r="156" spans="1:19" ht="30.25" customHeight="1" x14ac:dyDescent="0.35">
      <c r="A156" s="98"/>
      <c r="B156" s="239"/>
      <c r="C156" s="252"/>
      <c r="D156" s="252"/>
      <c r="E156" s="101">
        <v>151</v>
      </c>
      <c r="F156" s="100" t="s">
        <v>113</v>
      </c>
      <c r="G156" s="115">
        <f>DAILY_ENERGY!C130</f>
        <v>10.221974999999999</v>
      </c>
      <c r="H156" s="115">
        <f>DAILY_ENERGY!D130</f>
        <v>10.30847</v>
      </c>
      <c r="I156" s="115">
        <f>DAILY_ENERGY!E130</f>
        <v>8.6495000000001099E-2</v>
      </c>
      <c r="J156" s="250"/>
      <c r="K156" s="250"/>
      <c r="L156" s="244"/>
      <c r="M156" s="245"/>
      <c r="O156" s="103"/>
      <c r="P156" s="103"/>
      <c r="Q156" s="103"/>
      <c r="R156" s="103"/>
    </row>
    <row r="157" spans="1:19" ht="30.25" customHeight="1" x14ac:dyDescent="0.35">
      <c r="A157" s="98"/>
      <c r="B157" s="239"/>
      <c r="C157" s="252"/>
      <c r="D157" s="252"/>
      <c r="E157" s="101">
        <v>152</v>
      </c>
      <c r="F157" s="100" t="s">
        <v>114</v>
      </c>
      <c r="G157" s="115">
        <f>DAILY_ENERGY!C131</f>
        <v>0.61625581249999994</v>
      </c>
      <c r="H157" s="115">
        <f>DAILY_ENERGY!D131</f>
        <v>0.62295806249999996</v>
      </c>
      <c r="I157" s="115">
        <f>DAILY_ENERGY!E131</f>
        <v>6.7022500000000207E-3</v>
      </c>
      <c r="J157" s="250"/>
      <c r="K157" s="250"/>
      <c r="L157" s="244"/>
      <c r="M157" s="245"/>
      <c r="S157" s="102"/>
    </row>
    <row r="158" spans="1:19" ht="30.25" customHeight="1" x14ac:dyDescent="0.35">
      <c r="A158" s="98"/>
      <c r="B158" s="239"/>
      <c r="C158" s="252"/>
      <c r="D158" s="252"/>
      <c r="E158" s="101">
        <v>153</v>
      </c>
      <c r="F158" s="100" t="s">
        <v>222</v>
      </c>
      <c r="G158" s="115">
        <f>DAILY_ENERGY!C132</f>
        <v>27.819516</v>
      </c>
      <c r="H158" s="115">
        <f>DAILY_ENERGY!D132</f>
        <v>27.923331999999998</v>
      </c>
      <c r="I158" s="115">
        <f>DAILY_ENERGY!E132</f>
        <v>0.10381599999999835</v>
      </c>
      <c r="J158" s="250"/>
      <c r="K158" s="250"/>
      <c r="L158" s="244"/>
      <c r="M158" s="245"/>
    </row>
    <row r="159" spans="1:19" ht="30.25" customHeight="1" x14ac:dyDescent="0.35">
      <c r="A159" s="98"/>
      <c r="B159" s="239"/>
      <c r="C159" s="252"/>
      <c r="D159" s="252"/>
      <c r="E159" s="101">
        <v>154</v>
      </c>
      <c r="F159" s="100" t="s">
        <v>223</v>
      </c>
      <c r="G159" s="115">
        <f>DAILY_ENERGY!C133</f>
        <v>1.40665825</v>
      </c>
      <c r="H159" s="115">
        <f>DAILY_ENERGY!D133</f>
        <v>1.40665825</v>
      </c>
      <c r="I159" s="115">
        <f>DAILY_ENERGY!E133</f>
        <v>0</v>
      </c>
      <c r="J159" s="250"/>
      <c r="K159" s="250"/>
      <c r="L159" s="244"/>
      <c r="M159" s="245"/>
    </row>
    <row r="160" spans="1:19" ht="30.25" customHeight="1" x14ac:dyDescent="0.35">
      <c r="A160" s="98"/>
      <c r="B160" s="239"/>
      <c r="C160" s="252"/>
      <c r="D160" s="252"/>
      <c r="E160" s="101">
        <v>155</v>
      </c>
      <c r="F160" s="100" t="s">
        <v>224</v>
      </c>
      <c r="G160" s="115">
        <f>DAILY_ENERGY!C134</f>
        <v>219.11270399999998</v>
      </c>
      <c r="H160" s="115">
        <f>DAILY_ENERGY!D134</f>
        <v>220.42927999999998</v>
      </c>
      <c r="I160" s="115">
        <f>DAILY_ENERGY!E134</f>
        <v>1.3165759999999977</v>
      </c>
      <c r="J160" s="250"/>
      <c r="K160" s="250"/>
      <c r="L160" s="244"/>
      <c r="M160" s="245"/>
    </row>
    <row r="161" spans="1:13" ht="30.25" customHeight="1" x14ac:dyDescent="0.35">
      <c r="A161" s="98"/>
      <c r="B161" s="239"/>
      <c r="C161" s="252"/>
      <c r="D161" s="252"/>
      <c r="E161" s="101">
        <v>156</v>
      </c>
      <c r="F161" s="100" t="s">
        <v>225</v>
      </c>
      <c r="G161" s="115">
        <f>DAILY_ENERGY!C135</f>
        <v>184.89552</v>
      </c>
      <c r="H161" s="115">
        <f>DAILY_ENERGY!D135</f>
        <v>185.63187199999999</v>
      </c>
      <c r="I161" s="115">
        <f>DAILY_ENERGY!E135</f>
        <v>0.73635199999998235</v>
      </c>
      <c r="J161" s="250"/>
      <c r="K161" s="250"/>
      <c r="L161" s="244"/>
      <c r="M161" s="245"/>
    </row>
    <row r="162" spans="1:13" ht="30.25" customHeight="1" x14ac:dyDescent="0.35">
      <c r="A162" s="98"/>
      <c r="B162" s="239"/>
      <c r="C162" s="252"/>
      <c r="D162" s="252"/>
      <c r="E162" s="101">
        <v>157</v>
      </c>
      <c r="F162" s="100" t="s">
        <v>115</v>
      </c>
      <c r="G162" s="115">
        <f>DAILY_ENERGY!C136</f>
        <v>3.1396029999999997</v>
      </c>
      <c r="H162" s="115">
        <f>DAILY_ENERGY!D136</f>
        <v>3.182331</v>
      </c>
      <c r="I162" s="115">
        <f>DAILY_ENERGY!E136</f>
        <v>4.2728000000000321E-2</v>
      </c>
      <c r="J162" s="250"/>
      <c r="K162" s="250"/>
      <c r="L162" s="244"/>
      <c r="M162" s="245"/>
    </row>
    <row r="163" spans="1:13" ht="30.25" customHeight="1" x14ac:dyDescent="0.35">
      <c r="A163" s="98"/>
      <c r="B163" s="239"/>
      <c r="C163" s="252"/>
      <c r="D163" s="252"/>
      <c r="E163" s="101">
        <v>158</v>
      </c>
      <c r="F163" s="100" t="s">
        <v>182</v>
      </c>
      <c r="G163" s="115">
        <f>DAILY_ENERGY!C137</f>
        <v>7.9525689999999996</v>
      </c>
      <c r="H163" s="115">
        <f>DAILY_ENERGY!D137</f>
        <v>8.0938059999999989</v>
      </c>
      <c r="I163" s="115">
        <f>DAILY_ENERGY!E137</f>
        <v>0.14123699999999939</v>
      </c>
      <c r="J163" s="251"/>
      <c r="K163" s="251"/>
      <c r="L163" s="246"/>
      <c r="M163" s="247"/>
    </row>
    <row r="164" spans="1:13" ht="30.25" customHeight="1" x14ac:dyDescent="0.35">
      <c r="A164" s="98"/>
      <c r="B164" s="239"/>
      <c r="C164" s="252" t="s">
        <v>126</v>
      </c>
      <c r="D164" s="252"/>
      <c r="E164" s="101">
        <v>159</v>
      </c>
      <c r="F164" s="100" t="s">
        <v>97</v>
      </c>
      <c r="G164" s="115">
        <f>DAILY_ENERGY!C138</f>
        <v>6164.2286740000009</v>
      </c>
      <c r="H164" s="115">
        <f>DAILY_ENERGY!D138</f>
        <v>6173.935939</v>
      </c>
      <c r="I164" s="115">
        <f>DAILY_ENERGY!E138</f>
        <v>9.7072649999990972</v>
      </c>
      <c r="J164" s="249">
        <f>SUM(I165:I176)</f>
        <v>9.7170349999998678</v>
      </c>
      <c r="K164" s="249"/>
      <c r="L164" s="248">
        <f>J164/K6</f>
        <v>0.35718250368557436</v>
      </c>
      <c r="M164" s="248"/>
    </row>
    <row r="165" spans="1:13" ht="30.25" customHeight="1" x14ac:dyDescent="0.35">
      <c r="A165" s="98"/>
      <c r="B165" s="239"/>
      <c r="C165" s="252"/>
      <c r="D165" s="252"/>
      <c r="E165" s="101">
        <v>160</v>
      </c>
      <c r="F165" s="100" t="s">
        <v>116</v>
      </c>
      <c r="G165" s="115">
        <f>DAILY_ENERGY!C139</f>
        <v>0</v>
      </c>
      <c r="H165" s="115">
        <f>DAILY_ENERGY!D139</f>
        <v>0</v>
      </c>
      <c r="I165" s="115">
        <f>DAILY_ENERGY!E139</f>
        <v>0</v>
      </c>
      <c r="J165" s="250"/>
      <c r="K165" s="250"/>
      <c r="L165" s="248"/>
      <c r="M165" s="248"/>
    </row>
    <row r="166" spans="1:13" ht="30.25" customHeight="1" x14ac:dyDescent="0.35">
      <c r="A166" s="98"/>
      <c r="B166" s="239"/>
      <c r="C166" s="252"/>
      <c r="D166" s="252"/>
      <c r="E166" s="101">
        <v>161</v>
      </c>
      <c r="F166" s="100" t="s">
        <v>226</v>
      </c>
      <c r="G166" s="115">
        <f>DAILY_ENERGY!C140</f>
        <v>580.65631999999994</v>
      </c>
      <c r="H166" s="115">
        <f>DAILY_ENERGY!D140</f>
        <v>581.12588799999992</v>
      </c>
      <c r="I166" s="115">
        <f>DAILY_ENERGY!E140</f>
        <v>0.46956799999998111</v>
      </c>
      <c r="J166" s="250"/>
      <c r="K166" s="250"/>
      <c r="L166" s="248"/>
      <c r="M166" s="248"/>
    </row>
    <row r="167" spans="1:13" ht="30.25" customHeight="1" x14ac:dyDescent="0.35">
      <c r="A167" s="98"/>
      <c r="B167" s="239"/>
      <c r="C167" s="252"/>
      <c r="D167" s="252"/>
      <c r="E167" s="101">
        <v>162</v>
      </c>
      <c r="F167" s="100" t="s">
        <v>227</v>
      </c>
      <c r="G167" s="115">
        <f>DAILY_ENERGY!C141</f>
        <v>929.71231999999998</v>
      </c>
      <c r="H167" s="115">
        <f>DAILY_ENERGY!D141</f>
        <v>930.24300799999992</v>
      </c>
      <c r="I167" s="115">
        <f>DAILY_ENERGY!E141</f>
        <v>0.53068799999994098</v>
      </c>
      <c r="J167" s="250"/>
      <c r="K167" s="250"/>
      <c r="L167" s="248"/>
      <c r="M167" s="248"/>
    </row>
    <row r="168" spans="1:13" ht="30.25" customHeight="1" x14ac:dyDescent="0.35">
      <c r="A168" s="98"/>
      <c r="B168" s="239"/>
      <c r="C168" s="252"/>
      <c r="D168" s="252"/>
      <c r="E168" s="101">
        <v>163</v>
      </c>
      <c r="F168" s="100" t="s">
        <v>228</v>
      </c>
      <c r="G168" s="115">
        <f>DAILY_ENERGY!C142</f>
        <v>340.51049599999999</v>
      </c>
      <c r="H168" s="115">
        <f>DAILY_ENERGY!D142</f>
        <v>340.57324799999998</v>
      </c>
      <c r="I168" s="115">
        <f>DAILY_ENERGY!E142</f>
        <v>6.2751999999989039E-2</v>
      </c>
      <c r="J168" s="250"/>
      <c r="K168" s="250"/>
      <c r="L168" s="248"/>
      <c r="M168" s="248"/>
    </row>
    <row r="169" spans="1:13" ht="30.25" customHeight="1" x14ac:dyDescent="0.35">
      <c r="A169" s="98"/>
      <c r="B169" s="239"/>
      <c r="C169" s="252"/>
      <c r="D169" s="252"/>
      <c r="E169" s="101">
        <v>164</v>
      </c>
      <c r="F169" s="100" t="s">
        <v>117</v>
      </c>
      <c r="G169" s="115">
        <f>DAILY_ENERGY!C143</f>
        <v>0</v>
      </c>
      <c r="H169" s="115">
        <f>DAILY_ENERGY!D143</f>
        <v>0</v>
      </c>
      <c r="I169" s="115">
        <f>DAILY_ENERGY!E143</f>
        <v>0</v>
      </c>
      <c r="J169" s="250"/>
      <c r="K169" s="250"/>
      <c r="L169" s="248"/>
      <c r="M169" s="248"/>
    </row>
    <row r="170" spans="1:13" ht="30.25" customHeight="1" x14ac:dyDescent="0.35">
      <c r="A170" s="98"/>
      <c r="B170" s="239"/>
      <c r="C170" s="252"/>
      <c r="D170" s="252"/>
      <c r="E170" s="101">
        <v>165</v>
      </c>
      <c r="F170" s="100" t="s">
        <v>118</v>
      </c>
      <c r="G170" s="115">
        <f>DAILY_ENERGY!C144</f>
        <v>1944.279808</v>
      </c>
      <c r="H170" s="115">
        <f>DAILY_ENERGY!D144</f>
        <v>1946.519552</v>
      </c>
      <c r="I170" s="115">
        <f>DAILY_ENERGY!E144</f>
        <v>2.2397439999999733</v>
      </c>
      <c r="J170" s="250"/>
      <c r="K170" s="250"/>
      <c r="L170" s="248"/>
      <c r="M170" s="248"/>
    </row>
    <row r="171" spans="1:13" ht="30.25" customHeight="1" x14ac:dyDescent="0.35">
      <c r="A171" s="98"/>
      <c r="B171" s="239"/>
      <c r="C171" s="252"/>
      <c r="D171" s="252"/>
      <c r="E171" s="101">
        <v>166</v>
      </c>
      <c r="F171" s="100" t="s">
        <v>119</v>
      </c>
      <c r="G171" s="115">
        <f>DAILY_ENERGY!C145</f>
        <v>2271.4350079999999</v>
      </c>
      <c r="H171" s="115">
        <f>DAILY_ENERGY!D145</f>
        <v>2274.9629439999999</v>
      </c>
      <c r="I171" s="115">
        <f>DAILY_ENERGY!E145</f>
        <v>3.5279359999999542</v>
      </c>
      <c r="J171" s="250"/>
      <c r="K171" s="250"/>
      <c r="L171" s="248"/>
      <c r="M171" s="248"/>
    </row>
    <row r="172" spans="1:13" ht="30.25" customHeight="1" x14ac:dyDescent="0.35">
      <c r="A172" s="98"/>
      <c r="B172" s="239"/>
      <c r="C172" s="252"/>
      <c r="D172" s="252"/>
      <c r="E172" s="101">
        <v>167</v>
      </c>
      <c r="F172" s="100" t="s">
        <v>120</v>
      </c>
      <c r="G172" s="115">
        <f>DAILY_ENERGY!C146</f>
        <v>2549.9335679999999</v>
      </c>
      <c r="H172" s="115">
        <f>DAILY_ENERGY!D146</f>
        <v>2550.2538239999999</v>
      </c>
      <c r="I172" s="115">
        <f>DAILY_ENERGY!E146</f>
        <v>0.32025599999997212</v>
      </c>
      <c r="J172" s="250"/>
      <c r="K172" s="250"/>
      <c r="L172" s="248"/>
      <c r="M172" s="248"/>
    </row>
    <row r="173" spans="1:13" ht="30.25" customHeight="1" x14ac:dyDescent="0.35">
      <c r="A173" s="98"/>
      <c r="B173" s="239"/>
      <c r="C173" s="252"/>
      <c r="D173" s="252"/>
      <c r="E173" s="101">
        <v>168</v>
      </c>
      <c r="F173" s="100" t="s">
        <v>121</v>
      </c>
      <c r="G173" s="115">
        <f>DAILY_ENERGY!C147</f>
        <v>889.52780799999994</v>
      </c>
      <c r="H173" s="115">
        <f>DAILY_ENERGY!D147</f>
        <v>889.54598399999998</v>
      </c>
      <c r="I173" s="115">
        <f>DAILY_ENERGY!E147</f>
        <v>1.8176000000039494E-2</v>
      </c>
      <c r="J173" s="250"/>
      <c r="K173" s="250"/>
      <c r="L173" s="248"/>
      <c r="M173" s="248"/>
    </row>
    <row r="174" spans="1:13" ht="30.25" customHeight="1" x14ac:dyDescent="0.35">
      <c r="A174" s="98"/>
      <c r="B174" s="239"/>
      <c r="C174" s="252"/>
      <c r="D174" s="252"/>
      <c r="E174" s="101">
        <v>169</v>
      </c>
      <c r="F174" s="100" t="s">
        <v>229</v>
      </c>
      <c r="G174" s="115">
        <f>DAILY_ENERGY!C148</f>
        <v>0</v>
      </c>
      <c r="H174" s="115">
        <f>DAILY_ENERGY!D148</f>
        <v>0</v>
      </c>
      <c r="I174" s="115">
        <f>DAILY_ENERGY!E148</f>
        <v>0</v>
      </c>
      <c r="J174" s="250"/>
      <c r="K174" s="250"/>
      <c r="L174" s="248"/>
      <c r="M174" s="248"/>
    </row>
    <row r="175" spans="1:13" ht="30.25" customHeight="1" x14ac:dyDescent="0.35">
      <c r="A175" s="98"/>
      <c r="B175" s="239"/>
      <c r="C175" s="252"/>
      <c r="D175" s="252"/>
      <c r="E175" s="101">
        <v>170</v>
      </c>
      <c r="F175" s="100" t="s">
        <v>654</v>
      </c>
      <c r="G175" s="115">
        <f>DAILY_ENERGY!C150</f>
        <v>106.679644</v>
      </c>
      <c r="H175" s="115">
        <f>DAILY_ENERGY!D150</f>
        <v>109.22755900000001</v>
      </c>
      <c r="I175" s="115">
        <f>DAILY_ENERGY!E150</f>
        <v>2.5479150000000175</v>
      </c>
      <c r="J175" s="250"/>
      <c r="K175" s="250"/>
      <c r="L175" s="248"/>
      <c r="M175" s="248"/>
    </row>
    <row r="176" spans="1:13" ht="30.25" customHeight="1" x14ac:dyDescent="0.35">
      <c r="A176" s="98"/>
      <c r="B176" s="240"/>
      <c r="C176" s="252"/>
      <c r="D176" s="252"/>
      <c r="E176" s="101">
        <v>171</v>
      </c>
      <c r="F176" s="100" t="s">
        <v>127</v>
      </c>
      <c r="G176" s="115">
        <f>DAILY_ENERGY!C149</f>
        <v>0</v>
      </c>
      <c r="H176" s="115">
        <f>DAILY_ENERGY!D149</f>
        <v>0</v>
      </c>
      <c r="I176" s="115">
        <f>DAILY_ENERGY!E149</f>
        <v>0</v>
      </c>
      <c r="J176" s="251"/>
      <c r="K176" s="251"/>
      <c r="L176" s="248"/>
      <c r="M176" s="248"/>
    </row>
    <row r="177" spans="1:13" ht="30.25" customHeight="1" x14ac:dyDescent="0.35">
      <c r="A177" s="98"/>
      <c r="B177" s="238" t="s">
        <v>385</v>
      </c>
      <c r="C177" s="258" t="s">
        <v>384</v>
      </c>
      <c r="D177" s="259"/>
      <c r="E177" s="101">
        <v>172</v>
      </c>
      <c r="F177" s="100" t="s">
        <v>384</v>
      </c>
      <c r="G177" s="115">
        <f>DAILY_ENERGY!C15</f>
        <v>39.668343999999998</v>
      </c>
      <c r="H177" s="115">
        <f>DAILY_ENERGY!D15</f>
        <v>39.668343999999998</v>
      </c>
      <c r="I177" s="115">
        <f>DAILY_ENERGY!E15</f>
        <v>0</v>
      </c>
      <c r="J177" s="120">
        <f>I177</f>
        <v>0</v>
      </c>
      <c r="K177" s="121"/>
      <c r="L177" s="248">
        <f>J177/K6</f>
        <v>0</v>
      </c>
      <c r="M177" s="248"/>
    </row>
    <row r="178" spans="1:13" ht="30.25" customHeight="1" x14ac:dyDescent="0.35">
      <c r="A178" s="98"/>
      <c r="B178" s="239"/>
      <c r="C178" s="258" t="s">
        <v>383</v>
      </c>
      <c r="D178" s="259"/>
      <c r="E178" s="101">
        <v>173</v>
      </c>
      <c r="F178" s="100" t="s">
        <v>383</v>
      </c>
      <c r="G178" s="115">
        <f>DAILY_ENERGY!C9</f>
        <v>40.003732999999997</v>
      </c>
      <c r="H178" s="115">
        <f>DAILY_ENERGY!D9</f>
        <v>40.003732999999997</v>
      </c>
      <c r="I178" s="115">
        <f>DAILY_ENERGY!E9</f>
        <v>0</v>
      </c>
      <c r="J178" s="120">
        <f t="shared" ref="J178:J186" si="1">I178</f>
        <v>0</v>
      </c>
      <c r="K178" s="121"/>
      <c r="L178" s="233">
        <f>J178/K6</f>
        <v>0</v>
      </c>
      <c r="M178" s="234"/>
    </row>
    <row r="179" spans="1:13" ht="30.25" customHeight="1" x14ac:dyDescent="0.35">
      <c r="A179" s="98"/>
      <c r="B179" s="239"/>
      <c r="C179" s="260" t="s">
        <v>382</v>
      </c>
      <c r="D179" s="261"/>
      <c r="E179" s="101">
        <v>174</v>
      </c>
      <c r="F179" s="100" t="s">
        <v>381</v>
      </c>
      <c r="G179" s="115">
        <f>DAILY_ENERGY!C5</f>
        <v>457.25544600000001</v>
      </c>
      <c r="H179" s="115">
        <f>DAILY_ENERGY!D5</f>
        <v>457.25544600000001</v>
      </c>
      <c r="I179" s="115">
        <f>DAILY_ENERGY!E5</f>
        <v>0</v>
      </c>
      <c r="J179" s="120">
        <f t="shared" si="1"/>
        <v>0</v>
      </c>
      <c r="K179" s="249">
        <f>SUM(J179:J182)</f>
        <v>22.313759000000005</v>
      </c>
      <c r="L179" s="242">
        <f>K179/K6</f>
        <v>0.8202177213786539</v>
      </c>
      <c r="M179" s="243"/>
    </row>
    <row r="180" spans="1:13" ht="30.25" customHeight="1" x14ac:dyDescent="0.35">
      <c r="A180" s="98"/>
      <c r="B180" s="239"/>
      <c r="C180" s="262"/>
      <c r="D180" s="263"/>
      <c r="E180" s="101">
        <v>175</v>
      </c>
      <c r="F180" s="100" t="s">
        <v>380</v>
      </c>
      <c r="G180" s="115">
        <f>DAILY_ENERGY!C6</f>
        <v>662.21501899999998</v>
      </c>
      <c r="H180" s="115">
        <f>DAILY_ENERGY!D6</f>
        <v>670.18204500000002</v>
      </c>
      <c r="I180" s="115">
        <f>DAILY_ENERGY!E6</f>
        <v>7.9670260000000326</v>
      </c>
      <c r="J180" s="120">
        <f t="shared" si="1"/>
        <v>7.9670260000000326</v>
      </c>
      <c r="K180" s="250"/>
      <c r="L180" s="244"/>
      <c r="M180" s="245"/>
    </row>
    <row r="181" spans="1:13" ht="30.25" customHeight="1" x14ac:dyDescent="0.35">
      <c r="A181" s="98"/>
      <c r="B181" s="239"/>
      <c r="C181" s="262"/>
      <c r="D181" s="263"/>
      <c r="E181" s="101">
        <v>176</v>
      </c>
      <c r="F181" s="100" t="s">
        <v>379</v>
      </c>
      <c r="G181" s="115">
        <f>DAILY_ENERGY!C7</f>
        <v>431.16646700000001</v>
      </c>
      <c r="H181" s="115">
        <f>DAILY_ENERGY!D7</f>
        <v>437.93799899999999</v>
      </c>
      <c r="I181" s="115">
        <f>DAILY_ENERGY!E7</f>
        <v>6.7715319999999792</v>
      </c>
      <c r="J181" s="120">
        <f t="shared" si="1"/>
        <v>6.7715319999999792</v>
      </c>
      <c r="K181" s="250"/>
      <c r="L181" s="244"/>
      <c r="M181" s="245"/>
    </row>
    <row r="182" spans="1:13" ht="30.25" customHeight="1" x14ac:dyDescent="0.35">
      <c r="A182" s="98"/>
      <c r="B182" s="239"/>
      <c r="C182" s="264"/>
      <c r="D182" s="265"/>
      <c r="E182" s="101">
        <v>177</v>
      </c>
      <c r="F182" s="100" t="s">
        <v>378</v>
      </c>
      <c r="G182" s="115">
        <f>DAILY_ENERGY!C8</f>
        <v>454.01093099999997</v>
      </c>
      <c r="H182" s="115">
        <f>DAILY_ENERGY!D8</f>
        <v>461.58613199999996</v>
      </c>
      <c r="I182" s="115">
        <f>DAILY_ENERGY!E8</f>
        <v>7.5752009999999927</v>
      </c>
      <c r="J182" s="120">
        <f t="shared" si="1"/>
        <v>7.5752009999999927</v>
      </c>
      <c r="K182" s="251"/>
      <c r="L182" s="246"/>
      <c r="M182" s="247"/>
    </row>
    <row r="183" spans="1:13" ht="30.25" customHeight="1" x14ac:dyDescent="0.35">
      <c r="A183" s="98"/>
      <c r="B183" s="239"/>
      <c r="C183" s="260" t="s">
        <v>377</v>
      </c>
      <c r="D183" s="261"/>
      <c r="E183" s="101">
        <v>178</v>
      </c>
      <c r="F183" s="100" t="s">
        <v>376</v>
      </c>
      <c r="G183" s="115">
        <f>DAILY_ENERGY!C19</f>
        <v>0</v>
      </c>
      <c r="H183" s="115">
        <f>DAILY_ENERGY!D19</f>
        <v>0</v>
      </c>
      <c r="I183" s="115">
        <f>DAILY_ENERGY!E19</f>
        <v>0</v>
      </c>
      <c r="J183" s="120">
        <f t="shared" si="1"/>
        <v>0</v>
      </c>
      <c r="K183" s="249">
        <f>SUM(J183:J186)</f>
        <v>21.729792000001908</v>
      </c>
      <c r="L183" s="242">
        <f>K183/K6</f>
        <v>0.7987520381605655</v>
      </c>
      <c r="M183" s="243"/>
    </row>
    <row r="184" spans="1:13" ht="30.25" customHeight="1" x14ac:dyDescent="0.35">
      <c r="A184" s="98"/>
      <c r="B184" s="239"/>
      <c r="C184" s="262"/>
      <c r="D184" s="263"/>
      <c r="E184" s="101">
        <v>179</v>
      </c>
      <c r="F184" s="100" t="s">
        <v>375</v>
      </c>
      <c r="G184" s="115">
        <f>DAILY_ENERGY!C20</f>
        <v>17515.773952</v>
      </c>
      <c r="H184" s="115">
        <f>DAILY_ENERGY!D20</f>
        <v>17523.580927999999</v>
      </c>
      <c r="I184" s="115">
        <f>DAILY_ENERGY!E20</f>
        <v>7.8069759999998496</v>
      </c>
      <c r="J184" s="120">
        <f t="shared" si="1"/>
        <v>7.8069759999998496</v>
      </c>
      <c r="K184" s="250"/>
      <c r="L184" s="244"/>
      <c r="M184" s="245"/>
    </row>
    <row r="185" spans="1:13" ht="30.25" customHeight="1" x14ac:dyDescent="0.35">
      <c r="A185" s="98"/>
      <c r="B185" s="239"/>
      <c r="C185" s="262"/>
      <c r="D185" s="263"/>
      <c r="E185" s="101">
        <v>180</v>
      </c>
      <c r="F185" s="100" t="s">
        <v>374</v>
      </c>
      <c r="G185" s="115">
        <f>DAILY_ENERGY!C21</f>
        <v>7555.2112639999996</v>
      </c>
      <c r="H185" s="115">
        <f>DAILY_ENERGY!D21</f>
        <v>7561.7776639999993</v>
      </c>
      <c r="I185" s="115">
        <f>DAILY_ENERGY!E21</f>
        <v>6.5663999999997031</v>
      </c>
      <c r="J185" s="120">
        <f>I185</f>
        <v>6.5663999999997031</v>
      </c>
      <c r="K185" s="250"/>
      <c r="L185" s="244"/>
      <c r="M185" s="245"/>
    </row>
    <row r="186" spans="1:13" ht="30.25" customHeight="1" x14ac:dyDescent="0.35">
      <c r="A186" s="98"/>
      <c r="B186" s="240"/>
      <c r="C186" s="264"/>
      <c r="D186" s="265"/>
      <c r="E186" s="101">
        <v>181</v>
      </c>
      <c r="F186" s="100" t="s">
        <v>373</v>
      </c>
      <c r="G186" s="115">
        <f>DAILY_ENERGY!C22</f>
        <v>17499.807743999998</v>
      </c>
      <c r="H186" s="115">
        <f>DAILY_ENERGY!D22</f>
        <v>17507.16416</v>
      </c>
      <c r="I186" s="115">
        <f>DAILY_ENERGY!E22</f>
        <v>7.3564160000023548</v>
      </c>
      <c r="J186" s="120">
        <f t="shared" si="1"/>
        <v>7.3564160000023548</v>
      </c>
      <c r="K186" s="251"/>
      <c r="L186" s="246"/>
      <c r="M186" s="247"/>
    </row>
    <row r="187" spans="1:13" ht="30.25" customHeight="1" x14ac:dyDescent="0.35">
      <c r="A187" s="98"/>
      <c r="B187" s="282" t="s">
        <v>372</v>
      </c>
      <c r="C187" s="283"/>
      <c r="D187" s="283"/>
      <c r="E187" s="283"/>
      <c r="F187" s="284"/>
      <c r="G187" s="222">
        <f>K6</f>
        <v>27.204678000000012</v>
      </c>
      <c r="H187" s="222"/>
      <c r="I187" s="222"/>
      <c r="J187" s="222"/>
      <c r="K187" s="222"/>
      <c r="L187" s="222"/>
      <c r="M187" s="222"/>
    </row>
    <row r="188" spans="1:13" ht="30.25" customHeight="1" x14ac:dyDescent="0.35">
      <c r="A188" s="98"/>
      <c r="B188" s="282" t="s">
        <v>371</v>
      </c>
      <c r="C188" s="283"/>
      <c r="D188" s="283"/>
      <c r="E188" s="283"/>
      <c r="F188" s="284"/>
      <c r="G188" s="222">
        <f>K16</f>
        <v>25.449696999999276</v>
      </c>
      <c r="H188" s="222"/>
      <c r="I188" s="222"/>
      <c r="J188" s="222"/>
      <c r="K188" s="222"/>
      <c r="L188" s="222"/>
      <c r="M188" s="222"/>
    </row>
    <row r="189" spans="1:13" ht="30.25" customHeight="1" x14ac:dyDescent="0.35">
      <c r="A189" s="98"/>
      <c r="B189" s="282" t="s">
        <v>370</v>
      </c>
      <c r="C189" s="283"/>
      <c r="D189" s="283"/>
      <c r="E189" s="283"/>
      <c r="F189" s="284"/>
      <c r="G189" s="222">
        <f>G187-G188</f>
        <v>1.7549810000007362</v>
      </c>
      <c r="H189" s="222"/>
      <c r="I189" s="222"/>
      <c r="J189" s="222"/>
      <c r="K189" s="222"/>
      <c r="L189" s="222"/>
      <c r="M189" s="222"/>
    </row>
    <row r="190" spans="1:13" ht="30.25" customHeight="1" x14ac:dyDescent="0.35">
      <c r="A190" s="98"/>
      <c r="B190" s="282" t="s">
        <v>369</v>
      </c>
      <c r="C190" s="283"/>
      <c r="D190" s="283"/>
      <c r="E190" s="283"/>
      <c r="F190" s="284"/>
      <c r="G190" s="223">
        <f>G189/G187</f>
        <v>6.4510265477162987E-2</v>
      </c>
      <c r="H190" s="223"/>
      <c r="I190" s="223"/>
      <c r="J190" s="223"/>
      <c r="K190" s="223"/>
      <c r="L190" s="223"/>
      <c r="M190" s="223"/>
    </row>
  </sheetData>
  <mergeCells count="103">
    <mergeCell ref="B189:F189"/>
    <mergeCell ref="C16:D20"/>
    <mergeCell ref="B190:F190"/>
    <mergeCell ref="B16:B20"/>
    <mergeCell ref="B188:F188"/>
    <mergeCell ref="C141:D163"/>
    <mergeCell ref="C164:D176"/>
    <mergeCell ref="C41:D43"/>
    <mergeCell ref="B187:F187"/>
    <mergeCell ref="C6:D10"/>
    <mergeCell ref="J6:J10"/>
    <mergeCell ref="L6:M10"/>
    <mergeCell ref="K1:M1"/>
    <mergeCell ref="C5:D5"/>
    <mergeCell ref="L5:M5"/>
    <mergeCell ref="B6:B15"/>
    <mergeCell ref="C15:D15"/>
    <mergeCell ref="L15:M15"/>
    <mergeCell ref="C11:D11"/>
    <mergeCell ref="K6:K15"/>
    <mergeCell ref="J119:J140"/>
    <mergeCell ref="C48:D48"/>
    <mergeCell ref="C49:D61"/>
    <mergeCell ref="C119:D140"/>
    <mergeCell ref="C62:D71"/>
    <mergeCell ref="C72:D92"/>
    <mergeCell ref="G187:M187"/>
    <mergeCell ref="B177:B186"/>
    <mergeCell ref="L11:M11"/>
    <mergeCell ref="J12:J14"/>
    <mergeCell ref="L12:M14"/>
    <mergeCell ref="C12:D14"/>
    <mergeCell ref="K16:K20"/>
    <mergeCell ref="L21:M25"/>
    <mergeCell ref="L26:M32"/>
    <mergeCell ref="L35:M40"/>
    <mergeCell ref="L41:M43"/>
    <mergeCell ref="L44:M45"/>
    <mergeCell ref="L46:M47"/>
    <mergeCell ref="J21:J25"/>
    <mergeCell ref="J26:J32"/>
    <mergeCell ref="J44:J45"/>
    <mergeCell ref="K33:K34"/>
    <mergeCell ref="K35:K40"/>
    <mergeCell ref="J141:J163"/>
    <mergeCell ref="J164:J176"/>
    <mergeCell ref="L177:M177"/>
    <mergeCell ref="L178:M178"/>
    <mergeCell ref="L179:M182"/>
    <mergeCell ref="L183:M186"/>
    <mergeCell ref="C177:D177"/>
    <mergeCell ref="C178:D178"/>
    <mergeCell ref="C179:D182"/>
    <mergeCell ref="C183:D186"/>
    <mergeCell ref="K179:K182"/>
    <mergeCell ref="K183:K186"/>
    <mergeCell ref="L62:M71"/>
    <mergeCell ref="B49:B71"/>
    <mergeCell ref="K21:K32"/>
    <mergeCell ref="C93:D118"/>
    <mergeCell ref="C21:D25"/>
    <mergeCell ref="C26:D32"/>
    <mergeCell ref="C35:D40"/>
    <mergeCell ref="J35:J40"/>
    <mergeCell ref="C46:D47"/>
    <mergeCell ref="J41:J43"/>
    <mergeCell ref="J33:J34"/>
    <mergeCell ref="C33:D34"/>
    <mergeCell ref="C44:D45"/>
    <mergeCell ref="J46:J47"/>
    <mergeCell ref="L48:M48"/>
    <mergeCell ref="J49:J61"/>
    <mergeCell ref="J62:J71"/>
    <mergeCell ref="J72:J92"/>
    <mergeCell ref="J93:J118"/>
    <mergeCell ref="L33:M34"/>
    <mergeCell ref="K41:K43"/>
    <mergeCell ref="K44:K45"/>
    <mergeCell ref="K46:K47"/>
    <mergeCell ref="G188:M188"/>
    <mergeCell ref="G189:M189"/>
    <mergeCell ref="G190:M190"/>
    <mergeCell ref="B2:M4"/>
    <mergeCell ref="L16:M16"/>
    <mergeCell ref="L17:M17"/>
    <mergeCell ref="L18:M18"/>
    <mergeCell ref="L19:M19"/>
    <mergeCell ref="L20:M20"/>
    <mergeCell ref="B21:B48"/>
    <mergeCell ref="B72:B176"/>
    <mergeCell ref="K72:K92"/>
    <mergeCell ref="L72:M92"/>
    <mergeCell ref="K93:K118"/>
    <mergeCell ref="L93:M118"/>
    <mergeCell ref="K119:K140"/>
    <mergeCell ref="L119:M140"/>
    <mergeCell ref="K141:K163"/>
    <mergeCell ref="L141:M163"/>
    <mergeCell ref="K164:K176"/>
    <mergeCell ref="L164:M176"/>
    <mergeCell ref="K49:K61"/>
    <mergeCell ref="L49:M61"/>
    <mergeCell ref="K62:K71"/>
  </mergeCells>
  <pageMargins left="0.7" right="0.7" top="0.75" bottom="0.75" header="0.3" footer="0.3"/>
  <pageSetup orientation="portrait" r:id="rId1"/>
  <headerFooter>
    <oddFooter>&amp;C&amp;1#&amp;"Arial"&amp;6&amp;K626469Internal</oddFooter>
  </headerFooter>
  <ignoredErrors>
    <ignoredError sqref="I44:I45" formulaRange="1"/>
    <ignoredError sqref="I64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575B0-60B3-40A5-8153-93072E00AE83}">
  <sheetPr codeName="Sheet28"/>
  <dimension ref="A1:U190"/>
  <sheetViews>
    <sheetView zoomScale="70" zoomScaleNormal="7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15" sqref="F15"/>
    </sheetView>
  </sheetViews>
  <sheetFormatPr defaultColWidth="9.1796875" defaultRowHeight="14.5" x14ac:dyDescent="0.35"/>
  <cols>
    <col min="1" max="1" width="3.1796875" style="95" customWidth="1"/>
    <col min="2" max="2" width="9.453125" style="95" customWidth="1"/>
    <col min="3" max="3" width="9.1796875" style="95"/>
    <col min="4" max="4" width="13" style="95" customWidth="1"/>
    <col min="5" max="5" width="14.81640625" style="95" customWidth="1"/>
    <col min="6" max="6" width="39.81640625" style="95" customWidth="1"/>
    <col min="7" max="7" width="23.453125" style="95" hidden="1" customWidth="1"/>
    <col min="8" max="10" width="23.81640625" style="95" customWidth="1"/>
    <col min="11" max="11" width="14.1796875" style="95" customWidth="1"/>
    <col min="12" max="12" width="12.81640625" style="95" customWidth="1"/>
    <col min="13" max="13" width="14.1796875" style="96" customWidth="1"/>
    <col min="14" max="14" width="13.1796875" style="95" customWidth="1"/>
    <col min="15" max="15" width="9.1796875" style="95"/>
    <col min="16" max="16" width="12.453125" style="95" bestFit="1" customWidth="1"/>
    <col min="17" max="17" width="14" style="95" bestFit="1" customWidth="1"/>
    <col min="18" max="18" width="11.81640625" style="95" bestFit="1" customWidth="1"/>
    <col min="19" max="19" width="9.1796875" style="95"/>
    <col min="20" max="20" width="24.453125" style="95" customWidth="1"/>
    <col min="21" max="16384" width="9.1796875" style="95"/>
  </cols>
  <sheetData>
    <row r="1" spans="1:21" ht="23.5" x14ac:dyDescent="0.55000000000000004">
      <c r="B1" s="112"/>
      <c r="F1" s="286"/>
      <c r="G1" s="286"/>
      <c r="H1" s="286"/>
      <c r="I1" s="286"/>
      <c r="J1" s="286"/>
      <c r="K1" s="287"/>
      <c r="L1" s="277">
        <f>DAILY_ENERGY!B2</f>
        <v>45838.291666666664</v>
      </c>
      <c r="M1" s="278"/>
      <c r="N1" s="279"/>
    </row>
    <row r="2" spans="1:21" s="110" customFormat="1" ht="15" customHeight="1" x14ac:dyDescent="1">
      <c r="B2" s="288" t="s">
        <v>492</v>
      </c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8"/>
      <c r="N2" s="288"/>
      <c r="O2" s="111"/>
      <c r="P2" s="111"/>
    </row>
    <row r="3" spans="1:21" s="110" customFormat="1" ht="15" customHeight="1" x14ac:dyDescent="1"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288"/>
      <c r="N3" s="288"/>
      <c r="O3" s="111"/>
      <c r="P3" s="111"/>
    </row>
    <row r="4" spans="1:21" s="110" customFormat="1" ht="15" customHeight="1" x14ac:dyDescent="1">
      <c r="B4" s="288"/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288"/>
      <c r="N4" s="288"/>
      <c r="O4" s="111"/>
      <c r="P4" s="111"/>
    </row>
    <row r="5" spans="1:21" ht="28" x14ac:dyDescent="0.35">
      <c r="A5" s="98"/>
      <c r="B5" s="109" t="s">
        <v>491</v>
      </c>
      <c r="C5" s="252" t="s">
        <v>490</v>
      </c>
      <c r="D5" s="252"/>
      <c r="E5" s="107" t="s">
        <v>489</v>
      </c>
      <c r="F5" s="107" t="s">
        <v>488</v>
      </c>
      <c r="G5" s="107"/>
      <c r="H5" s="101" t="s">
        <v>658</v>
      </c>
      <c r="I5" s="101" t="s">
        <v>659</v>
      </c>
      <c r="J5" s="101" t="s">
        <v>660</v>
      </c>
      <c r="K5" s="108" t="s">
        <v>487</v>
      </c>
      <c r="L5" s="107" t="s">
        <v>486</v>
      </c>
      <c r="M5" s="280" t="s">
        <v>485</v>
      </c>
      <c r="N5" s="281"/>
    </row>
    <row r="6" spans="1:21" ht="30.25" customHeight="1" x14ac:dyDescent="0.35">
      <c r="A6" s="98"/>
      <c r="B6" s="253" t="s">
        <v>484</v>
      </c>
      <c r="C6" s="260" t="s">
        <v>483</v>
      </c>
      <c r="D6" s="261"/>
      <c r="E6" s="101">
        <v>1</v>
      </c>
      <c r="F6" s="100" t="s">
        <v>482</v>
      </c>
      <c r="G6" s="99" t="s">
        <v>481</v>
      </c>
      <c r="H6" s="115">
        <f>SHIFT_A!E10</f>
        <v>0</v>
      </c>
      <c r="I6" s="115">
        <f>SHIFT_B!E10</f>
        <v>0</v>
      </c>
      <c r="J6" s="115">
        <f>SHIFT_C!E10</f>
        <v>0</v>
      </c>
      <c r="K6" s="275">
        <f>SUM(H6:J10)</f>
        <v>0</v>
      </c>
      <c r="L6" s="249">
        <f>SUM(H6:J15)</f>
        <v>27.204678000000012</v>
      </c>
      <c r="M6" s="242">
        <f>K6/L6</f>
        <v>0</v>
      </c>
      <c r="N6" s="243"/>
      <c r="U6" s="106"/>
    </row>
    <row r="7" spans="1:21" ht="30.25" customHeight="1" x14ac:dyDescent="0.35">
      <c r="A7" s="98"/>
      <c r="B7" s="253"/>
      <c r="C7" s="262"/>
      <c r="D7" s="263"/>
      <c r="E7" s="101">
        <v>2</v>
      </c>
      <c r="F7" s="100" t="s">
        <v>480</v>
      </c>
      <c r="G7" s="99" t="s">
        <v>479</v>
      </c>
      <c r="H7" s="115">
        <f>SHIFT_A!E11</f>
        <v>0</v>
      </c>
      <c r="I7" s="115">
        <f>SHIFT_B!E11</f>
        <v>0</v>
      </c>
      <c r="J7" s="115">
        <f>SHIFT_C!E11</f>
        <v>0</v>
      </c>
      <c r="K7" s="276"/>
      <c r="L7" s="250"/>
      <c r="M7" s="244"/>
      <c r="N7" s="245"/>
    </row>
    <row r="8" spans="1:21" ht="30.25" customHeight="1" x14ac:dyDescent="0.35">
      <c r="A8" s="98"/>
      <c r="B8" s="253"/>
      <c r="C8" s="262"/>
      <c r="D8" s="263"/>
      <c r="E8" s="101">
        <v>3</v>
      </c>
      <c r="F8" s="100" t="s">
        <v>478</v>
      </c>
      <c r="G8" s="99"/>
      <c r="H8" s="115">
        <f>SHIFT_A!E12</f>
        <v>0</v>
      </c>
      <c r="I8" s="115">
        <f>SHIFT_B!E12</f>
        <v>0</v>
      </c>
      <c r="J8" s="115">
        <f>SHIFT_C!E12</f>
        <v>0</v>
      </c>
      <c r="K8" s="276"/>
      <c r="L8" s="250"/>
      <c r="M8" s="244"/>
      <c r="N8" s="245"/>
    </row>
    <row r="9" spans="1:21" ht="30.25" customHeight="1" x14ac:dyDescent="0.35">
      <c r="A9" s="98"/>
      <c r="B9" s="253"/>
      <c r="C9" s="262"/>
      <c r="D9" s="263"/>
      <c r="E9" s="101">
        <v>4</v>
      </c>
      <c r="F9" s="100" t="s">
        <v>477</v>
      </c>
      <c r="G9" s="99"/>
      <c r="H9" s="115">
        <f>SHIFT_A!E13</f>
        <v>0</v>
      </c>
      <c r="I9" s="115">
        <f>SHIFT_B!E13</f>
        <v>0</v>
      </c>
      <c r="J9" s="115">
        <f>SHIFT_C!E13</f>
        <v>0</v>
      </c>
      <c r="K9" s="276"/>
      <c r="L9" s="250"/>
      <c r="M9" s="244"/>
      <c r="N9" s="245"/>
    </row>
    <row r="10" spans="1:21" ht="30.25" customHeight="1" x14ac:dyDescent="0.35">
      <c r="A10" s="98"/>
      <c r="B10" s="253"/>
      <c r="C10" s="262"/>
      <c r="D10" s="263"/>
      <c r="E10" s="101">
        <v>5</v>
      </c>
      <c r="F10" s="100" t="s">
        <v>96</v>
      </c>
      <c r="G10" s="99"/>
      <c r="H10" s="115">
        <f>SHIFT_A!E14</f>
        <v>0</v>
      </c>
      <c r="I10" s="115">
        <f>SHIFT_B!E14</f>
        <v>0</v>
      </c>
      <c r="J10" s="115">
        <f>SHIFT_C!E14</f>
        <v>0</v>
      </c>
      <c r="K10" s="276"/>
      <c r="L10" s="250"/>
      <c r="M10" s="244"/>
      <c r="N10" s="245"/>
    </row>
    <row r="11" spans="1:21" ht="30.25" customHeight="1" x14ac:dyDescent="0.35">
      <c r="A11" s="98"/>
      <c r="B11" s="253"/>
      <c r="C11" s="260" t="s">
        <v>476</v>
      </c>
      <c r="D11" s="261"/>
      <c r="E11" s="101">
        <v>6</v>
      </c>
      <c r="F11" s="100" t="s">
        <v>475</v>
      </c>
      <c r="G11" s="99"/>
      <c r="H11" s="115">
        <f>SHIFT_A!E9</f>
        <v>0</v>
      </c>
      <c r="I11" s="115">
        <f>SHIFT_B!E9</f>
        <v>0</v>
      </c>
      <c r="J11" s="115">
        <f>SHIFT_C!E9</f>
        <v>0</v>
      </c>
      <c r="K11" s="116">
        <f>SUM(H11:J11)</f>
        <v>0</v>
      </c>
      <c r="L11" s="250"/>
      <c r="M11" s="242">
        <f>K11/L6</f>
        <v>0</v>
      </c>
      <c r="N11" s="243"/>
    </row>
    <row r="12" spans="1:21" ht="30.25" customHeight="1" x14ac:dyDescent="0.35">
      <c r="A12" s="98"/>
      <c r="B12" s="253"/>
      <c r="C12" s="260" t="s">
        <v>474</v>
      </c>
      <c r="D12" s="261"/>
      <c r="E12" s="101">
        <v>7</v>
      </c>
      <c r="F12" s="100" t="s">
        <v>473</v>
      </c>
      <c r="G12" s="99" t="s">
        <v>426</v>
      </c>
      <c r="H12" s="115">
        <f>SHIFT_A!E18</f>
        <v>0.12046000000000134</v>
      </c>
      <c r="I12" s="115">
        <f>SHIFT_B!E18</f>
        <v>1.8999000000000876E-2</v>
      </c>
      <c r="J12" s="115">
        <f>SHIFT_C!E18</f>
        <v>1.4029999999962683E-3</v>
      </c>
      <c r="K12" s="249">
        <f>SUM(H12:J14)</f>
        <v>4.9013030000000128</v>
      </c>
      <c r="L12" s="250"/>
      <c r="M12" s="242">
        <f>K12/L6</f>
        <v>0.18016397768060372</v>
      </c>
      <c r="N12" s="243"/>
    </row>
    <row r="13" spans="1:21" ht="30.25" customHeight="1" x14ac:dyDescent="0.35">
      <c r="A13" s="98"/>
      <c r="B13" s="253"/>
      <c r="C13" s="262"/>
      <c r="D13" s="263"/>
      <c r="E13" s="101">
        <v>8</v>
      </c>
      <c r="F13" s="100" t="s">
        <v>472</v>
      </c>
      <c r="G13" s="99"/>
      <c r="H13" s="115">
        <f>SHIFT_A!E16</f>
        <v>1.9720990000000711</v>
      </c>
      <c r="I13" s="115">
        <f>SHIFT_B!E16</f>
        <v>0.31753399999990961</v>
      </c>
      <c r="J13" s="115">
        <f>SHIFT_C!E16</f>
        <v>4.9039999999990869E-2</v>
      </c>
      <c r="K13" s="250"/>
      <c r="L13" s="250"/>
      <c r="M13" s="244"/>
      <c r="N13" s="245"/>
    </row>
    <row r="14" spans="1:21" ht="30.25" customHeight="1" x14ac:dyDescent="0.35">
      <c r="A14" s="98"/>
      <c r="B14" s="253"/>
      <c r="C14" s="262"/>
      <c r="D14" s="263"/>
      <c r="E14" s="101">
        <v>9</v>
      </c>
      <c r="F14" s="100" t="s">
        <v>471</v>
      </c>
      <c r="G14" s="99"/>
      <c r="H14" s="115">
        <f>SHIFT_A!E17</f>
        <v>2.037187999999901</v>
      </c>
      <c r="I14" s="115">
        <f>SHIFT_B!E17</f>
        <v>0.3326560000000427</v>
      </c>
      <c r="J14" s="115">
        <f>SHIFT_C!E17</f>
        <v>5.1924000000099113E-2</v>
      </c>
      <c r="K14" s="250"/>
      <c r="L14" s="250"/>
      <c r="M14" s="244"/>
      <c r="N14" s="245"/>
    </row>
    <row r="15" spans="1:21" ht="30.25" customHeight="1" x14ac:dyDescent="0.35">
      <c r="A15" s="98"/>
      <c r="B15" s="253"/>
      <c r="C15" s="252" t="s">
        <v>470</v>
      </c>
      <c r="D15" s="252"/>
      <c r="E15" s="101">
        <v>10</v>
      </c>
      <c r="F15" s="100" t="s">
        <v>469</v>
      </c>
      <c r="G15" s="99" t="s">
        <v>468</v>
      </c>
      <c r="H15" s="115">
        <f>SHIFT_A!E4*0.001</f>
        <v>6.6226250000000002</v>
      </c>
      <c r="I15" s="115">
        <f>SHIFT_B!E4*0.001</f>
        <v>8.6170000000000009</v>
      </c>
      <c r="J15" s="115">
        <f>SHIFT_C!E4*0.001</f>
        <v>7.0637499999999998</v>
      </c>
      <c r="K15" s="116">
        <f>SUM(H15:J15)</f>
        <v>22.303374999999999</v>
      </c>
      <c r="L15" s="251"/>
      <c r="M15" s="233">
        <f>K15/L6</f>
        <v>0.81983602231939634</v>
      </c>
      <c r="N15" s="234"/>
    </row>
    <row r="16" spans="1:21" ht="30.25" customHeight="1" x14ac:dyDescent="0.35">
      <c r="A16" s="98"/>
      <c r="B16" s="285" t="s">
        <v>467</v>
      </c>
      <c r="C16" s="260" t="s">
        <v>466</v>
      </c>
      <c r="D16" s="261"/>
      <c r="E16" s="101">
        <v>11</v>
      </c>
      <c r="F16" s="100" t="s">
        <v>122</v>
      </c>
      <c r="G16" s="99"/>
      <c r="H16" s="117">
        <f>SHIFT_A!E46</f>
        <v>1.595136000000025</v>
      </c>
      <c r="I16" s="117">
        <f>SHIFT_B!E46</f>
        <v>1.6263679999999567</v>
      </c>
      <c r="J16" s="117">
        <f>SHIFT_C!E46</f>
        <v>1.3112960000000839</v>
      </c>
      <c r="K16" s="116">
        <f t="shared" ref="K16:K19" si="0">SUM(H16:J16)</f>
        <v>4.5328000000000657</v>
      </c>
      <c r="L16" s="266">
        <f>SUM(K16:K20)</f>
        <v>25.449696999999276</v>
      </c>
      <c r="M16" s="233">
        <f>K16/L6</f>
        <v>0.16661840290850213</v>
      </c>
      <c r="N16" s="234"/>
    </row>
    <row r="17" spans="1:14" ht="30.25" customHeight="1" x14ac:dyDescent="0.35">
      <c r="A17" s="98"/>
      <c r="B17" s="285"/>
      <c r="C17" s="262"/>
      <c r="D17" s="263"/>
      <c r="E17" s="101">
        <v>12</v>
      </c>
      <c r="F17" s="100" t="s">
        <v>123</v>
      </c>
      <c r="G17" s="99"/>
      <c r="H17" s="117">
        <f>SHIFT_A!E67</f>
        <v>0.9293440000000146</v>
      </c>
      <c r="I17" s="117">
        <f>SHIFT_B!E67</f>
        <v>0.61555199999997967</v>
      </c>
      <c r="J17" s="117">
        <f>SHIFT_C!E67</f>
        <v>0.72124800000000278</v>
      </c>
      <c r="K17" s="116">
        <f t="shared" si="0"/>
        <v>2.266143999999997</v>
      </c>
      <c r="L17" s="267"/>
      <c r="M17" s="233">
        <f>K17/L6</f>
        <v>8.3299791307950635E-2</v>
      </c>
      <c r="N17" s="234"/>
    </row>
    <row r="18" spans="1:14" ht="30.25" customHeight="1" x14ac:dyDescent="0.35">
      <c r="A18" s="98"/>
      <c r="B18" s="285"/>
      <c r="C18" s="262"/>
      <c r="D18" s="263"/>
      <c r="E18" s="101">
        <v>13</v>
      </c>
      <c r="F18" s="100" t="s">
        <v>124</v>
      </c>
      <c r="G18" s="99"/>
      <c r="H18" s="117">
        <f>SHIFT_A!E93</f>
        <v>1.7277440000000297</v>
      </c>
      <c r="I18" s="117">
        <f>SHIFT_B!E93</f>
        <v>1.343232000000171</v>
      </c>
      <c r="J18" s="117">
        <f>SHIFT_C!E93</f>
        <v>1.1498239999998532</v>
      </c>
      <c r="K18" s="116">
        <f t="shared" si="0"/>
        <v>4.2208000000000538</v>
      </c>
      <c r="L18" s="267"/>
      <c r="M18" s="233">
        <f>K18/L6</f>
        <v>0.1551497871064694</v>
      </c>
      <c r="N18" s="234"/>
    </row>
    <row r="19" spans="1:14" ht="30.25" customHeight="1" x14ac:dyDescent="0.35">
      <c r="A19" s="98"/>
      <c r="B19" s="285"/>
      <c r="C19" s="262"/>
      <c r="D19" s="263"/>
      <c r="E19" s="101">
        <v>14</v>
      </c>
      <c r="F19" s="100" t="s">
        <v>125</v>
      </c>
      <c r="G19" s="99"/>
      <c r="H19" s="117">
        <f>SHIFT_A!E115</f>
        <v>1.7955840000000762</v>
      </c>
      <c r="I19" s="117">
        <f>SHIFT_B!E115</f>
        <v>1.6524799999999686</v>
      </c>
      <c r="J19" s="117">
        <f>SHIFT_C!E115</f>
        <v>1.2746240000000171</v>
      </c>
      <c r="K19" s="116">
        <f t="shared" si="0"/>
        <v>4.7226880000000619</v>
      </c>
      <c r="L19" s="267"/>
      <c r="M19" s="233">
        <f>K19/L6</f>
        <v>0.17359837892586194</v>
      </c>
      <c r="N19" s="234"/>
    </row>
    <row r="20" spans="1:14" ht="30.25" customHeight="1" x14ac:dyDescent="0.35">
      <c r="A20" s="98"/>
      <c r="B20" s="285"/>
      <c r="C20" s="262"/>
      <c r="D20" s="263"/>
      <c r="E20" s="101">
        <v>15</v>
      </c>
      <c r="F20" s="100" t="s">
        <v>126</v>
      </c>
      <c r="G20" s="99"/>
      <c r="H20" s="117">
        <f>SHIFT_A!E138</f>
        <v>4.0067659999995158</v>
      </c>
      <c r="I20" s="117">
        <f>SHIFT_B!E138</f>
        <v>3.4826130000001285</v>
      </c>
      <c r="J20" s="117">
        <f>SHIFT_C!E138</f>
        <v>2.2178859999994529</v>
      </c>
      <c r="K20" s="118">
        <f>SUM(H20:J20)</f>
        <v>9.7072649999990972</v>
      </c>
      <c r="L20" s="268"/>
      <c r="M20" s="233">
        <f>K20/L6</f>
        <v>0.35682337427405292</v>
      </c>
      <c r="N20" s="234"/>
    </row>
    <row r="21" spans="1:14" ht="30.25" customHeight="1" x14ac:dyDescent="0.35">
      <c r="A21" s="98"/>
      <c r="B21" s="235" t="s">
        <v>465</v>
      </c>
      <c r="C21" s="253" t="s">
        <v>464</v>
      </c>
      <c r="D21" s="253"/>
      <c r="E21" s="101">
        <v>16</v>
      </c>
      <c r="F21" s="100" t="s">
        <v>498</v>
      </c>
      <c r="G21" s="99" t="s">
        <v>463</v>
      </c>
      <c r="H21" s="119">
        <f>SUM('Zone wise Meter data'!H2:H19)</f>
        <v>0.3591633750000045</v>
      </c>
      <c r="I21" s="119">
        <f>SUM('Zone wise Meter data'!I2:I19)</f>
        <v>0.37972024999999965</v>
      </c>
      <c r="J21" s="119">
        <f>SUM('Zone wise Meter data'!J2:J19)</f>
        <v>0.32079187499999318</v>
      </c>
      <c r="K21" s="250">
        <f>SUM(H21:J25)</f>
        <v>17.254582890624889</v>
      </c>
      <c r="L21" s="249">
        <f>SUM(H21:J32)</f>
        <v>22.821214210937374</v>
      </c>
      <c r="M21" s="269">
        <v>0</v>
      </c>
      <c r="N21" s="270"/>
    </row>
    <row r="22" spans="1:14" ht="30.25" customHeight="1" x14ac:dyDescent="0.35">
      <c r="A22" s="98"/>
      <c r="B22" s="236"/>
      <c r="C22" s="253"/>
      <c r="D22" s="253"/>
      <c r="E22" s="101">
        <v>17</v>
      </c>
      <c r="F22" s="100" t="s">
        <v>462</v>
      </c>
      <c r="G22" s="99"/>
      <c r="H22" s="115">
        <f>SUM('Zone wise Meter data'!H20:H36)</f>
        <v>0.89425576562499309</v>
      </c>
      <c r="I22" s="115">
        <f>SUM('Zone wise Meter data'!I20:I36)</f>
        <v>0.82455812500001735</v>
      </c>
      <c r="J22" s="115">
        <f>SUM('Zone wise Meter data'!J20:J36)</f>
        <v>0.72876249999997977</v>
      </c>
      <c r="K22" s="250"/>
      <c r="L22" s="250"/>
      <c r="M22" s="271"/>
      <c r="N22" s="272"/>
    </row>
    <row r="23" spans="1:14" ht="30.25" customHeight="1" x14ac:dyDescent="0.35">
      <c r="A23" s="98"/>
      <c r="B23" s="236"/>
      <c r="C23" s="253"/>
      <c r="D23" s="253"/>
      <c r="E23" s="101">
        <v>18</v>
      </c>
      <c r="F23" s="100" t="s">
        <v>461</v>
      </c>
      <c r="G23" s="99"/>
      <c r="H23" s="115">
        <f>SUM('Zone wise Meter data'!H37:H40)</f>
        <v>0.52031550000000237</v>
      </c>
      <c r="I23" s="115">
        <f>SUM('Zone wise Meter data'!I37:I40)</f>
        <v>0.38806550000002638</v>
      </c>
      <c r="J23" s="115">
        <f>SUM('Zone wise Meter data'!J37:J40)</f>
        <v>0.20690199999988224</v>
      </c>
      <c r="K23" s="250"/>
      <c r="L23" s="250"/>
      <c r="M23" s="271"/>
      <c r="N23" s="272"/>
    </row>
    <row r="24" spans="1:14" ht="30.25" customHeight="1" x14ac:dyDescent="0.35">
      <c r="A24" s="98"/>
      <c r="B24" s="236"/>
      <c r="C24" s="253"/>
      <c r="D24" s="253"/>
      <c r="E24" s="101">
        <v>19</v>
      </c>
      <c r="F24" s="100" t="s">
        <v>460</v>
      </c>
      <c r="H24" s="115">
        <f>SUM('Zone wise Meter data'!H41:H42)</f>
        <v>1.1562240000000088</v>
      </c>
      <c r="I24" s="115">
        <f>SUM('Zone wise Meter data'!I41:I42)</f>
        <v>1.0616320000000314</v>
      </c>
      <c r="J24" s="115">
        <f>SUM('Zone wise Meter data'!J41:J42)</f>
        <v>0.77139199999999164</v>
      </c>
      <c r="K24" s="250"/>
      <c r="L24" s="250"/>
      <c r="M24" s="271"/>
      <c r="N24" s="272"/>
    </row>
    <row r="25" spans="1:14" ht="30.25" customHeight="1" x14ac:dyDescent="0.35">
      <c r="A25" s="98"/>
      <c r="B25" s="236"/>
      <c r="C25" s="253"/>
      <c r="D25" s="253"/>
      <c r="E25" s="101">
        <v>20</v>
      </c>
      <c r="F25" s="100" t="s">
        <v>459</v>
      </c>
      <c r="G25" s="99"/>
      <c r="H25" s="115">
        <f>SUM('Zone wise Meter data'!H43:H51)</f>
        <v>3.8793899999997201</v>
      </c>
      <c r="I25" s="115">
        <f>SUM('Zone wise Meter data'!I43:I51)</f>
        <v>3.4834770000000859</v>
      </c>
      <c r="J25" s="115">
        <f>SUM('Zone wise Meter data'!J43:J51)</f>
        <v>2.2799330000001525</v>
      </c>
      <c r="K25" s="251"/>
      <c r="L25" s="250"/>
      <c r="M25" s="273"/>
      <c r="N25" s="274"/>
    </row>
    <row r="26" spans="1:14" ht="30.25" customHeight="1" x14ac:dyDescent="0.35">
      <c r="A26" s="98"/>
      <c r="B26" s="236"/>
      <c r="C26" s="254" t="s">
        <v>458</v>
      </c>
      <c r="D26" s="255"/>
      <c r="E26" s="101">
        <v>21</v>
      </c>
      <c r="F26" s="100" t="s">
        <v>457</v>
      </c>
      <c r="G26" s="99"/>
      <c r="H26" s="115">
        <f>SUM('Zone wise Meter data'!H52:H63)</f>
        <v>0.45050150000000189</v>
      </c>
      <c r="I26" s="115">
        <f>SUM('Zone wise Meter data'!I52:I63)</f>
        <v>1.6768749999999777E-2</v>
      </c>
      <c r="J26" s="115">
        <f>SUM('Zone wise Meter data'!J52:J63)</f>
        <v>0.10114899999999682</v>
      </c>
      <c r="K26" s="249">
        <f>SUM(H26:J32)</f>
        <v>5.566631320312486</v>
      </c>
      <c r="L26" s="250"/>
      <c r="M26" s="269">
        <f>K26/L6</f>
        <v>0.20462037155199864</v>
      </c>
      <c r="N26" s="270"/>
    </row>
    <row r="27" spans="1:14" ht="30.25" customHeight="1" x14ac:dyDescent="0.35">
      <c r="A27" s="98"/>
      <c r="B27" s="236"/>
      <c r="C27" s="254"/>
      <c r="D27" s="255"/>
      <c r="E27" s="101">
        <v>22</v>
      </c>
      <c r="F27" s="100" t="s">
        <v>236</v>
      </c>
      <c r="G27" s="99"/>
      <c r="H27" s="115">
        <f>SUM('Zone wise Meter data'!H64:H70)</f>
        <v>1.1905000000000054E-2</v>
      </c>
      <c r="I27" s="115">
        <f>SUM('Zone wise Meter data'!I64:I70)</f>
        <v>1.4253875000000304E-2</v>
      </c>
      <c r="J27" s="115">
        <f>SUM('Zone wise Meter data'!J64:J70)</f>
        <v>5.8814999999998729E-3</v>
      </c>
      <c r="K27" s="250"/>
      <c r="L27" s="250"/>
      <c r="M27" s="271"/>
      <c r="N27" s="272"/>
    </row>
    <row r="28" spans="1:14" ht="30.25" customHeight="1" x14ac:dyDescent="0.35">
      <c r="A28" s="98"/>
      <c r="B28" s="236"/>
      <c r="C28" s="254"/>
      <c r="D28" s="255"/>
      <c r="E28" s="101">
        <v>23</v>
      </c>
      <c r="F28" s="100" t="s">
        <v>456</v>
      </c>
      <c r="G28" s="99" t="s">
        <v>426</v>
      </c>
      <c r="H28" s="115">
        <f>SUM('Zone wise Meter data'!H71:H76)</f>
        <v>0.65600571875000957</v>
      </c>
      <c r="I28" s="115">
        <f>SUM('Zone wise Meter data'!I71:I76)</f>
        <v>0.68142724999999105</v>
      </c>
      <c r="J28" s="115">
        <f>SUM('Zone wise Meter data'!J71:J76)</f>
        <v>0.68750981250001009</v>
      </c>
      <c r="K28" s="250"/>
      <c r="L28" s="250"/>
      <c r="M28" s="271"/>
      <c r="N28" s="272"/>
    </row>
    <row r="29" spans="1:14" ht="30.25" customHeight="1" x14ac:dyDescent="0.35">
      <c r="A29" s="98"/>
      <c r="B29" s="236"/>
      <c r="C29" s="254"/>
      <c r="D29" s="255"/>
      <c r="E29" s="101">
        <v>24</v>
      </c>
      <c r="F29" s="100" t="s">
        <v>455</v>
      </c>
      <c r="G29" s="99"/>
      <c r="H29" s="115">
        <f>SUM('Zone wise Meter data'!H77:H80)</f>
        <v>0.7257759999999962</v>
      </c>
      <c r="I29" s="115">
        <f>SUM('Zone wise Meter data'!I77:I80)</f>
        <v>0.74579199999999446</v>
      </c>
      <c r="J29" s="115">
        <f>SUM('Zone wise Meter data'!J77:J80)</f>
        <v>0.58135999999998944</v>
      </c>
      <c r="K29" s="250"/>
      <c r="L29" s="250"/>
      <c r="M29" s="271"/>
      <c r="N29" s="272"/>
    </row>
    <row r="30" spans="1:14" ht="30.25" customHeight="1" x14ac:dyDescent="0.35">
      <c r="A30" s="98"/>
      <c r="B30" s="236"/>
      <c r="C30" s="254"/>
      <c r="D30" s="255"/>
      <c r="E30" s="101">
        <v>25</v>
      </c>
      <c r="F30" s="100" t="s">
        <v>454</v>
      </c>
      <c r="G30" s="99"/>
      <c r="H30" s="115">
        <f>SUM('Zone wise Meter data'!H81:H95)</f>
        <v>0.31462187499998351</v>
      </c>
      <c r="I30" s="115">
        <f>SUM('Zone wise Meter data'!I81:I95)</f>
        <v>0.13003118749999609</v>
      </c>
      <c r="J30" s="115">
        <f>SUM('Zone wise Meter data'!J81:J95)</f>
        <v>0.19937868750001531</v>
      </c>
      <c r="K30" s="250"/>
      <c r="L30" s="250"/>
      <c r="M30" s="271"/>
      <c r="N30" s="272"/>
    </row>
    <row r="31" spans="1:14" ht="30.25" customHeight="1" x14ac:dyDescent="0.35">
      <c r="A31" s="98"/>
      <c r="B31" s="236"/>
      <c r="C31" s="254"/>
      <c r="D31" s="255"/>
      <c r="E31" s="101">
        <v>26</v>
      </c>
      <c r="F31" s="100" t="s">
        <v>656</v>
      </c>
      <c r="G31" s="99"/>
      <c r="H31" s="115">
        <f>SUM('Zone wise Meter data'!H96:H105)</f>
        <v>8.3096562500003204E-2</v>
      </c>
      <c r="I31" s="115">
        <f>SUM('Zone wise Meter data'!I96:I105)</f>
        <v>9.4624601562497287E-2</v>
      </c>
      <c r="J31" s="115">
        <f>SUM('Zone wise Meter data'!J96:J105)</f>
        <v>6.6548000000001231E-2</v>
      </c>
      <c r="K31" s="250"/>
      <c r="L31" s="250"/>
      <c r="M31" s="271"/>
      <c r="N31" s="272"/>
    </row>
    <row r="32" spans="1:14" ht="30.25" customHeight="1" x14ac:dyDescent="0.35">
      <c r="A32" s="98"/>
      <c r="B32" s="236"/>
      <c r="C32" s="256"/>
      <c r="D32" s="257"/>
      <c r="E32" s="101">
        <v>27</v>
      </c>
      <c r="F32" s="100" t="s">
        <v>505</v>
      </c>
      <c r="H32" s="115">
        <f>SUM('Zone wise Meter data'!H106:H121)</f>
        <v>0</v>
      </c>
      <c r="I32" s="115">
        <f>SUM('Zone wise Meter data'!I106:I121)</f>
        <v>0</v>
      </c>
      <c r="J32" s="115">
        <f>SUM('Zone wise Meter data'!J106:J121)</f>
        <v>0</v>
      </c>
      <c r="K32" s="251"/>
      <c r="L32" s="250"/>
      <c r="M32" s="273"/>
      <c r="N32" s="274"/>
    </row>
    <row r="33" spans="1:14" ht="30.25" customHeight="1" x14ac:dyDescent="0.35">
      <c r="A33" s="98"/>
      <c r="B33" s="236"/>
      <c r="C33" s="252" t="s">
        <v>496</v>
      </c>
      <c r="D33" s="252"/>
      <c r="E33" s="101">
        <v>28</v>
      </c>
      <c r="F33" s="100" t="s">
        <v>453</v>
      </c>
      <c r="G33" s="99" t="s">
        <v>452</v>
      </c>
      <c r="H33" s="115">
        <f>SHIFT_A!E51</f>
        <v>0.47424000000000888</v>
      </c>
      <c r="I33" s="115">
        <f>SHIFT_B!E51</f>
        <v>0.44582400000001599</v>
      </c>
      <c r="J33" s="115">
        <f>SHIFT_C!E51</f>
        <v>0.33356800000001385</v>
      </c>
      <c r="K33" s="249">
        <f>SUM(H33:J34)</f>
        <v>2.9892480000000319</v>
      </c>
      <c r="L33" s="249"/>
      <c r="M33" s="242">
        <f>K33/L6</f>
        <v>0.10987992579805689</v>
      </c>
      <c r="N33" s="243"/>
    </row>
    <row r="34" spans="1:14" ht="30.25" customHeight="1" x14ac:dyDescent="0.35">
      <c r="A34" s="98"/>
      <c r="B34" s="236"/>
      <c r="C34" s="252"/>
      <c r="D34" s="252"/>
      <c r="E34" s="101">
        <v>29</v>
      </c>
      <c r="F34" s="100" t="s">
        <v>451</v>
      </c>
      <c r="G34" s="99" t="s">
        <v>450</v>
      </c>
      <c r="H34" s="115">
        <f>SHIFT_A!E125</f>
        <v>0.68198399999999992</v>
      </c>
      <c r="I34" s="115">
        <f>SHIFT_B!E125</f>
        <v>0.61580800000001545</v>
      </c>
      <c r="J34" s="115">
        <f>SHIFT_C!E125</f>
        <v>0.43782399999997779</v>
      </c>
      <c r="K34" s="250"/>
      <c r="L34" s="250"/>
      <c r="M34" s="246"/>
      <c r="N34" s="247"/>
    </row>
    <row r="35" spans="1:14" ht="30.25" customHeight="1" x14ac:dyDescent="0.35">
      <c r="A35" s="98"/>
      <c r="B35" s="236"/>
      <c r="C35" s="252" t="s">
        <v>449</v>
      </c>
      <c r="D35" s="252"/>
      <c r="E35" s="101">
        <v>30</v>
      </c>
      <c r="F35" s="100" t="s">
        <v>448</v>
      </c>
      <c r="G35" s="99" t="s">
        <v>405</v>
      </c>
      <c r="H35" s="115">
        <f>SHIFT_A!E144</f>
        <v>1.0263039999999819</v>
      </c>
      <c r="I35" s="115">
        <f>SHIFT_B!E144</f>
        <v>1.0145279999999275</v>
      </c>
      <c r="J35" s="115">
        <f>SHIFT_C!E144</f>
        <v>0.19891200000006393</v>
      </c>
      <c r="K35" s="249">
        <f>SUM(H35:J40)</f>
        <v>8.6540269999999566</v>
      </c>
      <c r="L35" s="241"/>
      <c r="M35" s="242">
        <f>K35/L6</f>
        <v>0.31810804744683813</v>
      </c>
      <c r="N35" s="243"/>
    </row>
    <row r="36" spans="1:14" ht="30.25" customHeight="1" x14ac:dyDescent="0.35">
      <c r="A36" s="98"/>
      <c r="B36" s="236"/>
      <c r="C36" s="252"/>
      <c r="D36" s="252"/>
      <c r="E36" s="101">
        <v>31</v>
      </c>
      <c r="F36" s="100" t="s">
        <v>447</v>
      </c>
      <c r="G36" s="99" t="s">
        <v>404</v>
      </c>
      <c r="H36" s="115">
        <f>SHIFT_A!E143</f>
        <v>0</v>
      </c>
      <c r="I36" s="115">
        <f>SHIFT_B!E143</f>
        <v>0</v>
      </c>
      <c r="J36" s="115">
        <f>SHIFT_C!E143</f>
        <v>0</v>
      </c>
      <c r="K36" s="250"/>
      <c r="L36" s="241"/>
      <c r="M36" s="244"/>
      <c r="N36" s="245"/>
    </row>
    <row r="37" spans="1:14" ht="30.25" customHeight="1" x14ac:dyDescent="0.35">
      <c r="A37" s="98"/>
      <c r="B37" s="236"/>
      <c r="C37" s="252"/>
      <c r="D37" s="252"/>
      <c r="E37" s="101">
        <v>32</v>
      </c>
      <c r="F37" s="100" t="s">
        <v>446</v>
      </c>
      <c r="G37" s="99" t="s">
        <v>403</v>
      </c>
      <c r="H37" s="115">
        <f>SHIFT_A!E146</f>
        <v>0.32025599999997212</v>
      </c>
      <c r="I37" s="115">
        <f>SHIFT_B!E146</f>
        <v>0</v>
      </c>
      <c r="J37" s="115">
        <f>SHIFT_C!E146</f>
        <v>0</v>
      </c>
      <c r="K37" s="250"/>
      <c r="L37" s="241"/>
      <c r="M37" s="244"/>
      <c r="N37" s="245"/>
    </row>
    <row r="38" spans="1:14" ht="30.25" customHeight="1" x14ac:dyDescent="0.35">
      <c r="A38" s="98"/>
      <c r="B38" s="236"/>
      <c r="C38" s="252"/>
      <c r="D38" s="252"/>
      <c r="E38" s="101">
        <v>33</v>
      </c>
      <c r="F38" s="100" t="s">
        <v>445</v>
      </c>
      <c r="G38" s="99" t="s">
        <v>402</v>
      </c>
      <c r="H38" s="115">
        <f>SHIFT_A!E147</f>
        <v>5.9519999999793072E-3</v>
      </c>
      <c r="I38" s="115">
        <f>SHIFT_B!E147</f>
        <v>6.144000000062988E-3</v>
      </c>
      <c r="J38" s="115">
        <f>SHIFT_C!E147</f>
        <v>6.0799999999971988E-3</v>
      </c>
      <c r="K38" s="250"/>
      <c r="L38" s="241"/>
      <c r="M38" s="244"/>
      <c r="N38" s="245"/>
    </row>
    <row r="39" spans="1:14" ht="30.25" customHeight="1" x14ac:dyDescent="0.35">
      <c r="A39" s="98"/>
      <c r="B39" s="236"/>
      <c r="C39" s="252"/>
      <c r="D39" s="252"/>
      <c r="E39" s="101">
        <v>34</v>
      </c>
      <c r="F39" s="100" t="s">
        <v>444</v>
      </c>
      <c r="G39" s="99"/>
      <c r="H39" s="115">
        <f>SHIFT_A!E145</f>
        <v>1.2623359999997774</v>
      </c>
      <c r="I39" s="115">
        <f>SHIFT_B!E145</f>
        <v>1.2369920000001002</v>
      </c>
      <c r="J39" s="115">
        <f>SHIFT_C!E145</f>
        <v>1.0286080000000766</v>
      </c>
      <c r="K39" s="250"/>
      <c r="L39" s="241"/>
      <c r="M39" s="244"/>
      <c r="N39" s="245"/>
    </row>
    <row r="40" spans="1:14" ht="30.25" customHeight="1" x14ac:dyDescent="0.35">
      <c r="A40" s="98"/>
      <c r="B40" s="236"/>
      <c r="C40" s="252"/>
      <c r="D40" s="252"/>
      <c r="E40" s="101">
        <v>35</v>
      </c>
      <c r="F40" s="100" t="s">
        <v>654</v>
      </c>
      <c r="G40" s="99"/>
      <c r="H40" s="115">
        <f>SHIFT_A!E150</f>
        <v>0.90588499999999783</v>
      </c>
      <c r="I40" s="115">
        <f>SHIFT_B!E150</f>
        <v>0.8566330000000022</v>
      </c>
      <c r="J40" s="115">
        <f>SHIFT_C!E150</f>
        <v>0.78539700000001744</v>
      </c>
      <c r="K40" s="251"/>
      <c r="L40" s="241"/>
      <c r="M40" s="246"/>
      <c r="N40" s="247"/>
    </row>
    <row r="41" spans="1:14" ht="30.25" customHeight="1" x14ac:dyDescent="0.35">
      <c r="A41" s="98"/>
      <c r="B41" s="236"/>
      <c r="C41" s="252" t="s">
        <v>442</v>
      </c>
      <c r="D41" s="252"/>
      <c r="E41" s="101">
        <v>36</v>
      </c>
      <c r="F41" s="100" t="s">
        <v>441</v>
      </c>
      <c r="G41" s="99"/>
      <c r="H41" s="115">
        <f>SHIFT_A!E141</f>
        <v>0.21081600000002254</v>
      </c>
      <c r="I41" s="115">
        <f>SHIFT_B!E141</f>
        <v>0.18246399999998175</v>
      </c>
      <c r="J41" s="115">
        <f>SHIFT_C!E141</f>
        <v>0.13740799999993669</v>
      </c>
      <c r="K41" s="241">
        <f>SUM(H41:J43)</f>
        <v>14.071047999999923</v>
      </c>
      <c r="L41" s="241"/>
      <c r="M41" s="248">
        <f>K41/L6</f>
        <v>0.51722898539728779</v>
      </c>
      <c r="N41" s="248"/>
    </row>
    <row r="42" spans="1:14" ht="30.25" customHeight="1" x14ac:dyDescent="0.35">
      <c r="A42" s="98"/>
      <c r="B42" s="236"/>
      <c r="C42" s="252"/>
      <c r="D42" s="252"/>
      <c r="E42" s="101">
        <v>37</v>
      </c>
      <c r="F42" s="100" t="s">
        <v>440</v>
      </c>
      <c r="G42" s="99"/>
      <c r="H42" s="115">
        <f>SHIFT_A!E140 + SHIFT_A!E47</f>
        <v>0.29103549999998535</v>
      </c>
      <c r="I42" s="115">
        <f>SHIFT_B!E140 + SHIFT_B!E47</f>
        <v>0.16512150000004233</v>
      </c>
      <c r="J42" s="115">
        <f>SHIFT_C!E140 + SHIFT_C!E47</f>
        <v>6.5685999999953282E-2</v>
      </c>
      <c r="K42" s="241"/>
      <c r="L42" s="241"/>
      <c r="M42" s="248"/>
      <c r="N42" s="248"/>
    </row>
    <row r="43" spans="1:14" ht="30.25" customHeight="1" x14ac:dyDescent="0.35">
      <c r="A43" s="98"/>
      <c r="B43" s="236"/>
      <c r="C43" s="252"/>
      <c r="D43" s="252"/>
      <c r="E43" s="101">
        <v>38</v>
      </c>
      <c r="F43" s="100" t="s">
        <v>439</v>
      </c>
      <c r="G43" s="99"/>
      <c r="H43" s="115">
        <f>SUM(SHIFT_A!C104:E105,SHIFT_A!C109:E110)</f>
        <v>8.5396767500000017</v>
      </c>
      <c r="I43" s="115">
        <f>SUM(SHIFT_B!D104:E105,SHIFT_B!D109:E110)</f>
        <v>4.4266588749999993</v>
      </c>
      <c r="J43" s="115">
        <f>SUM(SHIFT_C!E104:E105,SHIFT_C!E109:E110)</f>
        <v>5.2181374999999974E-2</v>
      </c>
      <c r="K43" s="241"/>
      <c r="L43" s="241"/>
      <c r="M43" s="248"/>
      <c r="N43" s="248"/>
    </row>
    <row r="44" spans="1:14" ht="45.75" customHeight="1" x14ac:dyDescent="0.35">
      <c r="A44" s="98"/>
      <c r="B44" s="236"/>
      <c r="C44" s="252" t="s">
        <v>438</v>
      </c>
      <c r="D44" s="252"/>
      <c r="E44" s="101">
        <v>39</v>
      </c>
      <c r="F44" s="100" t="s">
        <v>425</v>
      </c>
      <c r="G44" s="99"/>
      <c r="H44" s="119">
        <f>SUM(SHIFT_A!C36:E45)</f>
        <v>1407.3224210000003</v>
      </c>
      <c r="I44" s="119">
        <f>SUM(SHIFT_B!D36:E45)</f>
        <v>706.16683475000002</v>
      </c>
      <c r="J44" s="119">
        <f>SUM(SHIFT_C!E36:E45)</f>
        <v>1.0978084999999451</v>
      </c>
      <c r="K44" s="250">
        <f>SUM(H44:J45)</f>
        <v>2690.5002542500006</v>
      </c>
      <c r="L44" s="241"/>
      <c r="M44" s="242">
        <f>K44/L6</f>
        <v>98.898441446357111</v>
      </c>
      <c r="N44" s="243"/>
    </row>
    <row r="45" spans="1:14" ht="30.25" customHeight="1" x14ac:dyDescent="0.35">
      <c r="A45" s="98"/>
      <c r="B45" s="236"/>
      <c r="C45" s="252"/>
      <c r="D45" s="252"/>
      <c r="E45" s="101">
        <v>40</v>
      </c>
      <c r="F45" s="100" t="s">
        <v>437</v>
      </c>
      <c r="G45" s="99"/>
      <c r="H45" s="119">
        <f>(SUM(SHIFT_A!C24:E35))</f>
        <v>383.37491099999994</v>
      </c>
      <c r="I45" s="119">
        <f>(SUM(SHIFT_B!D24:E35))</f>
        <v>192.27888650000003</v>
      </c>
      <c r="J45" s="119">
        <f>(SUM(SHIFT_C!E24:E35))</f>
        <v>0.2593924999999988</v>
      </c>
      <c r="K45" s="251"/>
      <c r="L45" s="241"/>
      <c r="M45" s="246"/>
      <c r="N45" s="247"/>
    </row>
    <row r="46" spans="1:14" ht="30.25" customHeight="1" x14ac:dyDescent="0.35">
      <c r="A46" s="98"/>
      <c r="B46" s="236"/>
      <c r="C46" s="252" t="s">
        <v>436</v>
      </c>
      <c r="D46" s="252"/>
      <c r="E46" s="101">
        <v>41</v>
      </c>
      <c r="F46" s="105" t="s">
        <v>435</v>
      </c>
      <c r="G46" s="99" t="s">
        <v>434</v>
      </c>
      <c r="H46" s="115">
        <f>SHIFT_A!E108</f>
        <v>4.2176999999998799E-2</v>
      </c>
      <c r="I46" s="115">
        <f>SHIFT_B!E108</f>
        <v>4.2360000000002174E-2</v>
      </c>
      <c r="J46" s="115">
        <f>SHIFT_C!E108</f>
        <v>3.0899999999999039E-2</v>
      </c>
      <c r="K46" s="250">
        <f>SUM(H46:J47)</f>
        <v>0.71096500000000162</v>
      </c>
      <c r="L46" s="241"/>
      <c r="M46" s="242">
        <f>K46/L6</f>
        <v>2.6133924466961209E-2</v>
      </c>
      <c r="N46" s="243"/>
    </row>
    <row r="47" spans="1:14" ht="30.25" customHeight="1" x14ac:dyDescent="0.35">
      <c r="A47" s="98"/>
      <c r="B47" s="236"/>
      <c r="C47" s="252"/>
      <c r="D47" s="252"/>
      <c r="E47" s="101">
        <v>42</v>
      </c>
      <c r="F47" s="100" t="s">
        <v>433</v>
      </c>
      <c r="G47" s="99" t="s">
        <v>432</v>
      </c>
      <c r="H47" s="115">
        <f>SHIFT_A!E95</f>
        <v>0.2237440000000106</v>
      </c>
      <c r="I47" s="115">
        <f>SHIFT_B!E95</f>
        <v>0.2336959999999948</v>
      </c>
      <c r="J47" s="115">
        <f>SHIFT_C!E95</f>
        <v>0.13808799999999621</v>
      </c>
      <c r="K47" s="251"/>
      <c r="L47" s="241"/>
      <c r="M47" s="246"/>
      <c r="N47" s="247"/>
    </row>
    <row r="48" spans="1:14" ht="30.25" customHeight="1" x14ac:dyDescent="0.35">
      <c r="A48" s="98"/>
      <c r="B48" s="237"/>
      <c r="C48" s="252" t="s">
        <v>431</v>
      </c>
      <c r="D48" s="252"/>
      <c r="E48" s="101">
        <v>43</v>
      </c>
      <c r="F48" s="100" t="s">
        <v>431</v>
      </c>
      <c r="G48" s="99" t="s">
        <v>430</v>
      </c>
      <c r="H48" s="115">
        <f>SHIFT_A!E64</f>
        <v>5.3199999999975489E-4</v>
      </c>
      <c r="I48" s="115">
        <f>SHIFT_B!E64</f>
        <v>0</v>
      </c>
      <c r="J48" s="115">
        <f>SHIFT_C!E64</f>
        <v>1.699999999971169E-5</v>
      </c>
      <c r="K48" s="118">
        <f>SUM(H48:J48)</f>
        <v>5.4899999999946658E-4</v>
      </c>
      <c r="L48" s="118"/>
      <c r="M48" s="233">
        <f>K48/L6</f>
        <v>2.0180352805479496E-5</v>
      </c>
      <c r="N48" s="234"/>
    </row>
    <row r="49" spans="1:14" ht="30.25" customHeight="1" x14ac:dyDescent="0.35">
      <c r="A49" s="98"/>
      <c r="B49" s="238" t="s">
        <v>462</v>
      </c>
      <c r="C49" s="252" t="s">
        <v>429</v>
      </c>
      <c r="D49" s="252"/>
      <c r="E49" s="101">
        <v>44</v>
      </c>
      <c r="F49" s="100" t="s">
        <v>97</v>
      </c>
      <c r="G49" s="99" t="s">
        <v>428</v>
      </c>
      <c r="H49" s="115">
        <f>SHIFT_A!E23</f>
        <v>0.17372000000000298</v>
      </c>
      <c r="I49" s="115">
        <f>SHIFT_B!E23</f>
        <v>0.18252800000000491</v>
      </c>
      <c r="J49" s="115">
        <f>SHIFT_C!E23</f>
        <v>0.15897599999999557</v>
      </c>
      <c r="K49" s="249">
        <f>SUM(H50:J61)</f>
        <v>0.86581399999999853</v>
      </c>
      <c r="L49" s="241"/>
      <c r="M49" s="248">
        <f>K49/L6</f>
        <v>3.1825923468015251E-2</v>
      </c>
      <c r="N49" s="248"/>
    </row>
    <row r="50" spans="1:14" ht="30.25" customHeight="1" x14ac:dyDescent="0.35">
      <c r="A50" s="98"/>
      <c r="B50" s="239"/>
      <c r="C50" s="252"/>
      <c r="D50" s="252"/>
      <c r="E50" s="101">
        <v>45</v>
      </c>
      <c r="F50" s="100" t="s">
        <v>157</v>
      </c>
      <c r="G50" s="99" t="s">
        <v>427</v>
      </c>
      <c r="H50" s="115">
        <f>SHIFT_A!E24</f>
        <v>4.1366000000000014E-2</v>
      </c>
      <c r="I50" s="115">
        <f>SHIFT_B!E24</f>
        <v>4.4883999999999702E-2</v>
      </c>
      <c r="J50" s="115">
        <f>SHIFT_C!E24</f>
        <v>4.9227999999999383E-2</v>
      </c>
      <c r="K50" s="250"/>
      <c r="L50" s="241"/>
      <c r="M50" s="248"/>
      <c r="N50" s="248"/>
    </row>
    <row r="51" spans="1:14" ht="30.25" customHeight="1" x14ac:dyDescent="0.35">
      <c r="A51" s="98"/>
      <c r="B51" s="239"/>
      <c r="C51" s="252"/>
      <c r="D51" s="252"/>
      <c r="E51" s="101">
        <v>46</v>
      </c>
      <c r="F51" s="100" t="s">
        <v>158</v>
      </c>
      <c r="G51" s="99"/>
      <c r="H51" s="115">
        <f>SHIFT_A!E25</f>
        <v>3.9647999999999683E-2</v>
      </c>
      <c r="I51" s="115">
        <f>SHIFT_B!E25</f>
        <v>2.7097999999998734E-2</v>
      </c>
      <c r="J51" s="115">
        <f>SHIFT_C!E25</f>
        <v>7.1430000000010097E-3</v>
      </c>
      <c r="K51" s="250"/>
      <c r="L51" s="241"/>
      <c r="M51" s="248"/>
      <c r="N51" s="248"/>
    </row>
    <row r="52" spans="1:14" ht="30.25" customHeight="1" x14ac:dyDescent="0.35">
      <c r="A52" s="98"/>
      <c r="B52" s="239"/>
      <c r="C52" s="252"/>
      <c r="D52" s="252"/>
      <c r="E52" s="101">
        <v>47</v>
      </c>
      <c r="F52" s="100" t="s">
        <v>159</v>
      </c>
      <c r="G52" s="99"/>
      <c r="H52" s="115">
        <f>SHIFT_A!E26</f>
        <v>3.1832000000001415E-2</v>
      </c>
      <c r="I52" s="115">
        <f>SHIFT_B!E26</f>
        <v>2.4459000000000231E-2</v>
      </c>
      <c r="J52" s="115">
        <f>SHIFT_C!E26</f>
        <v>1.9062999999999164E-2</v>
      </c>
      <c r="K52" s="250"/>
      <c r="L52" s="241"/>
      <c r="M52" s="248"/>
      <c r="N52" s="248"/>
    </row>
    <row r="53" spans="1:14" ht="30.25" customHeight="1" x14ac:dyDescent="0.35">
      <c r="A53" s="98"/>
      <c r="B53" s="239"/>
      <c r="C53" s="252"/>
      <c r="D53" s="252"/>
      <c r="E53" s="101">
        <v>48</v>
      </c>
      <c r="F53" s="100" t="s">
        <v>160</v>
      </c>
      <c r="G53" s="99" t="s">
        <v>426</v>
      </c>
      <c r="H53" s="115">
        <f>SHIFT_A!E27</f>
        <v>0</v>
      </c>
      <c r="I53" s="115">
        <f>SHIFT_B!E27</f>
        <v>0</v>
      </c>
      <c r="J53" s="115">
        <f>SHIFT_C!E27</f>
        <v>0</v>
      </c>
      <c r="K53" s="250"/>
      <c r="L53" s="241"/>
      <c r="M53" s="248"/>
      <c r="N53" s="248"/>
    </row>
    <row r="54" spans="1:14" ht="30.25" customHeight="1" x14ac:dyDescent="0.35">
      <c r="A54" s="98"/>
      <c r="B54" s="239"/>
      <c r="C54" s="252"/>
      <c r="D54" s="252"/>
      <c r="E54" s="101">
        <v>49</v>
      </c>
      <c r="F54" s="100" t="s">
        <v>161</v>
      </c>
      <c r="G54" s="99"/>
      <c r="H54" s="115">
        <f>SHIFT_A!E28</f>
        <v>1.9432000000000116E-2</v>
      </c>
      <c r="I54" s="115">
        <f>SHIFT_B!E28</f>
        <v>1.3748999999998901E-2</v>
      </c>
      <c r="J54" s="115">
        <f>SHIFT_C!E28</f>
        <v>1.6260000000000829E-2</v>
      </c>
      <c r="K54" s="250"/>
      <c r="L54" s="241"/>
      <c r="M54" s="248"/>
      <c r="N54" s="248"/>
    </row>
    <row r="55" spans="1:14" ht="30.25" customHeight="1" x14ac:dyDescent="0.35">
      <c r="A55" s="98"/>
      <c r="B55" s="239"/>
      <c r="C55" s="252"/>
      <c r="D55" s="252"/>
      <c r="E55" s="101">
        <v>50</v>
      </c>
      <c r="F55" s="100" t="s">
        <v>162</v>
      </c>
      <c r="G55" s="99"/>
      <c r="H55" s="115">
        <f>SHIFT_A!E29</f>
        <v>4.8573999999998563E-2</v>
      </c>
      <c r="I55" s="115">
        <f>SHIFT_B!E29</f>
        <v>4.3977999999999184E-2</v>
      </c>
      <c r="J55" s="115">
        <f>SHIFT_C!E29</f>
        <v>2.8643999999999892E-2</v>
      </c>
      <c r="K55" s="250"/>
      <c r="L55" s="241"/>
      <c r="M55" s="248"/>
      <c r="N55" s="248"/>
    </row>
    <row r="56" spans="1:14" ht="30.25" customHeight="1" x14ac:dyDescent="0.35">
      <c r="A56" s="98"/>
      <c r="B56" s="239"/>
      <c r="C56" s="252"/>
      <c r="D56" s="252"/>
      <c r="E56" s="101">
        <v>51</v>
      </c>
      <c r="F56" s="100" t="s">
        <v>163</v>
      </c>
      <c r="G56" s="99"/>
      <c r="H56" s="115">
        <f>SHIFT_A!E30</f>
        <v>5.2114000000003102E-2</v>
      </c>
      <c r="I56" s="115">
        <f>SHIFT_B!E30</f>
        <v>4.9121999999997001E-2</v>
      </c>
      <c r="J56" s="115">
        <f>SHIFT_C!E30</f>
        <v>4.7930000000000916E-2</v>
      </c>
      <c r="K56" s="250"/>
      <c r="L56" s="241"/>
      <c r="M56" s="248"/>
      <c r="N56" s="248"/>
    </row>
    <row r="57" spans="1:14" ht="30.25" customHeight="1" x14ac:dyDescent="0.35">
      <c r="A57" s="98"/>
      <c r="B57" s="239"/>
      <c r="C57" s="252"/>
      <c r="D57" s="252"/>
      <c r="E57" s="101">
        <v>52</v>
      </c>
      <c r="F57" s="100" t="s">
        <v>164</v>
      </c>
      <c r="G57" s="99"/>
      <c r="H57" s="115">
        <f>SHIFT_A!E31</f>
        <v>1.1962000000000472E-2</v>
      </c>
      <c r="I57" s="115">
        <f>SHIFT_B!E31</f>
        <v>2.9784000000002919E-2</v>
      </c>
      <c r="J57" s="115">
        <f>SHIFT_C!E31</f>
        <v>4.6289999999999054E-2</v>
      </c>
      <c r="K57" s="250"/>
      <c r="L57" s="241"/>
      <c r="M57" s="248"/>
      <c r="N57" s="248"/>
    </row>
    <row r="58" spans="1:14" ht="30.25" customHeight="1" x14ac:dyDescent="0.35">
      <c r="A58" s="98"/>
      <c r="B58" s="239"/>
      <c r="C58" s="252"/>
      <c r="D58" s="252"/>
      <c r="E58" s="101">
        <v>53</v>
      </c>
      <c r="F58" s="100" t="s">
        <v>165</v>
      </c>
      <c r="G58" s="99"/>
      <c r="H58" s="115">
        <f>SHIFT_A!E32</f>
        <v>2.2087999999998331E-2</v>
      </c>
      <c r="I58" s="115">
        <f>SHIFT_B!E32</f>
        <v>2.0491000000001591E-2</v>
      </c>
      <c r="J58" s="115">
        <f>SHIFT_C!E32</f>
        <v>1.341899999999896E-2</v>
      </c>
      <c r="K58" s="250"/>
      <c r="L58" s="241"/>
      <c r="M58" s="248"/>
      <c r="N58" s="248"/>
    </row>
    <row r="59" spans="1:14" ht="30.25" customHeight="1" x14ac:dyDescent="0.35">
      <c r="A59" s="98"/>
      <c r="B59" s="239"/>
      <c r="C59" s="252"/>
      <c r="D59" s="252"/>
      <c r="E59" s="101">
        <v>54</v>
      </c>
      <c r="F59" s="100" t="s">
        <v>166</v>
      </c>
      <c r="G59" s="99"/>
      <c r="H59" s="115">
        <f>SHIFT_A!E33</f>
        <v>3.1572999999999851E-2</v>
      </c>
      <c r="I59" s="115">
        <f>SHIFT_B!E33</f>
        <v>1.7167000000000598E-2</v>
      </c>
      <c r="J59" s="115">
        <f>SHIFT_C!E33</f>
        <v>9.9184999999994972E-3</v>
      </c>
      <c r="K59" s="250"/>
      <c r="L59" s="241"/>
      <c r="M59" s="248"/>
      <c r="N59" s="248"/>
    </row>
    <row r="60" spans="1:14" ht="30.25" customHeight="1" x14ac:dyDescent="0.35">
      <c r="A60" s="98"/>
      <c r="B60" s="239"/>
      <c r="C60" s="252"/>
      <c r="D60" s="252"/>
      <c r="E60" s="101">
        <v>55</v>
      </c>
      <c r="F60" s="100" t="s">
        <v>167</v>
      </c>
      <c r="G60" s="99"/>
      <c r="H60" s="115">
        <f>SHIFT_A!E34</f>
        <v>0</v>
      </c>
      <c r="I60" s="115">
        <f>SHIFT_B!E34</f>
        <v>0</v>
      </c>
      <c r="J60" s="115">
        <f>SHIFT_C!E34</f>
        <v>0</v>
      </c>
      <c r="K60" s="250"/>
      <c r="L60" s="241"/>
      <c r="M60" s="248"/>
      <c r="N60" s="248"/>
    </row>
    <row r="61" spans="1:14" ht="30.25" customHeight="1" x14ac:dyDescent="0.35">
      <c r="A61" s="98"/>
      <c r="B61" s="239"/>
      <c r="C61" s="252"/>
      <c r="D61" s="252"/>
      <c r="E61" s="101">
        <v>56</v>
      </c>
      <c r="F61" s="104" t="s">
        <v>168</v>
      </c>
      <c r="G61" s="99"/>
      <c r="H61" s="115">
        <f>SHIFT_A!E35</f>
        <v>1.2116999999999933E-2</v>
      </c>
      <c r="I61" s="115">
        <f>SHIFT_B!E35</f>
        <v>2.4983499999999381E-2</v>
      </c>
      <c r="J61" s="115">
        <f>SHIFT_C!E35</f>
        <v>2.1497000000000099E-2</v>
      </c>
      <c r="K61" s="250"/>
      <c r="L61" s="241"/>
      <c r="M61" s="248"/>
      <c r="N61" s="248"/>
    </row>
    <row r="62" spans="1:14" ht="30.25" customHeight="1" x14ac:dyDescent="0.35">
      <c r="A62" s="98"/>
      <c r="B62" s="239"/>
      <c r="C62" s="252" t="s">
        <v>425</v>
      </c>
      <c r="D62" s="252"/>
      <c r="E62" s="101">
        <v>57</v>
      </c>
      <c r="F62" s="100" t="s">
        <v>97</v>
      </c>
      <c r="G62" s="99"/>
      <c r="H62" s="115">
        <f>SHIFT_A!E36</f>
        <v>0.70294400000000223</v>
      </c>
      <c r="I62" s="115">
        <f>SHIFT_B!E36</f>
        <v>0.65273600000000442</v>
      </c>
      <c r="J62" s="115">
        <f>SHIFT_C!E36</f>
        <v>0.56278399999996509</v>
      </c>
      <c r="K62" s="241">
        <f>SUM(H63:J71)</f>
        <v>1.7731433906249914</v>
      </c>
      <c r="L62" s="241"/>
      <c r="M62" s="242">
        <f>K62/L6</f>
        <v>6.5177885605739963E-2</v>
      </c>
      <c r="N62" s="243"/>
    </row>
    <row r="63" spans="1:14" ht="30.25" customHeight="1" x14ac:dyDescent="0.35">
      <c r="A63" s="98"/>
      <c r="B63" s="239"/>
      <c r="C63" s="252"/>
      <c r="D63" s="252"/>
      <c r="E63" s="101">
        <v>58</v>
      </c>
      <c r="F63" s="100" t="s">
        <v>493</v>
      </c>
      <c r="G63" s="99"/>
      <c r="H63" s="119">
        <f>SHIFT_A!E37</f>
        <v>0</v>
      </c>
      <c r="I63" s="115">
        <f>SHIFT_B!E37</f>
        <v>0</v>
      </c>
      <c r="J63" s="115">
        <f>SHIFT_C!E37</f>
        <v>0</v>
      </c>
      <c r="K63" s="241"/>
      <c r="L63" s="241"/>
      <c r="M63" s="244"/>
      <c r="N63" s="245"/>
    </row>
    <row r="64" spans="1:14" ht="30.25" customHeight="1" x14ac:dyDescent="0.35">
      <c r="A64" s="98"/>
      <c r="B64" s="239"/>
      <c r="C64" s="252"/>
      <c r="D64" s="252"/>
      <c r="E64" s="101">
        <v>59</v>
      </c>
      <c r="F64" s="100" t="s">
        <v>151</v>
      </c>
      <c r="G64" s="99"/>
      <c r="H64" s="115">
        <f>SHIFT_A!E38</f>
        <v>1.6671000000000546E-2</v>
      </c>
      <c r="I64" s="115">
        <f>SHIFT_B!E38</f>
        <v>1.5137000000000178E-2</v>
      </c>
      <c r="J64" s="115">
        <f>SHIFT_C!E38</f>
        <v>5.6914999999992943E-3</v>
      </c>
      <c r="K64" s="241"/>
      <c r="L64" s="241"/>
      <c r="M64" s="244"/>
      <c r="N64" s="245"/>
    </row>
    <row r="65" spans="1:14" ht="30.25" customHeight="1" x14ac:dyDescent="0.35">
      <c r="A65" s="98"/>
      <c r="B65" s="239"/>
      <c r="C65" s="252"/>
      <c r="D65" s="252"/>
      <c r="E65" s="101">
        <v>60</v>
      </c>
      <c r="F65" s="100" t="s">
        <v>24</v>
      </c>
      <c r="G65" s="99"/>
      <c r="H65" s="115">
        <f>SHIFT_A!E37</f>
        <v>0</v>
      </c>
      <c r="I65" s="115">
        <f>SHIFT_B!E37</f>
        <v>0</v>
      </c>
      <c r="J65" s="115">
        <f>SHIFT_C!E37</f>
        <v>0</v>
      </c>
      <c r="K65" s="241"/>
      <c r="L65" s="241"/>
      <c r="M65" s="244"/>
      <c r="N65" s="245"/>
    </row>
    <row r="66" spans="1:14" ht="30.25" customHeight="1" x14ac:dyDescent="0.35">
      <c r="A66" s="98"/>
      <c r="B66" s="239"/>
      <c r="C66" s="252"/>
      <c r="D66" s="252"/>
      <c r="E66" s="101">
        <v>61</v>
      </c>
      <c r="F66" s="100" t="s">
        <v>152</v>
      </c>
      <c r="G66" s="99"/>
      <c r="H66" s="115">
        <f>SHIFT_A!E40</f>
        <v>0.132765765625</v>
      </c>
      <c r="I66" s="115">
        <f>SHIFT_B!E40</f>
        <v>0.11399512499999997</v>
      </c>
      <c r="J66" s="115">
        <f>SHIFT_C!E40</f>
        <v>6.2043000000000015E-2</v>
      </c>
      <c r="K66" s="241"/>
      <c r="L66" s="241"/>
      <c r="M66" s="244"/>
      <c r="N66" s="245"/>
    </row>
    <row r="67" spans="1:14" ht="30.25" customHeight="1" x14ac:dyDescent="0.35">
      <c r="A67" s="98"/>
      <c r="B67" s="239"/>
      <c r="C67" s="252"/>
      <c r="D67" s="252"/>
      <c r="E67" s="101">
        <v>62</v>
      </c>
      <c r="F67" s="100" t="s">
        <v>153</v>
      </c>
      <c r="G67" s="99"/>
      <c r="H67" s="115">
        <f>SHIFT_A!E41</f>
        <v>0.15881600000000162</v>
      </c>
      <c r="I67" s="115">
        <f>SHIFT_B!E41</f>
        <v>0.1637360000000001</v>
      </c>
      <c r="J67" s="115">
        <f>SHIFT_C!E41</f>
        <v>0.16559199999998953</v>
      </c>
      <c r="K67" s="241"/>
      <c r="L67" s="241"/>
      <c r="M67" s="244"/>
      <c r="N67" s="245"/>
    </row>
    <row r="68" spans="1:14" ht="30.25" customHeight="1" x14ac:dyDescent="0.35">
      <c r="A68" s="98"/>
      <c r="B68" s="239"/>
      <c r="C68" s="252"/>
      <c r="D68" s="252"/>
      <c r="E68" s="101">
        <v>63</v>
      </c>
      <c r="F68" s="100" t="s">
        <v>154</v>
      </c>
      <c r="G68" s="99"/>
      <c r="H68" s="115">
        <f>SHIFT_A!E42</f>
        <v>0.12733599999999967</v>
      </c>
      <c r="I68" s="115">
        <f>SHIFT_B!E42</f>
        <v>0.12440800000000252</v>
      </c>
      <c r="J68" s="115">
        <f>SHIFT_C!E42</f>
        <v>0.12382399999999905</v>
      </c>
      <c r="K68" s="241"/>
      <c r="L68" s="241"/>
      <c r="M68" s="244"/>
      <c r="N68" s="245"/>
    </row>
    <row r="69" spans="1:14" ht="30.25" customHeight="1" x14ac:dyDescent="0.35">
      <c r="A69" s="98"/>
      <c r="B69" s="239"/>
      <c r="C69" s="252"/>
      <c r="D69" s="252"/>
      <c r="E69" s="101">
        <v>64</v>
      </c>
      <c r="F69" s="100" t="s">
        <v>155</v>
      </c>
      <c r="G69" s="99"/>
      <c r="H69" s="115">
        <f>SHIFT_A!E43</f>
        <v>6.6635999999995477E-2</v>
      </c>
      <c r="I69" s="115">
        <f>SHIFT_B!E43</f>
        <v>4.4624000000005992E-2</v>
      </c>
      <c r="J69" s="115">
        <f>SHIFT_C!E43</f>
        <v>4.3715999999996313E-2</v>
      </c>
      <c r="K69" s="241"/>
      <c r="L69" s="241"/>
      <c r="M69" s="244"/>
      <c r="N69" s="245"/>
    </row>
    <row r="70" spans="1:14" ht="30.25" customHeight="1" x14ac:dyDescent="0.35">
      <c r="A70" s="98"/>
      <c r="B70" s="239"/>
      <c r="C70" s="252"/>
      <c r="D70" s="252"/>
      <c r="E70" s="101">
        <v>65</v>
      </c>
      <c r="F70" s="100" t="s">
        <v>494</v>
      </c>
      <c r="G70" s="99"/>
      <c r="H70" s="115">
        <f>SHIFT_A!E44</f>
        <v>2.5754000000002719E-2</v>
      </c>
      <c r="I70" s="115">
        <f>SHIFT_B!E44</f>
        <v>2.8191999999997108E-2</v>
      </c>
      <c r="J70" s="115">
        <f>SHIFT_C!E44</f>
        <v>2.7246000000001658E-2</v>
      </c>
      <c r="K70" s="241"/>
      <c r="L70" s="241"/>
      <c r="M70" s="244"/>
      <c r="N70" s="245"/>
    </row>
    <row r="71" spans="1:14" ht="30.25" customHeight="1" x14ac:dyDescent="0.35">
      <c r="A71" s="98"/>
      <c r="B71" s="240"/>
      <c r="C71" s="252"/>
      <c r="D71" s="252"/>
      <c r="E71" s="101">
        <v>66</v>
      </c>
      <c r="F71" s="100" t="s">
        <v>156</v>
      </c>
      <c r="G71" s="99"/>
      <c r="H71" s="115">
        <f>SHIFT_A!E45</f>
        <v>0.11006399999999417</v>
      </c>
      <c r="I71" s="115">
        <f>SHIFT_B!E45</f>
        <v>0.10998400000001141</v>
      </c>
      <c r="J71" s="115">
        <f>SHIFT_C!E45</f>
        <v>0.10691199999999412</v>
      </c>
      <c r="K71" s="241"/>
      <c r="L71" s="241"/>
      <c r="M71" s="246"/>
      <c r="N71" s="247"/>
    </row>
    <row r="72" spans="1:14" ht="30.25" customHeight="1" x14ac:dyDescent="0.35">
      <c r="A72" s="98"/>
      <c r="B72" s="238" t="s">
        <v>495</v>
      </c>
      <c r="C72" s="252" t="s">
        <v>122</v>
      </c>
      <c r="D72" s="252"/>
      <c r="E72" s="101">
        <v>67</v>
      </c>
      <c r="F72" s="100" t="s">
        <v>169</v>
      </c>
      <c r="G72" s="99"/>
      <c r="H72" s="115">
        <f>SHIFT_A!E46</f>
        <v>1.595136000000025</v>
      </c>
      <c r="I72" s="115">
        <f>SHIFT_B!E46</f>
        <v>1.6263679999999567</v>
      </c>
      <c r="J72" s="115">
        <f>SHIFT_C!E46</f>
        <v>1.3112960000000839</v>
      </c>
      <c r="K72" s="249">
        <f>SUM(H73:J92)</f>
        <v>4.276957695312487</v>
      </c>
      <c r="L72" s="241"/>
      <c r="M72" s="242">
        <f>K72/L6</f>
        <v>0.15721405323424467</v>
      </c>
      <c r="N72" s="243"/>
    </row>
    <row r="73" spans="1:14" ht="30.25" customHeight="1" x14ac:dyDescent="0.35">
      <c r="A73" s="98"/>
      <c r="B73" s="239"/>
      <c r="C73" s="252"/>
      <c r="D73" s="252"/>
      <c r="E73" s="101">
        <v>68</v>
      </c>
      <c r="F73" s="100" t="s">
        <v>170</v>
      </c>
      <c r="G73" s="99"/>
      <c r="H73" s="115">
        <f>SHIFT_A!E47</f>
        <v>2.5179500000000132E-2</v>
      </c>
      <c r="I73" s="115">
        <f>SHIFT_B!E47</f>
        <v>2.3297499999999971E-2</v>
      </c>
      <c r="J73" s="115">
        <f>SHIFT_C!E47</f>
        <v>3.797999999999746E-3</v>
      </c>
      <c r="K73" s="250"/>
      <c r="L73" s="241"/>
      <c r="M73" s="244"/>
      <c r="N73" s="245"/>
    </row>
    <row r="74" spans="1:14" ht="30.25" customHeight="1" x14ac:dyDescent="0.35">
      <c r="A74" s="98"/>
      <c r="B74" s="239"/>
      <c r="C74" s="252"/>
      <c r="D74" s="252"/>
      <c r="E74" s="101">
        <v>69</v>
      </c>
      <c r="F74" s="100" t="s">
        <v>24</v>
      </c>
      <c r="G74" s="99"/>
      <c r="H74" s="115">
        <f>SHIFT_A!E48</f>
        <v>0</v>
      </c>
      <c r="I74" s="115">
        <f>SHIFT_B!E48</f>
        <v>0</v>
      </c>
      <c r="J74" s="115">
        <f>SHIFT_C!E48</f>
        <v>0</v>
      </c>
      <c r="K74" s="250"/>
      <c r="L74" s="241"/>
      <c r="M74" s="244"/>
      <c r="N74" s="245"/>
    </row>
    <row r="75" spans="1:14" ht="30.25" customHeight="1" x14ac:dyDescent="0.35">
      <c r="A75" s="98"/>
      <c r="B75" s="239"/>
      <c r="C75" s="252"/>
      <c r="D75" s="252"/>
      <c r="E75" s="101">
        <v>70</v>
      </c>
      <c r="F75" s="100" t="s">
        <v>171</v>
      </c>
      <c r="G75" s="99"/>
      <c r="H75" s="115">
        <f>SHIFT_A!E49</f>
        <v>1.7312000000003991E-2</v>
      </c>
      <c r="I75" s="115">
        <f>SHIFT_B!E49</f>
        <v>2.7895999999998367E-2</v>
      </c>
      <c r="J75" s="115">
        <f>SHIFT_C!E49</f>
        <v>1.7091999999998109E-2</v>
      </c>
      <c r="K75" s="250"/>
      <c r="L75" s="241"/>
      <c r="M75" s="244"/>
      <c r="N75" s="245"/>
    </row>
    <row r="76" spans="1:14" ht="30.25" customHeight="1" x14ac:dyDescent="0.35">
      <c r="A76" s="98"/>
      <c r="B76" s="239"/>
      <c r="C76" s="252"/>
      <c r="D76" s="252"/>
      <c r="E76" s="101">
        <v>71</v>
      </c>
      <c r="F76" s="100" t="s">
        <v>172</v>
      </c>
      <c r="G76" s="99"/>
      <c r="H76" s="115">
        <f>SHIFT_A!E50</f>
        <v>1.1459999999999582E-2</v>
      </c>
      <c r="I76" s="115">
        <f>SHIFT_B!E50</f>
        <v>1.9675499999999957E-2</v>
      </c>
      <c r="J76" s="115">
        <f>SHIFT_C!E50</f>
        <v>3.6420000000001451E-3</v>
      </c>
      <c r="K76" s="250"/>
      <c r="L76" s="241"/>
      <c r="M76" s="244"/>
      <c r="N76" s="245"/>
    </row>
    <row r="77" spans="1:14" ht="30.25" customHeight="1" x14ac:dyDescent="0.35">
      <c r="A77" s="98"/>
      <c r="B77" s="239"/>
      <c r="C77" s="252"/>
      <c r="D77" s="252"/>
      <c r="E77" s="101">
        <v>72</v>
      </c>
      <c r="F77" s="100" t="s">
        <v>173</v>
      </c>
      <c r="G77" s="99"/>
      <c r="H77" s="115">
        <f>SHIFT_A!E51</f>
        <v>0.47424000000000888</v>
      </c>
      <c r="I77" s="115">
        <f>SHIFT_B!E51</f>
        <v>0.44582400000001599</v>
      </c>
      <c r="J77" s="115">
        <f>SHIFT_C!E51</f>
        <v>0.33356800000001385</v>
      </c>
      <c r="K77" s="250"/>
      <c r="L77" s="241"/>
      <c r="M77" s="244"/>
      <c r="N77" s="245"/>
    </row>
    <row r="78" spans="1:14" ht="30.25" customHeight="1" x14ac:dyDescent="0.35">
      <c r="A78" s="98"/>
      <c r="B78" s="239"/>
      <c r="C78" s="252"/>
      <c r="D78" s="252"/>
      <c r="E78" s="101">
        <v>73</v>
      </c>
      <c r="F78" s="100" t="s">
        <v>24</v>
      </c>
      <c r="G78" s="99"/>
      <c r="H78" s="115">
        <f>SHIFT_A!E52</f>
        <v>0</v>
      </c>
      <c r="I78" s="115">
        <f>SHIFT_B!E52</f>
        <v>0</v>
      </c>
      <c r="J78" s="115">
        <f>SHIFT_C!E52</f>
        <v>0</v>
      </c>
      <c r="K78" s="250"/>
      <c r="L78" s="241"/>
      <c r="M78" s="244"/>
      <c r="N78" s="245"/>
    </row>
    <row r="79" spans="1:14" ht="30.25" customHeight="1" x14ac:dyDescent="0.35">
      <c r="A79" s="98"/>
      <c r="B79" s="239"/>
      <c r="C79" s="252"/>
      <c r="D79" s="252"/>
      <c r="E79" s="101">
        <v>74</v>
      </c>
      <c r="F79" s="100" t="s">
        <v>174</v>
      </c>
      <c r="G79" s="99" t="s">
        <v>424</v>
      </c>
      <c r="H79" s="115">
        <f>SHIFT_A!E53</f>
        <v>2.1021500000000692E-2</v>
      </c>
      <c r="I79" s="115">
        <f>SHIFT_B!E53</f>
        <v>2.7137999999999884E-2</v>
      </c>
      <c r="J79" s="115">
        <f>SHIFT_C!E53</f>
        <v>2.1327499999999944E-2</v>
      </c>
      <c r="K79" s="250"/>
      <c r="L79" s="241"/>
      <c r="M79" s="244"/>
      <c r="N79" s="245"/>
    </row>
    <row r="80" spans="1:14" ht="30.25" customHeight="1" x14ac:dyDescent="0.35">
      <c r="A80" s="98"/>
      <c r="B80" s="239"/>
      <c r="C80" s="252"/>
      <c r="D80" s="252"/>
      <c r="E80" s="101">
        <v>75</v>
      </c>
      <c r="F80" s="100" t="s">
        <v>175</v>
      </c>
      <c r="G80" s="99" t="s">
        <v>423</v>
      </c>
      <c r="H80" s="115">
        <f>SHIFT_A!E54</f>
        <v>0</v>
      </c>
      <c r="I80" s="115">
        <f>SHIFT_B!E54</f>
        <v>1.000000000139778E-6</v>
      </c>
      <c r="J80" s="115">
        <f>SHIFT_C!E54</f>
        <v>2.4999999999053557E-6</v>
      </c>
      <c r="K80" s="250"/>
      <c r="L80" s="241"/>
      <c r="M80" s="244"/>
      <c r="N80" s="245"/>
    </row>
    <row r="81" spans="1:14" ht="30.25" customHeight="1" x14ac:dyDescent="0.35">
      <c r="A81" s="98"/>
      <c r="B81" s="239"/>
      <c r="C81" s="252"/>
      <c r="D81" s="252"/>
      <c r="E81" s="101">
        <v>76</v>
      </c>
      <c r="F81" s="100" t="s">
        <v>24</v>
      </c>
      <c r="G81" s="99" t="s">
        <v>422</v>
      </c>
      <c r="H81" s="115">
        <f>SHIFT_A!E55</f>
        <v>0</v>
      </c>
      <c r="I81" s="115">
        <f>SHIFT_B!E55</f>
        <v>0</v>
      </c>
      <c r="J81" s="115">
        <f>SHIFT_C!E55</f>
        <v>0</v>
      </c>
      <c r="K81" s="250"/>
      <c r="L81" s="241"/>
      <c r="M81" s="244"/>
      <c r="N81" s="245"/>
    </row>
    <row r="82" spans="1:14" ht="30.25" customHeight="1" x14ac:dyDescent="0.35">
      <c r="A82" s="98"/>
      <c r="B82" s="239"/>
      <c r="C82" s="252"/>
      <c r="D82" s="252"/>
      <c r="E82" s="101">
        <v>77</v>
      </c>
      <c r="F82" s="100" t="s">
        <v>24</v>
      </c>
      <c r="G82" s="99" t="s">
        <v>421</v>
      </c>
      <c r="H82" s="115">
        <f>SHIFT_A!E56</f>
        <v>0</v>
      </c>
      <c r="I82" s="115">
        <f>SHIFT_B!E56</f>
        <v>0</v>
      </c>
      <c r="J82" s="115">
        <f>SHIFT_C!E56</f>
        <v>0</v>
      </c>
      <c r="K82" s="250"/>
      <c r="L82" s="241"/>
      <c r="M82" s="244"/>
      <c r="N82" s="245"/>
    </row>
    <row r="83" spans="1:14" ht="30.25" customHeight="1" x14ac:dyDescent="0.35">
      <c r="A83" s="98"/>
      <c r="B83" s="239"/>
      <c r="C83" s="252"/>
      <c r="D83" s="252"/>
      <c r="E83" s="101">
        <v>78</v>
      </c>
      <c r="F83" s="100" t="s">
        <v>24</v>
      </c>
      <c r="G83" s="99" t="s">
        <v>420</v>
      </c>
      <c r="H83" s="115">
        <f>SHIFT_A!E57</f>
        <v>0</v>
      </c>
      <c r="I83" s="115">
        <f>SHIFT_B!E57</f>
        <v>0</v>
      </c>
      <c r="J83" s="115">
        <f>SHIFT_C!E57</f>
        <v>0</v>
      </c>
      <c r="K83" s="250"/>
      <c r="L83" s="241"/>
      <c r="M83" s="244"/>
      <c r="N83" s="245"/>
    </row>
    <row r="84" spans="1:14" ht="30.25" customHeight="1" x14ac:dyDescent="0.35">
      <c r="A84" s="98"/>
      <c r="B84" s="239"/>
      <c r="C84" s="252"/>
      <c r="D84" s="252"/>
      <c r="E84" s="101">
        <v>79</v>
      </c>
      <c r="F84" s="100" t="s">
        <v>176</v>
      </c>
      <c r="G84" s="99"/>
      <c r="H84" s="115">
        <f>SHIFT_A!E58</f>
        <v>1.3496718749999997E-3</v>
      </c>
      <c r="I84" s="115">
        <f>SHIFT_B!E58</f>
        <v>9.7067968749998956E-4</v>
      </c>
      <c r="J84" s="115">
        <f>SHIFT_C!E58</f>
        <v>1.1063437500000023E-3</v>
      </c>
      <c r="K84" s="250"/>
      <c r="L84" s="241"/>
      <c r="M84" s="244"/>
      <c r="N84" s="245"/>
    </row>
    <row r="85" spans="1:14" ht="30.25" customHeight="1" x14ac:dyDescent="0.35">
      <c r="A85" s="98"/>
      <c r="B85" s="239"/>
      <c r="C85" s="252"/>
      <c r="D85" s="252"/>
      <c r="E85" s="101">
        <v>80</v>
      </c>
      <c r="F85" s="100" t="s">
        <v>167</v>
      </c>
      <c r="G85" s="99"/>
      <c r="H85" s="115">
        <f>SHIFT_A!E59</f>
        <v>3.8102000000002079E-2</v>
      </c>
      <c r="I85" s="115">
        <f>SHIFT_B!E59</f>
        <v>4.0302000000000504E-2</v>
      </c>
      <c r="J85" s="115">
        <f>SHIFT_C!E59</f>
        <v>3.9773999999997756E-2</v>
      </c>
      <c r="K85" s="250"/>
      <c r="L85" s="241"/>
      <c r="M85" s="244"/>
      <c r="N85" s="245"/>
    </row>
    <row r="86" spans="1:14" ht="30.25" customHeight="1" x14ac:dyDescent="0.35">
      <c r="A86" s="98"/>
      <c r="B86" s="239"/>
      <c r="C86" s="252"/>
      <c r="D86" s="252"/>
      <c r="E86" s="101">
        <v>81</v>
      </c>
      <c r="F86" s="100" t="s">
        <v>24</v>
      </c>
      <c r="G86" s="99"/>
      <c r="H86" s="115">
        <f>SHIFT_A!E60</f>
        <v>0</v>
      </c>
      <c r="I86" s="115">
        <f>SHIFT_B!E60</f>
        <v>0</v>
      </c>
      <c r="J86" s="115">
        <f>SHIFT_C!E60</f>
        <v>0</v>
      </c>
      <c r="K86" s="250"/>
      <c r="L86" s="241"/>
      <c r="M86" s="244"/>
      <c r="N86" s="245"/>
    </row>
    <row r="87" spans="1:14" ht="30.25" customHeight="1" x14ac:dyDescent="0.35">
      <c r="A87" s="98"/>
      <c r="B87" s="239"/>
      <c r="C87" s="252"/>
      <c r="D87" s="252"/>
      <c r="E87" s="101">
        <v>82</v>
      </c>
      <c r="F87" s="100" t="s">
        <v>177</v>
      </c>
      <c r="G87" s="99"/>
      <c r="H87" s="115">
        <f>SHIFT_A!E61</f>
        <v>8.7449999999993366E-3</v>
      </c>
      <c r="I87" s="115">
        <f>SHIFT_B!E61</f>
        <v>3.4869999999997958E-3</v>
      </c>
      <c r="J87" s="115">
        <f>SHIFT_C!E61</f>
        <v>3.7280000000006197E-3</v>
      </c>
      <c r="K87" s="250"/>
      <c r="L87" s="241"/>
      <c r="M87" s="244"/>
      <c r="N87" s="245"/>
    </row>
    <row r="88" spans="1:14" ht="30.25" customHeight="1" x14ac:dyDescent="0.35">
      <c r="A88" s="98"/>
      <c r="B88" s="239"/>
      <c r="C88" s="252"/>
      <c r="D88" s="252"/>
      <c r="E88" s="101">
        <v>83</v>
      </c>
      <c r="F88" s="100" t="s">
        <v>178</v>
      </c>
      <c r="G88" s="99" t="s">
        <v>419</v>
      </c>
      <c r="H88" s="115">
        <f>SHIFT_A!E62</f>
        <v>0</v>
      </c>
      <c r="I88" s="115">
        <f>SHIFT_B!E62</f>
        <v>2.1999999999984254E-3</v>
      </c>
      <c r="J88" s="115">
        <f>SHIFT_C!E62</f>
        <v>5.3979999999995698E-3</v>
      </c>
      <c r="K88" s="250"/>
      <c r="L88" s="241"/>
      <c r="M88" s="244"/>
      <c r="N88" s="245"/>
    </row>
    <row r="89" spans="1:14" ht="30.25" customHeight="1" x14ac:dyDescent="0.35">
      <c r="A89" s="98"/>
      <c r="B89" s="239"/>
      <c r="C89" s="252"/>
      <c r="D89" s="252"/>
      <c r="E89" s="101">
        <v>84</v>
      </c>
      <c r="F89" s="100" t="s">
        <v>179</v>
      </c>
      <c r="G89" s="99"/>
      <c r="H89" s="115">
        <f>SHIFT_A!E63</f>
        <v>0.88380799999998771</v>
      </c>
      <c r="I89" s="115">
        <f>SHIFT_B!E63</f>
        <v>0.90243199999997614</v>
      </c>
      <c r="J89" s="115">
        <f>SHIFT_C!E63</f>
        <v>0.79555199999998649</v>
      </c>
      <c r="K89" s="250"/>
      <c r="L89" s="241"/>
      <c r="M89" s="244"/>
      <c r="N89" s="245"/>
    </row>
    <row r="90" spans="1:14" ht="30.25" customHeight="1" x14ac:dyDescent="0.35">
      <c r="A90" s="98"/>
      <c r="B90" s="239"/>
      <c r="C90" s="252"/>
      <c r="D90" s="252"/>
      <c r="E90" s="101">
        <v>85</v>
      </c>
      <c r="F90" s="100" t="s">
        <v>180</v>
      </c>
      <c r="G90" s="99" t="s">
        <v>418</v>
      </c>
      <c r="H90" s="115">
        <f>SHIFT_A!E64</f>
        <v>5.3199999999975489E-4</v>
      </c>
      <c r="I90" s="115">
        <f>SHIFT_B!E64</f>
        <v>0</v>
      </c>
      <c r="J90" s="115">
        <f>SHIFT_C!E64</f>
        <v>1.699999999971169E-5</v>
      </c>
      <c r="K90" s="250"/>
      <c r="L90" s="241"/>
      <c r="M90" s="244"/>
      <c r="N90" s="245"/>
    </row>
    <row r="91" spans="1:14" ht="30.25" customHeight="1" x14ac:dyDescent="0.35">
      <c r="A91" s="98"/>
      <c r="B91" s="239"/>
      <c r="C91" s="252"/>
      <c r="D91" s="252"/>
      <c r="E91" s="101">
        <v>86</v>
      </c>
      <c r="F91" s="100" t="s">
        <v>181</v>
      </c>
      <c r="G91" s="99"/>
      <c r="H91" s="115">
        <f>SHIFT_A!E65</f>
        <v>2.5984000000000229E-2</v>
      </c>
      <c r="I91" s="115">
        <f>SHIFT_B!E65</f>
        <v>3.3072499999999394E-2</v>
      </c>
      <c r="J91" s="115">
        <f>SHIFT_C!E65</f>
        <v>1.7922500000000063E-2</v>
      </c>
      <c r="K91" s="250"/>
      <c r="L91" s="241"/>
      <c r="M91" s="244"/>
      <c r="N91" s="245"/>
    </row>
    <row r="92" spans="1:14" ht="30.25" customHeight="1" x14ac:dyDescent="0.35">
      <c r="A92" s="98"/>
      <c r="B92" s="239"/>
      <c r="C92" s="252"/>
      <c r="D92" s="252"/>
      <c r="E92" s="101">
        <v>87</v>
      </c>
      <c r="F92" s="100" t="s">
        <v>182</v>
      </c>
      <c r="G92" s="99" t="s">
        <v>417</v>
      </c>
      <c r="H92" s="115">
        <f>SHIFT_A!E66</f>
        <v>0</v>
      </c>
      <c r="I92" s="115">
        <f>SHIFT_B!E66</f>
        <v>0</v>
      </c>
      <c r="J92" s="115">
        <f>SHIFT_C!E66</f>
        <v>0</v>
      </c>
      <c r="K92" s="251"/>
      <c r="L92" s="241"/>
      <c r="M92" s="246"/>
      <c r="N92" s="247"/>
    </row>
    <row r="93" spans="1:14" ht="30.25" customHeight="1" x14ac:dyDescent="0.35">
      <c r="A93" s="98"/>
      <c r="B93" s="239"/>
      <c r="C93" s="252" t="s">
        <v>123</v>
      </c>
      <c r="D93" s="252"/>
      <c r="E93" s="101">
        <v>88</v>
      </c>
      <c r="F93" s="100" t="s">
        <v>98</v>
      </c>
      <c r="G93" s="99" t="s">
        <v>416</v>
      </c>
      <c r="H93" s="115">
        <f>SHIFT_A!E67</f>
        <v>0.9293440000000146</v>
      </c>
      <c r="I93" s="115">
        <f>SHIFT_B!E67</f>
        <v>0.61555199999997967</v>
      </c>
      <c r="J93" s="115">
        <f>SHIFT_C!E67</f>
        <v>0.72124800000000278</v>
      </c>
      <c r="K93" s="249">
        <f>SUM(H94:J118)</f>
        <v>2.1590730312500113</v>
      </c>
      <c r="L93" s="241"/>
      <c r="M93" s="248">
        <f>K93/L6</f>
        <v>7.936403552543464E-2</v>
      </c>
      <c r="N93" s="248"/>
    </row>
    <row r="94" spans="1:14" ht="30.25" customHeight="1" x14ac:dyDescent="0.35">
      <c r="A94" s="98"/>
      <c r="B94" s="239"/>
      <c r="C94" s="252"/>
      <c r="D94" s="252"/>
      <c r="E94" s="101">
        <v>89</v>
      </c>
      <c r="F94" s="100" t="s">
        <v>24</v>
      </c>
      <c r="G94" s="99" t="s">
        <v>415</v>
      </c>
      <c r="H94" s="115">
        <f>SHIFT_A!E68</f>
        <v>0</v>
      </c>
      <c r="I94" s="115">
        <f>SHIFT_B!E68</f>
        <v>0</v>
      </c>
      <c r="J94" s="115">
        <f>SHIFT_C!E68</f>
        <v>0</v>
      </c>
      <c r="K94" s="250"/>
      <c r="L94" s="241"/>
      <c r="M94" s="248"/>
      <c r="N94" s="248"/>
    </row>
    <row r="95" spans="1:14" ht="30.25" customHeight="1" x14ac:dyDescent="0.35">
      <c r="A95" s="98"/>
      <c r="B95" s="239"/>
      <c r="C95" s="252"/>
      <c r="D95" s="252"/>
      <c r="E95" s="101">
        <v>90</v>
      </c>
      <c r="F95" s="100" t="s">
        <v>99</v>
      </c>
      <c r="G95" s="99" t="s">
        <v>414</v>
      </c>
      <c r="H95" s="115">
        <f>SHIFT_A!E69</f>
        <v>0.37089900000000142</v>
      </c>
      <c r="I95" s="115">
        <f>SHIFT_B!E69</f>
        <v>1.2821999999999889E-2</v>
      </c>
      <c r="J95" s="115">
        <f>SHIFT_C!E69</f>
        <v>8.4279999999999688E-2</v>
      </c>
      <c r="K95" s="250"/>
      <c r="L95" s="241"/>
      <c r="M95" s="248"/>
      <c r="N95" s="248"/>
    </row>
    <row r="96" spans="1:14" ht="30.25" customHeight="1" x14ac:dyDescent="0.35">
      <c r="A96" s="98"/>
      <c r="B96" s="239"/>
      <c r="C96" s="252"/>
      <c r="D96" s="252"/>
      <c r="E96" s="101">
        <v>91</v>
      </c>
      <c r="F96" s="100" t="s">
        <v>183</v>
      </c>
      <c r="G96" s="99" t="s">
        <v>413</v>
      </c>
      <c r="H96" s="115">
        <f>SHIFT_A!E70</f>
        <v>0</v>
      </c>
      <c r="I96" s="115">
        <f>SHIFT_B!E70</f>
        <v>0</v>
      </c>
      <c r="J96" s="115">
        <f>SHIFT_C!E70</f>
        <v>0</v>
      </c>
      <c r="K96" s="250"/>
      <c r="L96" s="241"/>
      <c r="M96" s="248"/>
      <c r="N96" s="248"/>
    </row>
    <row r="97" spans="1:14" ht="30.25" customHeight="1" x14ac:dyDescent="0.35">
      <c r="A97" s="98"/>
      <c r="B97" s="239"/>
      <c r="C97" s="252"/>
      <c r="D97" s="252"/>
      <c r="E97" s="101">
        <v>92</v>
      </c>
      <c r="F97" s="100" t="s">
        <v>100</v>
      </c>
      <c r="G97" s="99" t="s">
        <v>412</v>
      </c>
      <c r="H97" s="115">
        <f>SHIFT_A!E71</f>
        <v>0</v>
      </c>
      <c r="I97" s="115">
        <f>SHIFT_B!E71</f>
        <v>0</v>
      </c>
      <c r="J97" s="115">
        <f>SHIFT_C!E71</f>
        <v>0</v>
      </c>
      <c r="K97" s="250"/>
      <c r="L97" s="241"/>
      <c r="M97" s="248"/>
      <c r="N97" s="248"/>
    </row>
    <row r="98" spans="1:14" ht="30.25" customHeight="1" x14ac:dyDescent="0.35">
      <c r="A98" s="98"/>
      <c r="B98" s="239"/>
      <c r="C98" s="252"/>
      <c r="D98" s="252"/>
      <c r="E98" s="101">
        <v>93</v>
      </c>
      <c r="F98" s="100" t="s">
        <v>184</v>
      </c>
      <c r="G98" s="99" t="s">
        <v>411</v>
      </c>
      <c r="H98" s="115">
        <f>SHIFT_A!E72</f>
        <v>0</v>
      </c>
      <c r="I98" s="115">
        <f>SHIFT_B!E72</f>
        <v>0</v>
      </c>
      <c r="J98" s="115">
        <f>SHIFT_C!E72</f>
        <v>0</v>
      </c>
      <c r="K98" s="250"/>
      <c r="L98" s="241"/>
      <c r="M98" s="248"/>
      <c r="N98" s="248"/>
    </row>
    <row r="99" spans="1:14" ht="30.25" customHeight="1" x14ac:dyDescent="0.35">
      <c r="A99" s="98"/>
      <c r="B99" s="239"/>
      <c r="C99" s="252"/>
      <c r="D99" s="252"/>
      <c r="E99" s="101">
        <v>94</v>
      </c>
      <c r="F99" s="100" t="s">
        <v>185</v>
      </c>
      <c r="G99" s="99"/>
      <c r="H99" s="115">
        <f>SHIFT_A!E73</f>
        <v>0</v>
      </c>
      <c r="I99" s="115">
        <f>SHIFT_B!E73</f>
        <v>0</v>
      </c>
      <c r="J99" s="115">
        <f>SHIFT_C!E73</f>
        <v>0</v>
      </c>
      <c r="K99" s="250"/>
      <c r="L99" s="241"/>
      <c r="M99" s="248"/>
      <c r="N99" s="248"/>
    </row>
    <row r="100" spans="1:14" ht="30.25" customHeight="1" x14ac:dyDescent="0.35">
      <c r="A100" s="98"/>
      <c r="B100" s="239"/>
      <c r="C100" s="252"/>
      <c r="D100" s="252"/>
      <c r="E100" s="101">
        <v>95</v>
      </c>
      <c r="F100" s="100" t="s">
        <v>101</v>
      </c>
      <c r="G100" s="99"/>
      <c r="H100" s="115">
        <f>SHIFT_A!E74</f>
        <v>6.5888000000001057E-2</v>
      </c>
      <c r="I100" s="115">
        <f>SHIFT_B!E74</f>
        <v>8.9700000000000557E-2</v>
      </c>
      <c r="J100" s="115">
        <f>SHIFT_C!E74</f>
        <v>8.9528000000001384E-2</v>
      </c>
      <c r="K100" s="250"/>
      <c r="L100" s="241"/>
      <c r="M100" s="248"/>
      <c r="N100" s="248"/>
    </row>
    <row r="101" spans="1:14" ht="30.25" customHeight="1" x14ac:dyDescent="0.35">
      <c r="A101" s="98"/>
      <c r="B101" s="239"/>
      <c r="C101" s="252"/>
      <c r="D101" s="252"/>
      <c r="E101" s="101">
        <v>96</v>
      </c>
      <c r="F101" s="100" t="s">
        <v>186</v>
      </c>
      <c r="G101" s="99"/>
      <c r="H101" s="115">
        <f>SHIFT_A!E75</f>
        <v>0</v>
      </c>
      <c r="I101" s="115">
        <f>SHIFT_B!E75</f>
        <v>0</v>
      </c>
      <c r="J101" s="115">
        <f>SHIFT_C!E75</f>
        <v>0</v>
      </c>
      <c r="K101" s="250"/>
      <c r="L101" s="241"/>
      <c r="M101" s="248"/>
      <c r="N101" s="248"/>
    </row>
    <row r="102" spans="1:14" ht="30.25" customHeight="1" x14ac:dyDescent="0.35">
      <c r="A102" s="98"/>
      <c r="B102" s="239"/>
      <c r="C102" s="252"/>
      <c r="D102" s="252"/>
      <c r="E102" s="101">
        <v>97</v>
      </c>
      <c r="F102" s="100" t="s">
        <v>187</v>
      </c>
      <c r="G102" s="99"/>
      <c r="H102" s="115">
        <f>SHIFT_A!E76</f>
        <v>0</v>
      </c>
      <c r="I102" s="115">
        <f>SHIFT_B!E76</f>
        <v>0</v>
      </c>
      <c r="J102" s="115">
        <f>SHIFT_C!E76</f>
        <v>0</v>
      </c>
      <c r="K102" s="250"/>
      <c r="L102" s="241"/>
      <c r="M102" s="248"/>
      <c r="N102" s="248"/>
    </row>
    <row r="103" spans="1:14" ht="30.25" customHeight="1" x14ac:dyDescent="0.35">
      <c r="A103" s="98"/>
      <c r="B103" s="239"/>
      <c r="C103" s="252"/>
      <c r="D103" s="252"/>
      <c r="E103" s="101">
        <v>98</v>
      </c>
      <c r="F103" s="100" t="s">
        <v>188</v>
      </c>
      <c r="G103" s="99"/>
      <c r="H103" s="115">
        <f>SHIFT_A!E77</f>
        <v>0</v>
      </c>
      <c r="I103" s="115">
        <f>SHIFT_B!E77</f>
        <v>0</v>
      </c>
      <c r="J103" s="115">
        <f>SHIFT_C!E77</f>
        <v>0</v>
      </c>
      <c r="K103" s="250"/>
      <c r="L103" s="241"/>
      <c r="M103" s="248"/>
      <c r="N103" s="248"/>
    </row>
    <row r="104" spans="1:14" ht="30.25" customHeight="1" x14ac:dyDescent="0.35">
      <c r="A104" s="98"/>
      <c r="B104" s="239"/>
      <c r="C104" s="252"/>
      <c r="D104" s="252"/>
      <c r="E104" s="101">
        <v>99</v>
      </c>
      <c r="F104" s="100" t="s">
        <v>189</v>
      </c>
      <c r="G104" s="99"/>
      <c r="H104" s="115">
        <f>SHIFT_A!E78</f>
        <v>0</v>
      </c>
      <c r="I104" s="115">
        <f>SHIFT_B!E78</f>
        <v>0</v>
      </c>
      <c r="J104" s="115">
        <f>SHIFT_C!E78</f>
        <v>0</v>
      </c>
      <c r="K104" s="250"/>
      <c r="L104" s="241"/>
      <c r="M104" s="248"/>
      <c r="N104" s="248"/>
    </row>
    <row r="105" spans="1:14" ht="30.25" customHeight="1" x14ac:dyDescent="0.35">
      <c r="A105" s="98"/>
      <c r="B105" s="239"/>
      <c r="C105" s="252"/>
      <c r="D105" s="252"/>
      <c r="E105" s="101">
        <v>100</v>
      </c>
      <c r="F105" s="100" t="s">
        <v>190</v>
      </c>
      <c r="G105" s="99"/>
      <c r="H105" s="115">
        <f>SHIFT_A!E79</f>
        <v>0</v>
      </c>
      <c r="I105" s="115">
        <f>SHIFT_B!E79</f>
        <v>0</v>
      </c>
      <c r="J105" s="115">
        <f>SHIFT_C!E79</f>
        <v>0</v>
      </c>
      <c r="K105" s="250"/>
      <c r="L105" s="241"/>
      <c r="M105" s="248"/>
      <c r="N105" s="248"/>
    </row>
    <row r="106" spans="1:14" ht="30.25" customHeight="1" x14ac:dyDescent="0.35">
      <c r="A106" s="98"/>
      <c r="B106" s="239"/>
      <c r="C106" s="252"/>
      <c r="D106" s="252"/>
      <c r="E106" s="101">
        <v>101</v>
      </c>
      <c r="F106" s="100" t="s">
        <v>102</v>
      </c>
      <c r="G106" s="99"/>
      <c r="H106" s="115">
        <f>SHIFT_A!E80</f>
        <v>0.32499200000000883</v>
      </c>
      <c r="I106" s="115">
        <f>SHIFT_B!E80</f>
        <v>0.34153599999999074</v>
      </c>
      <c r="J106" s="115">
        <f>SHIFT_C!E80</f>
        <v>0.35009600000000773</v>
      </c>
      <c r="K106" s="250"/>
      <c r="L106" s="241"/>
      <c r="M106" s="248"/>
      <c r="N106" s="248"/>
    </row>
    <row r="107" spans="1:14" ht="30.25" customHeight="1" x14ac:dyDescent="0.35">
      <c r="A107" s="98"/>
      <c r="B107" s="239"/>
      <c r="C107" s="252"/>
      <c r="D107" s="252"/>
      <c r="E107" s="101">
        <v>102</v>
      </c>
      <c r="F107" s="100" t="s">
        <v>103</v>
      </c>
      <c r="G107" s="99" t="s">
        <v>410</v>
      </c>
      <c r="H107" s="115">
        <f>SHIFT_A!E81</f>
        <v>0.11474021875000007</v>
      </c>
      <c r="I107" s="115">
        <f>SHIFT_B!E81</f>
        <v>0.10803974999999999</v>
      </c>
      <c r="J107" s="115">
        <f>SHIFT_C!E81</f>
        <v>0.13617781249999994</v>
      </c>
      <c r="K107" s="250"/>
      <c r="L107" s="241"/>
      <c r="M107" s="248"/>
      <c r="N107" s="248"/>
    </row>
    <row r="108" spans="1:14" ht="30.25" customHeight="1" x14ac:dyDescent="0.35">
      <c r="A108" s="98"/>
      <c r="B108" s="239"/>
      <c r="C108" s="252"/>
      <c r="D108" s="252"/>
      <c r="E108" s="101">
        <v>103</v>
      </c>
      <c r="F108" s="100" t="s">
        <v>191</v>
      </c>
      <c r="G108" s="99" t="s">
        <v>409</v>
      </c>
      <c r="H108" s="115">
        <f>SHIFT_A!E82</f>
        <v>0</v>
      </c>
      <c r="I108" s="115">
        <f>SHIFT_B!E82</f>
        <v>0</v>
      </c>
      <c r="J108" s="115">
        <f>SHIFT_C!E82</f>
        <v>0</v>
      </c>
      <c r="K108" s="250"/>
      <c r="L108" s="241"/>
      <c r="M108" s="248"/>
      <c r="N108" s="248"/>
    </row>
    <row r="109" spans="1:14" ht="30.25" customHeight="1" x14ac:dyDescent="0.35">
      <c r="A109" s="98"/>
      <c r="B109" s="239"/>
      <c r="C109" s="252"/>
      <c r="D109" s="252"/>
      <c r="E109" s="101">
        <v>104</v>
      </c>
      <c r="F109" s="100" t="s">
        <v>192</v>
      </c>
      <c r="G109" s="99"/>
      <c r="H109" s="115">
        <f>SHIFT_A!E83</f>
        <v>0</v>
      </c>
      <c r="I109" s="115">
        <f>SHIFT_B!E83</f>
        <v>0</v>
      </c>
      <c r="J109" s="115">
        <f>SHIFT_C!E83</f>
        <v>0</v>
      </c>
      <c r="K109" s="250"/>
      <c r="L109" s="241"/>
      <c r="M109" s="248"/>
      <c r="N109" s="248"/>
    </row>
    <row r="110" spans="1:14" ht="30.25" customHeight="1" x14ac:dyDescent="0.35">
      <c r="A110" s="98"/>
      <c r="B110" s="239"/>
      <c r="C110" s="252"/>
      <c r="D110" s="252"/>
      <c r="E110" s="101">
        <v>105</v>
      </c>
      <c r="F110" s="100" t="s">
        <v>24</v>
      </c>
      <c r="G110" s="99"/>
      <c r="H110" s="115">
        <f>SHIFT_A!E84</f>
        <v>0</v>
      </c>
      <c r="I110" s="115">
        <f>SHIFT_B!E84</f>
        <v>0</v>
      </c>
      <c r="J110" s="115">
        <f>SHIFT_C!E84</f>
        <v>0</v>
      </c>
      <c r="K110" s="250"/>
      <c r="L110" s="241"/>
      <c r="M110" s="248"/>
      <c r="N110" s="248"/>
    </row>
    <row r="111" spans="1:14" ht="30.25" customHeight="1" x14ac:dyDescent="0.35">
      <c r="A111" s="98"/>
      <c r="B111" s="239"/>
      <c r="C111" s="252"/>
      <c r="D111" s="252"/>
      <c r="E111" s="101">
        <v>106</v>
      </c>
      <c r="F111" s="100" t="s">
        <v>24</v>
      </c>
      <c r="G111" s="99"/>
      <c r="H111" s="115">
        <f>SHIFT_A!E85</f>
        <v>0</v>
      </c>
      <c r="I111" s="115">
        <f>SHIFT_B!E85</f>
        <v>0</v>
      </c>
      <c r="J111" s="115">
        <f>SHIFT_C!E85</f>
        <v>0</v>
      </c>
      <c r="K111" s="250"/>
      <c r="L111" s="241"/>
      <c r="M111" s="248"/>
      <c r="N111" s="248"/>
    </row>
    <row r="112" spans="1:14" ht="30.25" customHeight="1" x14ac:dyDescent="0.35">
      <c r="A112" s="98"/>
      <c r="B112" s="239"/>
      <c r="C112" s="252"/>
      <c r="D112" s="252"/>
      <c r="E112" s="101">
        <v>107</v>
      </c>
      <c r="F112" s="100" t="s">
        <v>104</v>
      </c>
      <c r="G112" s="99"/>
      <c r="H112" s="115">
        <f>SHIFT_A!E86</f>
        <v>9.9499999999999034E-3</v>
      </c>
      <c r="I112" s="115">
        <f>SHIFT_B!E86</f>
        <v>8.5470000000000823E-3</v>
      </c>
      <c r="J112" s="115">
        <f>SHIFT_C!E86</f>
        <v>5.0920000000012067E-3</v>
      </c>
      <c r="K112" s="250"/>
      <c r="L112" s="241"/>
      <c r="M112" s="248"/>
      <c r="N112" s="248"/>
    </row>
    <row r="113" spans="1:14" ht="30.25" customHeight="1" x14ac:dyDescent="0.35">
      <c r="A113" s="98"/>
      <c r="B113" s="239"/>
      <c r="C113" s="252"/>
      <c r="D113" s="252"/>
      <c r="E113" s="101">
        <v>108</v>
      </c>
      <c r="F113" s="100" t="s">
        <v>193</v>
      </c>
      <c r="G113" s="99"/>
      <c r="H113" s="115">
        <f>SHIFT_A!E87</f>
        <v>0</v>
      </c>
      <c r="I113" s="115">
        <f>SHIFT_B!E87</f>
        <v>0</v>
      </c>
      <c r="J113" s="115">
        <f>SHIFT_C!E87</f>
        <v>0</v>
      </c>
      <c r="K113" s="250"/>
      <c r="L113" s="241"/>
      <c r="M113" s="248"/>
      <c r="N113" s="248"/>
    </row>
    <row r="114" spans="1:14" ht="30.25" customHeight="1" x14ac:dyDescent="0.35">
      <c r="A114" s="98"/>
      <c r="B114" s="239"/>
      <c r="C114" s="252"/>
      <c r="D114" s="252"/>
      <c r="E114" s="101">
        <v>109</v>
      </c>
      <c r="F114" s="100" t="s">
        <v>105</v>
      </c>
      <c r="G114" s="99" t="s">
        <v>408</v>
      </c>
      <c r="H114" s="115">
        <f>SHIFT_A!E88</f>
        <v>5.0752499999999756E-3</v>
      </c>
      <c r="I114" s="115">
        <f>SHIFT_B!E88</f>
        <v>7.3055000000001868E-3</v>
      </c>
      <c r="J114" s="115">
        <f>SHIFT_C!E88</f>
        <v>5.0704999999999778E-3</v>
      </c>
      <c r="K114" s="250"/>
      <c r="L114" s="241"/>
      <c r="M114" s="248"/>
      <c r="N114" s="248"/>
    </row>
    <row r="115" spans="1:14" ht="30.25" customHeight="1" x14ac:dyDescent="0.35">
      <c r="A115" s="98"/>
      <c r="B115" s="239"/>
      <c r="C115" s="252"/>
      <c r="D115" s="252"/>
      <c r="E115" s="101">
        <v>110</v>
      </c>
      <c r="F115" s="100" t="s">
        <v>194</v>
      </c>
      <c r="G115" s="99" t="s">
        <v>407</v>
      </c>
      <c r="H115" s="115">
        <f>SHIFT_A!E89</f>
        <v>0</v>
      </c>
      <c r="I115" s="115">
        <f>SHIFT_B!E89</f>
        <v>0</v>
      </c>
      <c r="J115" s="115">
        <f>SHIFT_C!E89</f>
        <v>0</v>
      </c>
      <c r="K115" s="250"/>
      <c r="L115" s="241"/>
      <c r="M115" s="248"/>
      <c r="N115" s="248"/>
    </row>
    <row r="116" spans="1:14" ht="30.25" customHeight="1" x14ac:dyDescent="0.35">
      <c r="A116" s="98"/>
      <c r="B116" s="239"/>
      <c r="C116" s="252"/>
      <c r="D116" s="252"/>
      <c r="E116" s="101">
        <v>111</v>
      </c>
      <c r="F116" s="100" t="s">
        <v>24</v>
      </c>
      <c r="G116" s="99" t="s">
        <v>406</v>
      </c>
      <c r="H116" s="115">
        <f>SHIFT_A!E90</f>
        <v>0</v>
      </c>
      <c r="I116" s="115">
        <f>SHIFT_B!E90</f>
        <v>0</v>
      </c>
      <c r="J116" s="115">
        <f>SHIFT_C!E90</f>
        <v>0</v>
      </c>
      <c r="K116" s="250"/>
      <c r="L116" s="241"/>
      <c r="M116" s="248"/>
      <c r="N116" s="248"/>
    </row>
    <row r="117" spans="1:14" ht="30.25" customHeight="1" x14ac:dyDescent="0.35">
      <c r="A117" s="98"/>
      <c r="B117" s="239"/>
      <c r="C117" s="252"/>
      <c r="D117" s="252"/>
      <c r="E117" s="101">
        <v>112</v>
      </c>
      <c r="F117" s="100" t="s">
        <v>106</v>
      </c>
      <c r="G117" s="99"/>
      <c r="H117" s="115">
        <f>SHIFT_A!E91</f>
        <v>0</v>
      </c>
      <c r="I117" s="115">
        <f>SHIFT_B!E91</f>
        <v>0</v>
      </c>
      <c r="J117" s="115">
        <f>SHIFT_C!E91</f>
        <v>0</v>
      </c>
      <c r="K117" s="250"/>
      <c r="L117" s="241"/>
      <c r="M117" s="248"/>
      <c r="N117" s="248"/>
    </row>
    <row r="118" spans="1:14" ht="30.25" customHeight="1" x14ac:dyDescent="0.35">
      <c r="A118" s="98"/>
      <c r="B118" s="239"/>
      <c r="C118" s="252"/>
      <c r="D118" s="252"/>
      <c r="E118" s="101">
        <v>113</v>
      </c>
      <c r="F118" s="100" t="s">
        <v>182</v>
      </c>
      <c r="G118" s="99"/>
      <c r="H118" s="115">
        <f>SHIFT_A!E92</f>
        <v>1.3715999999998729E-2</v>
      </c>
      <c r="I118" s="115">
        <f>SHIFT_B!E92</f>
        <v>1.18360000000024E-2</v>
      </c>
      <c r="J118" s="115">
        <f>SHIFT_C!E92</f>
        <v>3.7819999999975096E-3</v>
      </c>
      <c r="K118" s="250"/>
      <c r="L118" s="241"/>
      <c r="M118" s="248"/>
      <c r="N118" s="248"/>
    </row>
    <row r="119" spans="1:14" ht="30.25" customHeight="1" x14ac:dyDescent="0.35">
      <c r="A119" s="98"/>
      <c r="B119" s="239"/>
      <c r="C119" s="252" t="s">
        <v>124</v>
      </c>
      <c r="D119" s="252"/>
      <c r="E119" s="101">
        <v>114</v>
      </c>
      <c r="F119" s="100" t="s">
        <v>107</v>
      </c>
      <c r="G119" s="99"/>
      <c r="H119" s="115">
        <f>SHIFT_A!E93</f>
        <v>1.7277440000000297</v>
      </c>
      <c r="I119" s="115">
        <f>SHIFT_B!E93</f>
        <v>1.343232000000171</v>
      </c>
      <c r="J119" s="115">
        <f>SHIFT_C!E93</f>
        <v>1.1498239999998532</v>
      </c>
      <c r="K119" s="241">
        <f>SUM(H120:J140)</f>
        <v>1.7344548749999982</v>
      </c>
      <c r="L119" s="249"/>
      <c r="M119" s="242">
        <f>K119/L6</f>
        <v>6.3755758292746476E-2</v>
      </c>
      <c r="N119" s="243"/>
    </row>
    <row r="120" spans="1:14" ht="30.25" customHeight="1" x14ac:dyDescent="0.35">
      <c r="A120" s="98"/>
      <c r="B120" s="239"/>
      <c r="C120" s="252"/>
      <c r="D120" s="252"/>
      <c r="E120" s="101">
        <v>115</v>
      </c>
      <c r="F120" s="100" t="s">
        <v>195</v>
      </c>
      <c r="G120" s="99"/>
      <c r="H120" s="115">
        <f>SHIFT_A!E94</f>
        <v>1.5746000000000038E-2</v>
      </c>
      <c r="I120" s="115">
        <f>SHIFT_B!E94</f>
        <v>1.9231999999998806E-2</v>
      </c>
      <c r="J120" s="115">
        <f>SHIFT_C!E94</f>
        <v>1.9936000000001286E-2</v>
      </c>
      <c r="K120" s="241"/>
      <c r="L120" s="250"/>
      <c r="M120" s="244"/>
      <c r="N120" s="245"/>
    </row>
    <row r="121" spans="1:14" ht="30.25" customHeight="1" x14ac:dyDescent="0.35">
      <c r="A121" s="98"/>
      <c r="B121" s="239"/>
      <c r="C121" s="252"/>
      <c r="D121" s="252"/>
      <c r="E121" s="101">
        <v>116</v>
      </c>
      <c r="F121" s="100" t="s">
        <v>196</v>
      </c>
      <c r="G121" s="99"/>
      <c r="H121" s="115">
        <f>SHIFT_A!E95</f>
        <v>0.2237440000000106</v>
      </c>
      <c r="I121" s="115">
        <f>SHIFT_B!E95</f>
        <v>0.2336959999999948</v>
      </c>
      <c r="J121" s="115">
        <f>SHIFT_C!E95</f>
        <v>0.13808799999999621</v>
      </c>
      <c r="K121" s="241"/>
      <c r="L121" s="250"/>
      <c r="M121" s="244"/>
      <c r="N121" s="245"/>
    </row>
    <row r="122" spans="1:14" ht="30.25" customHeight="1" x14ac:dyDescent="0.35">
      <c r="A122" s="98"/>
      <c r="B122" s="239"/>
      <c r="C122" s="252"/>
      <c r="D122" s="252"/>
      <c r="E122" s="101">
        <v>117</v>
      </c>
      <c r="F122" s="100" t="s">
        <v>24</v>
      </c>
      <c r="G122" s="99"/>
      <c r="H122" s="115">
        <f>SHIFT_A!E96</f>
        <v>0</v>
      </c>
      <c r="I122" s="115">
        <f>SHIFT_B!E96</f>
        <v>0</v>
      </c>
      <c r="J122" s="115">
        <f>SHIFT_C!E96</f>
        <v>0</v>
      </c>
      <c r="K122" s="241"/>
      <c r="L122" s="250"/>
      <c r="M122" s="244"/>
      <c r="N122" s="245"/>
    </row>
    <row r="123" spans="1:14" ht="30.25" customHeight="1" x14ac:dyDescent="0.35">
      <c r="A123" s="98"/>
      <c r="B123" s="239"/>
      <c r="C123" s="252"/>
      <c r="D123" s="252"/>
      <c r="E123" s="101">
        <v>118</v>
      </c>
      <c r="F123" s="100" t="s">
        <v>197</v>
      </c>
      <c r="G123" s="99"/>
      <c r="H123" s="115">
        <f>SHIFT_A!E97</f>
        <v>0</v>
      </c>
      <c r="I123" s="115">
        <f>SHIFT_B!E97</f>
        <v>0</v>
      </c>
      <c r="J123" s="115">
        <f>SHIFT_C!E97</f>
        <v>0</v>
      </c>
      <c r="K123" s="241"/>
      <c r="L123" s="250"/>
      <c r="M123" s="244"/>
      <c r="N123" s="245"/>
    </row>
    <row r="124" spans="1:14" ht="30.25" customHeight="1" x14ac:dyDescent="0.35">
      <c r="A124" s="98"/>
      <c r="B124" s="239"/>
      <c r="C124" s="252"/>
      <c r="D124" s="252"/>
      <c r="E124" s="101">
        <v>119</v>
      </c>
      <c r="F124" s="100" t="s">
        <v>198</v>
      </c>
      <c r="G124" s="99"/>
      <c r="H124" s="115">
        <f>SHIFT_A!E98</f>
        <v>6.6931000000000296E-2</v>
      </c>
      <c r="I124" s="115">
        <f>SHIFT_B!E98</f>
        <v>4.5690999999999704E-2</v>
      </c>
      <c r="J124" s="115">
        <f>SHIFT_C!E98</f>
        <v>4.2982999999999549E-2</v>
      </c>
      <c r="K124" s="241"/>
      <c r="L124" s="250"/>
      <c r="M124" s="244"/>
      <c r="N124" s="245"/>
    </row>
    <row r="125" spans="1:14" ht="30.25" customHeight="1" x14ac:dyDescent="0.35">
      <c r="A125" s="98"/>
      <c r="B125" s="239"/>
      <c r="C125" s="252"/>
      <c r="D125" s="252"/>
      <c r="E125" s="101">
        <v>120</v>
      </c>
      <c r="F125" s="100" t="s">
        <v>24</v>
      </c>
      <c r="G125" s="99"/>
      <c r="H125" s="115">
        <f>SHIFT_A!E99</f>
        <v>0</v>
      </c>
      <c r="I125" s="115">
        <f>SHIFT_B!E99</f>
        <v>0</v>
      </c>
      <c r="J125" s="115">
        <f>SHIFT_C!E99</f>
        <v>0</v>
      </c>
      <c r="K125" s="241"/>
      <c r="L125" s="250"/>
      <c r="M125" s="244"/>
      <c r="N125" s="245"/>
    </row>
    <row r="126" spans="1:14" ht="30.25" customHeight="1" x14ac:dyDescent="0.35">
      <c r="A126" s="98"/>
      <c r="B126" s="239"/>
      <c r="C126" s="252"/>
      <c r="D126" s="252"/>
      <c r="E126" s="101">
        <v>121</v>
      </c>
      <c r="F126" s="100" t="s">
        <v>199</v>
      </c>
      <c r="G126" s="99"/>
      <c r="H126" s="115">
        <f>SHIFT_A!E100</f>
        <v>0.1129359999999906</v>
      </c>
      <c r="I126" s="115">
        <f>SHIFT_B!E100</f>
        <v>2.8800000000046566E-3</v>
      </c>
      <c r="J126" s="115">
        <f>SHIFT_C!E100</f>
        <v>8.2328000000003954E-2</v>
      </c>
      <c r="K126" s="241"/>
      <c r="L126" s="250"/>
      <c r="M126" s="244"/>
      <c r="N126" s="245"/>
    </row>
    <row r="127" spans="1:14" ht="30.25" customHeight="1" x14ac:dyDescent="0.35">
      <c r="A127" s="98"/>
      <c r="B127" s="239"/>
      <c r="C127" s="252"/>
      <c r="D127" s="252"/>
      <c r="E127" s="101">
        <v>122</v>
      </c>
      <c r="F127" s="100" t="s">
        <v>24</v>
      </c>
      <c r="G127" s="99" t="s">
        <v>405</v>
      </c>
      <c r="H127" s="115">
        <f>SHIFT_A!E101</f>
        <v>0</v>
      </c>
      <c r="I127" s="115">
        <f>SHIFT_B!E101</f>
        <v>0</v>
      </c>
      <c r="J127" s="115">
        <f>SHIFT_C!E101</f>
        <v>0</v>
      </c>
      <c r="K127" s="241"/>
      <c r="L127" s="250"/>
      <c r="M127" s="244"/>
      <c r="N127" s="245"/>
    </row>
    <row r="128" spans="1:14" ht="30.25" customHeight="1" x14ac:dyDescent="0.35">
      <c r="A128" s="98"/>
      <c r="B128" s="239"/>
      <c r="C128" s="252"/>
      <c r="D128" s="252"/>
      <c r="E128" s="101">
        <v>123</v>
      </c>
      <c r="F128" s="100" t="s">
        <v>200</v>
      </c>
      <c r="G128" s="99" t="s">
        <v>404</v>
      </c>
      <c r="H128" s="115">
        <f>SHIFT_A!E102</f>
        <v>6.8297500000000788E-3</v>
      </c>
      <c r="I128" s="115">
        <f>SHIFT_B!E102</f>
        <v>6.9483750000001177E-3</v>
      </c>
      <c r="J128" s="115">
        <f>SHIFT_C!E102</f>
        <v>8.1099999999989514E-4</v>
      </c>
      <c r="K128" s="241"/>
      <c r="L128" s="250"/>
      <c r="M128" s="244"/>
      <c r="N128" s="245"/>
    </row>
    <row r="129" spans="1:14" ht="30.25" customHeight="1" x14ac:dyDescent="0.35">
      <c r="A129" s="98"/>
      <c r="B129" s="239"/>
      <c r="C129" s="252"/>
      <c r="D129" s="252"/>
      <c r="E129" s="101">
        <v>124</v>
      </c>
      <c r="F129" s="100" t="s">
        <v>108</v>
      </c>
      <c r="G129" s="99" t="s">
        <v>403</v>
      </c>
      <c r="H129" s="115">
        <f>SHIFT_A!E103</f>
        <v>4.9872000000000583E-2</v>
      </c>
      <c r="I129" s="115">
        <f>SHIFT_B!E103</f>
        <v>0</v>
      </c>
      <c r="J129" s="115">
        <f>SHIFT_C!E103</f>
        <v>7.6559999999972206E-3</v>
      </c>
      <c r="K129" s="241"/>
      <c r="L129" s="250"/>
      <c r="M129" s="244"/>
      <c r="N129" s="245"/>
    </row>
    <row r="130" spans="1:14" ht="30.25" customHeight="1" x14ac:dyDescent="0.35">
      <c r="A130" s="98"/>
      <c r="B130" s="239"/>
      <c r="C130" s="252"/>
      <c r="D130" s="252"/>
      <c r="E130" s="101">
        <v>125</v>
      </c>
      <c r="F130" s="100" t="s">
        <v>201</v>
      </c>
      <c r="G130" s="99" t="s">
        <v>402</v>
      </c>
      <c r="H130" s="115">
        <f>SHIFT_A!E104</f>
        <v>0</v>
      </c>
      <c r="I130" s="115">
        <f>SHIFT_B!E104</f>
        <v>0</v>
      </c>
      <c r="J130" s="115">
        <f>SHIFT_C!E104</f>
        <v>0</v>
      </c>
      <c r="K130" s="241"/>
      <c r="L130" s="250"/>
      <c r="M130" s="244"/>
      <c r="N130" s="245"/>
    </row>
    <row r="131" spans="1:14" ht="30.25" customHeight="1" x14ac:dyDescent="0.35">
      <c r="A131" s="98"/>
      <c r="B131" s="239"/>
      <c r="C131" s="252"/>
      <c r="D131" s="252"/>
      <c r="E131" s="101">
        <v>126</v>
      </c>
      <c r="F131" s="100" t="s">
        <v>202</v>
      </c>
      <c r="G131" s="99"/>
      <c r="H131" s="115">
        <f>SHIFT_A!E105</f>
        <v>5.4410000000000291E-3</v>
      </c>
      <c r="I131" s="115">
        <f>SHIFT_B!E105</f>
        <v>5.2459999999998619E-3</v>
      </c>
      <c r="J131" s="115">
        <f>SHIFT_C!E105</f>
        <v>5.0019999999999509E-3</v>
      </c>
      <c r="K131" s="241"/>
      <c r="L131" s="250"/>
      <c r="M131" s="244"/>
      <c r="N131" s="245"/>
    </row>
    <row r="132" spans="1:14" ht="30.25" customHeight="1" x14ac:dyDescent="0.35">
      <c r="A132" s="98"/>
      <c r="B132" s="239"/>
      <c r="C132" s="252"/>
      <c r="D132" s="252"/>
      <c r="E132" s="101">
        <v>127</v>
      </c>
      <c r="F132" s="100" t="s">
        <v>109</v>
      </c>
      <c r="G132" s="99"/>
      <c r="H132" s="115">
        <f>SHIFT_A!E106</f>
        <v>1.4373500000000039E-2</v>
      </c>
      <c r="I132" s="115">
        <f>SHIFT_B!E106</f>
        <v>3.9467499999998878E-3</v>
      </c>
      <c r="J132" s="115">
        <f>SHIFT_C!E106</f>
        <v>7.6010000000001909E-3</v>
      </c>
      <c r="K132" s="241"/>
      <c r="L132" s="250"/>
      <c r="M132" s="244"/>
      <c r="N132" s="245"/>
    </row>
    <row r="133" spans="1:14" ht="30.25" customHeight="1" x14ac:dyDescent="0.35">
      <c r="A133" s="98"/>
      <c r="B133" s="239"/>
      <c r="C133" s="252"/>
      <c r="D133" s="252"/>
      <c r="E133" s="101">
        <v>128</v>
      </c>
      <c r="F133" s="100" t="s">
        <v>203</v>
      </c>
      <c r="G133" s="99"/>
      <c r="H133" s="115">
        <f>SHIFT_A!E107</f>
        <v>9.273600000000215E-2</v>
      </c>
      <c r="I133" s="115">
        <f>SHIFT_B!E107</f>
        <v>9.3123999999995988E-2</v>
      </c>
      <c r="J133" s="115">
        <f>SHIFT_C!E107</f>
        <v>9.1948000000002139E-2</v>
      </c>
      <c r="K133" s="241"/>
      <c r="L133" s="250"/>
      <c r="M133" s="244"/>
      <c r="N133" s="245"/>
    </row>
    <row r="134" spans="1:14" ht="30.25" customHeight="1" x14ac:dyDescent="0.35">
      <c r="A134" s="98"/>
      <c r="B134" s="239"/>
      <c r="C134" s="252"/>
      <c r="D134" s="252"/>
      <c r="E134" s="101">
        <v>129</v>
      </c>
      <c r="F134" s="100" t="s">
        <v>204</v>
      </c>
      <c r="G134" s="99"/>
      <c r="H134" s="115">
        <f>SHIFT_A!E108</f>
        <v>4.2176999999998799E-2</v>
      </c>
      <c r="I134" s="115">
        <f>SHIFT_B!E108</f>
        <v>4.2360000000002174E-2</v>
      </c>
      <c r="J134" s="115">
        <f>SHIFT_C!E108</f>
        <v>3.0899999999999039E-2</v>
      </c>
      <c r="K134" s="241"/>
      <c r="L134" s="250"/>
      <c r="M134" s="244"/>
      <c r="N134" s="245"/>
    </row>
    <row r="135" spans="1:14" ht="30.25" customHeight="1" x14ac:dyDescent="0.35">
      <c r="A135" s="98"/>
      <c r="B135" s="239"/>
      <c r="C135" s="252"/>
      <c r="D135" s="252"/>
      <c r="E135" s="101">
        <v>130</v>
      </c>
      <c r="F135" s="100" t="s">
        <v>205</v>
      </c>
      <c r="G135" s="99" t="s">
        <v>401</v>
      </c>
      <c r="H135" s="115">
        <f>SHIFT_A!E109</f>
        <v>5.5487375000000005E-2</v>
      </c>
      <c r="I135" s="115">
        <f>SHIFT_B!E109</f>
        <v>6.3658374999999934E-2</v>
      </c>
      <c r="J135" s="115">
        <f>SHIFT_C!E109</f>
        <v>3.7585500000000049E-2</v>
      </c>
      <c r="K135" s="241"/>
      <c r="L135" s="250"/>
      <c r="M135" s="244"/>
      <c r="N135" s="245"/>
    </row>
    <row r="136" spans="1:14" ht="30.25" customHeight="1" x14ac:dyDescent="0.35">
      <c r="A136" s="98"/>
      <c r="B136" s="239"/>
      <c r="C136" s="252"/>
      <c r="D136" s="252"/>
      <c r="E136" s="101">
        <v>131</v>
      </c>
      <c r="F136" s="100" t="s">
        <v>206</v>
      </c>
      <c r="G136" s="99" t="s">
        <v>400</v>
      </c>
      <c r="H136" s="115">
        <f>SHIFT_A!E110</f>
        <v>1.0129000000000055E-2</v>
      </c>
      <c r="I136" s="115">
        <f>SHIFT_B!E110</f>
        <v>9.5058749999998859E-3</v>
      </c>
      <c r="J136" s="115">
        <f>SHIFT_C!E110</f>
        <v>9.593874999999974E-3</v>
      </c>
      <c r="K136" s="241"/>
      <c r="L136" s="250"/>
      <c r="M136" s="244"/>
      <c r="N136" s="245"/>
    </row>
    <row r="137" spans="1:14" ht="30.25" customHeight="1" x14ac:dyDescent="0.35">
      <c r="A137" s="98"/>
      <c r="B137" s="239"/>
      <c r="C137" s="252"/>
      <c r="D137" s="252"/>
      <c r="E137" s="101">
        <v>132</v>
      </c>
      <c r="F137" s="100" t="s">
        <v>207</v>
      </c>
      <c r="G137" s="99" t="s">
        <v>399</v>
      </c>
      <c r="H137" s="115">
        <f>SHIFT_A!E111</f>
        <v>0</v>
      </c>
      <c r="I137" s="115">
        <f>SHIFT_B!E111</f>
        <v>0</v>
      </c>
      <c r="J137" s="115">
        <f>SHIFT_C!E111</f>
        <v>0</v>
      </c>
      <c r="K137" s="241"/>
      <c r="L137" s="250"/>
      <c r="M137" s="244"/>
      <c r="N137" s="245"/>
    </row>
    <row r="138" spans="1:14" ht="30.25" customHeight="1" x14ac:dyDescent="0.35">
      <c r="A138" s="98"/>
      <c r="B138" s="239"/>
      <c r="C138" s="252"/>
      <c r="D138" s="252"/>
      <c r="E138" s="101">
        <v>133</v>
      </c>
      <c r="F138" s="100" t="s">
        <v>208</v>
      </c>
      <c r="G138" s="99" t="s">
        <v>398</v>
      </c>
      <c r="H138" s="115">
        <f>SHIFT_A!E112</f>
        <v>0</v>
      </c>
      <c r="I138" s="115">
        <f>SHIFT_B!E112</f>
        <v>0</v>
      </c>
      <c r="J138" s="115">
        <f>SHIFT_C!E112</f>
        <v>0</v>
      </c>
      <c r="K138" s="241"/>
      <c r="L138" s="250"/>
      <c r="M138" s="244"/>
      <c r="N138" s="245"/>
    </row>
    <row r="139" spans="1:14" ht="30.25" customHeight="1" x14ac:dyDescent="0.35">
      <c r="A139" s="98"/>
      <c r="B139" s="239"/>
      <c r="C139" s="252"/>
      <c r="D139" s="252"/>
      <c r="E139" s="101">
        <v>134</v>
      </c>
      <c r="F139" s="100" t="s">
        <v>110</v>
      </c>
      <c r="G139" s="99" t="s">
        <v>397</v>
      </c>
      <c r="H139" s="115">
        <f>SHIFT_A!E113</f>
        <v>1.5356999999999843E-2</v>
      </c>
      <c r="I139" s="115">
        <f>SHIFT_B!E113</f>
        <v>0</v>
      </c>
      <c r="J139" s="115">
        <f>SHIFT_C!E113</f>
        <v>1.6119999999997248E-3</v>
      </c>
      <c r="K139" s="241"/>
      <c r="L139" s="250"/>
      <c r="M139" s="244"/>
      <c r="N139" s="245"/>
    </row>
    <row r="140" spans="1:14" ht="30.25" customHeight="1" x14ac:dyDescent="0.35">
      <c r="A140" s="98"/>
      <c r="B140" s="239"/>
      <c r="C140" s="252"/>
      <c r="D140" s="252"/>
      <c r="E140" s="101">
        <v>135</v>
      </c>
      <c r="F140" s="100" t="s">
        <v>182</v>
      </c>
      <c r="G140" s="99"/>
      <c r="H140" s="115">
        <f>SHIFT_A!E114</f>
        <v>5.773500000000098E-3</v>
      </c>
      <c r="I140" s="115">
        <f>SHIFT_B!E114</f>
        <v>7.5910000000005695E-3</v>
      </c>
      <c r="J140" s="115">
        <f>SHIFT_C!E114</f>
        <v>6.9979999999993936E-3</v>
      </c>
      <c r="K140" s="241"/>
      <c r="L140" s="251"/>
      <c r="M140" s="246"/>
      <c r="N140" s="247"/>
    </row>
    <row r="141" spans="1:14" ht="30.25" customHeight="1" x14ac:dyDescent="0.35">
      <c r="A141" s="98"/>
      <c r="B141" s="239"/>
      <c r="C141" s="252" t="s">
        <v>125</v>
      </c>
      <c r="D141" s="252"/>
      <c r="E141" s="101">
        <v>136</v>
      </c>
      <c r="F141" s="100" t="s">
        <v>111</v>
      </c>
      <c r="G141" s="99"/>
      <c r="H141" s="115">
        <f>SHIFT_A!E115</f>
        <v>1.7955840000000762</v>
      </c>
      <c r="I141" s="115">
        <f>SHIFT_B!E115</f>
        <v>1.6524799999999686</v>
      </c>
      <c r="J141" s="115">
        <f>SHIFT_C!E115</f>
        <v>1.2746240000000171</v>
      </c>
      <c r="K141" s="249">
        <f>SUM(H142:J163)</f>
        <v>4.8765282187499723</v>
      </c>
      <c r="L141" s="249"/>
      <c r="M141" s="242">
        <f>K141/L6</f>
        <v>0.17925329675837259</v>
      </c>
      <c r="N141" s="243"/>
    </row>
    <row r="142" spans="1:14" ht="30.25" customHeight="1" x14ac:dyDescent="0.35">
      <c r="A142" s="98"/>
      <c r="B142" s="239"/>
      <c r="C142" s="252"/>
      <c r="D142" s="252"/>
      <c r="E142" s="101">
        <v>137</v>
      </c>
      <c r="F142" s="100" t="s">
        <v>209</v>
      </c>
      <c r="G142" s="99" t="s">
        <v>396</v>
      </c>
      <c r="H142" s="115">
        <f>SHIFT_A!E116</f>
        <v>0</v>
      </c>
      <c r="I142" s="115">
        <f>SHIFT_B!E116</f>
        <v>0</v>
      </c>
      <c r="J142" s="115">
        <f>SHIFT_C!E116</f>
        <v>0</v>
      </c>
      <c r="K142" s="250"/>
      <c r="L142" s="250"/>
      <c r="M142" s="244"/>
      <c r="N142" s="245"/>
    </row>
    <row r="143" spans="1:14" ht="30.25" customHeight="1" x14ac:dyDescent="0.35">
      <c r="A143" s="98"/>
      <c r="B143" s="239"/>
      <c r="C143" s="252"/>
      <c r="D143" s="252"/>
      <c r="E143" s="101">
        <v>138</v>
      </c>
      <c r="F143" s="100" t="s">
        <v>210</v>
      </c>
      <c r="G143" s="99" t="s">
        <v>395</v>
      </c>
      <c r="H143" s="115">
        <f>SHIFT_A!E117</f>
        <v>2.2211999999999676E-2</v>
      </c>
      <c r="I143" s="115">
        <f>SHIFT_B!E117</f>
        <v>2.227800000000002E-2</v>
      </c>
      <c r="J143" s="115">
        <f>SHIFT_C!E117</f>
        <v>2.2388000000002961E-2</v>
      </c>
      <c r="K143" s="250"/>
      <c r="L143" s="250"/>
      <c r="M143" s="244"/>
      <c r="N143" s="245"/>
    </row>
    <row r="144" spans="1:14" ht="30.25" customHeight="1" x14ac:dyDescent="0.35">
      <c r="A144" s="98"/>
      <c r="B144" s="239"/>
      <c r="C144" s="252"/>
      <c r="D144" s="252"/>
      <c r="E144" s="101">
        <v>139</v>
      </c>
      <c r="F144" s="100" t="s">
        <v>211</v>
      </c>
      <c r="G144" s="99" t="s">
        <v>394</v>
      </c>
      <c r="H144" s="115">
        <f>SHIFT_A!E118</f>
        <v>8.7838906249999849E-3</v>
      </c>
      <c r="I144" s="115">
        <f>SHIFT_B!E118</f>
        <v>5.7914218750000079E-3</v>
      </c>
      <c r="J144" s="115">
        <f>SHIFT_C!E118</f>
        <v>4.7341562499999823E-3</v>
      </c>
      <c r="K144" s="250"/>
      <c r="L144" s="250"/>
      <c r="M144" s="244"/>
      <c r="N144" s="245"/>
    </row>
    <row r="145" spans="1:20" ht="30.25" customHeight="1" x14ac:dyDescent="0.35">
      <c r="A145" s="98"/>
      <c r="B145" s="239"/>
      <c r="C145" s="252"/>
      <c r="D145" s="252"/>
      <c r="E145" s="101">
        <v>140</v>
      </c>
      <c r="F145" s="100" t="s">
        <v>212</v>
      </c>
      <c r="G145" s="99"/>
      <c r="H145" s="115">
        <f>SHIFT_A!E119</f>
        <v>1.3234000000000634E-2</v>
      </c>
      <c r="I145" s="115">
        <f>SHIFT_B!E119</f>
        <v>1.2325000000000585E-2</v>
      </c>
      <c r="J145" s="115">
        <f>SHIFT_C!E119</f>
        <v>8.4569999999999368E-3</v>
      </c>
      <c r="K145" s="250"/>
      <c r="L145" s="250"/>
      <c r="M145" s="244"/>
      <c r="N145" s="245"/>
    </row>
    <row r="146" spans="1:20" ht="30.25" customHeight="1" x14ac:dyDescent="0.35">
      <c r="A146" s="98"/>
      <c r="B146" s="239"/>
      <c r="C146" s="252"/>
      <c r="D146" s="252"/>
      <c r="E146" s="101">
        <v>141</v>
      </c>
      <c r="F146" s="100" t="s">
        <v>112</v>
      </c>
      <c r="G146" s="99"/>
      <c r="H146" s="115">
        <f>SHIFT_A!E120</f>
        <v>3.207500000000918E-4</v>
      </c>
      <c r="I146" s="115">
        <f>SHIFT_B!E120</f>
        <v>0</v>
      </c>
      <c r="J146" s="115">
        <f>SHIFT_C!E120</f>
        <v>0</v>
      </c>
      <c r="K146" s="250"/>
      <c r="L146" s="250"/>
      <c r="M146" s="244"/>
      <c r="N146" s="245"/>
    </row>
    <row r="147" spans="1:20" ht="30.25" customHeight="1" x14ac:dyDescent="0.35">
      <c r="A147" s="98"/>
      <c r="B147" s="239"/>
      <c r="C147" s="252"/>
      <c r="D147" s="252"/>
      <c r="E147" s="101">
        <v>142</v>
      </c>
      <c r="F147" s="100" t="s">
        <v>213</v>
      </c>
      <c r="G147" s="99" t="s">
        <v>393</v>
      </c>
      <c r="H147" s="115">
        <f>SHIFT_A!E121</f>
        <v>7.6911999999992986E-2</v>
      </c>
      <c r="I147" s="115">
        <f>SHIFT_B!E121</f>
        <v>3.8367999999991298E-2</v>
      </c>
      <c r="J147" s="115">
        <f>SHIFT_C!E121</f>
        <v>3.515200000001073E-2</v>
      </c>
      <c r="K147" s="250"/>
      <c r="L147" s="250"/>
      <c r="M147" s="244"/>
      <c r="N147" s="245"/>
    </row>
    <row r="148" spans="1:20" ht="30.25" customHeight="1" x14ac:dyDescent="0.35">
      <c r="A148" s="98"/>
      <c r="B148" s="239"/>
      <c r="C148" s="252"/>
      <c r="D148" s="252"/>
      <c r="E148" s="101">
        <v>143</v>
      </c>
      <c r="F148" s="100" t="s">
        <v>214</v>
      </c>
      <c r="G148" s="99" t="s">
        <v>392</v>
      </c>
      <c r="H148" s="115">
        <f>SHIFT_A!E122</f>
        <v>2.0478000000000662E-2</v>
      </c>
      <c r="I148" s="115">
        <f>SHIFT_B!E122</f>
        <v>1.6411999999998983E-2</v>
      </c>
      <c r="J148" s="115">
        <f>SHIFT_C!E122</f>
        <v>6.8235000000012036E-3</v>
      </c>
      <c r="K148" s="250"/>
      <c r="L148" s="250"/>
      <c r="M148" s="244"/>
      <c r="N148" s="245"/>
    </row>
    <row r="149" spans="1:20" ht="30.25" customHeight="1" x14ac:dyDescent="0.35">
      <c r="A149" s="98"/>
      <c r="B149" s="239"/>
      <c r="C149" s="252"/>
      <c r="D149" s="252"/>
      <c r="E149" s="101">
        <v>144</v>
      </c>
      <c r="F149" s="100" t="s">
        <v>215</v>
      </c>
      <c r="G149" s="99" t="s">
        <v>391</v>
      </c>
      <c r="H149" s="115">
        <f>SHIFT_A!E123</f>
        <v>0</v>
      </c>
      <c r="I149" s="115">
        <f>SHIFT_B!E123</f>
        <v>0</v>
      </c>
      <c r="J149" s="115">
        <f>SHIFT_C!E123</f>
        <v>0</v>
      </c>
      <c r="K149" s="250"/>
      <c r="L149" s="250"/>
      <c r="M149" s="244"/>
      <c r="N149" s="245"/>
    </row>
    <row r="150" spans="1:20" ht="30.25" customHeight="1" x14ac:dyDescent="0.35">
      <c r="A150" s="98"/>
      <c r="B150" s="239"/>
      <c r="C150" s="252"/>
      <c r="D150" s="252"/>
      <c r="E150" s="101">
        <v>145</v>
      </c>
      <c r="F150" s="100" t="s">
        <v>216</v>
      </c>
      <c r="G150" s="99"/>
      <c r="H150" s="115">
        <f>SHIFT_A!E124</f>
        <v>0</v>
      </c>
      <c r="I150" s="115">
        <f>SHIFT_B!E124</f>
        <v>0</v>
      </c>
      <c r="J150" s="115">
        <f>SHIFT_C!E124</f>
        <v>0</v>
      </c>
      <c r="K150" s="250"/>
      <c r="L150" s="250"/>
      <c r="M150" s="244"/>
      <c r="N150" s="245"/>
      <c r="T150" s="102"/>
    </row>
    <row r="151" spans="1:20" ht="30.25" customHeight="1" x14ac:dyDescent="0.35">
      <c r="A151" s="98"/>
      <c r="B151" s="239"/>
      <c r="C151" s="252"/>
      <c r="D151" s="252"/>
      <c r="E151" s="101">
        <v>146</v>
      </c>
      <c r="F151" s="100" t="s">
        <v>217</v>
      </c>
      <c r="G151" s="99" t="s">
        <v>390</v>
      </c>
      <c r="H151" s="115">
        <f>SHIFT_A!E125</f>
        <v>0.68198399999999992</v>
      </c>
      <c r="I151" s="115">
        <f>SHIFT_B!E125</f>
        <v>0.61580800000001545</v>
      </c>
      <c r="J151" s="115">
        <f>SHIFT_C!E125</f>
        <v>0.43782399999997779</v>
      </c>
      <c r="K151" s="250"/>
      <c r="L151" s="250"/>
      <c r="M151" s="244"/>
      <c r="N151" s="245"/>
      <c r="P151" s="103"/>
      <c r="Q151" s="103"/>
      <c r="R151" s="103"/>
      <c r="S151" s="103"/>
      <c r="T151" s="102"/>
    </row>
    <row r="152" spans="1:20" ht="30.25" customHeight="1" x14ac:dyDescent="0.35">
      <c r="A152" s="98"/>
      <c r="B152" s="239"/>
      <c r="C152" s="252"/>
      <c r="D152" s="252"/>
      <c r="E152" s="101">
        <v>147</v>
      </c>
      <c r="F152" s="100" t="s">
        <v>218</v>
      </c>
      <c r="G152" s="99" t="s">
        <v>389</v>
      </c>
      <c r="H152" s="115">
        <f>SHIFT_A!E126</f>
        <v>0.14043549999999971</v>
      </c>
      <c r="I152" s="115">
        <f>SHIFT_B!E126</f>
        <v>0.13360449999999968</v>
      </c>
      <c r="J152" s="115">
        <f>SHIFT_C!E126</f>
        <v>0.10661599999999982</v>
      </c>
      <c r="K152" s="250"/>
      <c r="L152" s="250"/>
      <c r="M152" s="244"/>
      <c r="N152" s="245"/>
      <c r="P152" s="103"/>
      <c r="Q152" s="103"/>
      <c r="R152" s="103"/>
      <c r="S152" s="103"/>
      <c r="T152" s="102"/>
    </row>
    <row r="153" spans="1:20" ht="30.25" customHeight="1" x14ac:dyDescent="0.35">
      <c r="A153" s="98"/>
      <c r="B153" s="239"/>
      <c r="C153" s="252"/>
      <c r="D153" s="252"/>
      <c r="E153" s="101">
        <v>148</v>
      </c>
      <c r="F153" s="100" t="s">
        <v>219</v>
      </c>
      <c r="G153" s="99"/>
      <c r="H153" s="115">
        <f>SHIFT_A!E127</f>
        <v>1.029999999992981E-4</v>
      </c>
      <c r="I153" s="115">
        <f>SHIFT_B!E127</f>
        <v>0</v>
      </c>
      <c r="J153" s="115">
        <f>SHIFT_C!E127</f>
        <v>3.8600000000066359E-4</v>
      </c>
      <c r="K153" s="250"/>
      <c r="L153" s="250"/>
      <c r="M153" s="244"/>
      <c r="N153" s="245"/>
      <c r="P153" s="103"/>
      <c r="Q153" s="103"/>
      <c r="R153" s="103"/>
      <c r="S153" s="103"/>
      <c r="T153" s="102"/>
    </row>
    <row r="154" spans="1:20" ht="30.25" customHeight="1" x14ac:dyDescent="0.35">
      <c r="A154" s="98"/>
      <c r="B154" s="239"/>
      <c r="C154" s="252"/>
      <c r="D154" s="252"/>
      <c r="E154" s="101">
        <v>149</v>
      </c>
      <c r="F154" s="100" t="s">
        <v>220</v>
      </c>
      <c r="G154" s="99"/>
      <c r="H154" s="115">
        <f>SHIFT_A!E128</f>
        <v>3.9517500000001426E-3</v>
      </c>
      <c r="I154" s="115">
        <f>SHIFT_B!E128</f>
        <v>4.2719999999998315E-3</v>
      </c>
      <c r="J154" s="115">
        <f>SHIFT_C!E128</f>
        <v>2.9675000000000118E-3</v>
      </c>
      <c r="K154" s="250"/>
      <c r="L154" s="250"/>
      <c r="M154" s="244"/>
      <c r="N154" s="245"/>
      <c r="P154" s="103"/>
      <c r="Q154" s="103"/>
      <c r="R154" s="103"/>
      <c r="S154" s="103"/>
      <c r="T154" s="102"/>
    </row>
    <row r="155" spans="1:20" ht="30.25" customHeight="1" x14ac:dyDescent="0.35">
      <c r="A155" s="98"/>
      <c r="B155" s="239"/>
      <c r="C155" s="252"/>
      <c r="D155" s="252"/>
      <c r="E155" s="101">
        <v>150</v>
      </c>
      <c r="F155" s="100" t="s">
        <v>221</v>
      </c>
      <c r="G155" s="99"/>
      <c r="H155" s="115">
        <f>SHIFT_A!E129</f>
        <v>0</v>
      </c>
      <c r="I155" s="115">
        <f>SHIFT_B!E129</f>
        <v>0</v>
      </c>
      <c r="J155" s="115">
        <f>SHIFT_C!E129</f>
        <v>0</v>
      </c>
      <c r="K155" s="250"/>
      <c r="L155" s="250"/>
      <c r="M155" s="244"/>
      <c r="N155" s="245"/>
      <c r="P155" s="103"/>
      <c r="Q155" s="103"/>
      <c r="R155" s="103"/>
      <c r="S155" s="103"/>
      <c r="T155" s="102"/>
    </row>
    <row r="156" spans="1:20" ht="30.25" customHeight="1" x14ac:dyDescent="0.35">
      <c r="A156" s="98"/>
      <c r="B156" s="239"/>
      <c r="C156" s="252"/>
      <c r="D156" s="252"/>
      <c r="E156" s="101">
        <v>151</v>
      </c>
      <c r="F156" s="100" t="s">
        <v>113</v>
      </c>
      <c r="G156" s="99"/>
      <c r="H156" s="115">
        <f>SHIFT_A!E130</f>
        <v>2.9847000000000179E-2</v>
      </c>
      <c r="I156" s="115">
        <f>SHIFT_B!E130</f>
        <v>2.8237000000000734E-2</v>
      </c>
      <c r="J156" s="115">
        <f>SHIFT_C!E130</f>
        <v>2.8411000000000186E-2</v>
      </c>
      <c r="K156" s="250"/>
      <c r="L156" s="250"/>
      <c r="M156" s="244"/>
      <c r="N156" s="245"/>
      <c r="P156" s="103"/>
      <c r="Q156" s="103"/>
      <c r="R156" s="103"/>
      <c r="S156" s="103"/>
    </row>
    <row r="157" spans="1:20" ht="30.25" customHeight="1" x14ac:dyDescent="0.35">
      <c r="A157" s="98"/>
      <c r="B157" s="239"/>
      <c r="C157" s="252"/>
      <c r="D157" s="252"/>
      <c r="E157" s="101">
        <v>152</v>
      </c>
      <c r="F157" s="100" t="s">
        <v>114</v>
      </c>
      <c r="G157" s="99" t="s">
        <v>388</v>
      </c>
      <c r="H157" s="115">
        <f>SHIFT_A!E131</f>
        <v>1.9403749999999942E-3</v>
      </c>
      <c r="I157" s="115">
        <f>SHIFT_B!E131</f>
        <v>1.7136875000000051E-3</v>
      </c>
      <c r="J157" s="115">
        <f>SHIFT_C!E131</f>
        <v>3.0481875000000214E-3</v>
      </c>
      <c r="K157" s="250"/>
      <c r="L157" s="250"/>
      <c r="M157" s="244"/>
      <c r="N157" s="245"/>
      <c r="T157" s="102"/>
    </row>
    <row r="158" spans="1:20" ht="30.25" customHeight="1" x14ac:dyDescent="0.35">
      <c r="A158" s="98"/>
      <c r="B158" s="239"/>
      <c r="C158" s="252"/>
      <c r="D158" s="252"/>
      <c r="E158" s="101">
        <v>153</v>
      </c>
      <c r="F158" s="100" t="s">
        <v>222</v>
      </c>
      <c r="G158" s="99" t="s">
        <v>387</v>
      </c>
      <c r="H158" s="115">
        <f>SHIFT_A!E132</f>
        <v>3.3571999999999491E-2</v>
      </c>
      <c r="I158" s="115">
        <f>SHIFT_B!E132</f>
        <v>3.605800000000059E-2</v>
      </c>
      <c r="J158" s="115">
        <f>SHIFT_C!E132</f>
        <v>3.4185999999998273E-2</v>
      </c>
      <c r="K158" s="250"/>
      <c r="L158" s="250"/>
      <c r="M158" s="244"/>
      <c r="N158" s="245"/>
    </row>
    <row r="159" spans="1:20" ht="30.25" customHeight="1" x14ac:dyDescent="0.35">
      <c r="A159" s="98"/>
      <c r="B159" s="239"/>
      <c r="C159" s="252"/>
      <c r="D159" s="252"/>
      <c r="E159" s="101">
        <v>154</v>
      </c>
      <c r="F159" s="100" t="s">
        <v>223</v>
      </c>
      <c r="G159" s="99"/>
      <c r="H159" s="115">
        <f>SHIFT_A!E133</f>
        <v>0</v>
      </c>
      <c r="I159" s="115">
        <f>SHIFT_B!E133</f>
        <v>0</v>
      </c>
      <c r="J159" s="115">
        <f>SHIFT_C!E133</f>
        <v>0</v>
      </c>
      <c r="K159" s="250"/>
      <c r="L159" s="250"/>
      <c r="M159" s="244"/>
      <c r="N159" s="245"/>
    </row>
    <row r="160" spans="1:20" ht="30.25" customHeight="1" x14ac:dyDescent="0.35">
      <c r="A160" s="98"/>
      <c r="B160" s="239"/>
      <c r="C160" s="252"/>
      <c r="D160" s="252"/>
      <c r="E160" s="101">
        <v>155</v>
      </c>
      <c r="F160" s="100" t="s">
        <v>224</v>
      </c>
      <c r="G160" s="99"/>
      <c r="H160" s="115">
        <f>SHIFT_A!E134</f>
        <v>0.48604800000001092</v>
      </c>
      <c r="I160" s="115">
        <f>SHIFT_B!E134</f>
        <v>0.49950400000000172</v>
      </c>
      <c r="J160" s="115">
        <f>SHIFT_C!E134</f>
        <v>0.33102399999998511</v>
      </c>
      <c r="K160" s="250"/>
      <c r="L160" s="250"/>
      <c r="M160" s="244"/>
      <c r="N160" s="245"/>
    </row>
    <row r="161" spans="1:14" ht="30.25" customHeight="1" x14ac:dyDescent="0.35">
      <c r="A161" s="98"/>
      <c r="B161" s="239"/>
      <c r="C161" s="252"/>
      <c r="D161" s="252"/>
      <c r="E161" s="101">
        <v>156</v>
      </c>
      <c r="F161" s="100" t="s">
        <v>225</v>
      </c>
      <c r="G161" s="99"/>
      <c r="H161" s="115">
        <f>SHIFT_A!E135</f>
        <v>0.23972799999998529</v>
      </c>
      <c r="I161" s="115">
        <f>SHIFT_B!E135</f>
        <v>0.24628799999999273</v>
      </c>
      <c r="J161" s="115">
        <f>SHIFT_C!E135</f>
        <v>0.25033600000000433</v>
      </c>
      <c r="K161" s="250"/>
      <c r="L161" s="250"/>
      <c r="M161" s="244"/>
      <c r="N161" s="245"/>
    </row>
    <row r="162" spans="1:14" ht="30.25" customHeight="1" x14ac:dyDescent="0.35">
      <c r="A162" s="98"/>
      <c r="B162" s="239"/>
      <c r="C162" s="252"/>
      <c r="D162" s="252"/>
      <c r="E162" s="101">
        <v>157</v>
      </c>
      <c r="F162" s="100" t="s">
        <v>115</v>
      </c>
      <c r="G162" s="99"/>
      <c r="H162" s="115">
        <f>SHIFT_A!E136</f>
        <v>3.4561000000000064E-2</v>
      </c>
      <c r="I162" s="115">
        <f>SHIFT_B!E136</f>
        <v>2.0904999999999951E-3</v>
      </c>
      <c r="J162" s="115">
        <f>SHIFT_C!E136</f>
        <v>6.0765000000002622E-3</v>
      </c>
      <c r="K162" s="250"/>
      <c r="L162" s="250"/>
      <c r="M162" s="244"/>
      <c r="N162" s="245"/>
    </row>
    <row r="163" spans="1:14" ht="30.25" customHeight="1" x14ac:dyDescent="0.35">
      <c r="A163" s="98"/>
      <c r="B163" s="239"/>
      <c r="C163" s="252"/>
      <c r="D163" s="252"/>
      <c r="E163" s="101">
        <v>158</v>
      </c>
      <c r="F163" s="100" t="s">
        <v>182</v>
      </c>
      <c r="G163" s="99" t="s">
        <v>386</v>
      </c>
      <c r="H163" s="115">
        <f>SHIFT_A!E137</f>
        <v>4.5806999999999931E-2</v>
      </c>
      <c r="I163" s="115">
        <f>SHIFT_B!E137</f>
        <v>4.5214000000000532E-2</v>
      </c>
      <c r="J163" s="115">
        <f>SHIFT_C!E137</f>
        <v>5.0215999999998928E-2</v>
      </c>
      <c r="K163" s="251"/>
      <c r="L163" s="251"/>
      <c r="M163" s="246"/>
      <c r="N163" s="247"/>
    </row>
    <row r="164" spans="1:14" ht="30.25" customHeight="1" x14ac:dyDescent="0.35">
      <c r="A164" s="98"/>
      <c r="B164" s="239"/>
      <c r="C164" s="252" t="s">
        <v>126</v>
      </c>
      <c r="D164" s="252"/>
      <c r="E164" s="101">
        <v>159</v>
      </c>
      <c r="F164" s="100" t="s">
        <v>97</v>
      </c>
      <c r="G164" s="99"/>
      <c r="H164" s="115">
        <f>SHIFT_A!E138</f>
        <v>4.0067659999995158</v>
      </c>
      <c r="I164" s="115">
        <f>SHIFT_B!E138</f>
        <v>3.4826130000001285</v>
      </c>
      <c r="J164" s="115">
        <f>SHIFT_C!E138</f>
        <v>2.2178859999994529</v>
      </c>
      <c r="K164" s="249">
        <f>SUM(H165:J176)</f>
        <v>9.7170349999998678</v>
      </c>
      <c r="L164" s="249"/>
      <c r="M164" s="248">
        <f>K164/L6</f>
        <v>0.35718250368557436</v>
      </c>
      <c r="N164" s="248"/>
    </row>
    <row r="165" spans="1:14" ht="30.25" customHeight="1" x14ac:dyDescent="0.35">
      <c r="A165" s="98"/>
      <c r="B165" s="239"/>
      <c r="C165" s="252"/>
      <c r="D165" s="252"/>
      <c r="E165" s="101">
        <v>160</v>
      </c>
      <c r="F165" s="100" t="s">
        <v>116</v>
      </c>
      <c r="G165" s="99"/>
      <c r="H165" s="115">
        <f>SHIFT_A!E139</f>
        <v>0</v>
      </c>
      <c r="I165" s="115">
        <f>SHIFT_B!E139</f>
        <v>0</v>
      </c>
      <c r="J165" s="115">
        <f>SHIFT_C!E139</f>
        <v>0</v>
      </c>
      <c r="K165" s="250"/>
      <c r="L165" s="250"/>
      <c r="M165" s="248"/>
      <c r="N165" s="248"/>
    </row>
    <row r="166" spans="1:14" ht="30.25" customHeight="1" x14ac:dyDescent="0.35">
      <c r="A166" s="98"/>
      <c r="B166" s="239"/>
      <c r="C166" s="252"/>
      <c r="D166" s="252"/>
      <c r="E166" s="101">
        <v>161</v>
      </c>
      <c r="F166" s="100" t="s">
        <v>226</v>
      </c>
      <c r="G166" s="99"/>
      <c r="H166" s="115">
        <f>SHIFT_A!E140</f>
        <v>0.26585599999998522</v>
      </c>
      <c r="I166" s="115">
        <f>SHIFT_B!E140</f>
        <v>0.14182400000004236</v>
      </c>
      <c r="J166" s="115">
        <f>SHIFT_C!E140</f>
        <v>6.1887999999953536E-2</v>
      </c>
      <c r="K166" s="250"/>
      <c r="L166" s="250"/>
      <c r="M166" s="248"/>
      <c r="N166" s="248"/>
    </row>
    <row r="167" spans="1:14" ht="30.25" customHeight="1" x14ac:dyDescent="0.35">
      <c r="A167" s="98"/>
      <c r="B167" s="239"/>
      <c r="C167" s="252"/>
      <c r="D167" s="252"/>
      <c r="E167" s="101">
        <v>162</v>
      </c>
      <c r="F167" s="100" t="s">
        <v>227</v>
      </c>
      <c r="G167" s="99"/>
      <c r="H167" s="115">
        <f>SHIFT_A!E141</f>
        <v>0.21081600000002254</v>
      </c>
      <c r="I167" s="115">
        <f>SHIFT_B!E141</f>
        <v>0.18246399999998175</v>
      </c>
      <c r="J167" s="115">
        <f>SHIFT_C!E141</f>
        <v>0.13740799999993669</v>
      </c>
      <c r="K167" s="250"/>
      <c r="L167" s="250"/>
      <c r="M167" s="248"/>
      <c r="N167" s="248"/>
    </row>
    <row r="168" spans="1:14" ht="30.25" customHeight="1" x14ac:dyDescent="0.35">
      <c r="A168" s="98"/>
      <c r="B168" s="239"/>
      <c r="C168" s="252"/>
      <c r="D168" s="252"/>
      <c r="E168" s="101">
        <v>163</v>
      </c>
      <c r="F168" s="100" t="s">
        <v>228</v>
      </c>
      <c r="G168" s="99"/>
      <c r="H168" s="115">
        <f>SHIFT_A!E142</f>
        <v>1.8463999999994485E-2</v>
      </c>
      <c r="I168" s="115">
        <f>SHIFT_B!E142</f>
        <v>4.0480000000002292E-2</v>
      </c>
      <c r="J168" s="115">
        <f>SHIFT_C!E142</f>
        <v>3.807999999992262E-3</v>
      </c>
      <c r="K168" s="250"/>
      <c r="L168" s="250"/>
      <c r="M168" s="248"/>
      <c r="N168" s="248"/>
    </row>
    <row r="169" spans="1:14" ht="30.25" customHeight="1" x14ac:dyDescent="0.35">
      <c r="A169" s="98"/>
      <c r="B169" s="239"/>
      <c r="C169" s="252"/>
      <c r="D169" s="252"/>
      <c r="E169" s="101">
        <v>164</v>
      </c>
      <c r="F169" s="100" t="s">
        <v>117</v>
      </c>
      <c r="G169" s="99"/>
      <c r="H169" s="115">
        <f>SHIFT_A!E143</f>
        <v>0</v>
      </c>
      <c r="I169" s="115">
        <f>SHIFT_B!E143</f>
        <v>0</v>
      </c>
      <c r="J169" s="115">
        <f>SHIFT_C!E143</f>
        <v>0</v>
      </c>
      <c r="K169" s="250"/>
      <c r="L169" s="250"/>
      <c r="M169" s="248"/>
      <c r="N169" s="248"/>
    </row>
    <row r="170" spans="1:14" ht="30.25" customHeight="1" x14ac:dyDescent="0.35">
      <c r="A170" s="98"/>
      <c r="B170" s="239"/>
      <c r="C170" s="252"/>
      <c r="D170" s="252"/>
      <c r="E170" s="101">
        <v>165</v>
      </c>
      <c r="F170" s="100" t="s">
        <v>118</v>
      </c>
      <c r="G170" s="99"/>
      <c r="H170" s="115">
        <f>SHIFT_A!E144</f>
        <v>1.0263039999999819</v>
      </c>
      <c r="I170" s="115">
        <f>SHIFT_B!E144</f>
        <v>1.0145279999999275</v>
      </c>
      <c r="J170" s="115">
        <f>SHIFT_C!E144</f>
        <v>0.19891200000006393</v>
      </c>
      <c r="K170" s="250"/>
      <c r="L170" s="250"/>
      <c r="M170" s="248"/>
      <c r="N170" s="248"/>
    </row>
    <row r="171" spans="1:14" ht="30.25" customHeight="1" x14ac:dyDescent="0.35">
      <c r="A171" s="98"/>
      <c r="B171" s="239"/>
      <c r="C171" s="252"/>
      <c r="D171" s="252"/>
      <c r="E171" s="101">
        <v>166</v>
      </c>
      <c r="F171" s="100" t="s">
        <v>119</v>
      </c>
      <c r="G171" s="99"/>
      <c r="H171" s="115">
        <f>SHIFT_A!E145</f>
        <v>1.2623359999997774</v>
      </c>
      <c r="I171" s="115">
        <f>SHIFT_B!E145</f>
        <v>1.2369920000001002</v>
      </c>
      <c r="J171" s="115">
        <f>SHIFT_C!E145</f>
        <v>1.0286080000000766</v>
      </c>
      <c r="K171" s="250"/>
      <c r="L171" s="250"/>
      <c r="M171" s="248"/>
      <c r="N171" s="248"/>
    </row>
    <row r="172" spans="1:14" ht="30.25" customHeight="1" x14ac:dyDescent="0.35">
      <c r="A172" s="98"/>
      <c r="B172" s="239"/>
      <c r="C172" s="252"/>
      <c r="D172" s="252"/>
      <c r="E172" s="101">
        <v>167</v>
      </c>
      <c r="F172" s="100" t="s">
        <v>120</v>
      </c>
      <c r="G172" s="99"/>
      <c r="H172" s="115">
        <f>SHIFT_A!E146</f>
        <v>0.32025599999997212</v>
      </c>
      <c r="I172" s="115">
        <f>SHIFT_B!E146</f>
        <v>0</v>
      </c>
      <c r="J172" s="115">
        <f>SHIFT_C!E146</f>
        <v>0</v>
      </c>
      <c r="K172" s="250"/>
      <c r="L172" s="250"/>
      <c r="M172" s="248"/>
      <c r="N172" s="248"/>
    </row>
    <row r="173" spans="1:14" ht="30.25" customHeight="1" x14ac:dyDescent="0.35">
      <c r="A173" s="98"/>
      <c r="B173" s="239"/>
      <c r="C173" s="252"/>
      <c r="D173" s="252"/>
      <c r="E173" s="101">
        <v>168</v>
      </c>
      <c r="F173" s="100" t="s">
        <v>121</v>
      </c>
      <c r="G173" s="99"/>
      <c r="H173" s="115">
        <f>SHIFT_A!E147</f>
        <v>5.9519999999793072E-3</v>
      </c>
      <c r="I173" s="115">
        <f>SHIFT_B!E147</f>
        <v>6.144000000062988E-3</v>
      </c>
      <c r="J173" s="115">
        <f>SHIFT_C!E147</f>
        <v>6.0799999999971988E-3</v>
      </c>
      <c r="K173" s="250"/>
      <c r="L173" s="250"/>
      <c r="M173" s="248"/>
      <c r="N173" s="248"/>
    </row>
    <row r="174" spans="1:14" ht="30.25" customHeight="1" x14ac:dyDescent="0.35">
      <c r="A174" s="98"/>
      <c r="B174" s="239"/>
      <c r="C174" s="252"/>
      <c r="D174" s="252"/>
      <c r="E174" s="101">
        <v>169</v>
      </c>
      <c r="F174" s="100" t="s">
        <v>229</v>
      </c>
      <c r="G174" s="99"/>
      <c r="H174" s="115">
        <f>SHIFT_A!E148</f>
        <v>0</v>
      </c>
      <c r="I174" s="115">
        <f>SHIFT_B!E148</f>
        <v>0</v>
      </c>
      <c r="J174" s="115">
        <f>SHIFT_C!E148</f>
        <v>0</v>
      </c>
      <c r="K174" s="250"/>
      <c r="L174" s="250"/>
      <c r="M174" s="248"/>
      <c r="N174" s="248"/>
    </row>
    <row r="175" spans="1:14" ht="30.25" customHeight="1" x14ac:dyDescent="0.35">
      <c r="A175" s="98"/>
      <c r="B175" s="239"/>
      <c r="C175" s="252"/>
      <c r="D175" s="252"/>
      <c r="E175" s="101">
        <v>170</v>
      </c>
      <c r="F175" s="100" t="s">
        <v>654</v>
      </c>
      <c r="G175" s="99"/>
      <c r="H175" s="115">
        <f>SHIFT_A!E150</f>
        <v>0.90588499999999783</v>
      </c>
      <c r="I175" s="115">
        <f>SHIFT_B!E150</f>
        <v>0.8566330000000022</v>
      </c>
      <c r="J175" s="115">
        <f>SHIFT_C!E150</f>
        <v>0.78539700000001744</v>
      </c>
      <c r="K175" s="250"/>
      <c r="L175" s="250"/>
      <c r="M175" s="248"/>
      <c r="N175" s="248"/>
    </row>
    <row r="176" spans="1:14" ht="30.25" customHeight="1" x14ac:dyDescent="0.35">
      <c r="A176" s="98"/>
      <c r="B176" s="240"/>
      <c r="C176" s="252"/>
      <c r="D176" s="252"/>
      <c r="E176" s="101">
        <v>171</v>
      </c>
      <c r="F176" s="100" t="s">
        <v>127</v>
      </c>
      <c r="G176" s="99"/>
      <c r="H176" s="115">
        <f>SHIFT_A!E149</f>
        <v>0</v>
      </c>
      <c r="I176" s="115">
        <f>SHIFT_B!E149</f>
        <v>0</v>
      </c>
      <c r="J176" s="115">
        <f>SHIFT_C!E149</f>
        <v>0</v>
      </c>
      <c r="K176" s="251"/>
      <c r="L176" s="251"/>
      <c r="M176" s="248"/>
      <c r="N176" s="248"/>
    </row>
    <row r="177" spans="1:14" ht="30.25" customHeight="1" x14ac:dyDescent="0.35">
      <c r="A177" s="98"/>
      <c r="B177" s="238" t="s">
        <v>385</v>
      </c>
      <c r="C177" s="258" t="s">
        <v>384</v>
      </c>
      <c r="D177" s="259"/>
      <c r="E177" s="101">
        <v>172</v>
      </c>
      <c r="F177" s="100" t="s">
        <v>384</v>
      </c>
      <c r="G177" s="99"/>
      <c r="H177" s="115">
        <f>SHIFT_A!E15</f>
        <v>0</v>
      </c>
      <c r="I177" s="115">
        <f>SHIFT_B!E15</f>
        <v>0</v>
      </c>
      <c r="J177" s="115">
        <f>SHIFT_C!E15</f>
        <v>0</v>
      </c>
      <c r="K177" s="120">
        <f>SUM(H177:J177)</f>
        <v>0</v>
      </c>
      <c r="L177" s="121"/>
      <c r="M177" s="248">
        <f>K177/L6</f>
        <v>0</v>
      </c>
      <c r="N177" s="248"/>
    </row>
    <row r="178" spans="1:14" ht="30.25" customHeight="1" x14ac:dyDescent="0.35">
      <c r="A178" s="98"/>
      <c r="B178" s="239"/>
      <c r="C178" s="258" t="s">
        <v>383</v>
      </c>
      <c r="D178" s="259"/>
      <c r="E178" s="101">
        <v>173</v>
      </c>
      <c r="F178" s="100" t="s">
        <v>383</v>
      </c>
      <c r="G178" s="99"/>
      <c r="H178" s="115">
        <f>SHIFT_A!E9</f>
        <v>0</v>
      </c>
      <c r="I178" s="115">
        <f>SHIFT_B!E9</f>
        <v>0</v>
      </c>
      <c r="J178" s="115">
        <f>SHIFT_C!E9</f>
        <v>0</v>
      </c>
      <c r="K178" s="120">
        <f t="shared" ref="K178:K186" si="1">SUM(H178:J178)</f>
        <v>0</v>
      </c>
      <c r="L178" s="121"/>
      <c r="M178" s="233">
        <f>K178/L6</f>
        <v>0</v>
      </c>
      <c r="N178" s="234"/>
    </row>
    <row r="179" spans="1:14" ht="30.25" customHeight="1" x14ac:dyDescent="0.35">
      <c r="A179" s="98"/>
      <c r="B179" s="239"/>
      <c r="C179" s="260" t="s">
        <v>382</v>
      </c>
      <c r="D179" s="261"/>
      <c r="E179" s="101">
        <v>174</v>
      </c>
      <c r="F179" s="100" t="s">
        <v>381</v>
      </c>
      <c r="G179" s="99"/>
      <c r="H179" s="115">
        <f>SHIFT_A!E5</f>
        <v>0</v>
      </c>
      <c r="I179" s="115">
        <f>SHIFT_B!E5</f>
        <v>0</v>
      </c>
      <c r="J179" s="115">
        <f>SHIFT_C!E5</f>
        <v>0</v>
      </c>
      <c r="K179" s="120">
        <f t="shared" si="1"/>
        <v>0</v>
      </c>
      <c r="L179" s="249">
        <f>SUM(K179:K182)</f>
        <v>22.313759000000005</v>
      </c>
      <c r="M179" s="242">
        <f>L179/L6</f>
        <v>0.8202177213786539</v>
      </c>
      <c r="N179" s="243"/>
    </row>
    <row r="180" spans="1:14" ht="30.25" customHeight="1" x14ac:dyDescent="0.35">
      <c r="A180" s="98"/>
      <c r="B180" s="239"/>
      <c r="C180" s="262"/>
      <c r="D180" s="263"/>
      <c r="E180" s="101">
        <v>175</v>
      </c>
      <c r="F180" s="100" t="s">
        <v>380</v>
      </c>
      <c r="G180" s="99"/>
      <c r="H180" s="115">
        <f>SHIFT_A!E6</f>
        <v>2.3649450000000343</v>
      </c>
      <c r="I180" s="115">
        <f>SHIFT_B!E6</f>
        <v>3.0934000000000879</v>
      </c>
      <c r="J180" s="115">
        <f>SHIFT_C!E6</f>
        <v>2.5086809999999105</v>
      </c>
      <c r="K180" s="120">
        <f t="shared" si="1"/>
        <v>7.9670260000000326</v>
      </c>
      <c r="L180" s="250"/>
      <c r="M180" s="244"/>
      <c r="N180" s="245"/>
    </row>
    <row r="181" spans="1:14" ht="30.25" customHeight="1" x14ac:dyDescent="0.35">
      <c r="A181" s="98"/>
      <c r="B181" s="239"/>
      <c r="C181" s="262"/>
      <c r="D181" s="263"/>
      <c r="E181" s="101">
        <v>176</v>
      </c>
      <c r="F181" s="100" t="s">
        <v>379</v>
      </c>
      <c r="G181" s="99"/>
      <c r="H181" s="115">
        <f>SHIFT_A!E7</f>
        <v>2.0141510000000267</v>
      </c>
      <c r="I181" s="115">
        <f>SHIFT_B!E7</f>
        <v>2.6021429999999555</v>
      </c>
      <c r="J181" s="115">
        <f>SHIFT_C!E7</f>
        <v>2.1552379999999971</v>
      </c>
      <c r="K181" s="120">
        <f t="shared" si="1"/>
        <v>6.7715319999999792</v>
      </c>
      <c r="L181" s="250"/>
      <c r="M181" s="244"/>
      <c r="N181" s="245"/>
    </row>
    <row r="182" spans="1:14" ht="30.25" customHeight="1" x14ac:dyDescent="0.35">
      <c r="A182" s="98"/>
      <c r="B182" s="239"/>
      <c r="C182" s="264"/>
      <c r="D182" s="265"/>
      <c r="E182" s="101">
        <v>177</v>
      </c>
      <c r="F182" s="100" t="s">
        <v>378</v>
      </c>
      <c r="G182" s="99"/>
      <c r="H182" s="115">
        <f>SHIFT_A!E8</f>
        <v>2.2709650000000465</v>
      </c>
      <c r="I182" s="115">
        <f>SHIFT_B!E8</f>
        <v>2.928510000000017</v>
      </c>
      <c r="J182" s="115">
        <f>SHIFT_C!E8</f>
        <v>2.3757259999999292</v>
      </c>
      <c r="K182" s="120">
        <f t="shared" si="1"/>
        <v>7.5752009999999927</v>
      </c>
      <c r="L182" s="251"/>
      <c r="M182" s="246"/>
      <c r="N182" s="247"/>
    </row>
    <row r="183" spans="1:14" ht="30.25" customHeight="1" x14ac:dyDescent="0.35">
      <c r="A183" s="98"/>
      <c r="B183" s="239"/>
      <c r="C183" s="260" t="s">
        <v>377</v>
      </c>
      <c r="D183" s="261"/>
      <c r="E183" s="101">
        <v>178</v>
      </c>
      <c r="F183" s="100" t="s">
        <v>376</v>
      </c>
      <c r="G183" s="99"/>
      <c r="H183" s="115">
        <f>SHIFT_A!E19</f>
        <v>0</v>
      </c>
      <c r="I183" s="115">
        <f>SHIFT_B!E19</f>
        <v>0</v>
      </c>
      <c r="J183" s="115">
        <f>SHIFT_C!E19</f>
        <v>0</v>
      </c>
      <c r="K183" s="120">
        <f t="shared" si="1"/>
        <v>0</v>
      </c>
      <c r="L183" s="249">
        <f>SUM(K183:K186)</f>
        <v>21.729792000001908</v>
      </c>
      <c r="M183" s="242">
        <f>L183/L6</f>
        <v>0.7987520381605655</v>
      </c>
      <c r="N183" s="243"/>
    </row>
    <row r="184" spans="1:14" ht="30.25" customHeight="1" x14ac:dyDescent="0.35">
      <c r="A184" s="98"/>
      <c r="B184" s="239"/>
      <c r="C184" s="262"/>
      <c r="D184" s="263"/>
      <c r="E184" s="101">
        <v>179</v>
      </c>
      <c r="F184" s="100" t="s">
        <v>375</v>
      </c>
      <c r="G184" s="99"/>
      <c r="H184" s="115">
        <f>SHIFT_A!E20</f>
        <v>2.3203839999987395</v>
      </c>
      <c r="I184" s="115">
        <f>SHIFT_B!E20</f>
        <v>3.0208000000020547</v>
      </c>
      <c r="J184" s="115">
        <f>SHIFT_C!E20</f>
        <v>2.4657919999990554</v>
      </c>
      <c r="K184" s="120">
        <f t="shared" si="1"/>
        <v>7.8069759999998496</v>
      </c>
      <c r="L184" s="250"/>
      <c r="M184" s="244"/>
      <c r="N184" s="245"/>
    </row>
    <row r="185" spans="1:14" ht="30.25" customHeight="1" x14ac:dyDescent="0.35">
      <c r="A185" s="98"/>
      <c r="B185" s="239"/>
      <c r="C185" s="262"/>
      <c r="D185" s="263"/>
      <c r="E185" s="101">
        <v>180</v>
      </c>
      <c r="F185" s="100" t="s">
        <v>374</v>
      </c>
      <c r="G185" s="99"/>
      <c r="H185" s="115">
        <f>SHIFT_A!E21</f>
        <v>1.9409919999998237</v>
      </c>
      <c r="I185" s="115">
        <f>SHIFT_B!E21</f>
        <v>2.5451520000005985</v>
      </c>
      <c r="J185" s="115">
        <f>SHIFT_C!E21</f>
        <v>2.0802559999992809</v>
      </c>
      <c r="K185" s="120">
        <f t="shared" si="1"/>
        <v>6.5663999999997031</v>
      </c>
      <c r="L185" s="250"/>
      <c r="M185" s="244"/>
      <c r="N185" s="245"/>
    </row>
    <row r="186" spans="1:14" ht="30.25" customHeight="1" x14ac:dyDescent="0.35">
      <c r="A186" s="98"/>
      <c r="B186" s="240"/>
      <c r="C186" s="264"/>
      <c r="D186" s="265"/>
      <c r="E186" s="101">
        <v>181</v>
      </c>
      <c r="F186" s="100" t="s">
        <v>373</v>
      </c>
      <c r="G186" s="99"/>
      <c r="H186" s="115">
        <f>SHIFT_A!E22</f>
        <v>2.1811200000011013</v>
      </c>
      <c r="I186" s="115">
        <f>SHIFT_B!E22</f>
        <v>2.8282880000006116</v>
      </c>
      <c r="J186" s="115">
        <f>SHIFT_C!E22</f>
        <v>2.3470080000006419</v>
      </c>
      <c r="K186" s="120">
        <f t="shared" si="1"/>
        <v>7.3564160000023548</v>
      </c>
      <c r="L186" s="251"/>
      <c r="M186" s="246"/>
      <c r="N186" s="247"/>
    </row>
    <row r="187" spans="1:14" ht="30.25" customHeight="1" x14ac:dyDescent="0.35">
      <c r="A187" s="98"/>
      <c r="B187" s="282" t="s">
        <v>372</v>
      </c>
      <c r="C187" s="283"/>
      <c r="D187" s="283"/>
      <c r="E187" s="283"/>
      <c r="F187" s="284"/>
      <c r="G187" s="97"/>
      <c r="H187" s="222">
        <f>L6</f>
        <v>27.204678000000012</v>
      </c>
      <c r="I187" s="222"/>
      <c r="J187" s="222"/>
      <c r="K187" s="222"/>
      <c r="L187" s="222"/>
      <c r="M187" s="222"/>
      <c r="N187" s="222"/>
    </row>
    <row r="188" spans="1:14" ht="30.25" customHeight="1" x14ac:dyDescent="0.35">
      <c r="A188" s="98"/>
      <c r="B188" s="282" t="s">
        <v>371</v>
      </c>
      <c r="C188" s="283"/>
      <c r="D188" s="283"/>
      <c r="E188" s="283"/>
      <c r="F188" s="284"/>
      <c r="G188" s="97"/>
      <c r="H188" s="222">
        <f>L16</f>
        <v>25.449696999999276</v>
      </c>
      <c r="I188" s="222"/>
      <c r="J188" s="222"/>
      <c r="K188" s="222"/>
      <c r="L188" s="222"/>
      <c r="M188" s="222"/>
      <c r="N188" s="222"/>
    </row>
    <row r="189" spans="1:14" ht="30.25" customHeight="1" x14ac:dyDescent="0.35">
      <c r="A189" s="98"/>
      <c r="B189" s="282" t="s">
        <v>370</v>
      </c>
      <c r="C189" s="283"/>
      <c r="D189" s="283"/>
      <c r="E189" s="283"/>
      <c r="F189" s="284"/>
      <c r="G189" s="97"/>
      <c r="H189" s="222">
        <f>H187-H188</f>
        <v>1.7549810000007362</v>
      </c>
      <c r="I189" s="222"/>
      <c r="J189" s="222"/>
      <c r="K189" s="222"/>
      <c r="L189" s="222"/>
      <c r="M189" s="222"/>
      <c r="N189" s="222"/>
    </row>
    <row r="190" spans="1:14" ht="30.25" customHeight="1" x14ac:dyDescent="0.35">
      <c r="A190" s="98"/>
      <c r="B190" s="282" t="s">
        <v>369</v>
      </c>
      <c r="C190" s="283"/>
      <c r="D190" s="283"/>
      <c r="E190" s="283"/>
      <c r="F190" s="284"/>
      <c r="G190" s="97"/>
      <c r="H190" s="223">
        <f>H189/H187</f>
        <v>6.4510265477162987E-2</v>
      </c>
      <c r="I190" s="223"/>
      <c r="J190" s="223"/>
      <c r="K190" s="223"/>
      <c r="L190" s="223"/>
      <c r="M190" s="223"/>
      <c r="N190" s="223"/>
    </row>
  </sheetData>
  <mergeCells count="104">
    <mergeCell ref="F1:K1"/>
    <mergeCell ref="L1:N1"/>
    <mergeCell ref="B2:N4"/>
    <mergeCell ref="C5:D5"/>
    <mergeCell ref="M5:N5"/>
    <mergeCell ref="B6:B15"/>
    <mergeCell ref="C6:D10"/>
    <mergeCell ref="K6:K10"/>
    <mergeCell ref="L6:L15"/>
    <mergeCell ref="M6:N10"/>
    <mergeCell ref="B16:B20"/>
    <mergeCell ref="C16:D20"/>
    <mergeCell ref="L16:L20"/>
    <mergeCell ref="M16:N16"/>
    <mergeCell ref="M17:N17"/>
    <mergeCell ref="M18:N18"/>
    <mergeCell ref="M19:N19"/>
    <mergeCell ref="M20:N20"/>
    <mergeCell ref="C11:D11"/>
    <mergeCell ref="M11:N11"/>
    <mergeCell ref="C12:D14"/>
    <mergeCell ref="K12:K14"/>
    <mergeCell ref="M12:N14"/>
    <mergeCell ref="C15:D15"/>
    <mergeCell ref="M15:N15"/>
    <mergeCell ref="L33:L34"/>
    <mergeCell ref="M33:N34"/>
    <mergeCell ref="C35:D40"/>
    <mergeCell ref="K35:K40"/>
    <mergeCell ref="L35:L40"/>
    <mergeCell ref="M35:N40"/>
    <mergeCell ref="B21:B48"/>
    <mergeCell ref="C21:D25"/>
    <mergeCell ref="K21:K25"/>
    <mergeCell ref="L21:L32"/>
    <mergeCell ref="M21:N25"/>
    <mergeCell ref="C26:D32"/>
    <mergeCell ref="K26:K32"/>
    <mergeCell ref="M26:N32"/>
    <mergeCell ref="C33:D34"/>
    <mergeCell ref="K33:K34"/>
    <mergeCell ref="C46:D47"/>
    <mergeCell ref="K46:K47"/>
    <mergeCell ref="L46:L47"/>
    <mergeCell ref="M46:N47"/>
    <mergeCell ref="C48:D48"/>
    <mergeCell ref="M48:N48"/>
    <mergeCell ref="C41:D43"/>
    <mergeCell ref="K41:K43"/>
    <mergeCell ref="L41:L43"/>
    <mergeCell ref="M41:N43"/>
    <mergeCell ref="C44:D45"/>
    <mergeCell ref="K44:K45"/>
    <mergeCell ref="L44:L45"/>
    <mergeCell ref="M44:N45"/>
    <mergeCell ref="B49:B71"/>
    <mergeCell ref="C49:D61"/>
    <mergeCell ref="K49:K61"/>
    <mergeCell ref="L49:L61"/>
    <mergeCell ref="M49:N61"/>
    <mergeCell ref="C62:D71"/>
    <mergeCell ref="K62:K71"/>
    <mergeCell ref="L62:L71"/>
    <mergeCell ref="M62:N71"/>
    <mergeCell ref="K119:K140"/>
    <mergeCell ref="L119:L140"/>
    <mergeCell ref="M119:N140"/>
    <mergeCell ref="C141:D163"/>
    <mergeCell ref="K141:K163"/>
    <mergeCell ref="L141:L163"/>
    <mergeCell ref="M141:N163"/>
    <mergeCell ref="B72:B176"/>
    <mergeCell ref="C72:D92"/>
    <mergeCell ref="K72:K92"/>
    <mergeCell ref="L72:L92"/>
    <mergeCell ref="M72:N92"/>
    <mergeCell ref="C93:D118"/>
    <mergeCell ref="K93:K118"/>
    <mergeCell ref="L93:L118"/>
    <mergeCell ref="M93:N118"/>
    <mergeCell ref="C119:D140"/>
    <mergeCell ref="C164:D176"/>
    <mergeCell ref="K164:K176"/>
    <mergeCell ref="L164:L176"/>
    <mergeCell ref="M164:N176"/>
    <mergeCell ref="B177:B186"/>
    <mergeCell ref="C177:D177"/>
    <mergeCell ref="M177:N177"/>
    <mergeCell ref="C178:D178"/>
    <mergeCell ref="M178:N178"/>
    <mergeCell ref="C179:D182"/>
    <mergeCell ref="B188:F188"/>
    <mergeCell ref="B189:F189"/>
    <mergeCell ref="B190:F190"/>
    <mergeCell ref="H188:N188"/>
    <mergeCell ref="H189:N189"/>
    <mergeCell ref="H190:N190"/>
    <mergeCell ref="L179:L182"/>
    <mergeCell ref="M179:N182"/>
    <mergeCell ref="C183:D186"/>
    <mergeCell ref="L183:L186"/>
    <mergeCell ref="M183:N186"/>
    <mergeCell ref="B187:F187"/>
    <mergeCell ref="H187:N187"/>
  </mergeCells>
  <pageMargins left="0.7" right="0.7" top="0.75" bottom="0.75" header="0.3" footer="0.3"/>
  <pageSetup orientation="portrait" r:id="rId1"/>
  <headerFooter>
    <oddFooter>&amp;C&amp;1#&amp;"Arial"&amp;6&amp;K626469Internal</oddFooter>
  </headerFooter>
  <ignoredErrors>
    <ignoredError sqref="H64:J64" formula="1"/>
  </ignoredError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F05B6-2A70-4390-90B0-D4578E0B2059}">
  <sheetPr codeName="Sheet29"/>
  <dimension ref="B1:GE30"/>
  <sheetViews>
    <sheetView topLeftCell="A2" zoomScale="60" zoomScaleNormal="70" workbookViewId="0">
      <pane xSplit="2" ySplit="5" topLeftCell="C7" activePane="bottomRight" state="frozen"/>
      <selection activeCell="A2" sqref="A2"/>
      <selection pane="topRight" activeCell="C2" sqref="C2"/>
      <selection pane="bottomLeft" activeCell="A8" sqref="A8"/>
      <selection pane="bottomRight" activeCell="G12" sqref="G12"/>
    </sheetView>
  </sheetViews>
  <sheetFormatPr defaultColWidth="12.453125" defaultRowHeight="32.25" customHeight="1" x14ac:dyDescent="0.25"/>
  <cols>
    <col min="1" max="1" width="2.81640625" style="143" customWidth="1"/>
    <col min="2" max="2" width="21.81640625" style="143" customWidth="1"/>
    <col min="3" max="29" width="16.81640625" style="143" customWidth="1"/>
    <col min="30" max="30" width="19.1796875" style="143" customWidth="1"/>
    <col min="31" max="31" width="18.7265625" style="143" customWidth="1"/>
    <col min="32" max="36" width="16.81640625" style="143" customWidth="1"/>
    <col min="37" max="43" width="16.81640625" style="144" customWidth="1"/>
    <col min="44" max="44" width="16.81640625" style="143" customWidth="1"/>
    <col min="45" max="54" width="16.81640625" style="144" customWidth="1"/>
    <col min="55" max="183" width="16.81640625" style="143" customWidth="1"/>
    <col min="184" max="16384" width="12.453125" style="143"/>
  </cols>
  <sheetData>
    <row r="1" spans="2:187" ht="32.25" hidden="1" customHeight="1" x14ac:dyDescent="0.25"/>
    <row r="2" spans="2:187" ht="58.75" customHeight="1" x14ac:dyDescent="0.25">
      <c r="B2" s="289">
        <f>DAILY_ENERGY!B2</f>
        <v>45838.291666666664</v>
      </c>
      <c r="C2" s="290"/>
      <c r="D2" s="291"/>
      <c r="E2" s="145"/>
      <c r="F2" s="296" t="s">
        <v>661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297"/>
      <c r="AC2" s="297"/>
      <c r="AD2" s="297"/>
      <c r="AE2" s="297"/>
      <c r="AF2" s="297"/>
      <c r="AG2" s="297"/>
      <c r="AH2" s="297"/>
      <c r="AI2" s="297"/>
      <c r="AJ2" s="297"/>
      <c r="AK2" s="297"/>
      <c r="AL2" s="297"/>
      <c r="AM2" s="297"/>
      <c r="AN2" s="297"/>
      <c r="AO2" s="297"/>
      <c r="AP2" s="297"/>
      <c r="AQ2" s="297"/>
      <c r="AR2" s="297"/>
      <c r="AS2" s="297"/>
      <c r="AT2" s="297"/>
      <c r="AU2" s="297"/>
      <c r="AV2" s="297"/>
      <c r="AW2" s="297"/>
      <c r="AX2" s="297"/>
      <c r="AY2" s="297"/>
      <c r="AZ2" s="297"/>
      <c r="BA2" s="297"/>
      <c r="BB2" s="297"/>
      <c r="BC2" s="297"/>
      <c r="BD2" s="297"/>
      <c r="BE2" s="297"/>
      <c r="BF2" s="297"/>
      <c r="BG2" s="297"/>
      <c r="BH2" s="297"/>
      <c r="BI2" s="297"/>
      <c r="BJ2" s="297"/>
      <c r="BK2" s="297"/>
      <c r="BL2" s="297"/>
      <c r="BM2" s="297"/>
      <c r="BN2" s="297"/>
      <c r="BO2" s="297"/>
      <c r="BP2" s="297"/>
      <c r="BQ2" s="297"/>
      <c r="BR2" s="297"/>
      <c r="BS2" s="297"/>
      <c r="BT2" s="297"/>
      <c r="BU2" s="297"/>
      <c r="BV2" s="297"/>
      <c r="BW2" s="297"/>
      <c r="BX2" s="297"/>
      <c r="BY2" s="297"/>
      <c r="BZ2" s="297"/>
      <c r="CA2" s="297"/>
      <c r="CB2" s="297"/>
      <c r="CC2" s="297"/>
      <c r="CD2" s="297"/>
      <c r="CE2" s="297"/>
      <c r="CF2" s="297"/>
      <c r="CG2" s="297"/>
      <c r="CH2" s="297"/>
      <c r="CI2" s="297"/>
      <c r="CJ2" s="297"/>
      <c r="CK2" s="297"/>
      <c r="CL2" s="297"/>
      <c r="CM2" s="297"/>
      <c r="CN2" s="297"/>
      <c r="CO2" s="297"/>
      <c r="CP2" s="297"/>
      <c r="CQ2" s="297"/>
      <c r="CR2" s="297"/>
      <c r="CS2" s="297"/>
      <c r="CT2" s="297"/>
      <c r="CU2" s="297"/>
      <c r="CV2" s="297"/>
      <c r="CW2" s="297"/>
      <c r="CX2" s="297"/>
      <c r="CY2" s="297"/>
      <c r="CZ2" s="297"/>
      <c r="DA2" s="297"/>
      <c r="DB2" s="297"/>
      <c r="DC2" s="297"/>
      <c r="DD2" s="297"/>
      <c r="DE2" s="297"/>
      <c r="DF2" s="297"/>
      <c r="DG2" s="297"/>
      <c r="DH2" s="297"/>
      <c r="DI2" s="297"/>
      <c r="DJ2" s="297"/>
      <c r="DK2" s="297"/>
      <c r="DL2" s="297"/>
      <c r="DM2" s="297"/>
      <c r="DN2" s="297"/>
      <c r="DO2" s="297"/>
      <c r="DP2" s="297"/>
      <c r="DQ2" s="297"/>
      <c r="DR2" s="297"/>
      <c r="DS2" s="297"/>
      <c r="DT2" s="297"/>
      <c r="DU2" s="297"/>
      <c r="DV2" s="297"/>
      <c r="DW2" s="297"/>
      <c r="DX2" s="297"/>
      <c r="DY2" s="297"/>
      <c r="DZ2" s="297"/>
      <c r="EA2" s="297"/>
      <c r="EB2" s="297"/>
      <c r="EC2" s="297"/>
      <c r="ED2" s="297"/>
      <c r="EE2" s="297"/>
      <c r="EF2" s="297"/>
      <c r="EG2" s="297"/>
      <c r="EH2" s="297"/>
      <c r="EI2" s="297"/>
      <c r="EJ2" s="297"/>
      <c r="EK2" s="297"/>
      <c r="EL2" s="297"/>
      <c r="EM2" s="297"/>
      <c r="EN2" s="297"/>
      <c r="EO2" s="297"/>
      <c r="EP2" s="297"/>
      <c r="EQ2" s="297"/>
      <c r="ER2" s="297"/>
      <c r="ES2" s="297"/>
      <c r="ET2" s="297"/>
      <c r="EU2" s="297"/>
      <c r="EV2" s="297"/>
      <c r="EW2" s="297"/>
      <c r="EX2" s="297"/>
      <c r="EY2" s="297"/>
      <c r="EZ2" s="297"/>
      <c r="FA2" s="297"/>
      <c r="FB2" s="297"/>
      <c r="FC2" s="297"/>
      <c r="FD2" s="297"/>
      <c r="FE2" s="297"/>
      <c r="FF2" s="297"/>
      <c r="FG2" s="297"/>
      <c r="FH2" s="297"/>
      <c r="FI2" s="297"/>
      <c r="FJ2" s="297"/>
      <c r="FK2" s="297"/>
      <c r="FL2" s="297"/>
      <c r="FM2" s="297"/>
      <c r="FN2" s="297"/>
      <c r="FO2" s="297"/>
      <c r="FP2" s="297"/>
      <c r="FQ2" s="297"/>
      <c r="FR2" s="297"/>
      <c r="FS2" s="297"/>
      <c r="FT2" s="297"/>
      <c r="FU2" s="297"/>
      <c r="FV2" s="297"/>
      <c r="FW2" s="297"/>
      <c r="FX2" s="297"/>
      <c r="FY2" s="297"/>
      <c r="FZ2" s="297"/>
      <c r="GA2" s="297"/>
      <c r="GB2" s="297"/>
      <c r="GC2" s="297"/>
      <c r="GD2" s="297"/>
      <c r="GE2" s="297"/>
    </row>
    <row r="3" spans="2:187" s="146" customFormat="1" ht="32.25" customHeight="1" x14ac:dyDescent="0.25">
      <c r="B3" s="293" t="s">
        <v>662</v>
      </c>
      <c r="C3" s="292" t="s">
        <v>484</v>
      </c>
      <c r="D3" s="292"/>
      <c r="E3" s="292"/>
      <c r="F3" s="292"/>
      <c r="G3" s="292"/>
      <c r="H3" s="292"/>
      <c r="I3" s="292"/>
      <c r="J3" s="292"/>
      <c r="K3" s="292"/>
      <c r="L3" s="292"/>
      <c r="M3" s="252" t="s">
        <v>467</v>
      </c>
      <c r="N3" s="252"/>
      <c r="O3" s="252"/>
      <c r="P3" s="252"/>
      <c r="Q3" s="252"/>
      <c r="R3" s="292" t="s">
        <v>465</v>
      </c>
      <c r="S3" s="292"/>
      <c r="T3" s="292"/>
      <c r="U3" s="292"/>
      <c r="V3" s="292"/>
      <c r="W3" s="292"/>
      <c r="X3" s="292"/>
      <c r="Y3" s="292"/>
      <c r="Z3" s="292"/>
      <c r="AA3" s="292"/>
      <c r="AB3" s="292"/>
      <c r="AC3" s="292"/>
      <c r="AD3" s="292"/>
      <c r="AE3" s="292"/>
      <c r="AF3" s="292"/>
      <c r="AG3" s="292"/>
      <c r="AH3" s="292"/>
      <c r="AI3" s="292"/>
      <c r="AJ3" s="292"/>
      <c r="AK3" s="292"/>
      <c r="AL3" s="292"/>
      <c r="AM3" s="292"/>
      <c r="AN3" s="292"/>
      <c r="AO3" s="292"/>
      <c r="AP3" s="292"/>
      <c r="AQ3" s="292"/>
      <c r="AR3" s="292"/>
      <c r="AS3" s="292"/>
      <c r="AT3" s="252" t="s">
        <v>462</v>
      </c>
      <c r="AU3" s="252"/>
      <c r="AV3" s="252"/>
      <c r="AW3" s="252"/>
      <c r="AX3" s="252"/>
      <c r="AY3" s="252"/>
      <c r="AZ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 t="s">
        <v>495</v>
      </c>
      <c r="BR3" s="252"/>
      <c r="BS3" s="252"/>
      <c r="BT3" s="252"/>
      <c r="BU3" s="252"/>
      <c r="BV3" s="252"/>
      <c r="BW3" s="252"/>
      <c r="BX3" s="252"/>
      <c r="BY3" s="252"/>
      <c r="BZ3" s="252"/>
      <c r="CA3" s="252"/>
      <c r="CB3" s="252"/>
      <c r="CC3" s="252"/>
      <c r="CD3" s="252"/>
      <c r="CE3" s="252"/>
      <c r="CF3" s="252"/>
      <c r="CG3" s="252"/>
      <c r="CH3" s="252"/>
      <c r="CI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  <c r="DB3" s="252"/>
      <c r="DC3" s="252"/>
      <c r="DD3" s="252"/>
      <c r="DE3" s="252"/>
      <c r="DF3" s="252"/>
      <c r="DG3" s="252"/>
      <c r="DH3" s="252"/>
      <c r="DI3" s="252"/>
      <c r="DJ3" s="252"/>
      <c r="DK3" s="252"/>
      <c r="DL3" s="252"/>
      <c r="DM3" s="252"/>
      <c r="DN3" s="252"/>
      <c r="DO3" s="252"/>
      <c r="DP3" s="252"/>
      <c r="DQ3" s="252"/>
      <c r="DR3" s="252"/>
      <c r="DS3" s="252"/>
      <c r="DT3" s="252"/>
      <c r="DU3" s="252"/>
      <c r="DV3" s="252"/>
      <c r="DW3" s="252"/>
      <c r="DX3" s="252"/>
      <c r="DY3" s="252"/>
      <c r="DZ3" s="252"/>
      <c r="EA3" s="252"/>
      <c r="EB3" s="252"/>
      <c r="EC3" s="252"/>
      <c r="ED3" s="252"/>
      <c r="EE3" s="252"/>
      <c r="EF3" s="252"/>
      <c r="EG3" s="252"/>
      <c r="EH3" s="252"/>
      <c r="EI3" s="252"/>
      <c r="EJ3" s="252"/>
      <c r="EK3" s="252"/>
      <c r="EL3" s="252"/>
      <c r="EM3" s="252"/>
      <c r="EN3" s="252"/>
      <c r="EO3" s="252"/>
      <c r="EP3" s="252"/>
      <c r="EQ3" s="252"/>
      <c r="ER3" s="252"/>
      <c r="ES3" s="252"/>
      <c r="ET3" s="252"/>
      <c r="EU3" s="252"/>
      <c r="EV3" s="252"/>
      <c r="EW3" s="252"/>
      <c r="EX3" s="252"/>
      <c r="EY3" s="252"/>
      <c r="EZ3" s="252"/>
      <c r="FA3" s="252"/>
      <c r="FB3" s="252"/>
      <c r="FC3" s="252"/>
      <c r="FD3" s="252"/>
      <c r="FE3" s="252"/>
      <c r="FF3" s="252"/>
      <c r="FG3" s="252"/>
      <c r="FH3" s="252"/>
      <c r="FI3" s="252"/>
      <c r="FJ3" s="252"/>
      <c r="FK3" s="252"/>
      <c r="FL3" s="252"/>
      <c r="FM3" s="252"/>
      <c r="FN3" s="252"/>
      <c r="FO3" s="252"/>
      <c r="FP3" s="252"/>
      <c r="FQ3" s="252"/>
      <c r="FR3" s="252" t="s">
        <v>385</v>
      </c>
      <c r="FS3" s="252"/>
      <c r="FT3" s="252"/>
      <c r="FU3" s="252"/>
      <c r="FV3" s="252"/>
      <c r="FW3" s="252"/>
      <c r="FX3" s="252"/>
      <c r="FY3" s="252"/>
      <c r="FZ3" s="252"/>
      <c r="GA3" s="252"/>
      <c r="GB3" s="252" t="s">
        <v>372</v>
      </c>
      <c r="GC3" s="252" t="s">
        <v>371</v>
      </c>
      <c r="GD3" s="252" t="s">
        <v>370</v>
      </c>
      <c r="GE3" s="252" t="s">
        <v>369</v>
      </c>
    </row>
    <row r="4" spans="2:187" s="146" customFormat="1" ht="32.25" hidden="1" customHeight="1" x14ac:dyDescent="0.25">
      <c r="B4" s="294"/>
      <c r="C4" s="252" t="s">
        <v>483</v>
      </c>
      <c r="D4" s="252"/>
      <c r="E4" s="252"/>
      <c r="F4" s="252"/>
      <c r="G4" s="252"/>
      <c r="H4" s="252" t="s">
        <v>476</v>
      </c>
      <c r="I4" s="252" t="s">
        <v>474</v>
      </c>
      <c r="J4" s="252"/>
      <c r="K4" s="252"/>
      <c r="L4" s="252" t="s">
        <v>470</v>
      </c>
      <c r="M4" s="252" t="s">
        <v>466</v>
      </c>
      <c r="N4" s="252"/>
      <c r="O4" s="252"/>
      <c r="P4" s="252"/>
      <c r="Q4" s="252"/>
      <c r="R4" s="292" t="s">
        <v>464</v>
      </c>
      <c r="S4" s="292"/>
      <c r="T4" s="292"/>
      <c r="U4" s="292"/>
      <c r="V4" s="292"/>
      <c r="W4" s="292" t="s">
        <v>458</v>
      </c>
      <c r="X4" s="292"/>
      <c r="Y4" s="292"/>
      <c r="Z4" s="292"/>
      <c r="AA4" s="292"/>
      <c r="AB4" s="292"/>
      <c r="AC4" s="292"/>
      <c r="AD4" s="252" t="s">
        <v>496</v>
      </c>
      <c r="AE4" s="252"/>
      <c r="AF4" s="252" t="s">
        <v>449</v>
      </c>
      <c r="AG4" s="252"/>
      <c r="AH4" s="252"/>
      <c r="AI4" s="252"/>
      <c r="AJ4" s="252"/>
      <c r="AK4" s="252"/>
      <c r="AL4" s="252" t="s">
        <v>442</v>
      </c>
      <c r="AM4" s="252"/>
      <c r="AN4" s="252"/>
      <c r="AO4" s="252" t="s">
        <v>438</v>
      </c>
      <c r="AP4" s="252"/>
      <c r="AQ4" s="252" t="s">
        <v>436</v>
      </c>
      <c r="AR4" s="252"/>
      <c r="AS4" s="252" t="s">
        <v>431</v>
      </c>
      <c r="AT4" s="252" t="s">
        <v>429</v>
      </c>
      <c r="AU4" s="252"/>
      <c r="AV4" s="252"/>
      <c r="AW4" s="252"/>
      <c r="AX4" s="252"/>
      <c r="AY4" s="252"/>
      <c r="AZ4" s="252"/>
      <c r="BA4" s="252"/>
      <c r="BB4" s="252"/>
      <c r="BC4" s="252"/>
      <c r="BD4" s="252"/>
      <c r="BE4" s="252"/>
      <c r="BF4" s="252"/>
      <c r="BG4" s="252" t="s">
        <v>425</v>
      </c>
      <c r="BH4" s="252"/>
      <c r="BI4" s="252"/>
      <c r="BJ4" s="252"/>
      <c r="BK4" s="252"/>
      <c r="BL4" s="252"/>
      <c r="BM4" s="252"/>
      <c r="BN4" s="252"/>
      <c r="BO4" s="252"/>
      <c r="BP4" s="252"/>
      <c r="BQ4" s="252" t="s">
        <v>122</v>
      </c>
      <c r="BR4" s="252"/>
      <c r="BS4" s="252"/>
      <c r="BT4" s="252"/>
      <c r="BU4" s="252"/>
      <c r="BV4" s="252"/>
      <c r="BW4" s="252"/>
      <c r="BX4" s="252"/>
      <c r="BY4" s="252"/>
      <c r="BZ4" s="252"/>
      <c r="CA4" s="252"/>
      <c r="CB4" s="252"/>
      <c r="CC4" s="252"/>
      <c r="CD4" s="252"/>
      <c r="CE4" s="252"/>
      <c r="CF4" s="252"/>
      <c r="CG4" s="252"/>
      <c r="CH4" s="252"/>
      <c r="CI4" s="252"/>
      <c r="CJ4" s="252"/>
      <c r="CK4" s="252"/>
      <c r="CL4" s="252" t="s">
        <v>123</v>
      </c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  <c r="DB4" s="252"/>
      <c r="DC4" s="252"/>
      <c r="DD4" s="252"/>
      <c r="DE4" s="252"/>
      <c r="DF4" s="252"/>
      <c r="DG4" s="252"/>
      <c r="DH4" s="252"/>
      <c r="DI4" s="252"/>
      <c r="DJ4" s="252"/>
      <c r="DK4" s="252"/>
      <c r="DL4" s="252" t="s">
        <v>124</v>
      </c>
      <c r="DM4" s="252"/>
      <c r="DN4" s="252"/>
      <c r="DO4" s="252"/>
      <c r="DP4" s="252"/>
      <c r="DQ4" s="252"/>
      <c r="DR4" s="252"/>
      <c r="DS4" s="252"/>
      <c r="DT4" s="252"/>
      <c r="DU4" s="252"/>
      <c r="DV4" s="252"/>
      <c r="DW4" s="252"/>
      <c r="DX4" s="252"/>
      <c r="DY4" s="252"/>
      <c r="DZ4" s="252"/>
      <c r="EA4" s="252"/>
      <c r="EB4" s="252"/>
      <c r="EC4" s="252"/>
      <c r="ED4" s="252"/>
      <c r="EE4" s="252"/>
      <c r="EF4" s="252"/>
      <c r="EG4" s="252"/>
      <c r="EH4" s="252" t="s">
        <v>125</v>
      </c>
      <c r="EI4" s="252"/>
      <c r="EJ4" s="252"/>
      <c r="EK4" s="252"/>
      <c r="EL4" s="252"/>
      <c r="EM4" s="252"/>
      <c r="EN4" s="252"/>
      <c r="EO4" s="252"/>
      <c r="EP4" s="252"/>
      <c r="EQ4" s="252"/>
      <c r="ER4" s="252"/>
      <c r="ES4" s="252"/>
      <c r="ET4" s="252"/>
      <c r="EU4" s="252"/>
      <c r="EV4" s="252"/>
      <c r="EW4" s="252"/>
      <c r="EX4" s="252"/>
      <c r="EY4" s="252"/>
      <c r="EZ4" s="252"/>
      <c r="FA4" s="252"/>
      <c r="FB4" s="252"/>
      <c r="FC4" s="252"/>
      <c r="FD4" s="252"/>
      <c r="FE4" s="252" t="s">
        <v>126</v>
      </c>
      <c r="FF4" s="252"/>
      <c r="FG4" s="252"/>
      <c r="FH4" s="252"/>
      <c r="FI4" s="252"/>
      <c r="FJ4" s="252"/>
      <c r="FK4" s="252"/>
      <c r="FL4" s="252"/>
      <c r="FM4" s="252"/>
      <c r="FN4" s="252"/>
      <c r="FO4" s="252"/>
      <c r="FP4" s="252"/>
      <c r="FQ4" s="252"/>
      <c r="FR4" s="252" t="s">
        <v>384</v>
      </c>
      <c r="FS4" s="252" t="s">
        <v>383</v>
      </c>
      <c r="FT4" s="252" t="s">
        <v>382</v>
      </c>
      <c r="FU4" s="252"/>
      <c r="FV4" s="252"/>
      <c r="FW4" s="252"/>
      <c r="FX4" s="252" t="s">
        <v>377</v>
      </c>
      <c r="FY4" s="252"/>
      <c r="FZ4" s="252"/>
      <c r="GA4" s="252"/>
      <c r="GB4" s="252"/>
      <c r="GC4" s="252"/>
      <c r="GD4" s="252"/>
      <c r="GE4" s="252"/>
    </row>
    <row r="5" spans="2:187" s="147" customFormat="1" ht="32.25" customHeight="1" x14ac:dyDescent="0.25">
      <c r="B5" s="295"/>
      <c r="C5" s="252"/>
      <c r="D5" s="252"/>
      <c r="E5" s="252"/>
      <c r="F5" s="252"/>
      <c r="G5" s="252"/>
      <c r="H5" s="252"/>
      <c r="I5" s="252"/>
      <c r="J5" s="252"/>
      <c r="K5" s="252"/>
      <c r="L5" s="252"/>
      <c r="M5" s="252"/>
      <c r="N5" s="252"/>
      <c r="O5" s="252"/>
      <c r="P5" s="252"/>
      <c r="Q5" s="252"/>
      <c r="R5" s="292"/>
      <c r="S5" s="292"/>
      <c r="T5" s="292"/>
      <c r="U5" s="292"/>
      <c r="V5" s="292"/>
      <c r="W5" s="292"/>
      <c r="X5" s="292"/>
      <c r="Y5" s="292"/>
      <c r="Z5" s="292"/>
      <c r="AA5" s="292"/>
      <c r="AB5" s="292"/>
      <c r="AC5" s="29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AP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BW5" s="252"/>
      <c r="BX5" s="252"/>
      <c r="BY5" s="252"/>
      <c r="BZ5" s="252"/>
      <c r="CA5" s="252"/>
      <c r="CB5" s="252"/>
      <c r="CC5" s="252"/>
      <c r="CD5" s="252"/>
      <c r="CE5" s="252"/>
      <c r="CF5" s="252"/>
      <c r="CG5" s="252"/>
      <c r="CH5" s="252"/>
      <c r="CI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  <c r="DB5" s="252"/>
      <c r="DC5" s="252"/>
      <c r="DD5" s="252"/>
      <c r="DE5" s="252"/>
      <c r="DF5" s="252"/>
      <c r="DG5" s="252"/>
      <c r="DH5" s="252"/>
      <c r="DI5" s="252"/>
      <c r="DJ5" s="252"/>
      <c r="DK5" s="252"/>
      <c r="DL5" s="252"/>
      <c r="DM5" s="252"/>
      <c r="DN5" s="252"/>
      <c r="DO5" s="252"/>
      <c r="DP5" s="252"/>
      <c r="DQ5" s="252"/>
      <c r="DR5" s="252"/>
      <c r="DS5" s="252"/>
      <c r="DT5" s="252"/>
      <c r="DU5" s="252"/>
      <c r="DV5" s="252"/>
      <c r="DW5" s="252"/>
      <c r="DX5" s="252"/>
      <c r="DY5" s="252"/>
      <c r="DZ5" s="252"/>
      <c r="EA5" s="252"/>
      <c r="EB5" s="252"/>
      <c r="EC5" s="252"/>
      <c r="ED5" s="252"/>
      <c r="EE5" s="252"/>
      <c r="EF5" s="252"/>
      <c r="EG5" s="252"/>
      <c r="EH5" s="252"/>
      <c r="EI5" s="252"/>
      <c r="EJ5" s="252"/>
      <c r="EK5" s="252"/>
      <c r="EL5" s="252"/>
      <c r="EM5" s="252"/>
      <c r="EN5" s="252"/>
      <c r="EO5" s="252"/>
      <c r="EP5" s="252"/>
      <c r="EQ5" s="252"/>
      <c r="ER5" s="252"/>
      <c r="ES5" s="252"/>
      <c r="ET5" s="252"/>
      <c r="EU5" s="252"/>
      <c r="EV5" s="252"/>
      <c r="EW5" s="252"/>
      <c r="EX5" s="252"/>
      <c r="EY5" s="252"/>
      <c r="EZ5" s="252"/>
      <c r="FA5" s="252"/>
      <c r="FB5" s="252"/>
      <c r="FC5" s="252"/>
      <c r="FD5" s="252"/>
      <c r="FE5" s="252"/>
      <c r="FF5" s="252"/>
      <c r="FG5" s="252"/>
      <c r="FH5" s="252"/>
      <c r="FI5" s="252"/>
      <c r="FJ5" s="252"/>
      <c r="FK5" s="252"/>
      <c r="FL5" s="252"/>
      <c r="FM5" s="252"/>
      <c r="FN5" s="252"/>
      <c r="FO5" s="252"/>
      <c r="FP5" s="252"/>
      <c r="FQ5" s="252"/>
      <c r="FR5" s="252"/>
      <c r="FS5" s="252"/>
      <c r="FT5" s="252"/>
      <c r="FU5" s="252"/>
      <c r="FV5" s="252"/>
      <c r="FW5" s="252"/>
      <c r="FX5" s="252"/>
      <c r="FY5" s="252"/>
      <c r="FZ5" s="252"/>
      <c r="GA5" s="252"/>
      <c r="GB5" s="252"/>
      <c r="GC5" s="252"/>
      <c r="GD5" s="252"/>
      <c r="GE5" s="252"/>
    </row>
    <row r="6" spans="2:187" s="147" customFormat="1" ht="50.15" customHeight="1" x14ac:dyDescent="0.25">
      <c r="B6" s="148"/>
      <c r="C6" s="100" t="s">
        <v>482</v>
      </c>
      <c r="D6" s="100" t="s">
        <v>480</v>
      </c>
      <c r="E6" s="100" t="s">
        <v>478</v>
      </c>
      <c r="F6" s="100" t="s">
        <v>477</v>
      </c>
      <c r="G6" s="100" t="s">
        <v>96</v>
      </c>
      <c r="H6" s="100" t="s">
        <v>475</v>
      </c>
      <c r="I6" s="100" t="s">
        <v>473</v>
      </c>
      <c r="J6" s="100" t="s">
        <v>472</v>
      </c>
      <c r="K6" s="100" t="s">
        <v>471</v>
      </c>
      <c r="L6" s="100" t="s">
        <v>469</v>
      </c>
      <c r="M6" s="100" t="s">
        <v>122</v>
      </c>
      <c r="N6" s="100" t="s">
        <v>123</v>
      </c>
      <c r="O6" s="100" t="s">
        <v>124</v>
      </c>
      <c r="P6" s="100" t="s">
        <v>125</v>
      </c>
      <c r="Q6" s="100" t="s">
        <v>126</v>
      </c>
      <c r="R6" s="100" t="s">
        <v>498</v>
      </c>
      <c r="S6" s="100" t="s">
        <v>462</v>
      </c>
      <c r="T6" s="100" t="s">
        <v>461</v>
      </c>
      <c r="U6" s="100" t="s">
        <v>460</v>
      </c>
      <c r="V6" s="100" t="s">
        <v>459</v>
      </c>
      <c r="W6" s="100" t="s">
        <v>457</v>
      </c>
      <c r="X6" s="100" t="s">
        <v>236</v>
      </c>
      <c r="Y6" s="100" t="s">
        <v>456</v>
      </c>
      <c r="Z6" s="100" t="s">
        <v>455</v>
      </c>
      <c r="AA6" s="100" t="s">
        <v>454</v>
      </c>
      <c r="AB6" s="100" t="s">
        <v>656</v>
      </c>
      <c r="AC6" s="100" t="s">
        <v>505</v>
      </c>
      <c r="AD6" s="100" t="s">
        <v>453</v>
      </c>
      <c r="AE6" s="100" t="s">
        <v>451</v>
      </c>
      <c r="AF6" s="100" t="s">
        <v>448</v>
      </c>
      <c r="AG6" s="100" t="s">
        <v>447</v>
      </c>
      <c r="AH6" s="100" t="s">
        <v>446</v>
      </c>
      <c r="AI6" s="100" t="s">
        <v>445</v>
      </c>
      <c r="AJ6" s="100" t="s">
        <v>444</v>
      </c>
      <c r="AK6" s="100" t="s">
        <v>654</v>
      </c>
      <c r="AL6" s="100" t="s">
        <v>441</v>
      </c>
      <c r="AM6" s="100" t="s">
        <v>440</v>
      </c>
      <c r="AN6" s="100" t="s">
        <v>439</v>
      </c>
      <c r="AO6" s="100" t="s">
        <v>425</v>
      </c>
      <c r="AP6" s="100" t="s">
        <v>437</v>
      </c>
      <c r="AQ6" s="100" t="s">
        <v>435</v>
      </c>
      <c r="AR6" s="100" t="s">
        <v>433</v>
      </c>
      <c r="AS6" s="100" t="s">
        <v>431</v>
      </c>
      <c r="AT6" s="100" t="s">
        <v>97</v>
      </c>
      <c r="AU6" s="100" t="s">
        <v>157</v>
      </c>
      <c r="AV6" s="100" t="s">
        <v>158</v>
      </c>
      <c r="AW6" s="100" t="s">
        <v>159</v>
      </c>
      <c r="AX6" s="100" t="s">
        <v>160</v>
      </c>
      <c r="AY6" s="100" t="s">
        <v>161</v>
      </c>
      <c r="AZ6" s="100" t="s">
        <v>162</v>
      </c>
      <c r="BA6" s="100" t="s">
        <v>163</v>
      </c>
      <c r="BB6" s="100" t="s">
        <v>164</v>
      </c>
      <c r="BC6" s="100" t="s">
        <v>165</v>
      </c>
      <c r="BD6" s="100" t="s">
        <v>166</v>
      </c>
      <c r="BE6" s="100" t="s">
        <v>167</v>
      </c>
      <c r="BF6" s="100" t="s">
        <v>168</v>
      </c>
      <c r="BG6" s="100" t="s">
        <v>97</v>
      </c>
      <c r="BH6" s="100" t="s">
        <v>493</v>
      </c>
      <c r="BI6" s="100" t="s">
        <v>151</v>
      </c>
      <c r="BJ6" s="100" t="s">
        <v>24</v>
      </c>
      <c r="BK6" s="100" t="s">
        <v>152</v>
      </c>
      <c r="BL6" s="100" t="s">
        <v>153</v>
      </c>
      <c r="BM6" s="100" t="s">
        <v>154</v>
      </c>
      <c r="BN6" s="100" t="s">
        <v>155</v>
      </c>
      <c r="BO6" s="100" t="s">
        <v>494</v>
      </c>
      <c r="BP6" s="100" t="s">
        <v>156</v>
      </c>
      <c r="BQ6" s="100" t="s">
        <v>169</v>
      </c>
      <c r="BR6" s="100" t="s">
        <v>170</v>
      </c>
      <c r="BS6" s="100" t="s">
        <v>24</v>
      </c>
      <c r="BT6" s="100" t="s">
        <v>171</v>
      </c>
      <c r="BU6" s="100" t="s">
        <v>172</v>
      </c>
      <c r="BV6" s="100" t="s">
        <v>173</v>
      </c>
      <c r="BW6" s="100" t="s">
        <v>24</v>
      </c>
      <c r="BX6" s="100" t="s">
        <v>174</v>
      </c>
      <c r="BY6" s="100" t="s">
        <v>175</v>
      </c>
      <c r="BZ6" s="100" t="s">
        <v>24</v>
      </c>
      <c r="CA6" s="100" t="s">
        <v>24</v>
      </c>
      <c r="CB6" s="100" t="s">
        <v>24</v>
      </c>
      <c r="CC6" s="100" t="s">
        <v>176</v>
      </c>
      <c r="CD6" s="100" t="s">
        <v>167</v>
      </c>
      <c r="CE6" s="100" t="s">
        <v>24</v>
      </c>
      <c r="CF6" s="100" t="s">
        <v>177</v>
      </c>
      <c r="CG6" s="100" t="s">
        <v>178</v>
      </c>
      <c r="CH6" s="100" t="s">
        <v>179</v>
      </c>
      <c r="CI6" s="100" t="s">
        <v>180</v>
      </c>
      <c r="CJ6" s="100" t="s">
        <v>181</v>
      </c>
      <c r="CK6" s="100" t="s">
        <v>182</v>
      </c>
      <c r="CL6" s="100" t="s">
        <v>98</v>
      </c>
      <c r="CM6" s="100" t="s">
        <v>24</v>
      </c>
      <c r="CN6" s="100" t="s">
        <v>99</v>
      </c>
      <c r="CO6" s="100" t="s">
        <v>183</v>
      </c>
      <c r="CP6" s="100" t="s">
        <v>100</v>
      </c>
      <c r="CQ6" s="100" t="s">
        <v>184</v>
      </c>
      <c r="CR6" s="100" t="s">
        <v>185</v>
      </c>
      <c r="CS6" s="100" t="s">
        <v>101</v>
      </c>
      <c r="CT6" s="100" t="s">
        <v>186</v>
      </c>
      <c r="CU6" s="100" t="s">
        <v>187</v>
      </c>
      <c r="CV6" s="100" t="s">
        <v>188</v>
      </c>
      <c r="CW6" s="100" t="s">
        <v>189</v>
      </c>
      <c r="CX6" s="100" t="s">
        <v>190</v>
      </c>
      <c r="CY6" s="100" t="s">
        <v>102</v>
      </c>
      <c r="CZ6" s="100" t="s">
        <v>103</v>
      </c>
      <c r="DA6" s="100" t="s">
        <v>191</v>
      </c>
      <c r="DB6" s="100" t="s">
        <v>192</v>
      </c>
      <c r="DC6" s="100" t="s">
        <v>24</v>
      </c>
      <c r="DD6" s="100" t="s">
        <v>24</v>
      </c>
      <c r="DE6" s="100" t="s">
        <v>104</v>
      </c>
      <c r="DF6" s="100" t="s">
        <v>193</v>
      </c>
      <c r="DG6" s="100" t="s">
        <v>105</v>
      </c>
      <c r="DH6" s="100" t="s">
        <v>194</v>
      </c>
      <c r="DI6" s="100" t="s">
        <v>24</v>
      </c>
      <c r="DJ6" s="100" t="s">
        <v>106</v>
      </c>
      <c r="DK6" s="100" t="s">
        <v>182</v>
      </c>
      <c r="DL6" s="100" t="s">
        <v>107</v>
      </c>
      <c r="DM6" s="100" t="s">
        <v>195</v>
      </c>
      <c r="DN6" s="100" t="s">
        <v>196</v>
      </c>
      <c r="DO6" s="100" t="s">
        <v>24</v>
      </c>
      <c r="DP6" s="100" t="s">
        <v>197</v>
      </c>
      <c r="DQ6" s="100" t="s">
        <v>198</v>
      </c>
      <c r="DR6" s="100" t="s">
        <v>24</v>
      </c>
      <c r="DS6" s="100" t="s">
        <v>199</v>
      </c>
      <c r="DT6" s="100" t="s">
        <v>24</v>
      </c>
      <c r="DU6" s="100" t="s">
        <v>200</v>
      </c>
      <c r="DV6" s="100" t="s">
        <v>108</v>
      </c>
      <c r="DW6" s="100" t="s">
        <v>201</v>
      </c>
      <c r="DX6" s="100" t="s">
        <v>202</v>
      </c>
      <c r="DY6" s="100" t="s">
        <v>109</v>
      </c>
      <c r="DZ6" s="100" t="s">
        <v>203</v>
      </c>
      <c r="EA6" s="100" t="s">
        <v>204</v>
      </c>
      <c r="EB6" s="100" t="s">
        <v>205</v>
      </c>
      <c r="EC6" s="100" t="s">
        <v>206</v>
      </c>
      <c r="ED6" s="100" t="s">
        <v>207</v>
      </c>
      <c r="EE6" s="100" t="s">
        <v>208</v>
      </c>
      <c r="EF6" s="100" t="s">
        <v>110</v>
      </c>
      <c r="EG6" s="100" t="s">
        <v>182</v>
      </c>
      <c r="EH6" s="100" t="s">
        <v>111</v>
      </c>
      <c r="EI6" s="100" t="s">
        <v>209</v>
      </c>
      <c r="EJ6" s="100" t="s">
        <v>210</v>
      </c>
      <c r="EK6" s="100" t="s">
        <v>211</v>
      </c>
      <c r="EL6" s="100" t="s">
        <v>212</v>
      </c>
      <c r="EM6" s="100" t="s">
        <v>112</v>
      </c>
      <c r="EN6" s="100" t="s">
        <v>213</v>
      </c>
      <c r="EO6" s="100" t="s">
        <v>214</v>
      </c>
      <c r="EP6" s="100" t="s">
        <v>215</v>
      </c>
      <c r="EQ6" s="100" t="s">
        <v>216</v>
      </c>
      <c r="ER6" s="100" t="s">
        <v>217</v>
      </c>
      <c r="ES6" s="100" t="s">
        <v>218</v>
      </c>
      <c r="ET6" s="100" t="s">
        <v>219</v>
      </c>
      <c r="EU6" s="100" t="s">
        <v>220</v>
      </c>
      <c r="EV6" s="100" t="s">
        <v>221</v>
      </c>
      <c r="EW6" s="100" t="s">
        <v>113</v>
      </c>
      <c r="EX6" s="100" t="s">
        <v>114</v>
      </c>
      <c r="EY6" s="100" t="s">
        <v>222</v>
      </c>
      <c r="EZ6" s="100" t="s">
        <v>223</v>
      </c>
      <c r="FA6" s="100" t="s">
        <v>224</v>
      </c>
      <c r="FB6" s="100" t="s">
        <v>225</v>
      </c>
      <c r="FC6" s="100" t="s">
        <v>115</v>
      </c>
      <c r="FD6" s="100" t="s">
        <v>182</v>
      </c>
      <c r="FE6" s="100" t="s">
        <v>97</v>
      </c>
      <c r="FF6" s="100" t="s">
        <v>116</v>
      </c>
      <c r="FG6" s="100" t="s">
        <v>226</v>
      </c>
      <c r="FH6" s="100" t="s">
        <v>227</v>
      </c>
      <c r="FI6" s="100" t="s">
        <v>228</v>
      </c>
      <c r="FJ6" s="100" t="s">
        <v>117</v>
      </c>
      <c r="FK6" s="100" t="s">
        <v>118</v>
      </c>
      <c r="FL6" s="100" t="s">
        <v>119</v>
      </c>
      <c r="FM6" s="100" t="s">
        <v>120</v>
      </c>
      <c r="FN6" s="100" t="s">
        <v>121</v>
      </c>
      <c r="FO6" s="100" t="s">
        <v>229</v>
      </c>
      <c r="FP6" s="100" t="s">
        <v>654</v>
      </c>
      <c r="FQ6" s="100" t="s">
        <v>127</v>
      </c>
      <c r="FR6" s="100" t="s">
        <v>384</v>
      </c>
      <c r="FS6" s="100" t="s">
        <v>383</v>
      </c>
      <c r="FT6" s="100" t="s">
        <v>381</v>
      </c>
      <c r="FU6" s="100" t="s">
        <v>380</v>
      </c>
      <c r="FV6" s="100" t="s">
        <v>379</v>
      </c>
      <c r="FW6" s="100" t="s">
        <v>378</v>
      </c>
      <c r="FX6" s="100" t="s">
        <v>376</v>
      </c>
      <c r="FY6" s="100" t="s">
        <v>375</v>
      </c>
      <c r="FZ6" s="100" t="s">
        <v>374</v>
      </c>
      <c r="GA6" s="100" t="s">
        <v>373</v>
      </c>
      <c r="GB6" s="252"/>
      <c r="GC6" s="252"/>
      <c r="GD6" s="252"/>
      <c r="GE6" s="252"/>
    </row>
    <row r="7" spans="2:187" s="150" customFormat="1" ht="32.25" customHeight="1" x14ac:dyDescent="0.25">
      <c r="B7" s="149" t="s">
        <v>664</v>
      </c>
      <c r="C7" s="160">
        <f>Hourly_kWh!H7</f>
        <v>0</v>
      </c>
      <c r="D7" s="160">
        <f>Hourly_kWh!I7</f>
        <v>0</v>
      </c>
      <c r="E7" s="160">
        <f>Hourly_kWh!J7</f>
        <v>0</v>
      </c>
      <c r="F7" s="160">
        <f>Hourly_kWh!K7</f>
        <v>0</v>
      </c>
      <c r="G7" s="160">
        <f>Hourly_kWh!L7</f>
        <v>0</v>
      </c>
      <c r="H7" s="160">
        <f>Hourly_kWh!U7</f>
        <v>2.352000000000487E-2</v>
      </c>
      <c r="I7" s="160">
        <f>Hourly_kWh!P7</f>
        <v>4.5410000000032369E-3</v>
      </c>
      <c r="J7" s="160">
        <f>Hourly_kWh!N7</f>
        <v>8.5533999999938715E-2</v>
      </c>
      <c r="K7" s="160">
        <f>Hourly_kWh!O7</f>
        <v>9.0832999999975073E-2</v>
      </c>
      <c r="L7" s="160">
        <f>Hourly_kWh!B7*0.001</f>
        <v>1.0226250000000001</v>
      </c>
      <c r="M7" s="160">
        <f>Hourly_kWh!AR7</f>
        <v>0.18323199999997541</v>
      </c>
      <c r="N7" s="160">
        <f>Hourly_kWh!BM7</f>
        <v>8.8832000000024891E-2</v>
      </c>
      <c r="O7" s="160">
        <f>Hourly_kWh!CM7</f>
        <v>0.18764800000008108</v>
      </c>
      <c r="P7" s="160">
        <f>Hourly_kWh!DI7</f>
        <v>0.20985600000005888</v>
      </c>
      <c r="Q7" s="160">
        <f>Hourly_kWh!EF7</f>
        <v>0.46610499999951571</v>
      </c>
      <c r="R7" s="119">
        <f>SUM('Zone wise Meter data'!O5:AF5)</f>
        <v>3.4520125000001789E-2</v>
      </c>
      <c r="S7" s="115">
        <f>SUM('Zone wise Meter data'!AG5:AW5)</f>
        <v>0.10052482812499175</v>
      </c>
      <c r="T7" s="115">
        <f>SUM('Zone wise Meter data'!AX5:BA5)</f>
        <v>4.7953500000053495E-2</v>
      </c>
      <c r="U7" s="115">
        <f>SUM('Zone wise Meter data'!BB5:BC5)</f>
        <v>0.13420800000005784</v>
      </c>
      <c r="V7" s="115">
        <f>SUM('Zone wise Meter data'!BD5:BL5)</f>
        <v>0.44956799999957475</v>
      </c>
      <c r="W7" s="115">
        <f>SUM('Zone wise Meter data'!BM5:BX5)</f>
        <v>5.0305499999999892E-2</v>
      </c>
      <c r="X7" s="115">
        <f>SUM('Zone wise Meter data'!BY5:CE5)</f>
        <v>1.285375000000144E-3</v>
      </c>
      <c r="Y7" s="115">
        <f>SUM('Zone wise Meter data'!CF5:CK5)</f>
        <v>6.3319437500007347E-2</v>
      </c>
      <c r="Z7" s="115">
        <f>SUM('Zone wise Meter data'!CL5:CO5)</f>
        <v>8.0335999999988417E-2</v>
      </c>
      <c r="AA7" s="115">
        <f>SUM('Zone wise Meter data'!CP5:DD5)</f>
        <v>4.0310874999992419E-2</v>
      </c>
      <c r="AB7" s="115">
        <f>SUM('Zone wise Meter data'!DE5:DN5)</f>
        <v>9.598484375000535E-3</v>
      </c>
      <c r="AC7" s="115">
        <f>SUM('Zone wise Meter data'!DO5:ED5)</f>
        <v>0</v>
      </c>
      <c r="AD7" s="160">
        <f>Hourly_kWh!AW7</f>
        <v>5.2352000000041699E-2</v>
      </c>
      <c r="AE7" s="160">
        <f>Hourly_kWh!DS7</f>
        <v>8.1856000000016138E-2</v>
      </c>
      <c r="AF7" s="160">
        <f>Hourly_kWh!EL7</f>
        <v>9.3055999999933192E-2</v>
      </c>
      <c r="AG7" s="160">
        <f>Hourly_kWh!EK7</f>
        <v>0</v>
      </c>
      <c r="AH7" s="160">
        <f>Hourly_kWh!EN7</f>
        <v>8.3455999999841879E-2</v>
      </c>
      <c r="AI7" s="160">
        <f>Hourly_kWh!EO7</f>
        <v>7.6799999999366264E-4</v>
      </c>
      <c r="AJ7" s="160">
        <f>Hourly_kWh!EM7</f>
        <v>0.13516799999979412</v>
      </c>
      <c r="AK7" s="160">
        <f>Hourly_kWh!ER7</f>
        <v>0.10586800000000096</v>
      </c>
      <c r="AL7" s="160">
        <f>Hourly_kWh!EI7</f>
        <v>2.3103999999989355E-2</v>
      </c>
      <c r="AM7" s="160">
        <f>Hourly_kWh!EJ7+Hourly_kWh!AS7</f>
        <v>4.3054999999778687E-3</v>
      </c>
      <c r="AN7" s="160">
        <f>Hourly_kWh!CX7+Hourly_kWh!CY7+Hourly_kWh!DC7+Hourly_kWh!DD7</f>
        <v>2.4666250000000556E-3</v>
      </c>
      <c r="AO7" s="160">
        <f>SUM(Hourly_kWh!AI7:AQ7)</f>
        <v>7.5341828124993349E-2</v>
      </c>
      <c r="AP7" s="160">
        <f>SUM(Hourly_kWh!V7:AG7)</f>
        <v>2.8999499999998513E-2</v>
      </c>
      <c r="AQ7" s="160">
        <f>Hourly_kWh!DB7</f>
        <v>4.4559999999993494E-3</v>
      </c>
      <c r="AR7" s="160">
        <f>Hourly_kWh!CO7</f>
        <v>1.5424000000010096E-2</v>
      </c>
      <c r="AS7" s="160">
        <f>Hourly_kWh!BJ7</f>
        <v>0</v>
      </c>
      <c r="AT7" s="160">
        <f>Hourly_kWh!U7</f>
        <v>2.352000000000487E-2</v>
      </c>
      <c r="AU7" s="160">
        <f>Hourly_kWh!V7</f>
        <v>4.9039999999997974E-3</v>
      </c>
      <c r="AV7" s="160">
        <f>Hourly_kWh!W7</f>
        <v>2.534999999999954E-3</v>
      </c>
      <c r="AW7" s="160">
        <f>Hourly_kWh!X7</f>
        <v>2.3340000000011685E-3</v>
      </c>
      <c r="AX7" s="160">
        <f>Hourly_kWh!Y7</f>
        <v>0</v>
      </c>
      <c r="AY7" s="160">
        <f>Hourly_kWh!Z7</f>
        <v>2.4280000000000967E-3</v>
      </c>
      <c r="AZ7" s="160">
        <f>Hourly_kWh!AA7</f>
        <v>5.2619999999983236E-3</v>
      </c>
      <c r="BA7" s="160">
        <f>Hourly_kWh!AB7</f>
        <v>5.9380000000004429E-3</v>
      </c>
      <c r="BB7" s="160">
        <f>Hourly_kWh!AC7</f>
        <v>6.1200000000027899E-4</v>
      </c>
      <c r="BC7" s="160">
        <f>Hourly_kWh!AD7</f>
        <v>2.0449999999989643E-3</v>
      </c>
      <c r="BD7" s="160">
        <f>Hourly_kWh!AE7</f>
        <v>2.5915000000003019E-3</v>
      </c>
      <c r="BE7" s="160">
        <f>Hourly_kWh!AF7</f>
        <v>0</v>
      </c>
      <c r="BF7" s="160">
        <f>Hourly_kWh!AG7</f>
        <v>3.499999999991843E-4</v>
      </c>
      <c r="BG7" s="160">
        <f>Hourly_kWh!AH7</f>
        <v>8.37439999999674E-2</v>
      </c>
      <c r="BH7" s="160">
        <f>Hourly_kWh!AI7</f>
        <v>0</v>
      </c>
      <c r="BI7" s="160">
        <f>Hourly_kWh!AJ7</f>
        <v>9.660000000000224E-4</v>
      </c>
      <c r="BJ7" s="160">
        <f>Hourly_kWh!AK7</f>
        <v>0</v>
      </c>
      <c r="BK7" s="160">
        <f>Hourly_kWh!AL7</f>
        <v>1.4871828124999986E-2</v>
      </c>
      <c r="BL7" s="160">
        <f>Hourly_kWh!AM7</f>
        <v>1.7207999999996559E-2</v>
      </c>
      <c r="BM7" s="160">
        <f>Hourly_kWh!AN7</f>
        <v>1.596800000000087E-2</v>
      </c>
      <c r="BN7" s="160">
        <f>Hourly_kWh!AO7</f>
        <v>8.835999999995181E-3</v>
      </c>
      <c r="BO7" s="160">
        <f>Hourly_kWh!AP7</f>
        <v>4.0000000000013358E-3</v>
      </c>
      <c r="BP7" s="160">
        <f>Hourly_kWh!AQ7</f>
        <v>1.3491999999999393E-2</v>
      </c>
      <c r="BQ7" s="160">
        <f>Hourly_kWh!AR7</f>
        <v>0.18323199999997541</v>
      </c>
      <c r="BR7" s="160">
        <f>Hourly_kWh!AS7</f>
        <v>1.6175000000000495E-3</v>
      </c>
      <c r="BS7" s="160">
        <f>Hourly_kWh!AT7</f>
        <v>0</v>
      </c>
      <c r="BT7" s="160">
        <f>Hourly_kWh!AU7</f>
        <v>2.4119999999996367E-3</v>
      </c>
      <c r="BU7" s="160">
        <f>Hourly_kWh!AV7</f>
        <v>8.5599999999974585E-4</v>
      </c>
      <c r="BV7" s="160">
        <f>Hourly_kWh!AW7</f>
        <v>5.2352000000041699E-2</v>
      </c>
      <c r="BW7" s="160">
        <f>Hourly_kWh!AX7</f>
        <v>0</v>
      </c>
      <c r="BX7" s="160">
        <f>Hourly_kWh!AY7</f>
        <v>2.146999999999899E-3</v>
      </c>
      <c r="BY7" s="160">
        <f>Hourly_kWh!AZ7</f>
        <v>0</v>
      </c>
      <c r="BZ7" s="160">
        <f>Hourly_kWh!BA7</f>
        <v>0</v>
      </c>
      <c r="CA7" s="160">
        <f>Hourly_kWh!BB7</f>
        <v>0</v>
      </c>
      <c r="CB7" s="160">
        <f>Hourly_kWh!BC7</f>
        <v>0</v>
      </c>
      <c r="CC7" s="160">
        <f>Hourly_kWh!BD7</f>
        <v>1.0317187499998826E-4</v>
      </c>
      <c r="CD7" s="160">
        <f>Hourly_kWh!BE7</f>
        <v>4.8260000000013292E-3</v>
      </c>
      <c r="CE7" s="160">
        <f>Hourly_kWh!BF7</f>
        <v>0</v>
      </c>
      <c r="CF7" s="160">
        <f>Hourly_kWh!BG7</f>
        <v>9.1699999999939052E-4</v>
      </c>
      <c r="CG7" s="160">
        <f>Hourly_kWh!BH7</f>
        <v>0</v>
      </c>
      <c r="CH7" s="160">
        <f>Hourly_kWh!BI7</f>
        <v>0.10422399999998788</v>
      </c>
      <c r="CI7" s="160">
        <f>Hourly_kWh!BJ7</f>
        <v>0</v>
      </c>
      <c r="CJ7" s="160">
        <f>Hourly_kWh!BK7</f>
        <v>1.4760000000002549E-3</v>
      </c>
      <c r="CK7" s="160">
        <f>Hourly_kWh!BL7</f>
        <v>0</v>
      </c>
      <c r="CL7" s="160">
        <f>Hourly_kWh!BM7</f>
        <v>8.8832000000024891E-2</v>
      </c>
      <c r="CM7" s="160">
        <f>Hourly_kWh!BN7</f>
        <v>0</v>
      </c>
      <c r="CN7" s="160">
        <f>Hourly_kWh!BO7</f>
        <v>4.0863999999999123E-2</v>
      </c>
      <c r="CO7" s="160">
        <f>Hourly_kWh!BP7</f>
        <v>0</v>
      </c>
      <c r="CP7" s="160">
        <f>Hourly_kWh!BQ7</f>
        <v>0</v>
      </c>
      <c r="CQ7" s="160">
        <f>Hourly_kWh!BR7</f>
        <v>0</v>
      </c>
      <c r="CR7" s="160">
        <f>Hourly_kWh!BS7</f>
        <v>0</v>
      </c>
      <c r="CS7" s="160">
        <f>Hourly_kWh!BT7</f>
        <v>5.8000000000646423E-4</v>
      </c>
      <c r="CT7" s="160">
        <f>Hourly_kWh!BU7</f>
        <v>0</v>
      </c>
      <c r="CU7" s="160">
        <f>Hourly_kWh!BV7</f>
        <v>0</v>
      </c>
      <c r="CV7" s="160">
        <f>Hourly_kWh!BW7</f>
        <v>0</v>
      </c>
      <c r="CW7" s="160">
        <f>Hourly_kWh!BX7</f>
        <v>0</v>
      </c>
      <c r="CX7" s="160">
        <f>Hourly_kWh!BY7</f>
        <v>0</v>
      </c>
      <c r="CY7" s="160">
        <f>Hourly_kWh!BZ7</f>
        <v>2.9735999999999763E-2</v>
      </c>
      <c r="CZ7" s="160">
        <f>Hourly_kWh!CA7</f>
        <v>1.3052937500000028E-2</v>
      </c>
      <c r="DA7" s="160">
        <f>Hourly_kWh!CB7</f>
        <v>0</v>
      </c>
      <c r="DB7" s="160">
        <f>Hourly_kWh!CC7</f>
        <v>0</v>
      </c>
      <c r="DC7" s="160">
        <f>Hourly_kWh!CD7</f>
        <v>0</v>
      </c>
      <c r="DD7" s="160">
        <f>Hourly_kWh!CE7</f>
        <v>0</v>
      </c>
      <c r="DE7" s="160">
        <f>Hourly_kWh!CF7</f>
        <v>1.8090000000015038E-3</v>
      </c>
      <c r="DF7" s="160">
        <f>Hourly_kWh!CG7</f>
        <v>0</v>
      </c>
      <c r="DG7" s="160">
        <f>Hourly_kWh!CH7</f>
        <v>6.3199999999996592E-4</v>
      </c>
      <c r="DH7" s="160">
        <f>Hourly_kWh!CI7</f>
        <v>0</v>
      </c>
      <c r="DI7" s="160">
        <f>Hourly_kWh!CJ7</f>
        <v>0</v>
      </c>
      <c r="DJ7" s="160">
        <f>Hourly_kWh!CK7</f>
        <v>0</v>
      </c>
      <c r="DK7" s="160">
        <f>Hourly_kWh!CL7</f>
        <v>2.5580000000005043E-3</v>
      </c>
      <c r="DL7" s="160">
        <f>Hourly_kWh!CM7</f>
        <v>0.18764800000008108</v>
      </c>
      <c r="DM7" s="160">
        <f>Hourly_kWh!CN7</f>
        <v>1.8069999999994479E-3</v>
      </c>
      <c r="DN7" s="160">
        <f>Hourly_kWh!CO7</f>
        <v>1.5424000000010096E-2</v>
      </c>
      <c r="DO7" s="160">
        <f>Hourly_kWh!CP7</f>
        <v>0</v>
      </c>
      <c r="DP7" s="160">
        <f>Hourly_kWh!CQ7</f>
        <v>0</v>
      </c>
      <c r="DQ7" s="160">
        <f>Hourly_kWh!CR7</f>
        <v>8.1600000000001671E-3</v>
      </c>
      <c r="DR7" s="160">
        <f>Hourly_kWh!CS7</f>
        <v>0</v>
      </c>
      <c r="DS7" s="160">
        <f>Hourly_kWh!CT7</f>
        <v>1.5056000000001291E-2</v>
      </c>
      <c r="DT7" s="160">
        <f>Hourly_kWh!CU7</f>
        <v>0</v>
      </c>
      <c r="DU7" s="160">
        <f>Hourly_kWh!CV7</f>
        <v>6.5337500000017812E-4</v>
      </c>
      <c r="DV7" s="160">
        <f>Hourly_kWh!CW7</f>
        <v>5.2120000000002165E-3</v>
      </c>
      <c r="DW7" s="160">
        <f>Hourly_kWh!CX7</f>
        <v>0</v>
      </c>
      <c r="DX7" s="160">
        <f>Hourly_kWh!CY7</f>
        <v>6.8299999999998917E-4</v>
      </c>
      <c r="DY7" s="160">
        <f>Hourly_kWh!CZ7</f>
        <v>1.9494999999998264E-3</v>
      </c>
      <c r="DZ7" s="160">
        <f>Hourly_kWh!DA7</f>
        <v>1.1372000000001492E-2</v>
      </c>
      <c r="EA7" s="160">
        <f>Hourly_kWh!DB7</f>
        <v>4.4559999999993494E-3</v>
      </c>
      <c r="EB7" s="160">
        <f>Hourly_kWh!DC7</f>
        <v>5.4675000000004026E-4</v>
      </c>
      <c r="EC7" s="160">
        <f>Hourly_kWh!DD7</f>
        <v>1.2368750000000261E-3</v>
      </c>
      <c r="ED7" s="160">
        <f>Hourly_kWh!DE7</f>
        <v>0</v>
      </c>
      <c r="EE7" s="160">
        <f>Hourly_kWh!DF7</f>
        <v>0</v>
      </c>
      <c r="EF7" s="160">
        <f>Hourly_kWh!DG7</f>
        <v>2.2800000000007259E-3</v>
      </c>
      <c r="EG7" s="160">
        <f>Hourly_kWh!DH7</f>
        <v>8.2800000000027296E-4</v>
      </c>
      <c r="EH7" s="160">
        <f>Hourly_kWh!DI7</f>
        <v>0.20985600000005888</v>
      </c>
      <c r="EI7" s="160">
        <f>Hourly_kWh!DJ7</f>
        <v>0</v>
      </c>
      <c r="EJ7" s="160">
        <f>Hourly_kWh!DK7</f>
        <v>2.7620000000005973E-3</v>
      </c>
      <c r="EK7" s="160">
        <f>Hourly_kWh!DL7</f>
        <v>1.097312499999975E-3</v>
      </c>
      <c r="EL7" s="160">
        <f>Hourly_kWh!DM7</f>
        <v>1.4510000000012013E-3</v>
      </c>
      <c r="EM7" s="160">
        <f>Hourly_kWh!DN7</f>
        <v>0</v>
      </c>
      <c r="EN7" s="160">
        <f>Hourly_kWh!DO7</f>
        <v>1.0303999999990765E-2</v>
      </c>
      <c r="EO7" s="160">
        <f>Hourly_kWh!DP7</f>
        <v>3.0204999999998705E-3</v>
      </c>
      <c r="EP7" s="160">
        <f>Hourly_kWh!DQ7</f>
        <v>0</v>
      </c>
      <c r="EQ7" s="160">
        <f>Hourly_kWh!DR7</f>
        <v>0</v>
      </c>
      <c r="ER7" s="160">
        <f>Hourly_kWh!DS7</f>
        <v>8.1856000000016138E-2</v>
      </c>
      <c r="ES7" s="160">
        <f>Hourly_kWh!DT7</f>
        <v>1.8141499999999589E-2</v>
      </c>
      <c r="ET7" s="160">
        <f>Hourly_kWh!DU7</f>
        <v>0</v>
      </c>
      <c r="EU7" s="160">
        <f>Hourly_kWh!DV7</f>
        <v>4.9025000000035845E-4</v>
      </c>
      <c r="EV7" s="160">
        <f>Hourly_kWh!DW7</f>
        <v>0</v>
      </c>
      <c r="EW7" s="160">
        <f>Hourly_kWh!DX7</f>
        <v>3.8290000000014146E-3</v>
      </c>
      <c r="EX7" s="160">
        <f>Hourly_kWh!DY7</f>
        <v>2.3237500000006239E-4</v>
      </c>
      <c r="EY7" s="160">
        <f>Hourly_kWh!DZ7</f>
        <v>2.1239999999984605E-3</v>
      </c>
      <c r="EZ7" s="160">
        <f>Hourly_kWh!EA7</f>
        <v>0</v>
      </c>
      <c r="FA7" s="160">
        <f>Hourly_kWh!EB7</f>
        <v>5.715200000000209E-2</v>
      </c>
      <c r="FB7" s="160">
        <f>Hourly_kWh!EC7</f>
        <v>2.3183999999986327E-2</v>
      </c>
      <c r="FC7" s="160">
        <f>Hourly_kWh!ED7</f>
        <v>5.2547500000001968E-3</v>
      </c>
      <c r="FD7" s="160">
        <f>Hourly_kWh!EE7</f>
        <v>6.4349999999997465E-3</v>
      </c>
      <c r="FE7" s="160">
        <f>Hourly_kWh!EF7</f>
        <v>0.46610499999951571</v>
      </c>
      <c r="FF7" s="160">
        <f>Hourly_kWh!EG7</f>
        <v>0</v>
      </c>
      <c r="FG7" s="160">
        <f>Hourly_kWh!EH7</f>
        <v>2.0544000000086271E-2</v>
      </c>
      <c r="FH7" s="160">
        <f>Hourly_kWh!EI7</f>
        <v>2.3103999999989355E-2</v>
      </c>
      <c r="FI7" s="160">
        <f>Hourly_kWh!EJ7</f>
        <v>2.6879999999778192E-3</v>
      </c>
      <c r="FJ7" s="160">
        <f>Hourly_kWh!EK7</f>
        <v>0</v>
      </c>
      <c r="FK7" s="160">
        <f>Hourly_kWh!EL7</f>
        <v>9.3055999999933192E-2</v>
      </c>
      <c r="FL7" s="160">
        <f>Hourly_kWh!EM7</f>
        <v>0.13516799999979412</v>
      </c>
      <c r="FM7" s="160">
        <f>Hourly_kWh!EN7</f>
        <v>8.3455999999841879E-2</v>
      </c>
      <c r="FN7" s="160">
        <f>Hourly_kWh!EO7</f>
        <v>7.6799999999366264E-4</v>
      </c>
      <c r="FO7" s="160">
        <f>Hourly_kWh!EP7</f>
        <v>0</v>
      </c>
      <c r="FP7" s="160">
        <f>Hourly_kWh!ER7</f>
        <v>0.10586800000000096</v>
      </c>
      <c r="FQ7" s="160">
        <f>Hourly_kWh!EQ7</f>
        <v>0</v>
      </c>
      <c r="FR7" s="160">
        <f>Hourly_kWh!M7</f>
        <v>0</v>
      </c>
      <c r="FS7" s="160">
        <f>Hourly_kWh!G7</f>
        <v>0</v>
      </c>
      <c r="FT7" s="160">
        <f>Hourly_kWh!C7</f>
        <v>0</v>
      </c>
      <c r="FU7" s="160">
        <f>Hourly_kWh!D7</f>
        <v>0.36957200000006196</v>
      </c>
      <c r="FV7" s="160">
        <f>Hourly_kWh!E7</f>
        <v>0.31237300000003643</v>
      </c>
      <c r="FW7" s="160">
        <f>Hourly_kWh!F7</f>
        <v>0.35300300000005791</v>
      </c>
      <c r="FX7" s="160">
        <f>Hourly_kWh!Q7</f>
        <v>0</v>
      </c>
      <c r="FY7" s="160">
        <f>Hourly_kWh!R7</f>
        <v>0.36044799999945099</v>
      </c>
      <c r="FZ7" s="160">
        <f>Hourly_kWh!S7</f>
        <v>0.29849600000034116</v>
      </c>
      <c r="GA7" s="160">
        <f>Hourly_kWh!T7</f>
        <v>0.33996800000022631</v>
      </c>
      <c r="GB7" s="160">
        <f>SUM(C7:L7)</f>
        <v>1.227052999999922</v>
      </c>
      <c r="GC7" s="160">
        <f>SUM(M7:Q7)</f>
        <v>1.135672999999656</v>
      </c>
      <c r="GD7" s="160">
        <f>GB7-GC7</f>
        <v>9.1380000000266026E-2</v>
      </c>
      <c r="GE7" s="159">
        <f>GD7/GB7</f>
        <v>7.4471110865033399E-2</v>
      </c>
    </row>
    <row r="8" spans="2:187" s="150" customFormat="1" ht="32.25" customHeight="1" x14ac:dyDescent="0.25">
      <c r="B8" s="149" t="s">
        <v>665</v>
      </c>
      <c r="C8" s="160">
        <f>Hourly_kWh!H8</f>
        <v>0</v>
      </c>
      <c r="D8" s="160">
        <f>Hourly_kWh!I8</f>
        <v>0</v>
      </c>
      <c r="E8" s="160">
        <f>Hourly_kWh!J8</f>
        <v>0</v>
      </c>
      <c r="F8" s="160">
        <f>Hourly_kWh!K8</f>
        <v>0</v>
      </c>
      <c r="G8" s="160">
        <f>Hourly_kWh!L8</f>
        <v>0</v>
      </c>
      <c r="H8" s="160">
        <f>Hourly_kWh!U8</f>
        <v>2.2255999999998721E-2</v>
      </c>
      <c r="I8" s="160">
        <f>Hourly_kWh!P8</f>
        <v>1.0573999999998307E-2</v>
      </c>
      <c r="J8" s="160">
        <f>Hourly_kWh!N8</f>
        <v>0.19397600000002058</v>
      </c>
      <c r="K8" s="160">
        <f>Hourly_kWh!O8</f>
        <v>0.20169899999996233</v>
      </c>
      <c r="L8" s="160">
        <f>Hourly_kWh!B8*0.001</f>
        <v>0.84362500000000007</v>
      </c>
      <c r="M8" s="160">
        <f>Hourly_kWh!AR8</f>
        <v>0.19776000000001659</v>
      </c>
      <c r="N8" s="160">
        <f>Hourly_kWh!BM8</f>
        <v>9.152000000000271E-2</v>
      </c>
      <c r="O8" s="160">
        <f>Hourly_kWh!CM8</f>
        <v>0.18662399999993795</v>
      </c>
      <c r="P8" s="160">
        <f>Hourly_kWh!DI8</f>
        <v>0.21926399999995283</v>
      </c>
      <c r="Q8" s="160">
        <f>Hourly_kWh!EF8</f>
        <v>0.47522899999967194</v>
      </c>
      <c r="R8" s="119">
        <f>SUM('Zone wise Meter data'!O6:AF6)</f>
        <v>4.0171250000000214E-2</v>
      </c>
      <c r="S8" s="115">
        <f>SUM('Zone wise Meter data'!AG6:AW6)</f>
        <v>0.10808573437500787</v>
      </c>
      <c r="T8" s="115">
        <f>SUM('Zone wise Meter data'!AX6:BA6)</f>
        <v>6.0552500000015108E-2</v>
      </c>
      <c r="U8" s="115">
        <f>SUM('Zone wise Meter data'!BB6:BC6)</f>
        <v>0.14620800000000145</v>
      </c>
      <c r="V8" s="115">
        <f>SUM('Zone wise Meter data'!BD6:BL6)</f>
        <v>0.45054900000040732</v>
      </c>
      <c r="W8" s="115">
        <f>SUM('Zone wise Meter data'!BM6:BX6)</f>
        <v>2.1592249999994984E-2</v>
      </c>
      <c r="X8" s="115">
        <f>SUM('Zone wise Meter data'!BY6:CE6)</f>
        <v>1.2732500000001146E-3</v>
      </c>
      <c r="Y8" s="115">
        <f>SUM('Zone wise Meter data'!CF6:CK6)</f>
        <v>9.2016187499996016E-2</v>
      </c>
      <c r="Z8" s="115">
        <f>SUM('Zone wise Meter data'!CL6:CO6)</f>
        <v>8.7744000000014921E-2</v>
      </c>
      <c r="AA8" s="115">
        <f>SUM('Zone wise Meter data'!CP6:DD6)</f>
        <v>3.6499812499981243E-2</v>
      </c>
      <c r="AB8" s="115">
        <f>SUM('Zone wise Meter data'!DE6:DN6)</f>
        <v>9.3155781250044284E-3</v>
      </c>
      <c r="AC8" s="115">
        <f>SUM('Zone wise Meter data'!DO6:ED6)</f>
        <v>0</v>
      </c>
      <c r="AD8" s="160">
        <f>Hourly_kWh!AW8</f>
        <v>6.2848000000030879E-2</v>
      </c>
      <c r="AE8" s="160">
        <f>Hourly_kWh!DS8</f>
        <v>8.3359999999970569E-2</v>
      </c>
      <c r="AF8" s="160">
        <f>Hourly_kWh!EL8</f>
        <v>8.5119999999960783E-2</v>
      </c>
      <c r="AG8" s="160">
        <f>Hourly_kWh!EK8</f>
        <v>0</v>
      </c>
      <c r="AH8" s="160">
        <f>Hourly_kWh!EN8</f>
        <v>7.7568000000155735E-2</v>
      </c>
      <c r="AI8" s="160">
        <f>Hourly_kWh!EO8</f>
        <v>7.0400000004156027E-4</v>
      </c>
      <c r="AJ8" s="160">
        <f>Hourly_kWh!EM8</f>
        <v>0.14668800000026749</v>
      </c>
      <c r="AK8" s="160">
        <f>Hourly_kWh!ER8</f>
        <v>0.10725599999999247</v>
      </c>
      <c r="AL8" s="160">
        <f>Hourly_kWh!EI8</f>
        <v>2.592000000004191E-2</v>
      </c>
      <c r="AM8" s="160">
        <f>Hourly_kWh!EJ8+Hourly_kWh!AS8</f>
        <v>4.488500000022988E-3</v>
      </c>
      <c r="AN8" s="160">
        <f>Hourly_kWh!CX8+Hourly_kWh!CY8+Hourly_kWh!DC8+Hourly_kWh!DD8</f>
        <v>6.53725000000005E-3</v>
      </c>
      <c r="AO8" s="160">
        <f>SUM(Hourly_kWh!AI8:AQ8)</f>
        <v>7.7292734375006916E-2</v>
      </c>
      <c r="AP8" s="160">
        <f>SUM(Hourly_kWh!V8:AG8)</f>
        <v>3.6006000000003091E-2</v>
      </c>
      <c r="AQ8" s="160">
        <f>Hourly_kWh!DB8</f>
        <v>4.5169999999998822E-3</v>
      </c>
      <c r="AR8" s="160">
        <f>Hourly_kWh!CO8</f>
        <v>1.7063999999990642E-2</v>
      </c>
      <c r="AS8" s="160">
        <f>Hourly_kWh!BJ8</f>
        <v>0</v>
      </c>
      <c r="AT8" s="160">
        <f>Hourly_kWh!U8</f>
        <v>2.2255999999998721E-2</v>
      </c>
      <c r="AU8" s="160">
        <f>Hourly_kWh!V8</f>
        <v>4.7220000000010032E-3</v>
      </c>
      <c r="AV8" s="160">
        <f>Hourly_kWh!W8</f>
        <v>5.1339999999999719E-3</v>
      </c>
      <c r="AW8" s="160">
        <f>Hourly_kWh!X8</f>
        <v>3.553999999999391E-3</v>
      </c>
      <c r="AX8" s="160">
        <f>Hourly_kWh!Y8</f>
        <v>0</v>
      </c>
      <c r="AY8" s="160">
        <f>Hourly_kWh!Z8</f>
        <v>2.3849999999985272E-3</v>
      </c>
      <c r="AZ8" s="160">
        <f>Hourly_kWh!AA8</f>
        <v>5.738000000000909E-3</v>
      </c>
      <c r="BA8" s="160">
        <f>Hourly_kWh!AB8</f>
        <v>6.118000000000734E-3</v>
      </c>
      <c r="BB8" s="160">
        <f>Hourly_kWh!AC8</f>
        <v>1.8820000000019377E-3</v>
      </c>
      <c r="BC8" s="160">
        <f>Hourly_kWh!AD8</f>
        <v>3.2250000000004775E-3</v>
      </c>
      <c r="BD8" s="160">
        <f>Hourly_kWh!AE8</f>
        <v>2.7314999999994427E-3</v>
      </c>
      <c r="BE8" s="160">
        <f>Hourly_kWh!AF8</f>
        <v>0</v>
      </c>
      <c r="BF8" s="160">
        <f>Hourly_kWh!AG8</f>
        <v>5.1650000000069696E-4</v>
      </c>
      <c r="BG8" s="160">
        <f>Hourly_kWh!AH8</f>
        <v>8.3392000000003463E-2</v>
      </c>
      <c r="BH8" s="160">
        <f>Hourly_kWh!AI8</f>
        <v>0</v>
      </c>
      <c r="BI8" s="160">
        <f>Hourly_kWh!AJ8</f>
        <v>1.4865000000003903E-3</v>
      </c>
      <c r="BJ8" s="160">
        <f>Hourly_kWh!AK8</f>
        <v>0</v>
      </c>
      <c r="BK8" s="160">
        <f>Hourly_kWh!AL8</f>
        <v>1.4886234375000001E-2</v>
      </c>
      <c r="BL8" s="160">
        <f>Hourly_kWh!AM8</f>
        <v>1.8935999999996511E-2</v>
      </c>
      <c r="BM8" s="160">
        <f>Hourly_kWh!AN8</f>
        <v>1.6400000000004411E-2</v>
      </c>
      <c r="BN8" s="160">
        <f>Hourly_kWh!AO8</f>
        <v>8.2840000000032887E-3</v>
      </c>
      <c r="BO8" s="160">
        <f>Hourly_kWh!AP8</f>
        <v>3.5160000000011848E-3</v>
      </c>
      <c r="BP8" s="160">
        <f>Hourly_kWh!AQ8</f>
        <v>1.3784000000001129E-2</v>
      </c>
      <c r="BQ8" s="160">
        <f>Hourly_kWh!AR8</f>
        <v>0.19776000000001659</v>
      </c>
      <c r="BR8" s="160">
        <f>Hourly_kWh!AS8</f>
        <v>2.0885000000001597E-3</v>
      </c>
      <c r="BS8" s="160">
        <f>Hourly_kWh!AT8</f>
        <v>0</v>
      </c>
      <c r="BT8" s="160">
        <f>Hourly_kWh!AU8</f>
        <v>2.3200000000045407E-3</v>
      </c>
      <c r="BU8" s="160">
        <f>Hourly_kWh!AV8</f>
        <v>8.3750000000026859E-4</v>
      </c>
      <c r="BV8" s="160">
        <f>Hourly_kWh!AW8</f>
        <v>6.2848000000030879E-2</v>
      </c>
      <c r="BW8" s="160">
        <f>Hourly_kWh!AX8</f>
        <v>0</v>
      </c>
      <c r="BX8" s="160">
        <f>Hourly_kWh!AY8</f>
        <v>2.2155000000001479E-3</v>
      </c>
      <c r="BY8" s="160">
        <f>Hourly_kWh!AZ8</f>
        <v>0</v>
      </c>
      <c r="BZ8" s="160">
        <f>Hourly_kWh!BA8</f>
        <v>0</v>
      </c>
      <c r="CA8" s="160">
        <f>Hourly_kWh!BB8</f>
        <v>0</v>
      </c>
      <c r="CB8" s="160">
        <f>Hourly_kWh!BC8</f>
        <v>0</v>
      </c>
      <c r="CC8" s="160">
        <f>Hourly_kWh!BD8</f>
        <v>9.9546875000008916E-5</v>
      </c>
      <c r="CD8" s="160">
        <f>Hourly_kWh!BE8</f>
        <v>4.7360000000011837E-3</v>
      </c>
      <c r="CE8" s="160">
        <f>Hourly_kWh!BF8</f>
        <v>0</v>
      </c>
      <c r="CF8" s="160">
        <f>Hourly_kWh!BG8</f>
        <v>8.1899999999990314E-4</v>
      </c>
      <c r="CG8" s="160">
        <f>Hourly_kWh!BH8</f>
        <v>0</v>
      </c>
      <c r="CH8" s="160">
        <f>Hourly_kWh!BI8</f>
        <v>0.10854399999999487</v>
      </c>
      <c r="CI8" s="160">
        <f>Hourly_kWh!BJ8</f>
        <v>0</v>
      </c>
      <c r="CJ8" s="160">
        <f>Hourly_kWh!BK8</f>
        <v>4.2844999999998024E-3</v>
      </c>
      <c r="CK8" s="160">
        <f>Hourly_kWh!BL8</f>
        <v>0</v>
      </c>
      <c r="CL8" s="160">
        <f>Hourly_kWh!BM8</f>
        <v>9.152000000000271E-2</v>
      </c>
      <c r="CM8" s="160">
        <f>Hourly_kWh!BN8</f>
        <v>0</v>
      </c>
      <c r="CN8" s="160">
        <f>Hourly_kWh!BO8</f>
        <v>1.2617000000002321E-2</v>
      </c>
      <c r="CO8" s="160">
        <f>Hourly_kWh!BP8</f>
        <v>0</v>
      </c>
      <c r="CP8" s="160">
        <f>Hourly_kWh!BQ8</f>
        <v>0</v>
      </c>
      <c r="CQ8" s="160">
        <f>Hourly_kWh!BR8</f>
        <v>0</v>
      </c>
      <c r="CR8" s="160">
        <f>Hourly_kWh!BS8</f>
        <v>0</v>
      </c>
      <c r="CS8" s="160">
        <f>Hourly_kWh!BT8</f>
        <v>1.499199999999945E-2</v>
      </c>
      <c r="CT8" s="160">
        <f>Hourly_kWh!BU8</f>
        <v>0</v>
      </c>
      <c r="CU8" s="160">
        <f>Hourly_kWh!BV8</f>
        <v>0</v>
      </c>
      <c r="CV8" s="160">
        <f>Hourly_kWh!BW8</f>
        <v>0</v>
      </c>
      <c r="CW8" s="160">
        <f>Hourly_kWh!BX8</f>
        <v>0</v>
      </c>
      <c r="CX8" s="160">
        <f>Hourly_kWh!BY8</f>
        <v>0</v>
      </c>
      <c r="CY8" s="160">
        <f>Hourly_kWh!BZ8</f>
        <v>4.4663999999997372E-2</v>
      </c>
      <c r="CZ8" s="160">
        <f>Hourly_kWh!CA8</f>
        <v>1.3481187499999991E-2</v>
      </c>
      <c r="DA8" s="160">
        <f>Hourly_kWh!CB8</f>
        <v>0</v>
      </c>
      <c r="DB8" s="160">
        <f>Hourly_kWh!CC8</f>
        <v>0</v>
      </c>
      <c r="DC8" s="160">
        <f>Hourly_kWh!CD8</f>
        <v>0</v>
      </c>
      <c r="DD8" s="160">
        <f>Hourly_kWh!CE8</f>
        <v>0</v>
      </c>
      <c r="DE8" s="160">
        <f>Hourly_kWh!CF8</f>
        <v>1.3539999999991892E-3</v>
      </c>
      <c r="DF8" s="160">
        <f>Hourly_kWh!CG8</f>
        <v>0</v>
      </c>
      <c r="DG8" s="160">
        <f>Hourly_kWh!CH8</f>
        <v>6.4250000000010132E-4</v>
      </c>
      <c r="DH8" s="160">
        <f>Hourly_kWh!CI8</f>
        <v>0</v>
      </c>
      <c r="DI8" s="160">
        <f>Hourly_kWh!CJ8</f>
        <v>0</v>
      </c>
      <c r="DJ8" s="160">
        <f>Hourly_kWh!CK8</f>
        <v>0</v>
      </c>
      <c r="DK8" s="160">
        <f>Hourly_kWh!CL8</f>
        <v>1.6839999999973543E-3</v>
      </c>
      <c r="DL8" s="160">
        <f>Hourly_kWh!CM8</f>
        <v>0.18662399999993795</v>
      </c>
      <c r="DM8" s="160">
        <f>Hourly_kWh!CN8</f>
        <v>1.9030000000004321E-3</v>
      </c>
      <c r="DN8" s="160">
        <f>Hourly_kWh!CO8</f>
        <v>1.7063999999990642E-2</v>
      </c>
      <c r="DO8" s="160">
        <f>Hourly_kWh!CP8</f>
        <v>0</v>
      </c>
      <c r="DP8" s="160">
        <f>Hourly_kWh!CQ8</f>
        <v>0</v>
      </c>
      <c r="DQ8" s="160">
        <f>Hourly_kWh!CR8</f>
        <v>6.9719999999993121E-3</v>
      </c>
      <c r="DR8" s="160">
        <f>Hourly_kWh!CS8</f>
        <v>0</v>
      </c>
      <c r="DS8" s="160">
        <f>Hourly_kWh!CT8</f>
        <v>1.4687999999992485E-2</v>
      </c>
      <c r="DT8" s="160">
        <f>Hourly_kWh!CU8</f>
        <v>0</v>
      </c>
      <c r="DU8" s="160">
        <f>Hourly_kWh!CV8</f>
        <v>6.3075000000001324E-4</v>
      </c>
      <c r="DV8" s="160">
        <f>Hourly_kWh!CW8</f>
        <v>2.7239999999935094E-3</v>
      </c>
      <c r="DW8" s="160">
        <f>Hourly_kWh!CX8</f>
        <v>0</v>
      </c>
      <c r="DX8" s="160">
        <f>Hourly_kWh!CY8</f>
        <v>5.2900000000000169E-4</v>
      </c>
      <c r="DY8" s="160">
        <f>Hourly_kWh!CZ8</f>
        <v>3.2697500000002933E-3</v>
      </c>
      <c r="DZ8" s="160">
        <f>Hourly_kWh!DA8</f>
        <v>1.1631999999998754E-2</v>
      </c>
      <c r="EA8" s="160">
        <f>Hourly_kWh!DB8</f>
        <v>4.5169999999998822E-3</v>
      </c>
      <c r="EB8" s="160">
        <f>Hourly_kWh!DC8</f>
        <v>4.7807500000001113E-3</v>
      </c>
      <c r="EC8" s="160">
        <f>Hourly_kWh!DD8</f>
        <v>1.227499999999937E-3</v>
      </c>
      <c r="ED8" s="160">
        <f>Hourly_kWh!DE8</f>
        <v>0</v>
      </c>
      <c r="EE8" s="160">
        <f>Hourly_kWh!DF8</f>
        <v>0</v>
      </c>
      <c r="EF8" s="160">
        <f>Hourly_kWh!DG8</f>
        <v>2.9814999999988601E-3</v>
      </c>
      <c r="EG8" s="160">
        <f>Hourly_kWh!DH8</f>
        <v>8.854999999998725E-4</v>
      </c>
      <c r="EH8" s="160">
        <f>Hourly_kWh!DI8</f>
        <v>0.21926399999995283</v>
      </c>
      <c r="EI8" s="160">
        <f>Hourly_kWh!DJ8</f>
        <v>0</v>
      </c>
      <c r="EJ8" s="160">
        <f>Hourly_kWh!DK8</f>
        <v>2.7900000000009584E-3</v>
      </c>
      <c r="EK8" s="160">
        <f>Hourly_kWh!DL8</f>
        <v>1.1115312500000196E-3</v>
      </c>
      <c r="EL8" s="160">
        <f>Hourly_kWh!DM8</f>
        <v>1.3379999999987291E-3</v>
      </c>
      <c r="EM8" s="160">
        <f>Hourly_kWh!DN8</f>
        <v>0</v>
      </c>
      <c r="EN8" s="160">
        <f>Hourly_kWh!DO8</f>
        <v>6.9279999999878328E-3</v>
      </c>
      <c r="EO8" s="160">
        <f>Hourly_kWh!DP8</f>
        <v>2.5715000000001709E-3</v>
      </c>
      <c r="EP8" s="160">
        <f>Hourly_kWh!DQ8</f>
        <v>0</v>
      </c>
      <c r="EQ8" s="160">
        <f>Hourly_kWh!DR8</f>
        <v>0</v>
      </c>
      <c r="ER8" s="160">
        <f>Hourly_kWh!DS8</f>
        <v>8.3359999999970569E-2</v>
      </c>
      <c r="ES8" s="160">
        <f>Hourly_kWh!DT8</f>
        <v>1.7525000000000013E-2</v>
      </c>
      <c r="ET8" s="160">
        <f>Hourly_kWh!DU8</f>
        <v>4.500000000007276E-5</v>
      </c>
      <c r="EU8" s="160">
        <f>Hourly_kWh!DV8</f>
        <v>4.9624999999986485E-4</v>
      </c>
      <c r="EV8" s="160">
        <f>Hourly_kWh!DW8</f>
        <v>0</v>
      </c>
      <c r="EW8" s="160">
        <f>Hourly_kWh!DX8</f>
        <v>4.1229999999998768E-3</v>
      </c>
      <c r="EX8" s="160">
        <f>Hourly_kWh!DY8</f>
        <v>2.4931249999993188E-4</v>
      </c>
      <c r="EY8" s="160">
        <f>Hourly_kWh!DZ8</f>
        <v>3.3120000000010918E-3</v>
      </c>
      <c r="EZ8" s="160">
        <f>Hourly_kWh!EA8</f>
        <v>0</v>
      </c>
      <c r="FA8" s="160">
        <f>Hourly_kWh!EB8</f>
        <v>6.4768000000015036E-2</v>
      </c>
      <c r="FB8" s="160">
        <f>Hourly_kWh!EC8</f>
        <v>2.2975999999999885E-2</v>
      </c>
      <c r="FC8" s="160">
        <f>Hourly_kWh!ED8</f>
        <v>4.0867499999999168E-3</v>
      </c>
      <c r="FD8" s="160">
        <f>Hourly_kWh!EE8</f>
        <v>5.7404999999999262E-3</v>
      </c>
      <c r="FE8" s="160">
        <f>Hourly_kWh!EF8</f>
        <v>0.47522899999967194</v>
      </c>
      <c r="FF8" s="160">
        <f>Hourly_kWh!EG8</f>
        <v>0</v>
      </c>
      <c r="FG8" s="160">
        <f>Hourly_kWh!EH8</f>
        <v>3.0143999999950211E-2</v>
      </c>
      <c r="FH8" s="160">
        <f>Hourly_kWh!EI8</f>
        <v>2.592000000004191E-2</v>
      </c>
      <c r="FI8" s="160">
        <f>Hourly_kWh!EJ8</f>
        <v>2.4000000000228283E-3</v>
      </c>
      <c r="FJ8" s="160">
        <f>Hourly_kWh!EK8</f>
        <v>0</v>
      </c>
      <c r="FK8" s="160">
        <f>Hourly_kWh!EL8</f>
        <v>8.5119999999960783E-2</v>
      </c>
      <c r="FL8" s="160">
        <f>Hourly_kWh!EM8</f>
        <v>0.14668800000026749</v>
      </c>
      <c r="FM8" s="160">
        <f>Hourly_kWh!EN8</f>
        <v>7.7568000000155735E-2</v>
      </c>
      <c r="FN8" s="160">
        <f>Hourly_kWh!EO8</f>
        <v>7.0400000004156027E-4</v>
      </c>
      <c r="FO8" s="160">
        <f>Hourly_kWh!EP8</f>
        <v>0</v>
      </c>
      <c r="FP8" s="160">
        <f>Hourly_kWh!ER8</f>
        <v>0.10725599999999247</v>
      </c>
      <c r="FQ8" s="160">
        <f>Hourly_kWh!EQ8</f>
        <v>0</v>
      </c>
      <c r="FR8" s="160">
        <f>Hourly_kWh!M8</f>
        <v>0</v>
      </c>
      <c r="FS8" s="160">
        <f>Hourly_kWh!G8</f>
        <v>0</v>
      </c>
      <c r="FT8" s="160">
        <f>Hourly_kWh!C8</f>
        <v>0</v>
      </c>
      <c r="FU8" s="160">
        <f>Hourly_kWh!D8</f>
        <v>0.30462599999998474</v>
      </c>
      <c r="FV8" s="160">
        <f>Hourly_kWh!E8</f>
        <v>0.25762299999996685</v>
      </c>
      <c r="FW8" s="160">
        <f>Hourly_kWh!F8</f>
        <v>0.29143199999998615</v>
      </c>
      <c r="FX8" s="160">
        <f>Hourly_kWh!Q8</f>
        <v>0</v>
      </c>
      <c r="FY8" s="160">
        <f>Hourly_kWh!R8</f>
        <v>0.29491200000120443</v>
      </c>
      <c r="FZ8" s="160">
        <f>Hourly_kWh!S8</f>
        <v>0.24934399999983725</v>
      </c>
      <c r="GA8" s="160">
        <f>Hourly_kWh!T8</f>
        <v>0.27648000000044703</v>
      </c>
      <c r="GB8" s="160">
        <f t="shared" ref="GB8:GB30" si="0">SUM(C8:L8)</f>
        <v>1.27212999999998</v>
      </c>
      <c r="GC8" s="160">
        <f t="shared" ref="GC8:GC30" si="1">SUM(M8:Q8)</f>
        <v>1.170396999999582</v>
      </c>
      <c r="GD8" s="160">
        <f t="shared" ref="GD8:GD30" si="2">GB8-GC8</f>
        <v>0.10173300000039798</v>
      </c>
      <c r="GE8" s="159">
        <f t="shared" ref="GE8:GE30" si="3">GD8/GB8</f>
        <v>7.9970600489257845E-2</v>
      </c>
    </row>
    <row r="9" spans="2:187" s="150" customFormat="1" ht="32.25" customHeight="1" x14ac:dyDescent="0.25">
      <c r="B9" s="149" t="s">
        <v>666</v>
      </c>
      <c r="C9" s="160">
        <f>Hourly_kWh!H9</f>
        <v>0</v>
      </c>
      <c r="D9" s="160">
        <f>Hourly_kWh!I9</f>
        <v>0</v>
      </c>
      <c r="E9" s="160">
        <f>Hourly_kWh!J9</f>
        <v>0</v>
      </c>
      <c r="F9" s="160">
        <f>Hourly_kWh!K9</f>
        <v>0</v>
      </c>
      <c r="G9" s="160">
        <f>Hourly_kWh!L9</f>
        <v>0</v>
      </c>
      <c r="H9" s="160">
        <f>Hourly_kWh!U9</f>
        <v>2.3735999999999535E-2</v>
      </c>
      <c r="I9" s="160">
        <f>Hourly_kWh!P9</f>
        <v>1.0882000000002279E-2</v>
      </c>
      <c r="J9" s="160">
        <f>Hourly_kWh!N9</f>
        <v>0.18667600000003404</v>
      </c>
      <c r="K9" s="160">
        <f>Hourly_kWh!O9</f>
        <v>0.19408999999996013</v>
      </c>
      <c r="L9" s="160">
        <f>Hourly_kWh!B9*0.001</f>
        <v>1.0489999999999999</v>
      </c>
      <c r="M9" s="160">
        <f>Hourly_kWh!AR9</f>
        <v>0.22195199999998749</v>
      </c>
      <c r="N9" s="160">
        <f>Hourly_kWh!BM9</f>
        <v>0.15280000000001337</v>
      </c>
      <c r="O9" s="160">
        <f>Hourly_kWh!CM9</f>
        <v>0.2196480000000065</v>
      </c>
      <c r="P9" s="160">
        <f>Hourly_kWh!DI9</f>
        <v>0.24230399999999008</v>
      </c>
      <c r="Q9" s="160">
        <f>Hourly_kWh!EF9</f>
        <v>0.5138569999999163</v>
      </c>
      <c r="R9" s="119">
        <f>SUM('Zone wise Meter data'!O7:AF7)</f>
        <v>4.7462625000003866E-2</v>
      </c>
      <c r="S9" s="115">
        <f>SUM('Zone wise Meter data'!AG7:AW7)</f>
        <v>0.11373946874998725</v>
      </c>
      <c r="T9" s="115">
        <f>SUM('Zone wise Meter data'!AX7:BA7)</f>
        <v>7.1149999999986946E-2</v>
      </c>
      <c r="U9" s="115">
        <f>SUM('Zone wise Meter data'!BB7:BC7)</f>
        <v>0.16067199999991999</v>
      </c>
      <c r="V9" s="115">
        <f>SUM('Zone wise Meter data'!BD7:BL7)</f>
        <v>0.48241599999996154</v>
      </c>
      <c r="W9" s="115">
        <f>SUM('Zone wise Meter data'!BM7:BX7)</f>
        <v>9.0096750000003833E-2</v>
      </c>
      <c r="X9" s="115">
        <f>SUM('Zone wise Meter data'!BY7:CE7)</f>
        <v>1.3283749999997152E-3</v>
      </c>
      <c r="Y9" s="115">
        <f>SUM('Zone wise Meter data'!CF7:CK7)</f>
        <v>9.2192937500007788E-2</v>
      </c>
      <c r="Z9" s="115">
        <f>SUM('Zone wise Meter data'!CL7:CO7)</f>
        <v>9.7855999999978849E-2</v>
      </c>
      <c r="AA9" s="115">
        <f>SUM('Zone wise Meter data'!CP7:DD7)</f>
        <v>4.3752312500018653E-2</v>
      </c>
      <c r="AB9" s="115">
        <f>SUM('Zone wise Meter data'!DE7:DN7)</f>
        <v>1.2487874999998191E-2</v>
      </c>
      <c r="AC9" s="115">
        <f>SUM('Zone wise Meter data'!DO7:ED7)</f>
        <v>0</v>
      </c>
      <c r="AD9" s="160">
        <f>Hourly_kWh!AW9</f>
        <v>7.0463999999901716E-2</v>
      </c>
      <c r="AE9" s="160">
        <f>Hourly_kWh!DS9</f>
        <v>9.0208000000018274E-2</v>
      </c>
      <c r="AF9" s="160">
        <f>Hourly_kWh!EL9</f>
        <v>0.10406400000010763</v>
      </c>
      <c r="AG9" s="160">
        <f>Hourly_kWh!EK9</f>
        <v>0</v>
      </c>
      <c r="AH9" s="160">
        <f>Hourly_kWh!EN9</f>
        <v>8.0383999999867228E-2</v>
      </c>
      <c r="AI9" s="160">
        <f>Hourly_kWh!EO9</f>
        <v>7.6799999999366264E-4</v>
      </c>
      <c r="AJ9" s="160">
        <f>Hourly_kWh!EM9</f>
        <v>0.14950399999997899</v>
      </c>
      <c r="AK9" s="160">
        <f>Hourly_kWh!ER9</f>
        <v>0.11014600000001451</v>
      </c>
      <c r="AL9" s="160">
        <f>Hourly_kWh!EI9</f>
        <v>2.2975999999971464E-2</v>
      </c>
      <c r="AM9" s="160">
        <f>Hourly_kWh!EJ9+Hourly_kWh!AS9</f>
        <v>5.3579999999993078E-3</v>
      </c>
      <c r="AN9" s="160">
        <f>Hourly_kWh!CX9+Hourly_kWh!CY9+Hourly_kWh!DC9+Hourly_kWh!DD9</f>
        <v>1.0235624999999748E-2</v>
      </c>
      <c r="AO9" s="160">
        <f>SUM(Hourly_kWh!AI9:AQ9)</f>
        <v>8.176846874998861E-2</v>
      </c>
      <c r="AP9" s="160">
        <f>SUM(Hourly_kWh!V9:AG9)</f>
        <v>3.8933499999999732E-2</v>
      </c>
      <c r="AQ9" s="160">
        <f>Hourly_kWh!DB9</f>
        <v>4.946000000000339E-3</v>
      </c>
      <c r="AR9" s="160">
        <f>Hourly_kWh!CO9</f>
        <v>2.1096000000000004E-2</v>
      </c>
      <c r="AS9" s="160">
        <f>Hourly_kWh!BJ9</f>
        <v>2.1199999999765851E-4</v>
      </c>
      <c r="AT9" s="160">
        <f>Hourly_kWh!U9</f>
        <v>2.3735999999999535E-2</v>
      </c>
      <c r="AU9" s="160">
        <f>Hourly_kWh!V9</f>
        <v>4.8360000000009506E-3</v>
      </c>
      <c r="AV9" s="160">
        <f>Hourly_kWh!W9</f>
        <v>5.1559999999994943E-3</v>
      </c>
      <c r="AW9" s="160">
        <f>Hourly_kWh!X9</f>
        <v>4.6689999999998122E-3</v>
      </c>
      <c r="AX9" s="160">
        <f>Hourly_kWh!Y9</f>
        <v>0</v>
      </c>
      <c r="AY9" s="160">
        <f>Hourly_kWh!Z9</f>
        <v>2.4310000000014043E-3</v>
      </c>
      <c r="AZ9" s="160">
        <f>Hourly_kWh!AA9</f>
        <v>6.2539999999984275E-3</v>
      </c>
      <c r="BA9" s="160">
        <f>Hourly_kWh!AB9</f>
        <v>6.4300000000017121E-3</v>
      </c>
      <c r="BB9" s="160">
        <f>Hourly_kWh!AC9</f>
        <v>1.8019999999978609E-3</v>
      </c>
      <c r="BC9" s="160">
        <f>Hourly_kWh!AD9</f>
        <v>2.4300000000003763E-3</v>
      </c>
      <c r="BD9" s="160">
        <f>Hourly_kWh!AE9</f>
        <v>4.4064999999999799E-3</v>
      </c>
      <c r="BE9" s="160">
        <f>Hourly_kWh!AF9</f>
        <v>0</v>
      </c>
      <c r="BF9" s="160">
        <f>Hourly_kWh!AG9</f>
        <v>5.1899999999971413E-4</v>
      </c>
      <c r="BG9" s="160">
        <f>Hourly_kWh!AH9</f>
        <v>9.0368000000012216E-2</v>
      </c>
      <c r="BH9" s="160">
        <f>Hourly_kWh!AI9</f>
        <v>0</v>
      </c>
      <c r="BI9" s="160">
        <f>Hourly_kWh!AJ9</f>
        <v>2.5209999999997734E-3</v>
      </c>
      <c r="BJ9" s="160">
        <f>Hourly_kWh!AK9</f>
        <v>0</v>
      </c>
      <c r="BK9" s="160">
        <f>Hourly_kWh!AL9</f>
        <v>1.6865468750000001E-2</v>
      </c>
      <c r="BL9" s="160">
        <f>Hourly_kWh!AM9</f>
        <v>2.0024000000006481E-2</v>
      </c>
      <c r="BM9" s="160">
        <f>Hourly_kWh!AN9</f>
        <v>1.6175999999987312E-2</v>
      </c>
      <c r="BN9" s="160">
        <f>Hourly_kWh!AO9</f>
        <v>8.8360000000022865E-3</v>
      </c>
      <c r="BO9" s="160">
        <f>Hourly_kWh!AP9</f>
        <v>3.029999999998978E-3</v>
      </c>
      <c r="BP9" s="160">
        <f>Hourly_kWh!AQ9</f>
        <v>1.4315999999993778E-2</v>
      </c>
      <c r="BQ9" s="160">
        <f>Hourly_kWh!AR9</f>
        <v>0.22195199999998749</v>
      </c>
      <c r="BR9" s="160">
        <f>Hourly_kWh!AS9</f>
        <v>2.9260000000004283E-3</v>
      </c>
      <c r="BS9" s="160">
        <f>Hourly_kWh!AT9</f>
        <v>0</v>
      </c>
      <c r="BT9" s="160">
        <f>Hourly_kWh!AU9</f>
        <v>2.1679999999975053E-3</v>
      </c>
      <c r="BU9" s="160">
        <f>Hourly_kWh!AV9</f>
        <v>2.6405000000000456E-3</v>
      </c>
      <c r="BV9" s="160">
        <f>Hourly_kWh!AW9</f>
        <v>7.0463999999901716E-2</v>
      </c>
      <c r="BW9" s="160">
        <f>Hourly_kWh!AX9</f>
        <v>0</v>
      </c>
      <c r="BX9" s="160">
        <f>Hourly_kWh!AY9</f>
        <v>2.458999999999989E-3</v>
      </c>
      <c r="BY9" s="160">
        <f>Hourly_kWh!AZ9</f>
        <v>0</v>
      </c>
      <c r="BZ9" s="160">
        <f>Hourly_kWh!BA9</f>
        <v>0</v>
      </c>
      <c r="CA9" s="160">
        <f>Hourly_kWh!BB9</f>
        <v>0</v>
      </c>
      <c r="CB9" s="160">
        <f>Hourly_kWh!BC9</f>
        <v>0</v>
      </c>
      <c r="CC9" s="160">
        <f>Hourly_kWh!BD9</f>
        <v>2.476406250000035E-4</v>
      </c>
      <c r="CD9" s="160">
        <f>Hourly_kWh!BE9</f>
        <v>4.8040000000000305E-3</v>
      </c>
      <c r="CE9" s="160">
        <f>Hourly_kWh!BF9</f>
        <v>0</v>
      </c>
      <c r="CF9" s="160">
        <f>Hourly_kWh!BG9</f>
        <v>1.9020000000011805E-3</v>
      </c>
      <c r="CG9" s="160">
        <f>Hourly_kWh!BH9</f>
        <v>0</v>
      </c>
      <c r="CH9" s="160">
        <f>Hourly_kWh!BI9</f>
        <v>0.11817600000000539</v>
      </c>
      <c r="CI9" s="160">
        <f>Hourly_kWh!BJ9</f>
        <v>2.1199999999765851E-4</v>
      </c>
      <c r="CJ9" s="160">
        <f>Hourly_kWh!BK9</f>
        <v>5.2510000000003387E-3</v>
      </c>
      <c r="CK9" s="160">
        <f>Hourly_kWh!BL9</f>
        <v>0</v>
      </c>
      <c r="CL9" s="160">
        <f>Hourly_kWh!BM9</f>
        <v>0.15280000000001337</v>
      </c>
      <c r="CM9" s="160">
        <f>Hourly_kWh!BN9</f>
        <v>0</v>
      </c>
      <c r="CN9" s="160">
        <f>Hourly_kWh!BO9</f>
        <v>7.507699999999673E-2</v>
      </c>
      <c r="CO9" s="160">
        <f>Hourly_kWh!BP9</f>
        <v>0</v>
      </c>
      <c r="CP9" s="160">
        <f>Hourly_kWh!BQ9</f>
        <v>0</v>
      </c>
      <c r="CQ9" s="160">
        <f>Hourly_kWh!BR9</f>
        <v>0</v>
      </c>
      <c r="CR9" s="160">
        <f>Hourly_kWh!BS9</f>
        <v>0</v>
      </c>
      <c r="CS9" s="160">
        <f>Hourly_kWh!BT9</f>
        <v>9.2399999999983606E-3</v>
      </c>
      <c r="CT9" s="160">
        <f>Hourly_kWh!BU9</f>
        <v>0</v>
      </c>
      <c r="CU9" s="160">
        <f>Hourly_kWh!BV9</f>
        <v>0</v>
      </c>
      <c r="CV9" s="160">
        <f>Hourly_kWh!BW9</f>
        <v>0</v>
      </c>
      <c r="CW9" s="160">
        <f>Hourly_kWh!BX9</f>
        <v>0</v>
      </c>
      <c r="CX9" s="160">
        <f>Hourly_kWh!BY9</f>
        <v>0</v>
      </c>
      <c r="CY9" s="160">
        <f>Hourly_kWh!BZ9</f>
        <v>4.5368000000010511E-2</v>
      </c>
      <c r="CZ9" s="160">
        <f>Hourly_kWh!CA9</f>
        <v>1.7783437499999999E-2</v>
      </c>
      <c r="DA9" s="160">
        <f>Hourly_kWh!CB9</f>
        <v>0</v>
      </c>
      <c r="DB9" s="160">
        <f>Hourly_kWh!CC9</f>
        <v>0</v>
      </c>
      <c r="DC9" s="160">
        <f>Hourly_kWh!CD9</f>
        <v>0</v>
      </c>
      <c r="DD9" s="160">
        <f>Hourly_kWh!CE9</f>
        <v>0</v>
      </c>
      <c r="DE9" s="160">
        <f>Hourly_kWh!CF9</f>
        <v>1.4939999999992182E-3</v>
      </c>
      <c r="DF9" s="160">
        <f>Hourly_kWh!CG9</f>
        <v>0</v>
      </c>
      <c r="DG9" s="160">
        <f>Hourly_kWh!CH9</f>
        <v>6.2974999999987347E-4</v>
      </c>
      <c r="DH9" s="160">
        <f>Hourly_kWh!CI9</f>
        <v>0</v>
      </c>
      <c r="DI9" s="160">
        <f>Hourly_kWh!CJ9</f>
        <v>0</v>
      </c>
      <c r="DJ9" s="160">
        <f>Hourly_kWh!CK9</f>
        <v>0</v>
      </c>
      <c r="DK9" s="160">
        <f>Hourly_kWh!CL9</f>
        <v>1.8900000000030559E-3</v>
      </c>
      <c r="DL9" s="160">
        <f>Hourly_kWh!CM9</f>
        <v>0.2196480000000065</v>
      </c>
      <c r="DM9" s="160">
        <f>Hourly_kWh!CN9</f>
        <v>2.0930000000003446E-3</v>
      </c>
      <c r="DN9" s="160">
        <f>Hourly_kWh!CO9</f>
        <v>2.1096000000000004E-2</v>
      </c>
      <c r="DO9" s="160">
        <f>Hourly_kWh!CP9</f>
        <v>0</v>
      </c>
      <c r="DP9" s="160">
        <f>Hourly_kWh!CQ9</f>
        <v>0</v>
      </c>
      <c r="DQ9" s="160">
        <f>Hourly_kWh!CR9</f>
        <v>7.1360000000009194E-3</v>
      </c>
      <c r="DR9" s="160">
        <f>Hourly_kWh!CS9</f>
        <v>0</v>
      </c>
      <c r="DS9" s="160">
        <f>Hourly_kWh!CT9</f>
        <v>1.4936000000005833E-2</v>
      </c>
      <c r="DT9" s="160">
        <f>Hourly_kWh!CU9</f>
        <v>0</v>
      </c>
      <c r="DU9" s="160">
        <f>Hourly_kWh!CV9</f>
        <v>6.9862499999984173E-4</v>
      </c>
      <c r="DV9" s="160">
        <f>Hourly_kWh!CW9</f>
        <v>9.8080000000067002E-3</v>
      </c>
      <c r="DW9" s="160">
        <f>Hourly_kWh!CX9</f>
        <v>0</v>
      </c>
      <c r="DX9" s="160">
        <f>Hourly_kWh!CY9</f>
        <v>6.9799999999986539E-4</v>
      </c>
      <c r="DY9" s="160">
        <f>Hourly_kWh!CZ9</f>
        <v>2.2217499999999113E-3</v>
      </c>
      <c r="DZ9" s="160">
        <f>Hourly_kWh!DA9</f>
        <v>1.1507999999999186E-2</v>
      </c>
      <c r="EA9" s="160">
        <f>Hourly_kWh!DB9</f>
        <v>4.946000000000339E-3</v>
      </c>
      <c r="EB9" s="160">
        <f>Hourly_kWh!DC9</f>
        <v>8.2706249999999759E-3</v>
      </c>
      <c r="EC9" s="160">
        <f>Hourly_kWh!DD9</f>
        <v>1.2669999999999071E-3</v>
      </c>
      <c r="ED9" s="160">
        <f>Hourly_kWh!DE9</f>
        <v>0</v>
      </c>
      <c r="EE9" s="160">
        <f>Hourly_kWh!DF9</f>
        <v>0</v>
      </c>
      <c r="EF9" s="160">
        <f>Hourly_kWh!DG9</f>
        <v>2.9900000000004923E-3</v>
      </c>
      <c r="EG9" s="160">
        <f>Hourly_kWh!DH9</f>
        <v>5.8950000000024261E-4</v>
      </c>
      <c r="EH9" s="160">
        <f>Hourly_kWh!DI9</f>
        <v>0.24230399999999008</v>
      </c>
      <c r="EI9" s="160">
        <f>Hourly_kWh!DJ9</f>
        <v>0</v>
      </c>
      <c r="EJ9" s="160">
        <f>Hourly_kWh!DK9</f>
        <v>2.7819999999998402E-3</v>
      </c>
      <c r="EK9" s="160">
        <f>Hourly_kWh!DL9</f>
        <v>1.1047343749999994E-3</v>
      </c>
      <c r="EL9" s="160">
        <f>Hourly_kWh!DM9</f>
        <v>1.642999999999617E-3</v>
      </c>
      <c r="EM9" s="160">
        <f>Hourly_kWh!DN9</f>
        <v>0</v>
      </c>
      <c r="EN9" s="160">
        <f>Hourly_kWh!DO9</f>
        <v>1.2096000000013873E-2</v>
      </c>
      <c r="EO9" s="160">
        <f>Hourly_kWh!DP9</f>
        <v>2.039500000000416E-3</v>
      </c>
      <c r="EP9" s="160">
        <f>Hourly_kWh!DQ9</f>
        <v>0</v>
      </c>
      <c r="EQ9" s="160">
        <f>Hourly_kWh!DR9</f>
        <v>0</v>
      </c>
      <c r="ER9" s="160">
        <f>Hourly_kWh!DS9</f>
        <v>9.0208000000018274E-2</v>
      </c>
      <c r="ES9" s="160">
        <f>Hourly_kWh!DT9</f>
        <v>1.8307499999999699E-2</v>
      </c>
      <c r="ET9" s="160">
        <f>Hourly_kWh!DU9</f>
        <v>1.5999999998683734E-5</v>
      </c>
      <c r="EU9" s="160">
        <f>Hourly_kWh!DV9</f>
        <v>5.0000000000016698E-4</v>
      </c>
      <c r="EV9" s="160">
        <f>Hourly_kWh!DW9</f>
        <v>0</v>
      </c>
      <c r="EW9" s="160">
        <f>Hourly_kWh!DX9</f>
        <v>4.0309999999994517E-3</v>
      </c>
      <c r="EX9" s="160">
        <f>Hourly_kWh!DY9</f>
        <v>2.4831250000001415E-4</v>
      </c>
      <c r="EY9" s="160">
        <f>Hourly_kWh!DZ9</f>
        <v>5.046000000000106E-3</v>
      </c>
      <c r="EZ9" s="160">
        <f>Hourly_kWh!EA9</f>
        <v>0</v>
      </c>
      <c r="FA9" s="160">
        <f>Hourly_kWh!EB9</f>
        <v>6.3599999999979673E-2</v>
      </c>
      <c r="FB9" s="160">
        <f>Hourly_kWh!EC9</f>
        <v>3.4255999999999176E-2</v>
      </c>
      <c r="FC9" s="160">
        <f>Hourly_kWh!ED9</f>
        <v>4.8395000000001076E-3</v>
      </c>
      <c r="FD9" s="160">
        <f>Hourly_kWh!EE9</f>
        <v>5.8300000000004459E-3</v>
      </c>
      <c r="FE9" s="160">
        <f>Hourly_kWh!EF9</f>
        <v>0.5138569999999163</v>
      </c>
      <c r="FF9" s="160">
        <f>Hourly_kWh!EG9</f>
        <v>0</v>
      </c>
      <c r="FG9" s="160">
        <f>Hourly_kWh!EH9</f>
        <v>4.2816000000016174E-2</v>
      </c>
      <c r="FH9" s="160">
        <f>Hourly_kWh!EI9</f>
        <v>2.2975999999971464E-2</v>
      </c>
      <c r="FI9" s="160">
        <f>Hourly_kWh!EJ9</f>
        <v>2.4319999999988795E-3</v>
      </c>
      <c r="FJ9" s="160">
        <f>Hourly_kWh!EK9</f>
        <v>0</v>
      </c>
      <c r="FK9" s="160">
        <f>Hourly_kWh!EL9</f>
        <v>0.10406400000010763</v>
      </c>
      <c r="FL9" s="160">
        <f>Hourly_kWh!EM9</f>
        <v>0.14950399999997899</v>
      </c>
      <c r="FM9" s="160">
        <f>Hourly_kWh!EN9</f>
        <v>8.0383999999867228E-2</v>
      </c>
      <c r="FN9" s="160">
        <f>Hourly_kWh!EO9</f>
        <v>7.6799999999366264E-4</v>
      </c>
      <c r="FO9" s="160">
        <f>Hourly_kWh!EP9</f>
        <v>0</v>
      </c>
      <c r="FP9" s="160">
        <f>Hourly_kWh!ER9</f>
        <v>0.11014600000001451</v>
      </c>
      <c r="FQ9" s="160">
        <f>Hourly_kWh!EQ9</f>
        <v>0</v>
      </c>
      <c r="FR9" s="160">
        <f>Hourly_kWh!M9</f>
        <v>0</v>
      </c>
      <c r="FS9" s="160">
        <f>Hourly_kWh!G9</f>
        <v>0</v>
      </c>
      <c r="FT9" s="160">
        <f>Hourly_kWh!C9</f>
        <v>0</v>
      </c>
      <c r="FU9" s="160">
        <f>Hourly_kWh!D9</f>
        <v>0.37481600000000981</v>
      </c>
      <c r="FV9" s="160">
        <f>Hourly_kWh!E9</f>
        <v>0.31548600000002125</v>
      </c>
      <c r="FW9" s="160">
        <f>Hourly_kWh!F9</f>
        <v>0.34659399999998186</v>
      </c>
      <c r="FX9" s="160">
        <f>Hourly_kWh!Q9</f>
        <v>0</v>
      </c>
      <c r="FY9" s="160">
        <f>Hourly_kWh!R9</f>
        <v>0.36864000000059605</v>
      </c>
      <c r="FZ9" s="160">
        <f>Hourly_kWh!S9</f>
        <v>0.30924799999957031</v>
      </c>
      <c r="GA9" s="160">
        <f>Hourly_kWh!T9</f>
        <v>0.34406400000079884</v>
      </c>
      <c r="GB9" s="160">
        <f t="shared" si="0"/>
        <v>1.4643839999999959</v>
      </c>
      <c r="GC9" s="160">
        <f t="shared" si="1"/>
        <v>1.3505609999999137</v>
      </c>
      <c r="GD9" s="160">
        <f t="shared" si="2"/>
        <v>0.11382300000008216</v>
      </c>
      <c r="GE9" s="159">
        <f t="shared" si="3"/>
        <v>7.7727563262151508E-2</v>
      </c>
    </row>
    <row r="10" spans="2:187" s="150" customFormat="1" ht="32.25" customHeight="1" x14ac:dyDescent="0.25">
      <c r="B10" s="149" t="s">
        <v>667</v>
      </c>
      <c r="C10" s="160">
        <f>Hourly_kWh!H10</f>
        <v>0</v>
      </c>
      <c r="D10" s="160">
        <f>Hourly_kWh!I10</f>
        <v>0</v>
      </c>
      <c r="E10" s="160">
        <f>Hourly_kWh!J10</f>
        <v>0</v>
      </c>
      <c r="F10" s="160">
        <f>Hourly_kWh!K10</f>
        <v>0</v>
      </c>
      <c r="G10" s="160">
        <f>Hourly_kWh!L10</f>
        <v>0</v>
      </c>
      <c r="H10" s="160">
        <f>Hourly_kWh!U10</f>
        <v>2.2944000000009623E-2</v>
      </c>
      <c r="I10" s="160">
        <f>Hourly_kWh!P10</f>
        <v>7.2119999999955553E-3</v>
      </c>
      <c r="J10" s="160">
        <f>Hourly_kWh!N10</f>
        <v>0.12902299999996103</v>
      </c>
      <c r="K10" s="160">
        <f>Hourly_kWh!O10</f>
        <v>0.13587200000017674</v>
      </c>
      <c r="L10" s="160">
        <f>Hourly_kWh!B10*0.001</f>
        <v>1.082875</v>
      </c>
      <c r="M10" s="160">
        <f>Hourly_kWh!AR10</f>
        <v>0.20019200000001547</v>
      </c>
      <c r="N10" s="160">
        <f>Hourly_kWh!BM10</f>
        <v>0.11779199999995171</v>
      </c>
      <c r="O10" s="160">
        <f>Hourly_kWh!CM10</f>
        <v>0.20454400000016904</v>
      </c>
      <c r="P10" s="160">
        <f>Hourly_kWh!DI10</f>
        <v>0.22636800000009316</v>
      </c>
      <c r="Q10" s="160">
        <f>Hourly_kWh!EF10</f>
        <v>0.53402000000005501</v>
      </c>
      <c r="R10" s="119">
        <f>SUM('Zone wise Meter data'!O8:AF8)</f>
        <v>5.0256125000002205E-2</v>
      </c>
      <c r="S10" s="115">
        <f>SUM('Zone wise Meter data'!AG8:AW8)</f>
        <v>0.11199598437500605</v>
      </c>
      <c r="T10" s="115">
        <f>SUM('Zone wise Meter data'!AX8:BA8)</f>
        <v>6.7910000000000359E-2</v>
      </c>
      <c r="U10" s="115">
        <f>SUM('Zone wise Meter data'!BB8:BC8)</f>
        <v>0.13404800000000705</v>
      </c>
      <c r="V10" s="115">
        <f>SUM('Zone wise Meter data'!BD8:BL8)</f>
        <v>0.503442999999967</v>
      </c>
      <c r="W10" s="115">
        <f>SUM('Zone wise Meter data'!BM8:BX8)</f>
        <v>4.9890249999999803E-2</v>
      </c>
      <c r="X10" s="115">
        <f>SUM('Zone wise Meter data'!BY8:CE8)</f>
        <v>1.4046250000003813E-3</v>
      </c>
      <c r="Y10" s="115">
        <f>SUM('Zone wise Meter data'!CF8:CK8)</f>
        <v>8.8026968749993217E-2</v>
      </c>
      <c r="Z10" s="115">
        <f>SUM('Zone wise Meter data'!CL8:CO8)</f>
        <v>8.7856000000016365E-2</v>
      </c>
      <c r="AA10" s="115">
        <f>SUM('Zone wise Meter data'!CP8:DD8)</f>
        <v>4.8175124999977004E-2</v>
      </c>
      <c r="AB10" s="115">
        <f>SUM('Zone wise Meter data'!DE8:DN8)</f>
        <v>1.1039640625001845E-2</v>
      </c>
      <c r="AC10" s="115">
        <f>SUM('Zone wise Meter data'!DO8:ED8)</f>
        <v>0</v>
      </c>
      <c r="AD10" s="160">
        <f>Hourly_kWh!AW10</f>
        <v>4.9024000000031265E-2</v>
      </c>
      <c r="AE10" s="160">
        <f>Hourly_kWh!DS10</f>
        <v>8.5023999999975786E-2</v>
      </c>
      <c r="AF10" s="160">
        <f>Hourly_kWh!EL10</f>
        <v>0.11404799999991155</v>
      </c>
      <c r="AG10" s="160">
        <f>Hourly_kWh!EK10</f>
        <v>0</v>
      </c>
      <c r="AH10" s="160">
        <f>Hourly_kWh!EN10</f>
        <v>7.8848000000107277E-2</v>
      </c>
      <c r="AI10" s="160">
        <f>Hourly_kWh!EO10</f>
        <v>7.6799999999366264E-4</v>
      </c>
      <c r="AJ10" s="160">
        <f>Hourly_kWh!EM10</f>
        <v>0.1574399999999514</v>
      </c>
      <c r="AK10" s="160">
        <f>Hourly_kWh!ER10</f>
        <v>0.11126799999999548</v>
      </c>
      <c r="AL10" s="160">
        <f>Hourly_kWh!EI10</f>
        <v>2.777600000001712E-2</v>
      </c>
      <c r="AM10" s="160">
        <f>Hourly_kWh!EJ10+Hourly_kWh!AS10</f>
        <v>5.4460000000231545E-3</v>
      </c>
      <c r="AN10" s="160">
        <f>Hourly_kWh!CX10+Hourly_kWh!CY10+Hourly_kWh!DC10+Hourly_kWh!DD10</f>
        <v>1.0195625000000375E-2</v>
      </c>
      <c r="AO10" s="160">
        <f>SUM(Hourly_kWh!AI10:AQ10)</f>
        <v>7.8777984375004523E-2</v>
      </c>
      <c r="AP10" s="160">
        <f>SUM(Hourly_kWh!V10:AG10)</f>
        <v>4.0846000000001936E-2</v>
      </c>
      <c r="AQ10" s="160">
        <f>Hourly_kWh!DB10</f>
        <v>5.1749999999994856E-3</v>
      </c>
      <c r="AR10" s="160">
        <f>Hourly_kWh!CO10</f>
        <v>2.4256000000008271E-2</v>
      </c>
      <c r="AS10" s="160">
        <f>Hourly_kWh!BJ10</f>
        <v>3.2000000000209639E-4</v>
      </c>
      <c r="AT10" s="160">
        <f>Hourly_kWh!U10</f>
        <v>2.2944000000009623E-2</v>
      </c>
      <c r="AU10" s="160">
        <f>Hourly_kWh!V10</f>
        <v>5.8539999999993597E-3</v>
      </c>
      <c r="AV10" s="160">
        <f>Hourly_kWh!W10</f>
        <v>5.2830000000003707E-3</v>
      </c>
      <c r="AW10" s="160">
        <f>Hourly_kWh!X10</f>
        <v>4.2640000000009337E-3</v>
      </c>
      <c r="AX10" s="160">
        <f>Hourly_kWh!Y10</f>
        <v>0</v>
      </c>
      <c r="AY10" s="160">
        <f>Hourly_kWh!Z10</f>
        <v>2.4409999999992493E-3</v>
      </c>
      <c r="AZ10" s="160">
        <f>Hourly_kWh!AA10</f>
        <v>6.6600000000001103E-3</v>
      </c>
      <c r="BA10" s="160">
        <f>Hourly_kWh!AB10</f>
        <v>6.4279999999996562E-3</v>
      </c>
      <c r="BB10" s="160">
        <f>Hourly_kWh!AC10</f>
        <v>1.2680000000031555E-3</v>
      </c>
      <c r="BC10" s="160">
        <f>Hourly_kWh!AD10</f>
        <v>2.7669999999986317E-3</v>
      </c>
      <c r="BD10" s="160">
        <f>Hourly_kWh!AE10</f>
        <v>3.283000000000591E-3</v>
      </c>
      <c r="BE10" s="160">
        <f>Hourly_kWh!AF10</f>
        <v>0</v>
      </c>
      <c r="BF10" s="160">
        <f>Hourly_kWh!AG10</f>
        <v>2.5979999999998782E-3</v>
      </c>
      <c r="BG10" s="160">
        <f>Hourly_kWh!AH10</f>
        <v>8.7455999999974665E-2</v>
      </c>
      <c r="BH10" s="160">
        <f>Hourly_kWh!AI10</f>
        <v>0</v>
      </c>
      <c r="BI10" s="160">
        <f>Hourly_kWh!AJ10</f>
        <v>2.5044999999996875E-3</v>
      </c>
      <c r="BJ10" s="160">
        <f>Hourly_kWh!AK10</f>
        <v>0</v>
      </c>
      <c r="BK10" s="160">
        <f>Hourly_kWh!AL10</f>
        <v>1.5327484375000006E-2</v>
      </c>
      <c r="BL10" s="160">
        <f>Hourly_kWh!AM10</f>
        <v>1.9784000000001356E-2</v>
      </c>
      <c r="BM10" s="160">
        <f>Hourly_kWh!AN10</f>
        <v>1.5760000000000218E-2</v>
      </c>
      <c r="BN10" s="160">
        <f>Hourly_kWh!AO10</f>
        <v>8.2159999999973365E-3</v>
      </c>
      <c r="BO10" s="160">
        <f>Hourly_kWh!AP10</f>
        <v>2.9420000000008883E-3</v>
      </c>
      <c r="BP10" s="160">
        <f>Hourly_kWh!AQ10</f>
        <v>1.424400000000503E-2</v>
      </c>
      <c r="BQ10" s="160">
        <f>Hourly_kWh!AR10</f>
        <v>0.20019200000001547</v>
      </c>
      <c r="BR10" s="160">
        <f>Hourly_kWh!AS10</f>
        <v>3.6540000000000461E-3</v>
      </c>
      <c r="BS10" s="160">
        <f>Hourly_kWh!AT10</f>
        <v>0</v>
      </c>
      <c r="BT10" s="160">
        <f>Hourly_kWh!AU10</f>
        <v>2.0960000000016521E-3</v>
      </c>
      <c r="BU10" s="160">
        <f>Hourly_kWh!AV10</f>
        <v>2.7334999999997223E-3</v>
      </c>
      <c r="BV10" s="160">
        <f>Hourly_kWh!AW10</f>
        <v>4.9024000000031265E-2</v>
      </c>
      <c r="BW10" s="160">
        <f>Hourly_kWh!AX10</f>
        <v>0</v>
      </c>
      <c r="BX10" s="160">
        <f>Hourly_kWh!AY10</f>
        <v>3.6485000000006096E-3</v>
      </c>
      <c r="BY10" s="160">
        <f>Hourly_kWh!AZ10</f>
        <v>0</v>
      </c>
      <c r="BZ10" s="160">
        <f>Hourly_kWh!BA10</f>
        <v>0</v>
      </c>
      <c r="CA10" s="160">
        <f>Hourly_kWh!BB10</f>
        <v>0</v>
      </c>
      <c r="CB10" s="160">
        <f>Hourly_kWh!BC10</f>
        <v>0</v>
      </c>
      <c r="CC10" s="160">
        <f>Hourly_kWh!BD10</f>
        <v>1.0481249999999553E-4</v>
      </c>
      <c r="CD10" s="160">
        <f>Hourly_kWh!BE10</f>
        <v>4.7180000000004441E-3</v>
      </c>
      <c r="CE10" s="160">
        <f>Hourly_kWh!BF10</f>
        <v>0</v>
      </c>
      <c r="CF10" s="160">
        <f>Hourly_kWh!BG10</f>
        <v>4.9800000000033151E-4</v>
      </c>
      <c r="CG10" s="160">
        <f>Hourly_kWh!BH10</f>
        <v>0</v>
      </c>
      <c r="CH10" s="160">
        <f>Hourly_kWh!BI10</f>
        <v>0.11785599999996066</v>
      </c>
      <c r="CI10" s="160">
        <f>Hourly_kWh!BJ10</f>
        <v>3.2000000000209639E-4</v>
      </c>
      <c r="CJ10" s="160">
        <f>Hourly_kWh!BK10</f>
        <v>4.1244999999996423E-3</v>
      </c>
      <c r="CK10" s="160">
        <f>Hourly_kWh!BL10</f>
        <v>0</v>
      </c>
      <c r="CL10" s="160">
        <f>Hourly_kWh!BM10</f>
        <v>0.11779199999995171</v>
      </c>
      <c r="CM10" s="160">
        <f>Hourly_kWh!BN10</f>
        <v>0</v>
      </c>
      <c r="CN10" s="160">
        <f>Hourly_kWh!BO10</f>
        <v>4.2221000000001396E-2</v>
      </c>
      <c r="CO10" s="160">
        <f>Hourly_kWh!BP10</f>
        <v>0</v>
      </c>
      <c r="CP10" s="160">
        <f>Hourly_kWh!BQ10</f>
        <v>0</v>
      </c>
      <c r="CQ10" s="160">
        <f>Hourly_kWh!BR10</f>
        <v>0</v>
      </c>
      <c r="CR10" s="160">
        <f>Hourly_kWh!BS10</f>
        <v>0</v>
      </c>
      <c r="CS10" s="160">
        <f>Hourly_kWh!BT10</f>
        <v>7.975999999999317E-3</v>
      </c>
      <c r="CT10" s="160">
        <f>Hourly_kWh!BU10</f>
        <v>0</v>
      </c>
      <c r="CU10" s="160">
        <f>Hourly_kWh!BV10</f>
        <v>0</v>
      </c>
      <c r="CV10" s="160">
        <f>Hourly_kWh!BW10</f>
        <v>0</v>
      </c>
      <c r="CW10" s="160">
        <f>Hourly_kWh!BX10</f>
        <v>0</v>
      </c>
      <c r="CX10" s="160">
        <f>Hourly_kWh!BY10</f>
        <v>0</v>
      </c>
      <c r="CY10" s="160">
        <f>Hourly_kWh!BZ10</f>
        <v>4.5031999999991967E-2</v>
      </c>
      <c r="CZ10" s="160">
        <f>Hourly_kWh!CA10</f>
        <v>1.5408968750000029E-2</v>
      </c>
      <c r="DA10" s="160">
        <f>Hourly_kWh!CB10</f>
        <v>0</v>
      </c>
      <c r="DB10" s="160">
        <f>Hourly_kWh!CC10</f>
        <v>0</v>
      </c>
      <c r="DC10" s="160">
        <f>Hourly_kWh!CD10</f>
        <v>0</v>
      </c>
      <c r="DD10" s="160">
        <f>Hourly_kWh!CE10</f>
        <v>0</v>
      </c>
      <c r="DE10" s="160">
        <f>Hourly_kWh!CF10</f>
        <v>1.4460000000013906E-3</v>
      </c>
      <c r="DF10" s="160">
        <f>Hourly_kWh!CG10</f>
        <v>0</v>
      </c>
      <c r="DG10" s="160">
        <f>Hourly_kWh!CH10</f>
        <v>6.327500000002928E-4</v>
      </c>
      <c r="DH10" s="160">
        <f>Hourly_kWh!CI10</f>
        <v>0</v>
      </c>
      <c r="DI10" s="160">
        <f>Hourly_kWh!CJ10</f>
        <v>0</v>
      </c>
      <c r="DJ10" s="160">
        <f>Hourly_kWh!CK10</f>
        <v>0</v>
      </c>
      <c r="DK10" s="160">
        <f>Hourly_kWh!CL10</f>
        <v>2.5019999999997822E-3</v>
      </c>
      <c r="DL10" s="160">
        <f>Hourly_kWh!CM10</f>
        <v>0.20454400000016904</v>
      </c>
      <c r="DM10" s="160">
        <f>Hourly_kWh!CN10</f>
        <v>1.9179999999998643E-3</v>
      </c>
      <c r="DN10" s="160">
        <f>Hourly_kWh!CO10</f>
        <v>2.4256000000008271E-2</v>
      </c>
      <c r="DO10" s="160">
        <f>Hourly_kWh!CP10</f>
        <v>0</v>
      </c>
      <c r="DP10" s="160">
        <f>Hourly_kWh!CQ10</f>
        <v>0</v>
      </c>
      <c r="DQ10" s="160">
        <f>Hourly_kWh!CR10</f>
        <v>8.6169999999992086E-3</v>
      </c>
      <c r="DR10" s="160">
        <f>Hourly_kWh!CS10</f>
        <v>0</v>
      </c>
      <c r="DS10" s="160">
        <f>Hourly_kWh!CT10</f>
        <v>1.5255999999993719E-2</v>
      </c>
      <c r="DT10" s="160">
        <f>Hourly_kWh!CU10</f>
        <v>0</v>
      </c>
      <c r="DU10" s="160">
        <f>Hourly_kWh!CV10</f>
        <v>7.7187500000008846E-4</v>
      </c>
      <c r="DV10" s="160">
        <f>Hourly_kWh!CW10</f>
        <v>5.755999999998096E-3</v>
      </c>
      <c r="DW10" s="160">
        <f>Hourly_kWh!CX10</f>
        <v>0</v>
      </c>
      <c r="DX10" s="160">
        <f>Hourly_kWh!CY10</f>
        <v>6.6900000000025273E-4</v>
      </c>
      <c r="DY10" s="160">
        <f>Hourly_kWh!CZ10</f>
        <v>1.1112500000001191E-3</v>
      </c>
      <c r="DZ10" s="160">
        <f>Hourly_kWh!DA10</f>
        <v>1.1639999999999873E-2</v>
      </c>
      <c r="EA10" s="160">
        <f>Hourly_kWh!DB10</f>
        <v>5.1749999999994856E-3</v>
      </c>
      <c r="EB10" s="160">
        <f>Hourly_kWh!DC10</f>
        <v>8.2638749999999206E-3</v>
      </c>
      <c r="EC10" s="160">
        <f>Hourly_kWh!DD10</f>
        <v>1.2627500000002012E-3</v>
      </c>
      <c r="ED10" s="160">
        <f>Hourly_kWh!DE10</f>
        <v>0</v>
      </c>
      <c r="EE10" s="160">
        <f>Hourly_kWh!DF10</f>
        <v>0</v>
      </c>
      <c r="EF10" s="160">
        <f>Hourly_kWh!DG10</f>
        <v>8.0200000000019145E-4</v>
      </c>
      <c r="EG10" s="160">
        <f>Hourly_kWh!DH10</f>
        <v>8.8349999999959294E-4</v>
      </c>
      <c r="EH10" s="160">
        <f>Hourly_kWh!DI10</f>
        <v>0.22636800000009316</v>
      </c>
      <c r="EI10" s="160">
        <f>Hourly_kWh!DJ10</f>
        <v>0</v>
      </c>
      <c r="EJ10" s="160">
        <f>Hourly_kWh!DK10</f>
        <v>2.7580000000000382E-3</v>
      </c>
      <c r="EK10" s="160">
        <f>Hourly_kWh!DL10</f>
        <v>1.0883281249999821E-3</v>
      </c>
      <c r="EL10" s="160">
        <f>Hourly_kWh!DM10</f>
        <v>1.7610000000001236E-3</v>
      </c>
      <c r="EM10" s="160">
        <f>Hourly_kWh!DN10</f>
        <v>1.3993750000007577E-4</v>
      </c>
      <c r="EN10" s="160">
        <f>Hourly_kWh!DO10</f>
        <v>1.8095999999985679E-2</v>
      </c>
      <c r="EO10" s="160">
        <f>Hourly_kWh!DP10</f>
        <v>2.7869999999996509E-3</v>
      </c>
      <c r="EP10" s="160">
        <f>Hourly_kWh!DQ10</f>
        <v>0</v>
      </c>
      <c r="EQ10" s="160">
        <f>Hourly_kWh!DR10</f>
        <v>0</v>
      </c>
      <c r="ER10" s="160">
        <f>Hourly_kWh!DS10</f>
        <v>8.5023999999975786E-2</v>
      </c>
      <c r="ES10" s="160">
        <f>Hourly_kWh!DT10</f>
        <v>1.8164000000000513E-2</v>
      </c>
      <c r="ET10" s="160">
        <f>Hourly_kWh!DU10</f>
        <v>0</v>
      </c>
      <c r="EU10" s="160">
        <f>Hourly_kWh!DV10</f>
        <v>4.8049999999966175E-4</v>
      </c>
      <c r="EV10" s="160">
        <f>Hourly_kWh!DW10</f>
        <v>0</v>
      </c>
      <c r="EW10" s="160">
        <f>Hourly_kWh!DX10</f>
        <v>3.58300000000078E-3</v>
      </c>
      <c r="EX10" s="160">
        <f>Hourly_kWh!DY10</f>
        <v>2.4868750000006656E-4</v>
      </c>
      <c r="EY10" s="160">
        <f>Hourly_kWh!DZ10</f>
        <v>5.0399999999974909E-3</v>
      </c>
      <c r="EZ10" s="160">
        <f>Hourly_kWh!EA10</f>
        <v>0</v>
      </c>
      <c r="FA10" s="160">
        <f>Hourly_kWh!EB10</f>
        <v>5.4656000000022686E-2</v>
      </c>
      <c r="FB10" s="160">
        <f>Hourly_kWh!EC10</f>
        <v>3.3199999999993679E-2</v>
      </c>
      <c r="FC10" s="160">
        <f>Hourly_kWh!ED10</f>
        <v>2.5439999999998797E-3</v>
      </c>
      <c r="FD10" s="160">
        <f>Hourly_kWh!EE10</f>
        <v>5.7010000000001781E-3</v>
      </c>
      <c r="FE10" s="160">
        <f>Hourly_kWh!EF10</f>
        <v>0.53402000000005501</v>
      </c>
      <c r="FF10" s="160">
        <f>Hourly_kWh!EG10</f>
        <v>0</v>
      </c>
      <c r="FG10" s="160">
        <f>Hourly_kWh!EH10</f>
        <v>3.4687999999960084E-2</v>
      </c>
      <c r="FH10" s="160">
        <f>Hourly_kWh!EI10</f>
        <v>2.777600000001712E-2</v>
      </c>
      <c r="FI10" s="160">
        <f>Hourly_kWh!EJ10</f>
        <v>1.7920000000231084E-3</v>
      </c>
      <c r="FJ10" s="160">
        <f>Hourly_kWh!EK10</f>
        <v>0</v>
      </c>
      <c r="FK10" s="160">
        <f>Hourly_kWh!EL10</f>
        <v>0.11404799999991155</v>
      </c>
      <c r="FL10" s="160">
        <f>Hourly_kWh!EM10</f>
        <v>0.1574399999999514</v>
      </c>
      <c r="FM10" s="160">
        <f>Hourly_kWh!EN10</f>
        <v>7.8848000000107277E-2</v>
      </c>
      <c r="FN10" s="160">
        <f>Hourly_kWh!EO10</f>
        <v>7.6799999999366264E-4</v>
      </c>
      <c r="FO10" s="160">
        <f>Hourly_kWh!EP10</f>
        <v>0</v>
      </c>
      <c r="FP10" s="160">
        <f>Hourly_kWh!ER10</f>
        <v>0.11126799999999548</v>
      </c>
      <c r="FQ10" s="160">
        <f>Hourly_kWh!EQ10</f>
        <v>0</v>
      </c>
      <c r="FR10" s="160">
        <f>Hourly_kWh!M10</f>
        <v>0</v>
      </c>
      <c r="FS10" s="160">
        <f>Hourly_kWh!G10</f>
        <v>0</v>
      </c>
      <c r="FT10" s="160">
        <f>Hourly_kWh!C10</f>
        <v>0</v>
      </c>
      <c r="FU10" s="160">
        <f>Hourly_kWh!D10</f>
        <v>0.39205499999991389</v>
      </c>
      <c r="FV10" s="160">
        <f>Hourly_kWh!E10</f>
        <v>0.33340399999997317</v>
      </c>
      <c r="FW10" s="160">
        <f>Hourly_kWh!F10</f>
        <v>0.37921299999999292</v>
      </c>
      <c r="FX10" s="160">
        <f>Hourly_kWh!Q10</f>
        <v>0</v>
      </c>
      <c r="FY10" s="160">
        <f>Hourly_kWh!R10</f>
        <v>0.38297599999714294</v>
      </c>
      <c r="FZ10" s="160">
        <f>Hourly_kWh!S10</f>
        <v>0.31641600000057224</v>
      </c>
      <c r="GA10" s="160">
        <f>Hourly_kWh!T10</f>
        <v>0.35840000000098371</v>
      </c>
      <c r="GB10" s="160">
        <f t="shared" si="0"/>
        <v>1.377926000000143</v>
      </c>
      <c r="GC10" s="160">
        <f t="shared" si="1"/>
        <v>1.2829160000002844</v>
      </c>
      <c r="GD10" s="160">
        <f t="shared" si="2"/>
        <v>9.5009999999858596E-2</v>
      </c>
      <c r="GE10" s="159">
        <f t="shared" si="3"/>
        <v>6.8951453125820059E-2</v>
      </c>
    </row>
    <row r="11" spans="2:187" s="150" customFormat="1" ht="32.25" customHeight="1" x14ac:dyDescent="0.25">
      <c r="B11" s="149" t="s">
        <v>668</v>
      </c>
      <c r="C11" s="160">
        <f>Hourly_kWh!H11</f>
        <v>0</v>
      </c>
      <c r="D11" s="160">
        <f>Hourly_kWh!I11</f>
        <v>0</v>
      </c>
      <c r="E11" s="160">
        <f>Hourly_kWh!J11</f>
        <v>0</v>
      </c>
      <c r="F11" s="160">
        <f>Hourly_kWh!K11</f>
        <v>0</v>
      </c>
      <c r="G11" s="160">
        <f>Hourly_kWh!L11</f>
        <v>0</v>
      </c>
      <c r="H11" s="160">
        <f>Hourly_kWh!U11</f>
        <v>1.8615999999994415E-2</v>
      </c>
      <c r="I11" s="160">
        <f>Hourly_kWh!P11</f>
        <v>2.5488000000002842E-2</v>
      </c>
      <c r="J11" s="160">
        <f>Hourly_kWh!N11</f>
        <v>0.39421000000004369</v>
      </c>
      <c r="K11" s="160">
        <f>Hourly_kWh!O11</f>
        <v>0.40577499999983502</v>
      </c>
      <c r="L11" s="160">
        <f>Hourly_kWh!B11*0.001</f>
        <v>0.52725</v>
      </c>
      <c r="M11" s="160">
        <f>Hourly_kWh!AR11</f>
        <v>0.18636800000001585</v>
      </c>
      <c r="N11" s="160">
        <f>Hourly_kWh!BM11</f>
        <v>0.13142400000003818</v>
      </c>
      <c r="O11" s="160">
        <f>Hourly_kWh!CM11</f>
        <v>0.21529599999985294</v>
      </c>
      <c r="P11" s="160">
        <f>Hourly_kWh!DI11</f>
        <v>0.22278399999993326</v>
      </c>
      <c r="Q11" s="160">
        <f>Hourly_kWh!EF11</f>
        <v>0.50266100000044389</v>
      </c>
      <c r="R11" s="119">
        <f>SUM('Zone wise Meter data'!O9:AF9)</f>
        <v>4.6854374999994119E-2</v>
      </c>
      <c r="S11" s="115">
        <f>SUM('Zone wise Meter data'!AG9:AW9)</f>
        <v>0.11271845312500253</v>
      </c>
      <c r="T11" s="115">
        <f>SUM('Zone wise Meter data'!AX9:BA9)</f>
        <v>7.1159499999917664E-2</v>
      </c>
      <c r="U11" s="115">
        <f>SUM('Zone wise Meter data'!BB9:BC9)</f>
        <v>0.14112000000011449</v>
      </c>
      <c r="V11" s="115">
        <f>SUM('Zone wise Meter data'!BD9:BL9)</f>
        <v>0.47939999999969629</v>
      </c>
      <c r="W11" s="115">
        <f>SUM('Zone wise Meter data'!BM9:BX9)</f>
        <v>7.894699999999677E-2</v>
      </c>
      <c r="X11" s="115">
        <f>SUM('Zone wise Meter data'!BY9:CE9)</f>
        <v>1.4876249999997704E-3</v>
      </c>
      <c r="Y11" s="115">
        <f>SUM('Zone wise Meter data'!CF9:CK9)</f>
        <v>7.3858906249999634E-2</v>
      </c>
      <c r="Z11" s="115">
        <f>SUM('Zone wise Meter data'!CL9:CO9)</f>
        <v>9.0448000000009188E-2</v>
      </c>
      <c r="AA11" s="115">
        <f>SUM('Zone wise Meter data'!CP9:DD9)</f>
        <v>3.8660250000025043E-2</v>
      </c>
      <c r="AB11" s="115">
        <f>SUM('Zone wise Meter data'!DE9:DN9)</f>
        <v>1.0137554687499786E-2</v>
      </c>
      <c r="AC11" s="115">
        <f>SUM('Zone wise Meter data'!DO9:ED9)</f>
        <v>0</v>
      </c>
      <c r="AD11" s="160">
        <f>Hourly_kWh!AW11</f>
        <v>5.4144000000064807E-2</v>
      </c>
      <c r="AE11" s="160">
        <f>Hourly_kWh!DS11</f>
        <v>8.697600000004968E-2</v>
      </c>
      <c r="AF11" s="160">
        <f>Hourly_kWh!EL11</f>
        <v>0.15385599999990518</v>
      </c>
      <c r="AG11" s="160">
        <f>Hourly_kWh!EK11</f>
        <v>0</v>
      </c>
      <c r="AH11" s="160">
        <f>Hourly_kWh!EN11</f>
        <v>0</v>
      </c>
      <c r="AI11" s="160">
        <f>Hourly_kWh!EO11</f>
        <v>7.6799999999366264E-4</v>
      </c>
      <c r="AJ11" s="160">
        <f>Hourly_kWh!EM11</f>
        <v>0.16614399999980378</v>
      </c>
      <c r="AK11" s="160">
        <f>Hourly_kWh!ER11</f>
        <v>0.11627899999999158</v>
      </c>
      <c r="AL11" s="160">
        <f>Hourly_kWh!EI11</f>
        <v>3.0143999999950211E-2</v>
      </c>
      <c r="AM11" s="160">
        <f>Hourly_kWh!EJ11+Hourly_kWh!AS11</f>
        <v>6.1994999999894773E-3</v>
      </c>
      <c r="AN11" s="160">
        <f>Hourly_kWh!CX11+Hourly_kWh!CY11+Hourly_kWh!DC11+Hourly_kWh!DD11</f>
        <v>1.0208874999999784E-2</v>
      </c>
      <c r="AO11" s="160">
        <f>SUM(Hourly_kWh!AI11:AQ11)</f>
        <v>7.974945312500295E-2</v>
      </c>
      <c r="AP11" s="160">
        <f>SUM(Hourly_kWh!V11:AG11)</f>
        <v>4.1311499999995505E-2</v>
      </c>
      <c r="AQ11" s="160">
        <f>Hourly_kWh!DB11</f>
        <v>5.1570000000005223E-3</v>
      </c>
      <c r="AR11" s="160">
        <f>Hourly_kWh!CO11</f>
        <v>2.5695999999996388E-2</v>
      </c>
      <c r="AS11" s="160">
        <f>Hourly_kWh!BJ11</f>
        <v>0</v>
      </c>
      <c r="AT11" s="160">
        <f>Hourly_kWh!U11</f>
        <v>1.8615999999994415E-2</v>
      </c>
      <c r="AU11" s="160">
        <f>Hourly_kWh!V11</f>
        <v>5.0619999999987897E-3</v>
      </c>
      <c r="AV11" s="160">
        <f>Hourly_kWh!W11</f>
        <v>5.3729999999987399E-3</v>
      </c>
      <c r="AW11" s="160">
        <f>Hourly_kWh!X11</f>
        <v>4.4899999999987728E-3</v>
      </c>
      <c r="AX11" s="160">
        <f>Hourly_kWh!Y11</f>
        <v>0</v>
      </c>
      <c r="AY11" s="160">
        <f>Hourly_kWh!Z11</f>
        <v>2.3999999999997357E-3</v>
      </c>
      <c r="AZ11" s="160">
        <f>Hourly_kWh!AA11</f>
        <v>6.5500000000007219E-3</v>
      </c>
      <c r="BA11" s="160">
        <f>Hourly_kWh!AB11</f>
        <v>6.7719999999980018E-3</v>
      </c>
      <c r="BB11" s="160">
        <f>Hourly_kWh!AC11</f>
        <v>9.4999999999956231E-4</v>
      </c>
      <c r="BC11" s="160">
        <f>Hourly_kWh!AD11</f>
        <v>2.4550000000012062E-3</v>
      </c>
      <c r="BD11" s="160">
        <f>Hourly_kWh!AE11</f>
        <v>3.8834999999997066E-3</v>
      </c>
      <c r="BE11" s="160">
        <f>Hourly_kWh!AF11</f>
        <v>0</v>
      </c>
      <c r="BF11" s="160">
        <f>Hourly_kWh!AG11</f>
        <v>3.3760000000002677E-3</v>
      </c>
      <c r="BG11" s="160">
        <f>Hourly_kWh!AH11</f>
        <v>8.7072000000034677E-2</v>
      </c>
      <c r="BH11" s="160">
        <f>Hourly_kWh!AI11</f>
        <v>0</v>
      </c>
      <c r="BI11" s="160">
        <f>Hourly_kWh!AJ11</f>
        <v>2.5250000000003325E-3</v>
      </c>
      <c r="BJ11" s="160">
        <f>Hourly_kWh!AK11</f>
        <v>0</v>
      </c>
      <c r="BK11" s="160">
        <f>Hourly_kWh!AL11</f>
        <v>1.7590453124999988E-2</v>
      </c>
      <c r="BL11" s="160">
        <f>Hourly_kWh!AM11</f>
        <v>1.9815999999991618E-2</v>
      </c>
      <c r="BM11" s="160">
        <f>Hourly_kWh!AN11</f>
        <v>1.5176000000010959E-2</v>
      </c>
      <c r="BN11" s="160">
        <f>Hourly_kWh!AO11</f>
        <v>7.9840000000004352E-3</v>
      </c>
      <c r="BO11" s="160">
        <f>Hourly_kWh!AP11</f>
        <v>2.9699999999976967E-3</v>
      </c>
      <c r="BP11" s="160">
        <f>Hourly_kWh!AQ11</f>
        <v>1.3688000000001921E-2</v>
      </c>
      <c r="BQ11" s="160">
        <f>Hourly_kWh!AR11</f>
        <v>0.18636800000001585</v>
      </c>
      <c r="BR11" s="160">
        <f>Hourly_kWh!AS11</f>
        <v>3.8314999999995436E-3</v>
      </c>
      <c r="BS11" s="160">
        <f>Hourly_kWh!AT11</f>
        <v>0</v>
      </c>
      <c r="BT11" s="160">
        <f>Hourly_kWh!AU11</f>
        <v>2.1199999999979013E-3</v>
      </c>
      <c r="BU11" s="160">
        <f>Hourly_kWh!AV11</f>
        <v>1.2445000000003148E-3</v>
      </c>
      <c r="BV11" s="160">
        <f>Hourly_kWh!AW11</f>
        <v>5.4144000000064807E-2</v>
      </c>
      <c r="BW11" s="160">
        <f>Hourly_kWh!AX11</f>
        <v>0</v>
      </c>
      <c r="BX11" s="160">
        <f>Hourly_kWh!AY11</f>
        <v>2.4099999999993571E-3</v>
      </c>
      <c r="BY11" s="160">
        <f>Hourly_kWh!AZ11</f>
        <v>0</v>
      </c>
      <c r="BZ11" s="160">
        <f>Hourly_kWh!BA11</f>
        <v>0</v>
      </c>
      <c r="CA11" s="160">
        <f>Hourly_kWh!BB11</f>
        <v>0</v>
      </c>
      <c r="CB11" s="160">
        <f>Hourly_kWh!BC11</f>
        <v>0</v>
      </c>
      <c r="CC11" s="160">
        <f>Hourly_kWh!BD11</f>
        <v>9.8460937500002843E-5</v>
      </c>
      <c r="CD11" s="160">
        <f>Hourly_kWh!BE11</f>
        <v>4.7839999999972349E-3</v>
      </c>
      <c r="CE11" s="160">
        <f>Hourly_kWh!BF11</f>
        <v>0</v>
      </c>
      <c r="CF11" s="160">
        <f>Hourly_kWh!BG11</f>
        <v>9.9299999999935551E-4</v>
      </c>
      <c r="CG11" s="160">
        <f>Hourly_kWh!BH11</f>
        <v>0</v>
      </c>
      <c r="CH11" s="160">
        <f>Hourly_kWh!BI11</f>
        <v>0.10438400000003867</v>
      </c>
      <c r="CI11" s="160">
        <f>Hourly_kWh!BJ11</f>
        <v>0</v>
      </c>
      <c r="CJ11" s="160">
        <f>Hourly_kWh!BK11</f>
        <v>1.9495000000002705E-3</v>
      </c>
      <c r="CK11" s="160">
        <f>Hourly_kWh!BL11</f>
        <v>0</v>
      </c>
      <c r="CL11" s="160">
        <f>Hourly_kWh!BM11</f>
        <v>0.13142400000003818</v>
      </c>
      <c r="CM11" s="160">
        <f>Hourly_kWh!BN11</f>
        <v>0</v>
      </c>
      <c r="CN11" s="160">
        <f>Hourly_kWh!BO11</f>
        <v>6.7983999999999156E-2</v>
      </c>
      <c r="CO11" s="160">
        <f>Hourly_kWh!BP11</f>
        <v>0</v>
      </c>
      <c r="CP11" s="160">
        <f>Hourly_kWh!BQ11</f>
        <v>0</v>
      </c>
      <c r="CQ11" s="160">
        <f>Hourly_kWh!BR11</f>
        <v>0</v>
      </c>
      <c r="CR11" s="160">
        <f>Hourly_kWh!BS11</f>
        <v>0</v>
      </c>
      <c r="CS11" s="160">
        <f>Hourly_kWh!BT11</f>
        <v>8.3559999999991419E-3</v>
      </c>
      <c r="CT11" s="160">
        <f>Hourly_kWh!BU11</f>
        <v>0</v>
      </c>
      <c r="CU11" s="160">
        <f>Hourly_kWh!BV11</f>
        <v>0</v>
      </c>
      <c r="CV11" s="160">
        <f>Hourly_kWh!BW11</f>
        <v>0</v>
      </c>
      <c r="CW11" s="160">
        <f>Hourly_kWh!BX11</f>
        <v>0</v>
      </c>
      <c r="CX11" s="160">
        <f>Hourly_kWh!BY11</f>
        <v>0</v>
      </c>
      <c r="CY11" s="160">
        <f>Hourly_kWh!BZ11</f>
        <v>3.6400000000000432E-2</v>
      </c>
      <c r="CZ11" s="160">
        <f>Hourly_kWh!CA11</f>
        <v>1.3728406249999991E-2</v>
      </c>
      <c r="DA11" s="160">
        <f>Hourly_kWh!CB11</f>
        <v>0</v>
      </c>
      <c r="DB11" s="160">
        <f>Hourly_kWh!CC11</f>
        <v>0</v>
      </c>
      <c r="DC11" s="160">
        <f>Hourly_kWh!CD11</f>
        <v>0</v>
      </c>
      <c r="DD11" s="160">
        <f>Hourly_kWh!CE11</f>
        <v>0</v>
      </c>
      <c r="DE11" s="160">
        <f>Hourly_kWh!CF11</f>
        <v>5.959999999998189E-4</v>
      </c>
      <c r="DF11" s="160">
        <f>Hourly_kWh!CG11</f>
        <v>0</v>
      </c>
      <c r="DG11" s="160">
        <f>Hourly_kWh!CH11</f>
        <v>6.4124999999970456E-4</v>
      </c>
      <c r="DH11" s="160">
        <f>Hourly_kWh!CI11</f>
        <v>0</v>
      </c>
      <c r="DI11" s="160">
        <f>Hourly_kWh!CJ11</f>
        <v>0</v>
      </c>
      <c r="DJ11" s="160">
        <f>Hourly_kWh!CK11</f>
        <v>0</v>
      </c>
      <c r="DK11" s="160">
        <f>Hourly_kWh!CL11</f>
        <v>1.6660000000001673E-3</v>
      </c>
      <c r="DL11" s="160">
        <f>Hourly_kWh!CM11</f>
        <v>0.21529599999985294</v>
      </c>
      <c r="DM11" s="160">
        <f>Hourly_kWh!CN11</f>
        <v>2.0489999999995234E-3</v>
      </c>
      <c r="DN11" s="160">
        <f>Hourly_kWh!CO11</f>
        <v>2.5695999999996388E-2</v>
      </c>
      <c r="DO11" s="160">
        <f>Hourly_kWh!CP11</f>
        <v>0</v>
      </c>
      <c r="DP11" s="160">
        <f>Hourly_kWh!CQ11</f>
        <v>0</v>
      </c>
      <c r="DQ11" s="160">
        <f>Hourly_kWh!CR11</f>
        <v>8.7020000000013198E-3</v>
      </c>
      <c r="DR11" s="160">
        <f>Hourly_kWh!CS11</f>
        <v>0</v>
      </c>
      <c r="DS11" s="160">
        <f>Hourly_kWh!CT11</f>
        <v>1.6224000000008232E-2</v>
      </c>
      <c r="DT11" s="160">
        <f>Hourly_kWh!CU11</f>
        <v>0</v>
      </c>
      <c r="DU11" s="160">
        <f>Hourly_kWh!CV11</f>
        <v>8.4637500000006582E-4</v>
      </c>
      <c r="DV11" s="160">
        <f>Hourly_kWh!CW11</f>
        <v>8.9279999999973825E-3</v>
      </c>
      <c r="DW11" s="160">
        <f>Hourly_kWh!CX11</f>
        <v>0</v>
      </c>
      <c r="DX11" s="160">
        <f>Hourly_kWh!CY11</f>
        <v>7.0999999999998842E-4</v>
      </c>
      <c r="DY11" s="160">
        <f>Hourly_kWh!CZ11</f>
        <v>1.0135000000000005E-3</v>
      </c>
      <c r="DZ11" s="160">
        <f>Hourly_kWh!DA11</f>
        <v>1.1500000000005173E-2</v>
      </c>
      <c r="EA11" s="160">
        <f>Hourly_kWh!DB11</f>
        <v>5.1570000000005223E-3</v>
      </c>
      <c r="EB11" s="160">
        <f>Hourly_kWh!DC11</f>
        <v>8.2374999999998977E-3</v>
      </c>
      <c r="EC11" s="160">
        <f>Hourly_kWh!DD11</f>
        <v>1.261374999999898E-3</v>
      </c>
      <c r="ED11" s="160">
        <f>Hourly_kWh!DE11</f>
        <v>0</v>
      </c>
      <c r="EE11" s="160">
        <f>Hourly_kWh!DF11</f>
        <v>0</v>
      </c>
      <c r="EF11" s="160">
        <f>Hourly_kWh!DG11</f>
        <v>1.0215000000002306E-3</v>
      </c>
      <c r="EG11" s="160">
        <f>Hourly_kWh!DH11</f>
        <v>6.590000000006313E-4</v>
      </c>
      <c r="EH11" s="160">
        <f>Hourly_kWh!DI11</f>
        <v>0.22278399999993326</v>
      </c>
      <c r="EI11" s="160">
        <f>Hourly_kWh!DJ11</f>
        <v>0</v>
      </c>
      <c r="EJ11" s="160">
        <f>Hourly_kWh!DK11</f>
        <v>2.8040000000011389E-3</v>
      </c>
      <c r="EK11" s="160">
        <f>Hourly_kWh!DL11</f>
        <v>1.1035937500000204E-3</v>
      </c>
      <c r="EL11" s="160">
        <f>Hourly_kWh!DM11</f>
        <v>1.7740000000010525E-3</v>
      </c>
      <c r="EM11" s="160">
        <f>Hourly_kWh!DN11</f>
        <v>0</v>
      </c>
      <c r="EN11" s="160">
        <f>Hourly_kWh!DO11</f>
        <v>7.9520000000172786E-3</v>
      </c>
      <c r="EO11" s="160">
        <f>Hourly_kWh!DP11</f>
        <v>2.6375000000005144E-3</v>
      </c>
      <c r="EP11" s="160">
        <f>Hourly_kWh!DQ11</f>
        <v>0</v>
      </c>
      <c r="EQ11" s="160">
        <f>Hourly_kWh!DR11</f>
        <v>0</v>
      </c>
      <c r="ER11" s="160">
        <f>Hourly_kWh!DS11</f>
        <v>8.697600000004968E-2</v>
      </c>
      <c r="ES11" s="160">
        <f>Hourly_kWh!DT11</f>
        <v>1.477850000000025E-2</v>
      </c>
      <c r="ET11" s="160">
        <f>Hourly_kWh!DU11</f>
        <v>0</v>
      </c>
      <c r="EU11" s="160">
        <f>Hourly_kWh!DV11</f>
        <v>5.0825000000020992E-4</v>
      </c>
      <c r="EV11" s="160">
        <f>Hourly_kWh!DW11</f>
        <v>0</v>
      </c>
      <c r="EW11" s="160">
        <f>Hourly_kWh!DX11</f>
        <v>3.5859999999985348E-3</v>
      </c>
      <c r="EX11" s="160">
        <f>Hourly_kWh!DY11</f>
        <v>2.4074999999990077E-4</v>
      </c>
      <c r="EY11" s="160">
        <f>Hourly_kWh!DZ11</f>
        <v>3.7260000000003402E-3</v>
      </c>
      <c r="EZ11" s="160">
        <f>Hourly_kWh!EA11</f>
        <v>0</v>
      </c>
      <c r="FA11" s="160">
        <f>Hourly_kWh!EB11</f>
        <v>6.179199999999696E-2</v>
      </c>
      <c r="FB11" s="160">
        <f>Hourly_kWh!EC11</f>
        <v>2.8656000000012227E-2</v>
      </c>
      <c r="FC11" s="160">
        <f>Hourly_kWh!ED11</f>
        <v>3.7857500000000321E-3</v>
      </c>
      <c r="FD11" s="160">
        <f>Hourly_kWh!EE11</f>
        <v>6.0834999999999084E-3</v>
      </c>
      <c r="FE11" s="160">
        <f>Hourly_kWh!EF11</f>
        <v>0.50266100000044389</v>
      </c>
      <c r="FF11" s="160">
        <f>Hourly_kWh!EG11</f>
        <v>0</v>
      </c>
      <c r="FG11" s="160">
        <f>Hourly_kWh!EH11</f>
        <v>3.4815999999977976E-2</v>
      </c>
      <c r="FH11" s="160">
        <f>Hourly_kWh!EI11</f>
        <v>3.0143999999950211E-2</v>
      </c>
      <c r="FI11" s="160">
        <f>Hourly_kWh!EJ11</f>
        <v>2.3679999999899337E-3</v>
      </c>
      <c r="FJ11" s="160">
        <f>Hourly_kWh!EK11</f>
        <v>0</v>
      </c>
      <c r="FK11" s="160">
        <f>Hourly_kWh!EL11</f>
        <v>0.15385599999990518</v>
      </c>
      <c r="FL11" s="160">
        <f>Hourly_kWh!EM11</f>
        <v>0.16614399999980378</v>
      </c>
      <c r="FM11" s="160">
        <f>Hourly_kWh!EN11</f>
        <v>0</v>
      </c>
      <c r="FN11" s="160">
        <f>Hourly_kWh!EO11</f>
        <v>7.6799999999366264E-4</v>
      </c>
      <c r="FO11" s="160">
        <f>Hourly_kWh!EP11</f>
        <v>0</v>
      </c>
      <c r="FP11" s="160">
        <f>Hourly_kWh!ER11</f>
        <v>0.11627899999999158</v>
      </c>
      <c r="FQ11" s="160">
        <f>Hourly_kWh!EQ11</f>
        <v>0</v>
      </c>
      <c r="FR11" s="160">
        <f>Hourly_kWh!M11</f>
        <v>0</v>
      </c>
      <c r="FS11" s="160">
        <f>Hourly_kWh!G11</f>
        <v>0</v>
      </c>
      <c r="FT11" s="160">
        <f>Hourly_kWh!C11</f>
        <v>0</v>
      </c>
      <c r="FU11" s="160">
        <f>Hourly_kWh!D11</f>
        <v>0.15907700000013847</v>
      </c>
      <c r="FV11" s="160">
        <f>Hourly_kWh!E11</f>
        <v>0.15793200000001661</v>
      </c>
      <c r="FW11" s="160">
        <f>Hourly_kWh!F11</f>
        <v>0.17751900000001797</v>
      </c>
      <c r="FX11" s="160">
        <f>Hourly_kWh!Q11</f>
        <v>0</v>
      </c>
      <c r="FY11" s="160">
        <f>Hourly_kWh!R11</f>
        <v>0.17817600000125822</v>
      </c>
      <c r="FZ11" s="160">
        <f>Hourly_kWh!S11</f>
        <v>0.1530880000000252</v>
      </c>
      <c r="GA11" s="160">
        <f>Hourly_kWh!T11</f>
        <v>0.16998400000011316</v>
      </c>
      <c r="GB11" s="160">
        <f t="shared" si="0"/>
        <v>1.371338999999876</v>
      </c>
      <c r="GC11" s="160">
        <f t="shared" si="1"/>
        <v>1.2585330000002841</v>
      </c>
      <c r="GD11" s="160">
        <f t="shared" si="2"/>
        <v>0.11280599999959184</v>
      </c>
      <c r="GE11" s="159">
        <f t="shared" si="3"/>
        <v>8.2259747589474269E-2</v>
      </c>
    </row>
    <row r="12" spans="2:187" s="150" customFormat="1" ht="32.25" customHeight="1" x14ac:dyDescent="0.25">
      <c r="B12" s="149" t="s">
        <v>669</v>
      </c>
      <c r="C12" s="160">
        <f>Hourly_kWh!H12</f>
        <v>0</v>
      </c>
      <c r="D12" s="160">
        <f>Hourly_kWh!I12</f>
        <v>0</v>
      </c>
      <c r="E12" s="160">
        <f>Hourly_kWh!J12</f>
        <v>0</v>
      </c>
      <c r="F12" s="160">
        <f>Hourly_kWh!K12</f>
        <v>0</v>
      </c>
      <c r="G12" s="160">
        <f>Hourly_kWh!L12</f>
        <v>0</v>
      </c>
      <c r="H12" s="160">
        <f>Hourly_kWh!U12</f>
        <v>2.1551999999999794E-2</v>
      </c>
      <c r="I12" s="160">
        <f>Hourly_kWh!P12</f>
        <v>1.92740000000029E-2</v>
      </c>
      <c r="J12" s="160">
        <f>Hourly_kWh!N12</f>
        <v>0.30779299999994691</v>
      </c>
      <c r="K12" s="160">
        <f>Hourly_kWh!O12</f>
        <v>0.31549200000006294</v>
      </c>
      <c r="L12" s="160">
        <f>Hourly_kWh!B12*0.001</f>
        <v>0.755</v>
      </c>
      <c r="M12" s="160">
        <f>Hourly_kWh!AR12</f>
        <v>0.20332800000005591</v>
      </c>
      <c r="N12" s="160">
        <f>Hourly_kWh!BM12</f>
        <v>0.13737599999996064</v>
      </c>
      <c r="O12" s="160">
        <f>Hourly_kWh!CM12</f>
        <v>0.23372800000015559</v>
      </c>
      <c r="P12" s="160">
        <f>Hourly_kWh!DI12</f>
        <v>0.22931200000004992</v>
      </c>
      <c r="Q12" s="160">
        <f>Hourly_kWh!EF12</f>
        <v>0.51216500000009546</v>
      </c>
      <c r="R12" s="119">
        <f>SUM('Zone wise Meter data'!O10:AF10)</f>
        <v>4.8097000000003831E-2</v>
      </c>
      <c r="S12" s="115">
        <f>SUM('Zone wise Meter data'!AG10:AW10)</f>
        <v>0.11415553125000971</v>
      </c>
      <c r="T12" s="115">
        <f>SUM('Zone wise Meter data'!AX10:BA10)</f>
        <v>6.6854999999953257E-2</v>
      </c>
      <c r="U12" s="115">
        <f>SUM('Zone wise Meter data'!BB10:BC10)</f>
        <v>0.14796799999993482</v>
      </c>
      <c r="V12" s="115">
        <f>SUM('Zone wise Meter data'!BD10:BL10)</f>
        <v>0.49735400000017727</v>
      </c>
      <c r="W12" s="115">
        <f>SUM('Zone wise Meter data'!BM10:BX10)</f>
        <v>7.2674000000003236E-2</v>
      </c>
      <c r="X12" s="115">
        <f>SUM('Zone wise Meter data'!BY10:CE10)</f>
        <v>1.6540000000000443E-3</v>
      </c>
      <c r="Y12" s="115">
        <f>SUM('Zone wise Meter data'!CF10:CK10)</f>
        <v>8.356937499999828E-2</v>
      </c>
      <c r="Z12" s="115">
        <f>SUM('Zone wise Meter data'!CL10:CO10)</f>
        <v>9.6111999999976661E-2</v>
      </c>
      <c r="AA12" s="115">
        <f>SUM('Zone wise Meter data'!CP10:DD10)</f>
        <v>3.8989187500002576E-2</v>
      </c>
      <c r="AB12" s="115">
        <f>SUM('Zone wise Meter data'!DE10:DN10)</f>
        <v>1.0686476562495703E-2</v>
      </c>
      <c r="AC12" s="115">
        <f>SUM('Zone wise Meter data'!DO10:ED10)</f>
        <v>0</v>
      </c>
      <c r="AD12" s="160">
        <f>Hourly_kWh!AW12</f>
        <v>6.0799999999971988E-2</v>
      </c>
      <c r="AE12" s="160">
        <f>Hourly_kWh!DS12</f>
        <v>8.7167999999962831E-2</v>
      </c>
      <c r="AF12" s="160">
        <f>Hourly_kWh!EL12</f>
        <v>0.15590400000019144</v>
      </c>
      <c r="AG12" s="160">
        <f>Hourly_kWh!EK12</f>
        <v>0</v>
      </c>
      <c r="AH12" s="160">
        <f>Hourly_kWh!EN12</f>
        <v>0</v>
      </c>
      <c r="AI12" s="160">
        <f>Hourly_kWh!EO12</f>
        <v>6.3999999997577106E-4</v>
      </c>
      <c r="AJ12" s="160">
        <f>Hourly_kWh!EM12</f>
        <v>0.16588799999999537</v>
      </c>
      <c r="AK12" s="160">
        <f>Hourly_kWh!ER12</f>
        <v>0.11867300000001535</v>
      </c>
      <c r="AL12" s="160">
        <f>Hourly_kWh!EI12</f>
        <v>2.8159999999957108E-2</v>
      </c>
      <c r="AM12" s="160">
        <f>Hourly_kWh!EJ12+Hourly_kWh!AS12</f>
        <v>6.1829999999991614E-3</v>
      </c>
      <c r="AN12" s="160">
        <f>Hourly_kWh!CX12+Hourly_kWh!CY12+Hourly_kWh!DC12+Hourly_kWh!DD12</f>
        <v>1.0409000000000113E-2</v>
      </c>
      <c r="AO12" s="160">
        <f>SUM(Hourly_kWh!AI12:AQ12)</f>
        <v>8.1482531250007095E-2</v>
      </c>
      <c r="AP12" s="160">
        <f>SUM(Hourly_kWh!V12:AG12)</f>
        <v>4.0404500000006394E-2</v>
      </c>
      <c r="AQ12" s="160">
        <f>Hourly_kWh!DB12</f>
        <v>5.5010000000006443E-3</v>
      </c>
      <c r="AR12" s="160">
        <f>Hourly_kWh!CO12</f>
        <v>3.9016000000003714E-2</v>
      </c>
      <c r="AS12" s="160">
        <f>Hourly_kWh!BJ12</f>
        <v>0</v>
      </c>
      <c r="AT12" s="160">
        <f>Hourly_kWh!U12</f>
        <v>2.1551999999999794E-2</v>
      </c>
      <c r="AU12" s="160">
        <f>Hourly_kWh!V12</f>
        <v>5.4040000000021848E-3</v>
      </c>
      <c r="AV12" s="160">
        <f>Hourly_kWh!W12</f>
        <v>5.2510000000012269E-3</v>
      </c>
      <c r="AW12" s="160">
        <f>Hourly_kWh!X12</f>
        <v>4.2720000000002756E-3</v>
      </c>
      <c r="AX12" s="160">
        <f>Hourly_kWh!Y12</f>
        <v>0</v>
      </c>
      <c r="AY12" s="160">
        <f>Hourly_kWh!Z12</f>
        <v>2.4390000000007461E-3</v>
      </c>
      <c r="AZ12" s="160">
        <f>Hourly_kWh!AA12</f>
        <v>5.8080000000018117E-3</v>
      </c>
      <c r="BA12" s="160">
        <f>Hourly_kWh!AB12</f>
        <v>6.8359999999998422E-3</v>
      </c>
      <c r="BB12" s="160">
        <f>Hourly_kWh!AC12</f>
        <v>1.4479999999998938E-3</v>
      </c>
      <c r="BC12" s="160">
        <f>Hourly_kWh!AD12</f>
        <v>2.3809999999997444E-3</v>
      </c>
      <c r="BD12" s="160">
        <f>Hourly_kWh!AE12</f>
        <v>5.0195000000003986E-3</v>
      </c>
      <c r="BE12" s="160">
        <f>Hourly_kWh!AF12</f>
        <v>0</v>
      </c>
      <c r="BF12" s="160">
        <f>Hourly_kWh!AG12</f>
        <v>1.5460000000002694E-3</v>
      </c>
      <c r="BG12" s="160">
        <f>Hourly_kWh!AH12</f>
        <v>9.055999999998221E-2</v>
      </c>
      <c r="BH12" s="160">
        <f>Hourly_kWh!AI12</f>
        <v>0</v>
      </c>
      <c r="BI12" s="160">
        <f>Hourly_kWh!AJ12</f>
        <v>2.2904999999999731E-3</v>
      </c>
      <c r="BJ12" s="160">
        <f>Hourly_kWh!AK12</f>
        <v>0</v>
      </c>
      <c r="BK12" s="160">
        <f>Hourly_kWh!AL12</f>
        <v>1.7556031249999993E-2</v>
      </c>
      <c r="BL12" s="160">
        <f>Hourly_kWh!AM12</f>
        <v>2.070400000000916E-2</v>
      </c>
      <c r="BM12" s="160">
        <f>Hourly_kWh!AN12</f>
        <v>1.5895999999997912E-2</v>
      </c>
      <c r="BN12" s="160">
        <f>Hourly_kWh!AO12</f>
        <v>8.5839999999990368E-3</v>
      </c>
      <c r="BO12" s="160">
        <f>Hourly_kWh!AP12</f>
        <v>3.0440000000027112E-3</v>
      </c>
      <c r="BP12" s="160">
        <f>Hourly_kWh!AQ12</f>
        <v>1.340799999999831E-2</v>
      </c>
      <c r="BQ12" s="160">
        <f>Hourly_kWh!AR12</f>
        <v>0.20332800000005591</v>
      </c>
      <c r="BR12" s="160">
        <f>Hourly_kWh!AS12</f>
        <v>3.7510000000002819E-3</v>
      </c>
      <c r="BS12" s="160">
        <f>Hourly_kWh!AT12</f>
        <v>0</v>
      </c>
      <c r="BT12" s="160">
        <f>Hourly_kWh!AU12</f>
        <v>2.0880000000005339E-3</v>
      </c>
      <c r="BU12" s="160">
        <f>Hourly_kWh!AV12</f>
        <v>1.0560000000001679E-3</v>
      </c>
      <c r="BV12" s="160">
        <f>Hourly_kWh!AW12</f>
        <v>6.0799999999971988E-2</v>
      </c>
      <c r="BW12" s="160">
        <f>Hourly_kWh!AX12</f>
        <v>0</v>
      </c>
      <c r="BX12" s="160">
        <f>Hourly_kWh!AY12</f>
        <v>2.211500000000477E-3</v>
      </c>
      <c r="BY12" s="160">
        <f>Hourly_kWh!AZ12</f>
        <v>0</v>
      </c>
      <c r="BZ12" s="160">
        <f>Hourly_kWh!BA12</f>
        <v>0</v>
      </c>
      <c r="CA12" s="160">
        <f>Hourly_kWh!BB12</f>
        <v>0</v>
      </c>
      <c r="CB12" s="160">
        <f>Hourly_kWh!BC12</f>
        <v>0</v>
      </c>
      <c r="CC12" s="160">
        <f>Hourly_kWh!BD12</f>
        <v>1.0039843749999611E-4</v>
      </c>
      <c r="CD12" s="160">
        <f>Hourly_kWh!BE12</f>
        <v>4.7780000000017253E-3</v>
      </c>
      <c r="CE12" s="160">
        <f>Hourly_kWh!BF12</f>
        <v>0</v>
      </c>
      <c r="CF12" s="160">
        <f>Hourly_kWh!BG12</f>
        <v>1.8479999999989616E-3</v>
      </c>
      <c r="CG12" s="160">
        <f>Hourly_kWh!BH12</f>
        <v>0</v>
      </c>
      <c r="CH12" s="160">
        <f>Hourly_kWh!BI12</f>
        <v>0.10940799999997353</v>
      </c>
      <c r="CI12" s="160">
        <f>Hourly_kWh!BJ12</f>
        <v>0</v>
      </c>
      <c r="CJ12" s="160">
        <f>Hourly_kWh!BK12</f>
        <v>3.7374999999997272E-3</v>
      </c>
      <c r="CK12" s="160">
        <f>Hourly_kWh!BL12</f>
        <v>0</v>
      </c>
      <c r="CL12" s="160">
        <f>Hourly_kWh!BM12</f>
        <v>0.13737599999996064</v>
      </c>
      <c r="CM12" s="160">
        <f>Hourly_kWh!BN12</f>
        <v>0</v>
      </c>
      <c r="CN12" s="160">
        <f>Hourly_kWh!BO12</f>
        <v>6.2780000000000058E-2</v>
      </c>
      <c r="CO12" s="160">
        <f>Hourly_kWh!BP12</f>
        <v>0</v>
      </c>
      <c r="CP12" s="160">
        <f>Hourly_kWh!BQ12</f>
        <v>0</v>
      </c>
      <c r="CQ12" s="160">
        <f>Hourly_kWh!BR12</f>
        <v>0</v>
      </c>
      <c r="CR12" s="160">
        <f>Hourly_kWh!BS12</f>
        <v>0</v>
      </c>
      <c r="CS12" s="160">
        <f>Hourly_kWh!BT12</f>
        <v>8.2639999999969405E-3</v>
      </c>
      <c r="CT12" s="160">
        <f>Hourly_kWh!BU12</f>
        <v>0</v>
      </c>
      <c r="CU12" s="160">
        <f>Hourly_kWh!BV12</f>
        <v>0</v>
      </c>
      <c r="CV12" s="160">
        <f>Hourly_kWh!BW12</f>
        <v>0</v>
      </c>
      <c r="CW12" s="160">
        <f>Hourly_kWh!BX12</f>
        <v>0</v>
      </c>
      <c r="CX12" s="160">
        <f>Hourly_kWh!BY12</f>
        <v>0</v>
      </c>
      <c r="CY12" s="160">
        <f>Hourly_kWh!BZ12</f>
        <v>4.3784000000002266E-2</v>
      </c>
      <c r="CZ12" s="160">
        <f>Hourly_kWh!CA12</f>
        <v>1.3033874999999973E-2</v>
      </c>
      <c r="DA12" s="160">
        <f>Hourly_kWh!CB12</f>
        <v>0</v>
      </c>
      <c r="DB12" s="160">
        <f>Hourly_kWh!CC12</f>
        <v>0</v>
      </c>
      <c r="DC12" s="160">
        <f>Hourly_kWh!CD12</f>
        <v>0</v>
      </c>
      <c r="DD12" s="160">
        <f>Hourly_kWh!CE12</f>
        <v>0</v>
      </c>
      <c r="DE12" s="160">
        <f>Hourly_kWh!CF12</f>
        <v>9.9699999999991462E-4</v>
      </c>
      <c r="DF12" s="160">
        <f>Hourly_kWh!CG12</f>
        <v>0</v>
      </c>
      <c r="DG12" s="160">
        <f>Hourly_kWh!CH12</f>
        <v>6.2825000000010789E-4</v>
      </c>
      <c r="DH12" s="160">
        <f>Hourly_kWh!CI12</f>
        <v>0</v>
      </c>
      <c r="DI12" s="160">
        <f>Hourly_kWh!CJ12</f>
        <v>0</v>
      </c>
      <c r="DJ12" s="160">
        <f>Hourly_kWh!CK12</f>
        <v>0</v>
      </c>
      <c r="DK12" s="160">
        <f>Hourly_kWh!CL12</f>
        <v>1.6239999999996257E-3</v>
      </c>
      <c r="DL12" s="160">
        <f>Hourly_kWh!CM12</f>
        <v>0.23372800000015559</v>
      </c>
      <c r="DM12" s="160">
        <f>Hourly_kWh!CN12</f>
        <v>1.9069999999992149E-3</v>
      </c>
      <c r="DN12" s="160">
        <f>Hourly_kWh!CO12</f>
        <v>3.9016000000003714E-2</v>
      </c>
      <c r="DO12" s="160">
        <f>Hourly_kWh!CP12</f>
        <v>0</v>
      </c>
      <c r="DP12" s="160">
        <f>Hourly_kWh!CQ12</f>
        <v>0</v>
      </c>
      <c r="DQ12" s="160">
        <f>Hourly_kWh!CR12</f>
        <v>9.1669999999997032E-3</v>
      </c>
      <c r="DR12" s="160">
        <f>Hourly_kWh!CS12</f>
        <v>0</v>
      </c>
      <c r="DS12" s="160">
        <f>Hourly_kWh!CT12</f>
        <v>1.4279999999999404E-2</v>
      </c>
      <c r="DT12" s="160">
        <f>Hourly_kWh!CU12</f>
        <v>0</v>
      </c>
      <c r="DU12" s="160">
        <f>Hourly_kWh!CV12</f>
        <v>1.0257499999999364E-3</v>
      </c>
      <c r="DV12" s="160">
        <f>Hourly_kWh!CW12</f>
        <v>7.912000000004582E-3</v>
      </c>
      <c r="DW12" s="160">
        <f>Hourly_kWh!CX12</f>
        <v>0</v>
      </c>
      <c r="DX12" s="160">
        <f>Hourly_kWh!CY12</f>
        <v>6.759999999998989E-4</v>
      </c>
      <c r="DY12" s="160">
        <f>Hourly_kWh!CZ12</f>
        <v>1.0999999999996568E-3</v>
      </c>
      <c r="DZ12" s="160">
        <f>Hourly_kWh!DA12</f>
        <v>1.1731999999994969E-2</v>
      </c>
      <c r="EA12" s="160">
        <f>Hourly_kWh!DB12</f>
        <v>5.5010000000006443E-3</v>
      </c>
      <c r="EB12" s="160">
        <f>Hourly_kWh!DC12</f>
        <v>8.4430000000002003E-3</v>
      </c>
      <c r="EC12" s="160">
        <f>Hourly_kWh!DD12</f>
        <v>1.2900000000000134E-3</v>
      </c>
      <c r="ED12" s="160">
        <f>Hourly_kWh!DE12</f>
        <v>0</v>
      </c>
      <c r="EE12" s="160">
        <f>Hourly_kWh!DF12</f>
        <v>0</v>
      </c>
      <c r="EF12" s="160">
        <f>Hourly_kWh!DG12</f>
        <v>8.8199999999893919E-4</v>
      </c>
      <c r="EG12" s="160">
        <f>Hourly_kWh!DH12</f>
        <v>6.9199999999991491E-4</v>
      </c>
      <c r="EH12" s="160">
        <f>Hourly_kWh!DI12</f>
        <v>0.22931200000004992</v>
      </c>
      <c r="EI12" s="160">
        <f>Hourly_kWh!DJ12</f>
        <v>0</v>
      </c>
      <c r="EJ12" s="160">
        <f>Hourly_kWh!DK12</f>
        <v>2.7379999999972426E-3</v>
      </c>
      <c r="EK12" s="160">
        <f>Hourly_kWh!DL12</f>
        <v>1.0790781249999937E-3</v>
      </c>
      <c r="EL12" s="160">
        <f>Hourly_kWh!DM12</f>
        <v>1.7769999999988073E-3</v>
      </c>
      <c r="EM12" s="160">
        <f>Hourly_kWh!DN12</f>
        <v>0</v>
      </c>
      <c r="EN12" s="160">
        <f>Hourly_kWh!DO12</f>
        <v>6.3040000000000873E-3</v>
      </c>
      <c r="EO12" s="160">
        <f>Hourly_kWh!DP12</f>
        <v>2.1164999999996326E-3</v>
      </c>
      <c r="EP12" s="160">
        <f>Hourly_kWh!DQ12</f>
        <v>0</v>
      </c>
      <c r="EQ12" s="160">
        <f>Hourly_kWh!DR12</f>
        <v>0</v>
      </c>
      <c r="ER12" s="160">
        <f>Hourly_kWh!DS12</f>
        <v>8.7167999999962831E-2</v>
      </c>
      <c r="ES12" s="160">
        <f>Hourly_kWh!DT12</f>
        <v>1.7490499999999187E-2</v>
      </c>
      <c r="ET12" s="160">
        <f>Hourly_kWh!DU12</f>
        <v>4.2000000000541604E-5</v>
      </c>
      <c r="EU12" s="160">
        <f>Hourly_kWh!DV12</f>
        <v>5.6049999999974176E-4</v>
      </c>
      <c r="EV12" s="160">
        <f>Hourly_kWh!DW12</f>
        <v>0</v>
      </c>
      <c r="EW12" s="160">
        <f>Hourly_kWh!DX12</f>
        <v>3.5410000000002384E-3</v>
      </c>
      <c r="EX12" s="160">
        <f>Hourly_kWh!DY12</f>
        <v>2.4393750000006875E-4</v>
      </c>
      <c r="EY12" s="160">
        <f>Hourly_kWh!DZ12</f>
        <v>4.976000000002756E-3</v>
      </c>
      <c r="EZ12" s="160">
        <f>Hourly_kWh!EA12</f>
        <v>0</v>
      </c>
      <c r="FA12" s="160">
        <f>Hourly_kWh!EB12</f>
        <v>6.3215999999982841E-2</v>
      </c>
      <c r="FB12" s="160">
        <f>Hourly_kWh!EC12</f>
        <v>3.2895999999993819E-2</v>
      </c>
      <c r="FC12" s="160">
        <f>Hourly_kWh!ED12</f>
        <v>6.9252500000001049E-3</v>
      </c>
      <c r="FD12" s="160">
        <f>Hourly_kWh!EE12</f>
        <v>5.8394999999995534E-3</v>
      </c>
      <c r="FE12" s="160">
        <f>Hourly_kWh!EF12</f>
        <v>0.51216500000009546</v>
      </c>
      <c r="FF12" s="160">
        <f>Hourly_kWh!EG12</f>
        <v>0</v>
      </c>
      <c r="FG12" s="160">
        <f>Hourly_kWh!EH12</f>
        <v>3.2511999999996988E-2</v>
      </c>
      <c r="FH12" s="160">
        <f>Hourly_kWh!EI12</f>
        <v>2.8159999999957108E-2</v>
      </c>
      <c r="FI12" s="160">
        <f>Hourly_kWh!EJ12</f>
        <v>2.4319999999988795E-3</v>
      </c>
      <c r="FJ12" s="160">
        <f>Hourly_kWh!EK12</f>
        <v>0</v>
      </c>
      <c r="FK12" s="160">
        <f>Hourly_kWh!EL12</f>
        <v>0.15590400000019144</v>
      </c>
      <c r="FL12" s="160">
        <f>Hourly_kWh!EM12</f>
        <v>0.16588799999999537</v>
      </c>
      <c r="FM12" s="160">
        <f>Hourly_kWh!EN12</f>
        <v>0</v>
      </c>
      <c r="FN12" s="160">
        <f>Hourly_kWh!EO12</f>
        <v>6.3999999997577106E-4</v>
      </c>
      <c r="FO12" s="160">
        <f>Hourly_kWh!EP12</f>
        <v>0</v>
      </c>
      <c r="FP12" s="160">
        <f>Hourly_kWh!ER12</f>
        <v>0.11867300000001535</v>
      </c>
      <c r="FQ12" s="160">
        <f>Hourly_kWh!EQ12</f>
        <v>0</v>
      </c>
      <c r="FR12" s="160">
        <f>Hourly_kWh!M12</f>
        <v>0</v>
      </c>
      <c r="FS12" s="160">
        <f>Hourly_kWh!G12</f>
        <v>0</v>
      </c>
      <c r="FT12" s="160">
        <f>Hourly_kWh!C12</f>
        <v>0</v>
      </c>
      <c r="FU12" s="160">
        <f>Hourly_kWh!D12</f>
        <v>0.28492499999993015</v>
      </c>
      <c r="FV12" s="160">
        <f>Hourly_kWh!E12</f>
        <v>0.23014799999998559</v>
      </c>
      <c r="FW12" s="160">
        <f>Hourly_kWh!F12</f>
        <v>0.26666799999998148</v>
      </c>
      <c r="FX12" s="160">
        <f>Hourly_kWh!Q12</f>
        <v>0</v>
      </c>
      <c r="FY12" s="160">
        <f>Hourly_kWh!R12</f>
        <v>0.26828799999930197</v>
      </c>
      <c r="FZ12" s="160">
        <f>Hourly_kWh!S12</f>
        <v>0.22374399999989691</v>
      </c>
      <c r="GA12" s="160">
        <f>Hourly_kWh!T12</f>
        <v>0.2478080000000773</v>
      </c>
      <c r="GB12" s="160">
        <f t="shared" si="0"/>
        <v>1.4191110000000124</v>
      </c>
      <c r="GC12" s="160">
        <f t="shared" si="1"/>
        <v>1.3159090000003175</v>
      </c>
      <c r="GD12" s="160">
        <f t="shared" si="2"/>
        <v>0.10320199999969493</v>
      </c>
      <c r="GE12" s="159">
        <f t="shared" si="3"/>
        <v>7.2722993479505144E-2</v>
      </c>
    </row>
    <row r="13" spans="2:187" s="150" customFormat="1" ht="32.25" customHeight="1" x14ac:dyDescent="0.25">
      <c r="B13" s="149" t="s">
        <v>670</v>
      </c>
      <c r="C13" s="160">
        <f>Hourly_kWh!H13</f>
        <v>0</v>
      </c>
      <c r="D13" s="160">
        <f>Hourly_kWh!I13</f>
        <v>0</v>
      </c>
      <c r="E13" s="160">
        <f>Hourly_kWh!J13</f>
        <v>0</v>
      </c>
      <c r="F13" s="160">
        <f>Hourly_kWh!K13</f>
        <v>0</v>
      </c>
      <c r="G13" s="160">
        <f>Hourly_kWh!L13</f>
        <v>0</v>
      </c>
      <c r="H13" s="160">
        <f>Hourly_kWh!U13</f>
        <v>2.1687999999997487E-2</v>
      </c>
      <c r="I13" s="160">
        <f>Hourly_kWh!P13</f>
        <v>1.7649999999996169E-2</v>
      </c>
      <c r="J13" s="160">
        <f>Hourly_kWh!N13</f>
        <v>0.27991499999995995</v>
      </c>
      <c r="K13" s="160">
        <f>Hourly_kWh!O13</f>
        <v>0.28682899999989786</v>
      </c>
      <c r="L13" s="160">
        <f>Hourly_kWh!B13*0.001</f>
        <v>0.85587500000000005</v>
      </c>
      <c r="M13" s="160">
        <f>Hourly_kWh!AR13</f>
        <v>0.20947200000000521</v>
      </c>
      <c r="N13" s="160">
        <f>Hourly_kWh!BM13</f>
        <v>0.12012800000002244</v>
      </c>
      <c r="O13" s="160">
        <f>Hourly_kWh!CM13</f>
        <v>0.26073599999995167</v>
      </c>
      <c r="P13" s="160">
        <f>Hourly_kWh!DI13</f>
        <v>0.23686399999996866</v>
      </c>
      <c r="Q13" s="160">
        <f>Hourly_kWh!EF13</f>
        <v>0.47775599999931728</v>
      </c>
      <c r="R13" s="119">
        <f>SUM('Zone wise Meter data'!O11:AF11)</f>
        <v>4.4591625000000468E-2</v>
      </c>
      <c r="S13" s="115">
        <f>SUM('Zone wise Meter data'!AG11:AW11)</f>
        <v>0.11483089062497848</v>
      </c>
      <c r="T13" s="115">
        <f>SUM('Zone wise Meter data'!AX11:BA11)</f>
        <v>6.9336500000065193E-2</v>
      </c>
      <c r="U13" s="115">
        <f>SUM('Zone wise Meter data'!BB11:BC11)</f>
        <v>0.15791999999999007</v>
      </c>
      <c r="V13" s="115">
        <f>SUM('Zone wise Meter data'!BD11:BL11)</f>
        <v>0.50843900000010578</v>
      </c>
      <c r="W13" s="115">
        <f>SUM('Zone wise Meter data'!BM11:BX11)</f>
        <v>6.2314500000002049E-2</v>
      </c>
      <c r="X13" s="115">
        <f>SUM('Zone wise Meter data'!BY11:CE11)</f>
        <v>1.765374999999958E-3</v>
      </c>
      <c r="Y13" s="115">
        <f>SUM('Zone wise Meter data'!CF11:CK11)</f>
        <v>8.2301437499998575E-2</v>
      </c>
      <c r="Z13" s="115">
        <f>SUM('Zone wise Meter data'!CL11:CO11)</f>
        <v>0.10068799999999101</v>
      </c>
      <c r="AA13" s="115">
        <f>SUM('Zone wise Meter data'!CP11:DD11)</f>
        <v>3.8820187499993164E-2</v>
      </c>
      <c r="AB13" s="115">
        <f>SUM('Zone wise Meter data'!DE11:DN11)</f>
        <v>1.0010156250005744E-2</v>
      </c>
      <c r="AC13" s="115">
        <f>SUM('Zone wise Meter data'!DO11:ED11)</f>
        <v>0</v>
      </c>
      <c r="AD13" s="160">
        <f>Hourly_kWh!AW13</f>
        <v>7.020799999997962E-2</v>
      </c>
      <c r="AE13" s="160">
        <f>Hourly_kWh!DS13</f>
        <v>8.7712000000010448E-2</v>
      </c>
      <c r="AF13" s="160">
        <f>Hourly_kWh!EL13</f>
        <v>0.15833599999996295</v>
      </c>
      <c r="AG13" s="160">
        <f>Hourly_kWh!EK13</f>
        <v>0</v>
      </c>
      <c r="AH13" s="160">
        <f>Hourly_kWh!EN13</f>
        <v>0</v>
      </c>
      <c r="AI13" s="160">
        <f>Hourly_kWh!EO13</f>
        <v>7.6799999999366264E-4</v>
      </c>
      <c r="AJ13" s="160">
        <f>Hourly_kWh!EM13</f>
        <v>0.16870400000016161</v>
      </c>
      <c r="AK13" s="160">
        <f>Hourly_kWh!ER13</f>
        <v>0.12145299999998826</v>
      </c>
      <c r="AL13" s="160">
        <f>Hourly_kWh!EI13</f>
        <v>2.899200000001656E-2</v>
      </c>
      <c r="AM13" s="160">
        <f>Hourly_kWh!EJ13+Hourly_kWh!AS13</f>
        <v>5.7844999999927538E-3</v>
      </c>
      <c r="AN13" s="160">
        <f>Hourly_kWh!CX13+Hourly_kWh!CY13+Hourly_kWh!DC13+Hourly_kWh!DD13</f>
        <v>1.0520124999999991E-2</v>
      </c>
      <c r="AO13" s="160">
        <f>SUM(Hourly_kWh!AI13:AQ13)</f>
        <v>8.1136890624983249E-2</v>
      </c>
      <c r="AP13" s="160">
        <f>SUM(Hourly_kWh!V13:AG13)</f>
        <v>4.1157499999996183E-2</v>
      </c>
      <c r="AQ13" s="160">
        <f>Hourly_kWh!DB13</f>
        <v>6.2099999999993827E-3</v>
      </c>
      <c r="AR13" s="160">
        <f>Hourly_kWh!CO13</f>
        <v>4.1191999999995232E-2</v>
      </c>
      <c r="AS13" s="160">
        <f>Hourly_kWh!BJ13</f>
        <v>0</v>
      </c>
      <c r="AT13" s="160">
        <f>Hourly_kWh!U13</f>
        <v>2.1687999999997487E-2</v>
      </c>
      <c r="AU13" s="160">
        <f>Hourly_kWh!V13</f>
        <v>5.6219999999989057E-3</v>
      </c>
      <c r="AV13" s="160">
        <f>Hourly_kWh!W13</f>
        <v>5.4369999999988039E-3</v>
      </c>
      <c r="AW13" s="160">
        <f>Hourly_kWh!X13</f>
        <v>3.8600000000013068E-3</v>
      </c>
      <c r="AX13" s="160">
        <f>Hourly_kWh!Y13</f>
        <v>0</v>
      </c>
      <c r="AY13" s="160">
        <f>Hourly_kWh!Z13</f>
        <v>2.4449999999998084E-3</v>
      </c>
      <c r="AZ13" s="160">
        <f>Hourly_kWh!AA13</f>
        <v>5.9239999999967097E-3</v>
      </c>
      <c r="BA13" s="160">
        <f>Hourly_kWh!AB13</f>
        <v>6.8320000000028358E-3</v>
      </c>
      <c r="BB13" s="160">
        <f>Hourly_kWh!AC13</f>
        <v>1.781999999998618E-3</v>
      </c>
      <c r="BC13" s="160">
        <f>Hourly_kWh!AD13</f>
        <v>2.8810000000003555E-3</v>
      </c>
      <c r="BD13" s="160">
        <f>Hourly_kWh!AE13</f>
        <v>4.5789999999996667E-3</v>
      </c>
      <c r="BE13" s="160">
        <f>Hourly_kWh!AF13</f>
        <v>0</v>
      </c>
      <c r="BF13" s="160">
        <f>Hourly_kWh!AG13</f>
        <v>1.7954999999991728E-3</v>
      </c>
      <c r="BG13" s="160">
        <f>Hourly_kWh!AH13</f>
        <v>9.0592000000015105E-2</v>
      </c>
      <c r="BH13" s="160">
        <f>Hourly_kWh!AI13</f>
        <v>0</v>
      </c>
      <c r="BI13" s="160">
        <f>Hourly_kWh!AJ13</f>
        <v>2.0705000000003082E-3</v>
      </c>
      <c r="BJ13" s="160">
        <f>Hourly_kWh!AK13</f>
        <v>0</v>
      </c>
      <c r="BK13" s="160">
        <f>Hourly_kWh!AL13</f>
        <v>1.7654390625000016E-2</v>
      </c>
      <c r="BL13" s="160">
        <f>Hourly_kWh!AM13</f>
        <v>2.0255999999989172E-2</v>
      </c>
      <c r="BM13" s="160">
        <f>Hourly_kWh!AN13</f>
        <v>1.5647999999998774E-2</v>
      </c>
      <c r="BN13" s="160">
        <f>Hourly_kWh!AO13</f>
        <v>8.6680000000001201E-3</v>
      </c>
      <c r="BO13" s="160">
        <f>Hourly_kWh!AP13</f>
        <v>3.0879999999982033E-3</v>
      </c>
      <c r="BP13" s="160">
        <f>Hourly_kWh!AQ13</f>
        <v>1.3751999999996656E-2</v>
      </c>
      <c r="BQ13" s="160">
        <f>Hourly_kWh!AR13</f>
        <v>0.20947200000000521</v>
      </c>
      <c r="BR13" s="160">
        <f>Hourly_kWh!AS13</f>
        <v>3.1924999999999315E-3</v>
      </c>
      <c r="BS13" s="160">
        <f>Hourly_kWh!AT13</f>
        <v>0</v>
      </c>
      <c r="BT13" s="160">
        <f>Hourly_kWh!AU13</f>
        <v>2.0760000000024093E-3</v>
      </c>
      <c r="BU13" s="160">
        <f>Hourly_kWh!AV13</f>
        <v>1.0234999999996219E-3</v>
      </c>
      <c r="BV13" s="160">
        <f>Hourly_kWh!AW13</f>
        <v>7.020799999997962E-2</v>
      </c>
      <c r="BW13" s="160">
        <f>Hourly_kWh!AX13</f>
        <v>0</v>
      </c>
      <c r="BX13" s="160">
        <f>Hourly_kWh!AY13</f>
        <v>3.2800000000001717E-3</v>
      </c>
      <c r="BY13" s="160">
        <f>Hourly_kWh!AZ13</f>
        <v>0</v>
      </c>
      <c r="BZ13" s="160">
        <f>Hourly_kWh!BA13</f>
        <v>0</v>
      </c>
      <c r="CA13" s="160">
        <f>Hourly_kWh!BB13</f>
        <v>0</v>
      </c>
      <c r="CB13" s="160">
        <f>Hourly_kWh!BC13</f>
        <v>0</v>
      </c>
      <c r="CC13" s="160">
        <f>Hourly_kWh!BD13</f>
        <v>2.8843750000000223E-4</v>
      </c>
      <c r="CD13" s="160">
        <f>Hourly_kWh!BE13</f>
        <v>4.6859999999995239E-3</v>
      </c>
      <c r="CE13" s="160">
        <f>Hourly_kWh!BF13</f>
        <v>0</v>
      </c>
      <c r="CF13" s="160">
        <f>Hourly_kWh!BG13</f>
        <v>1.0050000000010328E-3</v>
      </c>
      <c r="CG13" s="160">
        <f>Hourly_kWh!BH13</f>
        <v>0</v>
      </c>
      <c r="CH13" s="160">
        <f>Hourly_kWh!BI13</f>
        <v>0.11308800000000474</v>
      </c>
      <c r="CI13" s="160">
        <f>Hourly_kWh!BJ13</f>
        <v>0</v>
      </c>
      <c r="CJ13" s="160">
        <f>Hourly_kWh!BK13</f>
        <v>2.7105000000000601E-3</v>
      </c>
      <c r="CK13" s="160">
        <f>Hourly_kWh!BL13</f>
        <v>0</v>
      </c>
      <c r="CL13" s="160">
        <f>Hourly_kWh!BM13</f>
        <v>0.12012800000002244</v>
      </c>
      <c r="CM13" s="160">
        <f>Hourly_kWh!BN13</f>
        <v>0</v>
      </c>
      <c r="CN13" s="160">
        <f>Hourly_kWh!BO13</f>
        <v>4.9072000000002447E-2</v>
      </c>
      <c r="CO13" s="160">
        <f>Hourly_kWh!BP13</f>
        <v>0</v>
      </c>
      <c r="CP13" s="160">
        <f>Hourly_kWh!BQ13</f>
        <v>0</v>
      </c>
      <c r="CQ13" s="160">
        <f>Hourly_kWh!BR13</f>
        <v>0</v>
      </c>
      <c r="CR13" s="160">
        <f>Hourly_kWh!BS13</f>
        <v>0</v>
      </c>
      <c r="CS13" s="160">
        <f>Hourly_kWh!BT13</f>
        <v>8.3240000000017744E-3</v>
      </c>
      <c r="CT13" s="160">
        <f>Hourly_kWh!BU13</f>
        <v>0</v>
      </c>
      <c r="CU13" s="160">
        <f>Hourly_kWh!BV13</f>
        <v>0</v>
      </c>
      <c r="CV13" s="160">
        <f>Hourly_kWh!BW13</f>
        <v>0</v>
      </c>
      <c r="CW13" s="160">
        <f>Hourly_kWh!BX13</f>
        <v>0</v>
      </c>
      <c r="CX13" s="160">
        <f>Hourly_kWh!BY13</f>
        <v>0</v>
      </c>
      <c r="CY13" s="160">
        <f>Hourly_kWh!BZ13</f>
        <v>4.2271999999996979E-2</v>
      </c>
      <c r="CZ13" s="160">
        <f>Hourly_kWh!CA13</f>
        <v>1.2621937500000013E-2</v>
      </c>
      <c r="DA13" s="160">
        <f>Hourly_kWh!CB13</f>
        <v>0</v>
      </c>
      <c r="DB13" s="160">
        <f>Hourly_kWh!CC13</f>
        <v>0</v>
      </c>
      <c r="DC13" s="160">
        <f>Hourly_kWh!CD13</f>
        <v>0</v>
      </c>
      <c r="DD13" s="160">
        <f>Hourly_kWh!CE13</f>
        <v>0</v>
      </c>
      <c r="DE13" s="160">
        <f>Hourly_kWh!CF13</f>
        <v>1.0279999999998068E-3</v>
      </c>
      <c r="DF13" s="160">
        <f>Hourly_kWh!CG13</f>
        <v>0</v>
      </c>
      <c r="DG13" s="160">
        <f>Hourly_kWh!CH13</f>
        <v>6.3974999999993898E-4</v>
      </c>
      <c r="DH13" s="160">
        <f>Hourly_kWh!CI13</f>
        <v>0</v>
      </c>
      <c r="DI13" s="160">
        <f>Hourly_kWh!CJ13</f>
        <v>0</v>
      </c>
      <c r="DJ13" s="160">
        <f>Hourly_kWh!CK13</f>
        <v>0</v>
      </c>
      <c r="DK13" s="160">
        <f>Hourly_kWh!CL13</f>
        <v>6.8800000000024397E-4</v>
      </c>
      <c r="DL13" s="160">
        <f>Hourly_kWh!CM13</f>
        <v>0.26073599999995167</v>
      </c>
      <c r="DM13" s="160">
        <f>Hourly_kWh!CN13</f>
        <v>2.0240000000004699E-3</v>
      </c>
      <c r="DN13" s="160">
        <f>Hourly_kWh!CO13</f>
        <v>4.1191999999995232E-2</v>
      </c>
      <c r="DO13" s="160">
        <f>Hourly_kWh!CP13</f>
        <v>0</v>
      </c>
      <c r="DP13" s="160">
        <f>Hourly_kWh!CQ13</f>
        <v>0</v>
      </c>
      <c r="DQ13" s="160">
        <f>Hourly_kWh!CR13</f>
        <v>9.3409999999991555E-3</v>
      </c>
      <c r="DR13" s="160">
        <f>Hourly_kWh!CS13</f>
        <v>0</v>
      </c>
      <c r="DS13" s="160">
        <f>Hourly_kWh!CT13</f>
        <v>1.5047999999993067E-2</v>
      </c>
      <c r="DT13" s="160">
        <f>Hourly_kWh!CU13</f>
        <v>0</v>
      </c>
      <c r="DU13" s="160">
        <f>Hourly_kWh!CV13</f>
        <v>1.125625000000019E-3</v>
      </c>
      <c r="DV13" s="160">
        <f>Hourly_kWh!CW13</f>
        <v>7.2559999999981528E-3</v>
      </c>
      <c r="DW13" s="160">
        <f>Hourly_kWh!CX13</f>
        <v>0</v>
      </c>
      <c r="DX13" s="160">
        <f>Hourly_kWh!CY13</f>
        <v>7.3100000000003718E-4</v>
      </c>
      <c r="DY13" s="160">
        <f>Hourly_kWh!CZ13</f>
        <v>2.5690000000002655E-3</v>
      </c>
      <c r="DZ13" s="160">
        <f>Hourly_kWh!DA13</f>
        <v>1.1776000000004672E-2</v>
      </c>
      <c r="EA13" s="160">
        <f>Hourly_kWh!DB13</f>
        <v>6.2099999999993827E-3</v>
      </c>
      <c r="EB13" s="160">
        <f>Hourly_kWh!DC13</f>
        <v>8.4931249999999903E-3</v>
      </c>
      <c r="EC13" s="160">
        <f>Hourly_kWh!DD13</f>
        <v>1.2959999999999638E-3</v>
      </c>
      <c r="ED13" s="160">
        <f>Hourly_kWh!DE13</f>
        <v>0</v>
      </c>
      <c r="EE13" s="160">
        <f>Hourly_kWh!DF13</f>
        <v>0</v>
      </c>
      <c r="EF13" s="160">
        <f>Hourly_kWh!DG13</f>
        <v>3.4175000000011835E-3</v>
      </c>
      <c r="EG13" s="160">
        <f>Hourly_kWh!DH13</f>
        <v>5.7849999999959323E-4</v>
      </c>
      <c r="EH13" s="160">
        <f>Hourly_kWh!DI13</f>
        <v>0.23686399999996866</v>
      </c>
      <c r="EI13" s="160">
        <f>Hourly_kWh!DJ13</f>
        <v>0</v>
      </c>
      <c r="EJ13" s="160">
        <f>Hourly_kWh!DK13</f>
        <v>2.7880000000024552E-3</v>
      </c>
      <c r="EK13" s="160">
        <f>Hourly_kWh!DL13</f>
        <v>1.0992187499999917E-3</v>
      </c>
      <c r="EL13" s="160">
        <f>Hourly_kWh!DM13</f>
        <v>1.7300000000002314E-3</v>
      </c>
      <c r="EM13" s="160">
        <f>Hourly_kWh!DN13</f>
        <v>1.8081250000001603E-4</v>
      </c>
      <c r="EN13" s="160">
        <f>Hourly_kWh!DO13</f>
        <v>5.5040000000019518E-3</v>
      </c>
      <c r="EO13" s="160">
        <f>Hourly_kWh!DP13</f>
        <v>2.7059999999998752E-3</v>
      </c>
      <c r="EP13" s="160">
        <f>Hourly_kWh!DQ13</f>
        <v>0</v>
      </c>
      <c r="EQ13" s="160">
        <f>Hourly_kWh!DR13</f>
        <v>0</v>
      </c>
      <c r="ER13" s="160">
        <f>Hourly_kWh!DS13</f>
        <v>8.7712000000010448E-2</v>
      </c>
      <c r="ES13" s="160">
        <f>Hourly_kWh!DT13</f>
        <v>1.8055500000000002E-2</v>
      </c>
      <c r="ET13" s="160">
        <f>Hourly_kWh!DU13</f>
        <v>0</v>
      </c>
      <c r="EU13" s="160">
        <f>Hourly_kWh!DV13</f>
        <v>3.8250000000017437E-4</v>
      </c>
      <c r="EV13" s="160">
        <f>Hourly_kWh!DW13</f>
        <v>0</v>
      </c>
      <c r="EW13" s="160">
        <f>Hourly_kWh!DX13</f>
        <v>3.5889999999998423E-3</v>
      </c>
      <c r="EX13" s="160">
        <f>Hourly_kWh!DY13</f>
        <v>2.4187499999994699E-4</v>
      </c>
      <c r="EY13" s="160">
        <f>Hourly_kWh!DZ13</f>
        <v>4.9579999999984636E-3</v>
      </c>
      <c r="EZ13" s="160">
        <f>Hourly_kWh!EA13</f>
        <v>0</v>
      </c>
      <c r="FA13" s="160">
        <f>Hourly_kWh!EB13</f>
        <v>6.8319999999999936E-2</v>
      </c>
      <c r="FB13" s="160">
        <f>Hourly_kWh!EC13</f>
        <v>3.2367999999991071E-2</v>
      </c>
      <c r="FC13" s="160">
        <f>Hourly_kWh!ED13</f>
        <v>6.2099999999998268E-3</v>
      </c>
      <c r="FD13" s="160">
        <f>Hourly_kWh!EE13</f>
        <v>3.3000000000003027E-3</v>
      </c>
      <c r="FE13" s="160">
        <f>Hourly_kWh!EF13</f>
        <v>0.47775599999931728</v>
      </c>
      <c r="FF13" s="160">
        <f>Hourly_kWh!EG13</f>
        <v>0</v>
      </c>
      <c r="FG13" s="160">
        <f>Hourly_kWh!EH13</f>
        <v>3.4560000000055879E-2</v>
      </c>
      <c r="FH13" s="160">
        <f>Hourly_kWh!EI13</f>
        <v>2.899200000001656E-2</v>
      </c>
      <c r="FI13" s="160">
        <f>Hourly_kWh!EJ13</f>
        <v>2.5919999999928223E-3</v>
      </c>
      <c r="FJ13" s="160">
        <f>Hourly_kWh!EK13</f>
        <v>0</v>
      </c>
      <c r="FK13" s="160">
        <f>Hourly_kWh!EL13</f>
        <v>0.15833599999996295</v>
      </c>
      <c r="FL13" s="160">
        <f>Hourly_kWh!EM13</f>
        <v>0.16870400000016161</v>
      </c>
      <c r="FM13" s="160">
        <f>Hourly_kWh!EN13</f>
        <v>0</v>
      </c>
      <c r="FN13" s="160">
        <f>Hourly_kWh!EO13</f>
        <v>7.6799999999366264E-4</v>
      </c>
      <c r="FO13" s="160">
        <f>Hourly_kWh!EP13</f>
        <v>0</v>
      </c>
      <c r="FP13" s="160">
        <f>Hourly_kWh!ER13</f>
        <v>0.12145299999998826</v>
      </c>
      <c r="FQ13" s="160">
        <f>Hourly_kWh!EQ13</f>
        <v>0</v>
      </c>
      <c r="FR13" s="160">
        <f>Hourly_kWh!M13</f>
        <v>0</v>
      </c>
      <c r="FS13" s="160">
        <f>Hourly_kWh!G13</f>
        <v>0</v>
      </c>
      <c r="FT13" s="160">
        <f>Hourly_kWh!C13</f>
        <v>0</v>
      </c>
      <c r="FU13" s="160">
        <f>Hourly_kWh!D13</f>
        <v>0.29905399999995552</v>
      </c>
      <c r="FV13" s="160">
        <f>Hourly_kWh!E13</f>
        <v>0.25861800000001267</v>
      </c>
      <c r="FW13" s="160">
        <f>Hourly_kWh!F13</f>
        <v>0.28507500000000618</v>
      </c>
      <c r="FX13" s="160">
        <f>Hourly_kWh!Q13</f>
        <v>0</v>
      </c>
      <c r="FY13" s="160">
        <f>Hourly_kWh!R13</f>
        <v>0.29900800000177696</v>
      </c>
      <c r="FZ13" s="160">
        <f>Hourly_kWh!S13</f>
        <v>0.25190399999974034</v>
      </c>
      <c r="GA13" s="160">
        <f>Hourly_kWh!T13</f>
        <v>0.28262399999948684</v>
      </c>
      <c r="GB13" s="160">
        <f t="shared" si="0"/>
        <v>1.4619569999998516</v>
      </c>
      <c r="GC13" s="160">
        <f t="shared" si="1"/>
        <v>1.3049559999992653</v>
      </c>
      <c r="GD13" s="160">
        <f t="shared" si="2"/>
        <v>0.15700100000058637</v>
      </c>
      <c r="GE13" s="159">
        <f t="shared" si="3"/>
        <v>0.10739098345614974</v>
      </c>
    </row>
    <row r="14" spans="2:187" s="150" customFormat="1" ht="32.25" customHeight="1" x14ac:dyDescent="0.25">
      <c r="B14" s="149" t="s">
        <v>671</v>
      </c>
      <c r="C14" s="160">
        <f>Hourly_kWh!H14</f>
        <v>0</v>
      </c>
      <c r="D14" s="160">
        <f>Hourly_kWh!I14</f>
        <v>0</v>
      </c>
      <c r="E14" s="160">
        <f>Hourly_kWh!J14</f>
        <v>0</v>
      </c>
      <c r="F14" s="160">
        <f>Hourly_kWh!K14</f>
        <v>0</v>
      </c>
      <c r="G14" s="160">
        <f>Hourly_kWh!L14</f>
        <v>0</v>
      </c>
      <c r="H14" s="160">
        <f>Hourly_kWh!U14</f>
        <v>1.9407999999998538E-2</v>
      </c>
      <c r="I14" s="160">
        <f>Hourly_kWh!P14</f>
        <v>2.4839000000000055E-2</v>
      </c>
      <c r="J14" s="160">
        <f>Hourly_kWh!N14</f>
        <v>0.39497200000016619</v>
      </c>
      <c r="K14" s="160">
        <f>Hourly_kWh!O14</f>
        <v>0.40659800000003088</v>
      </c>
      <c r="L14" s="160">
        <f>Hourly_kWh!B14*0.001</f>
        <v>0.486375</v>
      </c>
      <c r="M14" s="160">
        <f>Hourly_kWh!AR14</f>
        <v>0.19283199999995304</v>
      </c>
      <c r="N14" s="160">
        <f>Hourly_kWh!BM14</f>
        <v>8.9472000000000662E-2</v>
      </c>
      <c r="O14" s="160">
        <f>Hourly_kWh!CM14</f>
        <v>0.21951999999987493</v>
      </c>
      <c r="P14" s="160">
        <f>Hourly_kWh!DI14</f>
        <v>0.20883200000002944</v>
      </c>
      <c r="Q14" s="160">
        <f>Hourly_kWh!EF14</f>
        <v>0.52497300000050018</v>
      </c>
      <c r="R14" s="119">
        <f>SUM('Zone wise Meter data'!O12:AF12)</f>
        <v>4.7210249999998011E-2</v>
      </c>
      <c r="S14" s="115">
        <f>SUM('Zone wise Meter data'!AG12:AW12)</f>
        <v>0.11820487500000948</v>
      </c>
      <c r="T14" s="115">
        <f>SUM('Zone wise Meter data'!AX12:BA12)</f>
        <v>6.5398500000010351E-2</v>
      </c>
      <c r="U14" s="115">
        <f>SUM('Zone wise Meter data'!BB12:BC12)</f>
        <v>0.1340799999999831</v>
      </c>
      <c r="V14" s="115">
        <f>SUM('Zone wise Meter data'!BD12:BL12)</f>
        <v>0.50822099999983017</v>
      </c>
      <c r="W14" s="115">
        <f>SUM('Zone wise Meter data'!BM12:BX12)</f>
        <v>2.468125000000132E-2</v>
      </c>
      <c r="X14" s="115">
        <f>SUM('Zone wise Meter data'!BY12:CE12)</f>
        <v>1.7063749999999267E-3</v>
      </c>
      <c r="Y14" s="115">
        <f>SUM('Zone wise Meter data'!CF12:CK12)</f>
        <v>8.0720468750008711E-2</v>
      </c>
      <c r="Z14" s="115">
        <f>SUM('Zone wise Meter data'!CL12:CO12)</f>
        <v>8.4736000000020795E-2</v>
      </c>
      <c r="AA14" s="115">
        <f>SUM('Zone wise Meter data'!CP12:DD12)</f>
        <v>2.9414124999993407E-2</v>
      </c>
      <c r="AB14" s="115">
        <f>SUM('Zone wise Meter data'!DE12:DN12)</f>
        <v>9.8207968749969704E-3</v>
      </c>
      <c r="AC14" s="115">
        <f>SUM('Zone wise Meter data'!DO12:ED12)</f>
        <v>0</v>
      </c>
      <c r="AD14" s="160">
        <f>Hourly_kWh!AW14</f>
        <v>5.4399999999986903E-2</v>
      </c>
      <c r="AE14" s="160">
        <f>Hourly_kWh!DS14</f>
        <v>7.9679999999996198E-2</v>
      </c>
      <c r="AF14" s="160">
        <f>Hourly_kWh!EL14</f>
        <v>0.16192000000000917</v>
      </c>
      <c r="AG14" s="160">
        <f>Hourly_kWh!EK14</f>
        <v>0</v>
      </c>
      <c r="AH14" s="160">
        <f>Hourly_kWh!EN14</f>
        <v>0</v>
      </c>
      <c r="AI14" s="160">
        <f>Hourly_kWh!EO14</f>
        <v>7.6799999999366264E-4</v>
      </c>
      <c r="AJ14" s="160">
        <f>Hourly_kWh!EM14</f>
        <v>0.17279999999982465</v>
      </c>
      <c r="AK14" s="160">
        <f>Hourly_kWh!ER14</f>
        <v>0.11494199999999921</v>
      </c>
      <c r="AL14" s="160">
        <f>Hourly_kWh!EI14</f>
        <v>2.3744000000078813E-2</v>
      </c>
      <c r="AM14" s="160">
        <f>Hourly_kWh!EJ14+Hourly_kWh!AS14</f>
        <v>5.8784999999899057E-3</v>
      </c>
      <c r="AN14" s="160">
        <f>Hourly_kWh!CX14+Hourly_kWh!CY14+Hourly_kWh!DC14+Hourly_kWh!DD14</f>
        <v>1.0484249999999973E-2</v>
      </c>
      <c r="AO14" s="160">
        <f>SUM(Hourly_kWh!AI14:AQ14)</f>
        <v>8.2492875000007515E-2</v>
      </c>
      <c r="AP14" s="160">
        <f>SUM(Hourly_kWh!V14:AG14)</f>
        <v>4.3047500000000127E-2</v>
      </c>
      <c r="AQ14" s="160">
        <f>Hourly_kWh!DB14</f>
        <v>6.2149999999991934E-3</v>
      </c>
      <c r="AR14" s="160">
        <f>Hourly_kWh!CO14</f>
        <v>4.0000000000006253E-2</v>
      </c>
      <c r="AS14" s="160">
        <f>Hourly_kWh!BJ14</f>
        <v>0</v>
      </c>
      <c r="AT14" s="160">
        <f>Hourly_kWh!U14</f>
        <v>1.9407999999998538E-2</v>
      </c>
      <c r="AU14" s="160">
        <f>Hourly_kWh!V14</f>
        <v>4.9619999999990227E-3</v>
      </c>
      <c r="AV14" s="160">
        <f>Hourly_kWh!W14</f>
        <v>5.4790000000011219E-3</v>
      </c>
      <c r="AW14" s="160">
        <f>Hourly_kWh!X14</f>
        <v>4.3889999999997542E-3</v>
      </c>
      <c r="AX14" s="160">
        <f>Hourly_kWh!Y14</f>
        <v>0</v>
      </c>
      <c r="AY14" s="160">
        <f>Hourly_kWh!Z14</f>
        <v>2.4630000000005481E-3</v>
      </c>
      <c r="AZ14" s="160">
        <f>Hourly_kWh!AA14</f>
        <v>6.3780000000015491E-3</v>
      </c>
      <c r="BA14" s="160">
        <f>Hourly_kWh!AB14</f>
        <v>6.7599999999998772E-3</v>
      </c>
      <c r="BB14" s="160">
        <f>Hourly_kWh!AC14</f>
        <v>2.2179999999991651E-3</v>
      </c>
      <c r="BC14" s="160">
        <f>Hourly_kWh!AD14</f>
        <v>3.9039999999985753E-3</v>
      </c>
      <c r="BD14" s="160">
        <f>Hourly_kWh!AE14</f>
        <v>5.0784999999997638E-3</v>
      </c>
      <c r="BE14" s="160">
        <f>Hourly_kWh!AF14</f>
        <v>0</v>
      </c>
      <c r="BF14" s="160">
        <f>Hourly_kWh!AG14</f>
        <v>1.41600000000075E-3</v>
      </c>
      <c r="BG14" s="160">
        <f>Hourly_kWh!AH14</f>
        <v>8.9760000000012496E-2</v>
      </c>
      <c r="BH14" s="160">
        <f>Hourly_kWh!AI14</f>
        <v>0</v>
      </c>
      <c r="BI14" s="160">
        <f>Hourly_kWh!AJ14</f>
        <v>2.307000000000059E-3</v>
      </c>
      <c r="BJ14" s="160">
        <f>Hourly_kWh!AK14</f>
        <v>0</v>
      </c>
      <c r="BK14" s="160">
        <f>Hourly_kWh!AL14</f>
        <v>1.8013875000000013E-2</v>
      </c>
      <c r="BL14" s="160">
        <f>Hourly_kWh!AM14</f>
        <v>2.2088000000010766E-2</v>
      </c>
      <c r="BM14" s="160">
        <f>Hourly_kWh!AN14</f>
        <v>1.6311999999999216E-2</v>
      </c>
      <c r="BN14" s="160">
        <f>Hourly_kWh!AO14</f>
        <v>7.2279999999977917E-3</v>
      </c>
      <c r="BO14" s="160">
        <f>Hourly_kWh!AP14</f>
        <v>3.164000000001721E-3</v>
      </c>
      <c r="BP14" s="160">
        <f>Hourly_kWh!AQ14</f>
        <v>1.3379999999997949E-2</v>
      </c>
      <c r="BQ14" s="160">
        <f>Hourly_kWh!AR14</f>
        <v>0.19283199999995304</v>
      </c>
      <c r="BR14" s="160">
        <f>Hourly_kWh!AS14</f>
        <v>4.1184999999996919E-3</v>
      </c>
      <c r="BS14" s="160">
        <f>Hourly_kWh!AT14</f>
        <v>0</v>
      </c>
      <c r="BT14" s="160">
        <f>Hourly_kWh!AU14</f>
        <v>2.0319999999998117E-3</v>
      </c>
      <c r="BU14" s="160">
        <f>Hourly_kWh!AV14</f>
        <v>1.0684999999996947E-3</v>
      </c>
      <c r="BV14" s="160">
        <f>Hourly_kWh!AW14</f>
        <v>5.4399999999986903E-2</v>
      </c>
      <c r="BW14" s="160">
        <f>Hourly_kWh!AX14</f>
        <v>0</v>
      </c>
      <c r="BX14" s="160">
        <f>Hourly_kWh!AY14</f>
        <v>2.6500000000000412E-3</v>
      </c>
      <c r="BY14" s="160">
        <f>Hourly_kWh!AZ14</f>
        <v>0</v>
      </c>
      <c r="BZ14" s="160">
        <f>Hourly_kWh!BA14</f>
        <v>0</v>
      </c>
      <c r="CA14" s="160">
        <f>Hourly_kWh!BB14</f>
        <v>0</v>
      </c>
      <c r="CB14" s="160">
        <f>Hourly_kWh!BC14</f>
        <v>0</v>
      </c>
      <c r="CC14" s="160">
        <f>Hourly_kWh!BD14</f>
        <v>3.0720312500000235E-4</v>
      </c>
      <c r="CD14" s="160">
        <f>Hourly_kWh!BE14</f>
        <v>4.7700000000006071E-3</v>
      </c>
      <c r="CE14" s="160">
        <f>Hourly_kWh!BF14</f>
        <v>0</v>
      </c>
      <c r="CF14" s="160">
        <f>Hourly_kWh!BG14</f>
        <v>7.62999999999181E-4</v>
      </c>
      <c r="CG14" s="160">
        <f>Hourly_kWh!BH14</f>
        <v>0</v>
      </c>
      <c r="CH14" s="160">
        <f>Hourly_kWh!BI14</f>
        <v>0.10812800000002198</v>
      </c>
      <c r="CI14" s="160">
        <f>Hourly_kWh!BJ14</f>
        <v>0</v>
      </c>
      <c r="CJ14" s="160">
        <f>Hourly_kWh!BK14</f>
        <v>2.4505000000001331E-3</v>
      </c>
      <c r="CK14" s="160">
        <f>Hourly_kWh!BL14</f>
        <v>0</v>
      </c>
      <c r="CL14" s="160">
        <f>Hourly_kWh!BM14</f>
        <v>8.9472000000000662E-2</v>
      </c>
      <c r="CM14" s="160">
        <f>Hourly_kWh!BN14</f>
        <v>0</v>
      </c>
      <c r="CN14" s="160">
        <f>Hourly_kWh!BO14</f>
        <v>2.0284000000000191E-2</v>
      </c>
      <c r="CO14" s="160">
        <f>Hourly_kWh!BP14</f>
        <v>0</v>
      </c>
      <c r="CP14" s="160">
        <f>Hourly_kWh!BQ14</f>
        <v>0</v>
      </c>
      <c r="CQ14" s="160">
        <f>Hourly_kWh!BR14</f>
        <v>0</v>
      </c>
      <c r="CR14" s="160">
        <f>Hourly_kWh!BS14</f>
        <v>0</v>
      </c>
      <c r="CS14" s="160">
        <f>Hourly_kWh!BT14</f>
        <v>8.155999999999608E-3</v>
      </c>
      <c r="CT14" s="160">
        <f>Hourly_kWh!BU14</f>
        <v>0</v>
      </c>
      <c r="CU14" s="160">
        <f>Hourly_kWh!BV14</f>
        <v>0</v>
      </c>
      <c r="CV14" s="160">
        <f>Hourly_kWh!BW14</f>
        <v>0</v>
      </c>
      <c r="CW14" s="160">
        <f>Hourly_kWh!BX14</f>
        <v>0</v>
      </c>
      <c r="CX14" s="160">
        <f>Hourly_kWh!BY14</f>
        <v>0</v>
      </c>
      <c r="CY14" s="160">
        <f>Hourly_kWh!BZ14</f>
        <v>3.773600000000954E-2</v>
      </c>
      <c r="CZ14" s="160">
        <f>Hourly_kWh!CA14</f>
        <v>1.5629468750000042E-2</v>
      </c>
      <c r="DA14" s="160">
        <f>Hourly_kWh!CB14</f>
        <v>0</v>
      </c>
      <c r="DB14" s="160">
        <f>Hourly_kWh!CC14</f>
        <v>0</v>
      </c>
      <c r="DC14" s="160">
        <f>Hourly_kWh!CD14</f>
        <v>0</v>
      </c>
      <c r="DD14" s="160">
        <f>Hourly_kWh!CE14</f>
        <v>0</v>
      </c>
      <c r="DE14" s="160">
        <f>Hourly_kWh!CF14</f>
        <v>1.2259999999990612E-3</v>
      </c>
      <c r="DF14" s="160">
        <f>Hourly_kWh!CG14</f>
        <v>0</v>
      </c>
      <c r="DG14" s="160">
        <f>Hourly_kWh!CH14</f>
        <v>6.2899999999999068E-4</v>
      </c>
      <c r="DH14" s="160">
        <f>Hourly_kWh!CI14</f>
        <v>0</v>
      </c>
      <c r="DI14" s="160">
        <f>Hourly_kWh!CJ14</f>
        <v>0</v>
      </c>
      <c r="DJ14" s="160">
        <f>Hourly_kWh!CK14</f>
        <v>0</v>
      </c>
      <c r="DK14" s="160">
        <f>Hourly_kWh!CL14</f>
        <v>1.1039999999979955E-3</v>
      </c>
      <c r="DL14" s="160">
        <f>Hourly_kWh!CM14</f>
        <v>0.21951999999987493</v>
      </c>
      <c r="DM14" s="160">
        <f>Hourly_kWh!CN14</f>
        <v>2.0450000000007407E-3</v>
      </c>
      <c r="DN14" s="160">
        <f>Hourly_kWh!CO14</f>
        <v>4.0000000000006253E-2</v>
      </c>
      <c r="DO14" s="160">
        <f>Hourly_kWh!CP14</f>
        <v>0</v>
      </c>
      <c r="DP14" s="160">
        <f>Hourly_kWh!CQ14</f>
        <v>0</v>
      </c>
      <c r="DQ14" s="160">
        <f>Hourly_kWh!CR14</f>
        <v>8.8360000000005101E-3</v>
      </c>
      <c r="DR14" s="160">
        <f>Hourly_kWh!CS14</f>
        <v>0</v>
      </c>
      <c r="DS14" s="160">
        <f>Hourly_kWh!CT14</f>
        <v>7.4479999999965685E-3</v>
      </c>
      <c r="DT14" s="160">
        <f>Hourly_kWh!CU14</f>
        <v>0</v>
      </c>
      <c r="DU14" s="160">
        <f>Hourly_kWh!CV14</f>
        <v>1.077374999999936E-3</v>
      </c>
      <c r="DV14" s="160">
        <f>Hourly_kWh!CW14</f>
        <v>2.2760000000019431E-3</v>
      </c>
      <c r="DW14" s="160">
        <f>Hourly_kWh!CX14</f>
        <v>0</v>
      </c>
      <c r="DX14" s="160">
        <f>Hourly_kWh!CY14</f>
        <v>7.4499999999999567E-4</v>
      </c>
      <c r="DY14" s="160">
        <f>Hourly_kWh!CZ14</f>
        <v>1.1387499999999662E-3</v>
      </c>
      <c r="DZ14" s="160">
        <f>Hourly_kWh!DA14</f>
        <v>1.1575999999998032E-2</v>
      </c>
      <c r="EA14" s="160">
        <f>Hourly_kWh!DB14</f>
        <v>6.2149999999991934E-3</v>
      </c>
      <c r="EB14" s="160">
        <f>Hourly_kWh!DC14</f>
        <v>8.4517499999998691E-3</v>
      </c>
      <c r="EC14" s="160">
        <f>Hourly_kWh!DD14</f>
        <v>1.287500000000108E-3</v>
      </c>
      <c r="ED14" s="160">
        <f>Hourly_kWh!DE14</f>
        <v>0</v>
      </c>
      <c r="EE14" s="160">
        <f>Hourly_kWh!DF14</f>
        <v>0</v>
      </c>
      <c r="EF14" s="160">
        <f>Hourly_kWh!DG14</f>
        <v>9.8249999999922011E-4</v>
      </c>
      <c r="EG14" s="160">
        <f>Hourly_kWh!DH14</f>
        <v>6.5749999999997755E-4</v>
      </c>
      <c r="EH14" s="160">
        <f>Hourly_kWh!DI14</f>
        <v>0.20883200000002944</v>
      </c>
      <c r="EI14" s="160">
        <f>Hourly_kWh!DJ14</f>
        <v>0</v>
      </c>
      <c r="EJ14" s="160">
        <f>Hourly_kWh!DK14</f>
        <v>2.7899999999974057E-3</v>
      </c>
      <c r="EK14" s="160">
        <f>Hourly_kWh!DL14</f>
        <v>1.100093750000003E-3</v>
      </c>
      <c r="EL14" s="160">
        <f>Hourly_kWh!DM14</f>
        <v>1.760000000000872E-3</v>
      </c>
      <c r="EM14" s="160">
        <f>Hourly_kWh!DN14</f>
        <v>0</v>
      </c>
      <c r="EN14" s="160">
        <f>Hourly_kWh!DO14</f>
        <v>9.727999999995518E-3</v>
      </c>
      <c r="EO14" s="160">
        <f>Hourly_kWh!DP14</f>
        <v>2.5995000000005319E-3</v>
      </c>
      <c r="EP14" s="160">
        <f>Hourly_kWh!DQ14</f>
        <v>0</v>
      </c>
      <c r="EQ14" s="160">
        <f>Hourly_kWh!DR14</f>
        <v>0</v>
      </c>
      <c r="ER14" s="160">
        <f>Hourly_kWh!DS14</f>
        <v>7.9679999999996198E-2</v>
      </c>
      <c r="ES14" s="160">
        <f>Hourly_kWh!DT14</f>
        <v>1.7973000000000461E-2</v>
      </c>
      <c r="ET14" s="160">
        <f>Hourly_kWh!DU14</f>
        <v>0</v>
      </c>
      <c r="EU14" s="160">
        <f>Hourly_kWh!DV14</f>
        <v>5.3349999999996456E-4</v>
      </c>
      <c r="EV14" s="160">
        <f>Hourly_kWh!DW14</f>
        <v>0</v>
      </c>
      <c r="EW14" s="160">
        <f>Hourly_kWh!DX14</f>
        <v>3.5650000000000404E-3</v>
      </c>
      <c r="EX14" s="160">
        <f>Hourly_kWh!DY14</f>
        <v>2.3512500000000269E-4</v>
      </c>
      <c r="EY14" s="160">
        <f>Hourly_kWh!DZ14</f>
        <v>4.3900000000007822E-3</v>
      </c>
      <c r="EZ14" s="160">
        <f>Hourly_kWh!EA14</f>
        <v>0</v>
      </c>
      <c r="FA14" s="160">
        <f>Hourly_kWh!EB14</f>
        <v>5.2544000000011692E-2</v>
      </c>
      <c r="FB14" s="160">
        <f>Hourly_kWh!EC14</f>
        <v>3.2192000000009102E-2</v>
      </c>
      <c r="FC14" s="160">
        <f>Hourly_kWh!ED14</f>
        <v>9.1499999999999915E-4</v>
      </c>
      <c r="FD14" s="160">
        <f>Hourly_kWh!EE14</f>
        <v>6.8774999999998698E-3</v>
      </c>
      <c r="FE14" s="160">
        <f>Hourly_kWh!EF14</f>
        <v>0.52497300000050018</v>
      </c>
      <c r="FF14" s="160">
        <f>Hourly_kWh!EG14</f>
        <v>0</v>
      </c>
      <c r="FG14" s="160">
        <f>Hourly_kWh!EH14</f>
        <v>3.5775999999941632E-2</v>
      </c>
      <c r="FH14" s="160">
        <f>Hourly_kWh!EI14</f>
        <v>2.3744000000078813E-2</v>
      </c>
      <c r="FI14" s="160">
        <f>Hourly_kWh!EJ14</f>
        <v>1.7599999999902138E-3</v>
      </c>
      <c r="FJ14" s="160">
        <f>Hourly_kWh!EK14</f>
        <v>0</v>
      </c>
      <c r="FK14" s="160">
        <f>Hourly_kWh!EL14</f>
        <v>0.16192000000000917</v>
      </c>
      <c r="FL14" s="160">
        <f>Hourly_kWh!EM14</f>
        <v>0.17279999999982465</v>
      </c>
      <c r="FM14" s="160">
        <f>Hourly_kWh!EN14</f>
        <v>0</v>
      </c>
      <c r="FN14" s="160">
        <f>Hourly_kWh!EO14</f>
        <v>7.6799999999366264E-4</v>
      </c>
      <c r="FO14" s="160">
        <f>Hourly_kWh!EP14</f>
        <v>0</v>
      </c>
      <c r="FP14" s="160">
        <f>Hourly_kWh!ER14</f>
        <v>0.11494199999999921</v>
      </c>
      <c r="FQ14" s="160">
        <f>Hourly_kWh!EQ14</f>
        <v>0</v>
      </c>
      <c r="FR14" s="160">
        <f>Hourly_kWh!M14</f>
        <v>0</v>
      </c>
      <c r="FS14" s="160">
        <f>Hourly_kWh!G14</f>
        <v>0</v>
      </c>
      <c r="FT14" s="160">
        <f>Hourly_kWh!C14</f>
        <v>0</v>
      </c>
      <c r="FU14" s="160">
        <f>Hourly_kWh!D14</f>
        <v>0.18082000000003973</v>
      </c>
      <c r="FV14" s="160">
        <f>Hourly_kWh!E14</f>
        <v>0.1485670000000141</v>
      </c>
      <c r="FW14" s="160">
        <f>Hourly_kWh!F14</f>
        <v>0.17146100000002207</v>
      </c>
      <c r="FX14" s="160">
        <f>Hourly_kWh!Q14</f>
        <v>0</v>
      </c>
      <c r="FY14" s="160">
        <f>Hourly_kWh!R14</f>
        <v>0.1679359999980079</v>
      </c>
      <c r="FZ14" s="160">
        <f>Hourly_kWh!S14</f>
        <v>0.13875199999984034</v>
      </c>
      <c r="GA14" s="160">
        <f>Hourly_kWh!T14</f>
        <v>0.16179199999896809</v>
      </c>
      <c r="GB14" s="160">
        <f t="shared" si="0"/>
        <v>1.3321920000001957</v>
      </c>
      <c r="GC14" s="160">
        <f t="shared" si="1"/>
        <v>1.2356290000003582</v>
      </c>
      <c r="GD14" s="160">
        <f t="shared" si="2"/>
        <v>9.6562999999837418E-2</v>
      </c>
      <c r="GE14" s="159">
        <f t="shared" si="3"/>
        <v>7.2484296557720831E-2</v>
      </c>
    </row>
    <row r="15" spans="2:187" s="150" customFormat="1" ht="32.25" customHeight="1" x14ac:dyDescent="0.25">
      <c r="B15" s="149" t="s">
        <v>672</v>
      </c>
      <c r="C15" s="160">
        <f>Hourly_kWh!H15</f>
        <v>0</v>
      </c>
      <c r="D15" s="160">
        <f>Hourly_kWh!I15</f>
        <v>0</v>
      </c>
      <c r="E15" s="160">
        <f>Hourly_kWh!J15</f>
        <v>0</v>
      </c>
      <c r="F15" s="160">
        <f>Hourly_kWh!K15</f>
        <v>0</v>
      </c>
      <c r="G15" s="160">
        <f>Hourly_kWh!L15</f>
        <v>0</v>
      </c>
      <c r="H15" s="160">
        <f>Hourly_kWh!U15</f>
        <v>2.0696000000000936E-2</v>
      </c>
      <c r="I15" s="160">
        <f>Hourly_kWh!P15</f>
        <v>1.7789000000000499E-2</v>
      </c>
      <c r="J15" s="160">
        <f>Hourly_kWh!N15</f>
        <v>0.28961199999992004</v>
      </c>
      <c r="K15" s="160">
        <f>Hourly_kWh!O15</f>
        <v>0.30090500000005704</v>
      </c>
      <c r="L15" s="160">
        <f>Hourly_kWh!B15*0.001</f>
        <v>0.73875000000000002</v>
      </c>
      <c r="M15" s="160">
        <f>Hourly_kWh!AR15</f>
        <v>0.20025599999996757</v>
      </c>
      <c r="N15" s="160">
        <f>Hourly_kWh!BM15</f>
        <v>8.1055999999989581E-2</v>
      </c>
      <c r="O15" s="160">
        <f>Hourly_kWh!CM15</f>
        <v>0.20595200000002478</v>
      </c>
      <c r="P15" s="160">
        <f>Hourly_kWh!DI15</f>
        <v>0.2298879999999599</v>
      </c>
      <c r="Q15" s="160">
        <f>Hourly_kWh!EF15</f>
        <v>0.54456399999889982</v>
      </c>
      <c r="R15" s="119">
        <f>SUM('Zone wise Meter data'!O13:AF13)</f>
        <v>4.8425499999999122E-2</v>
      </c>
      <c r="S15" s="115">
        <f>SUM('Zone wise Meter data'!AG13:AW13)</f>
        <v>0.11412240625000147</v>
      </c>
      <c r="T15" s="115">
        <f>SUM('Zone wise Meter data'!AX13:BA13)</f>
        <v>7.4807499999907989E-2</v>
      </c>
      <c r="U15" s="115">
        <f>SUM('Zone wise Meter data'!BB13:BC13)</f>
        <v>0.15123199999999315</v>
      </c>
      <c r="V15" s="115">
        <f>SUM('Zone wise Meter data'!BD13:BL13)</f>
        <v>0.52980400000034322</v>
      </c>
      <c r="W15" s="115">
        <f>SUM('Zone wise Meter data'!BM13:BX13)</f>
        <v>2.0957499999991747E-3</v>
      </c>
      <c r="X15" s="115">
        <f>SUM('Zone wise Meter data'!BY13:CE13)</f>
        <v>1.8055000000003485E-3</v>
      </c>
      <c r="Y15" s="115">
        <f>SUM('Zone wise Meter data'!CF13:CK13)</f>
        <v>9.1895812499989904E-2</v>
      </c>
      <c r="Z15" s="115">
        <f>SUM('Zone wise Meter data'!CL13:CO13)</f>
        <v>0.10196799999999939</v>
      </c>
      <c r="AA15" s="115">
        <f>SUM('Zone wise Meter data'!CP13:DD13)</f>
        <v>2.1028874999986735E-2</v>
      </c>
      <c r="AB15" s="115">
        <f>SUM('Zone wise Meter data'!DE13:DN13)</f>
        <v>9.262187499997715E-3</v>
      </c>
      <c r="AC15" s="115">
        <f>SUM('Zone wise Meter data'!DO13:ED13)</f>
        <v>0</v>
      </c>
      <c r="AD15" s="160">
        <f>Hourly_kWh!AW15</f>
        <v>6.5471999999999753E-2</v>
      </c>
      <c r="AE15" s="160">
        <f>Hourly_kWh!DS15</f>
        <v>8.5759999999993397E-2</v>
      </c>
      <c r="AF15" s="160">
        <f>Hourly_kWh!EL15</f>
        <v>0.16319999999996071</v>
      </c>
      <c r="AG15" s="160">
        <f>Hourly_kWh!EK15</f>
        <v>0</v>
      </c>
      <c r="AH15" s="160">
        <f>Hourly_kWh!EN15</f>
        <v>0</v>
      </c>
      <c r="AI15" s="160">
        <f>Hourly_kWh!EO15</f>
        <v>7.6799999999366264E-4</v>
      </c>
      <c r="AJ15" s="160">
        <f>Hourly_kWh!EM15</f>
        <v>0.17510400000037407</v>
      </c>
      <c r="AK15" s="160">
        <f>Hourly_kWh!ER15</f>
        <v>0.13145000000001517</v>
      </c>
      <c r="AL15" s="160">
        <f>Hourly_kWh!EI15</f>
        <v>2.8991999999902873E-2</v>
      </c>
      <c r="AM15" s="160">
        <f>Hourly_kWh!EJ15+Hourly_kWh!AS15</f>
        <v>6.1994999999814837E-3</v>
      </c>
      <c r="AN15" s="160">
        <f>Hourly_kWh!CX15+Hourly_kWh!CY15+Hourly_kWh!DC15+Hourly_kWh!DD15</f>
        <v>1.0692000000000146E-2</v>
      </c>
      <c r="AO15" s="160">
        <f>SUM(Hourly_kWh!AI15:AQ15)</f>
        <v>8.1332406250002931E-2</v>
      </c>
      <c r="AP15" s="160">
        <f>SUM(Hourly_kWh!V15:AG15)</f>
        <v>3.8053999999998922E-2</v>
      </c>
      <c r="AQ15" s="160">
        <f>Hourly_kWh!DB15</f>
        <v>6.1980000000012581E-3</v>
      </c>
      <c r="AR15" s="160">
        <f>Hourly_kWh!CO15</f>
        <v>4.1303999999996677E-2</v>
      </c>
      <c r="AS15" s="160">
        <f>Hourly_kWh!BJ15</f>
        <v>0</v>
      </c>
      <c r="AT15" s="160">
        <f>Hourly_kWh!U15</f>
        <v>2.0696000000000936E-2</v>
      </c>
      <c r="AU15" s="160">
        <f>Hourly_kWh!V15</f>
        <v>5.3760000000018238E-3</v>
      </c>
      <c r="AV15" s="160">
        <f>Hourly_kWh!W15</f>
        <v>5.3570000000000562E-3</v>
      </c>
      <c r="AW15" s="160">
        <f>Hourly_kWh!X15</f>
        <v>4.0949999999995157E-3</v>
      </c>
      <c r="AX15" s="160">
        <f>Hourly_kWh!Y15</f>
        <v>0</v>
      </c>
      <c r="AY15" s="160">
        <f>Hourly_kWh!Z15</f>
        <v>1.1599999999987176E-3</v>
      </c>
      <c r="AZ15" s="160">
        <f>Hourly_kWh!AA15</f>
        <v>6.4039999999998543E-3</v>
      </c>
      <c r="BA15" s="160">
        <f>Hourly_kWh!AB15</f>
        <v>6.9519999999982929E-3</v>
      </c>
      <c r="BB15" s="160">
        <f>Hourly_kWh!AC15</f>
        <v>1.7560000000003129E-3</v>
      </c>
      <c r="BC15" s="160">
        <f>Hourly_kWh!AD15</f>
        <v>2.6320000000001897E-3</v>
      </c>
      <c r="BD15" s="160">
        <f>Hourly_kWh!AE15</f>
        <v>4.0300000000002001E-3</v>
      </c>
      <c r="BE15" s="160">
        <f>Hourly_kWh!AF15</f>
        <v>0</v>
      </c>
      <c r="BF15" s="160">
        <f>Hourly_kWh!AG15</f>
        <v>2.9199999999995896E-4</v>
      </c>
      <c r="BG15" s="160">
        <f>Hourly_kWh!AH15</f>
        <v>9.0080000000000382E-2</v>
      </c>
      <c r="BH15" s="160">
        <f>Hourly_kWh!AI15</f>
        <v>0</v>
      </c>
      <c r="BI15" s="160">
        <f>Hourly_kWh!AJ15</f>
        <v>2.4759999999997007E-3</v>
      </c>
      <c r="BJ15" s="160">
        <f>Hourly_kWh!AK15</f>
        <v>0</v>
      </c>
      <c r="BK15" s="160">
        <f>Hourly_kWh!AL15</f>
        <v>1.7680406250000003E-2</v>
      </c>
      <c r="BL15" s="160">
        <f>Hourly_kWh!AM15</f>
        <v>2.1816000000001168E-2</v>
      </c>
      <c r="BM15" s="160">
        <f>Hourly_kWh!AN15</f>
        <v>1.5503999999992857E-2</v>
      </c>
      <c r="BN15" s="160">
        <f>Hourly_kWh!AO15</f>
        <v>7.3360000000022296E-3</v>
      </c>
      <c r="BO15" s="160">
        <f>Hourly_kWh!AP15</f>
        <v>3.1719999999992865E-3</v>
      </c>
      <c r="BP15" s="160">
        <f>Hourly_kWh!AQ15</f>
        <v>1.3348000000007687E-2</v>
      </c>
      <c r="BQ15" s="160">
        <f>Hourly_kWh!AR15</f>
        <v>0.20025599999996757</v>
      </c>
      <c r="BR15" s="160">
        <f>Hourly_kWh!AS15</f>
        <v>3.8955000000004958E-3</v>
      </c>
      <c r="BS15" s="160">
        <f>Hourly_kWh!AT15</f>
        <v>0</v>
      </c>
      <c r="BT15" s="160">
        <f>Hourly_kWh!AU15</f>
        <v>2.0279999999956999E-3</v>
      </c>
      <c r="BU15" s="160">
        <f>Hourly_kWh!AV15</f>
        <v>1.0305000000006004E-3</v>
      </c>
      <c r="BV15" s="160">
        <f>Hourly_kWh!AW15</f>
        <v>6.5471999999999753E-2</v>
      </c>
      <c r="BW15" s="160">
        <f>Hourly_kWh!AX15</f>
        <v>0</v>
      </c>
      <c r="BX15" s="160">
        <f>Hourly_kWh!AY15</f>
        <v>3.0310000000000059E-3</v>
      </c>
      <c r="BY15" s="160">
        <f>Hourly_kWh!AZ15</f>
        <v>0</v>
      </c>
      <c r="BZ15" s="160">
        <f>Hourly_kWh!BA15</f>
        <v>0</v>
      </c>
      <c r="CA15" s="160">
        <f>Hourly_kWh!BB15</f>
        <v>0</v>
      </c>
      <c r="CB15" s="160">
        <f>Hourly_kWh!BC15</f>
        <v>0</v>
      </c>
      <c r="CC15" s="160">
        <f>Hourly_kWh!BD15</f>
        <v>1.0726562499999148E-4</v>
      </c>
      <c r="CD15" s="160">
        <f>Hourly_kWh!BE15</f>
        <v>5.935999999998387E-3</v>
      </c>
      <c r="CE15" s="160">
        <f>Hourly_kWh!BF15</f>
        <v>0</v>
      </c>
      <c r="CF15" s="160">
        <f>Hourly_kWh!BG15</f>
        <v>4.3800000000082662E-4</v>
      </c>
      <c r="CG15" s="160">
        <f>Hourly_kWh!BH15</f>
        <v>0</v>
      </c>
      <c r="CH15" s="160">
        <f>Hourly_kWh!BI15</f>
        <v>0.10678400000000465</v>
      </c>
      <c r="CI15" s="160">
        <f>Hourly_kWh!BJ15</f>
        <v>0</v>
      </c>
      <c r="CJ15" s="160">
        <f>Hourly_kWh!BK15</f>
        <v>2.491000000000021E-3</v>
      </c>
      <c r="CK15" s="160">
        <f>Hourly_kWh!BL15</f>
        <v>0</v>
      </c>
      <c r="CL15" s="160">
        <f>Hourly_kWh!BM15</f>
        <v>8.1055999999989581E-2</v>
      </c>
      <c r="CM15" s="160">
        <f>Hourly_kWh!BN15</f>
        <v>0</v>
      </c>
      <c r="CN15" s="160">
        <f>Hourly_kWh!BO15</f>
        <v>1.5959999999992647E-3</v>
      </c>
      <c r="CO15" s="160">
        <f>Hourly_kWh!BP15</f>
        <v>0</v>
      </c>
      <c r="CP15" s="160">
        <f>Hourly_kWh!BQ15</f>
        <v>0</v>
      </c>
      <c r="CQ15" s="160">
        <f>Hourly_kWh!BR15</f>
        <v>0</v>
      </c>
      <c r="CR15" s="160">
        <f>Hourly_kWh!BS15</f>
        <v>0</v>
      </c>
      <c r="CS15" s="160">
        <f>Hourly_kWh!BT15</f>
        <v>9.2440000000024725E-3</v>
      </c>
      <c r="CT15" s="160">
        <f>Hourly_kWh!BU15</f>
        <v>0</v>
      </c>
      <c r="CU15" s="160">
        <f>Hourly_kWh!BV15</f>
        <v>0</v>
      </c>
      <c r="CV15" s="160">
        <f>Hourly_kWh!BW15</f>
        <v>0</v>
      </c>
      <c r="CW15" s="160">
        <f>Hourly_kWh!BX15</f>
        <v>0</v>
      </c>
      <c r="CX15" s="160">
        <f>Hourly_kWh!BY15</f>
        <v>0</v>
      </c>
      <c r="CY15" s="160">
        <f>Hourly_kWh!BZ15</f>
        <v>4.41279999999864E-2</v>
      </c>
      <c r="CZ15" s="160">
        <f>Hourly_kWh!CA15</f>
        <v>1.9148812500000001E-2</v>
      </c>
      <c r="DA15" s="160">
        <f>Hourly_kWh!CB15</f>
        <v>0</v>
      </c>
      <c r="DB15" s="160">
        <f>Hourly_kWh!CC15</f>
        <v>0</v>
      </c>
      <c r="DC15" s="160">
        <f>Hourly_kWh!CD15</f>
        <v>0</v>
      </c>
      <c r="DD15" s="160">
        <f>Hourly_kWh!CE15</f>
        <v>0</v>
      </c>
      <c r="DE15" s="160">
        <f>Hourly_kWh!CF15</f>
        <v>1.632000000000744E-3</v>
      </c>
      <c r="DF15" s="160">
        <f>Hourly_kWh!CG15</f>
        <v>0</v>
      </c>
      <c r="DG15" s="160">
        <f>Hourly_kWh!CH15</f>
        <v>6.3750000000029061E-4</v>
      </c>
      <c r="DH15" s="160">
        <f>Hourly_kWh!CI15</f>
        <v>0</v>
      </c>
      <c r="DI15" s="160">
        <f>Hourly_kWh!CJ15</f>
        <v>0</v>
      </c>
      <c r="DJ15" s="160">
        <f>Hourly_kWh!CK15</f>
        <v>0</v>
      </c>
      <c r="DK15" s="160">
        <f>Hourly_kWh!CL15</f>
        <v>1.0820000000002494E-3</v>
      </c>
      <c r="DL15" s="160">
        <f>Hourly_kWh!CM15</f>
        <v>0.20595200000002478</v>
      </c>
      <c r="DM15" s="160">
        <f>Hourly_kWh!CN15</f>
        <v>2.0319999999998117E-3</v>
      </c>
      <c r="DN15" s="160">
        <f>Hourly_kWh!CO15</f>
        <v>4.1303999999996677E-2</v>
      </c>
      <c r="DO15" s="160">
        <f>Hourly_kWh!CP15</f>
        <v>0</v>
      </c>
      <c r="DP15" s="160">
        <f>Hourly_kWh!CQ15</f>
        <v>0</v>
      </c>
      <c r="DQ15" s="160">
        <f>Hourly_kWh!CR15</f>
        <v>9.3540000000000845E-3</v>
      </c>
      <c r="DR15" s="160">
        <f>Hourly_kWh!CS15</f>
        <v>0</v>
      </c>
      <c r="DS15" s="160">
        <f>Hourly_kWh!CT15</f>
        <v>1.7440000000021882E-3</v>
      </c>
      <c r="DT15" s="160">
        <f>Hourly_kWh!CU15</f>
        <v>0</v>
      </c>
      <c r="DU15" s="160">
        <f>Hourly_kWh!CV15</f>
        <v>1.1680000000000579E-3</v>
      </c>
      <c r="DV15" s="160">
        <f>Hourly_kWh!CW15</f>
        <v>0</v>
      </c>
      <c r="DW15" s="160">
        <f>Hourly_kWh!CX15</f>
        <v>0</v>
      </c>
      <c r="DX15" s="160">
        <f>Hourly_kWh!CY15</f>
        <v>7.510000000001682E-4</v>
      </c>
      <c r="DY15" s="160">
        <f>Hourly_kWh!CZ15</f>
        <v>4.9974999999990999E-4</v>
      </c>
      <c r="DZ15" s="160">
        <f>Hourly_kWh!DA15</f>
        <v>1.1780000000001678E-2</v>
      </c>
      <c r="EA15" s="160">
        <f>Hourly_kWh!DB15</f>
        <v>6.1980000000012581E-3</v>
      </c>
      <c r="EB15" s="160">
        <f>Hourly_kWh!DC15</f>
        <v>8.6215000000000597E-3</v>
      </c>
      <c r="EC15" s="160">
        <f>Hourly_kWh!DD15</f>
        <v>1.319499999999918E-3</v>
      </c>
      <c r="ED15" s="160">
        <f>Hourly_kWh!DE15</f>
        <v>0</v>
      </c>
      <c r="EE15" s="160">
        <f>Hourly_kWh!DF15</f>
        <v>0</v>
      </c>
      <c r="EF15" s="160">
        <f>Hourly_kWh!DG15</f>
        <v>0</v>
      </c>
      <c r="EG15" s="160">
        <f>Hourly_kWh!DH15</f>
        <v>6.060000000003285E-4</v>
      </c>
      <c r="EH15" s="160">
        <f>Hourly_kWh!DI15</f>
        <v>0.2298879999999599</v>
      </c>
      <c r="EI15" s="160">
        <f>Hourly_kWh!DJ15</f>
        <v>0</v>
      </c>
      <c r="EJ15" s="160">
        <f>Hourly_kWh!DK15</f>
        <v>2.7480000000004168E-3</v>
      </c>
      <c r="EK15" s="160">
        <f>Hourly_kWh!DL15</f>
        <v>1.0854218749999922E-3</v>
      </c>
      <c r="EL15" s="160">
        <f>Hourly_kWh!DM15</f>
        <v>1.8250000000001876E-3</v>
      </c>
      <c r="EM15" s="160">
        <f>Hourly_kWh!DN15</f>
        <v>0</v>
      </c>
      <c r="EN15" s="160">
        <f>Hourly_kWh!DO15</f>
        <v>7.5039999999830798E-3</v>
      </c>
      <c r="EO15" s="160">
        <f>Hourly_kWh!DP15</f>
        <v>2.8185000000000571E-3</v>
      </c>
      <c r="EP15" s="160">
        <f>Hourly_kWh!DQ15</f>
        <v>0</v>
      </c>
      <c r="EQ15" s="160">
        <f>Hourly_kWh!DR15</f>
        <v>0</v>
      </c>
      <c r="ER15" s="160">
        <f>Hourly_kWh!DS15</f>
        <v>8.5759999999993397E-2</v>
      </c>
      <c r="ES15" s="160">
        <f>Hourly_kWh!DT15</f>
        <v>1.7743000000000286E-2</v>
      </c>
      <c r="ET15" s="160">
        <f>Hourly_kWh!DU15</f>
        <v>0</v>
      </c>
      <c r="EU15" s="160">
        <f>Hourly_kWh!DV15</f>
        <v>2.9225000000021595E-4</v>
      </c>
      <c r="EV15" s="160">
        <f>Hourly_kWh!DW15</f>
        <v>0</v>
      </c>
      <c r="EW15" s="160">
        <f>Hourly_kWh!DX15</f>
        <v>3.543000000000518E-3</v>
      </c>
      <c r="EX15" s="160">
        <f>Hourly_kWh!DY15</f>
        <v>2.278749999999885E-4</v>
      </c>
      <c r="EY15" s="160">
        <f>Hourly_kWh!DZ15</f>
        <v>4.6420000000004791E-3</v>
      </c>
      <c r="EZ15" s="160">
        <f>Hourly_kWh!EA15</f>
        <v>0</v>
      </c>
      <c r="FA15" s="160">
        <f>Hourly_kWh!EB15</f>
        <v>6.9296000000008462E-2</v>
      </c>
      <c r="FB15" s="160">
        <f>Hourly_kWh!EC15</f>
        <v>3.2671999999990931E-2</v>
      </c>
      <c r="FC15" s="160">
        <f>Hourly_kWh!ED15</f>
        <v>2.572500000002087E-4</v>
      </c>
      <c r="FD15" s="160">
        <f>Hourly_kWh!EE15</f>
        <v>7.9374999999997087E-3</v>
      </c>
      <c r="FE15" s="160">
        <f>Hourly_kWh!EF15</f>
        <v>0.54456399999889982</v>
      </c>
      <c r="FF15" s="160">
        <f>Hourly_kWh!EG15</f>
        <v>0</v>
      </c>
      <c r="FG15" s="160">
        <f>Hourly_kWh!EH15</f>
        <v>3.9616000000023632E-2</v>
      </c>
      <c r="FH15" s="160">
        <f>Hourly_kWh!EI15</f>
        <v>2.8991999999902873E-2</v>
      </c>
      <c r="FI15" s="160">
        <f>Hourly_kWh!EJ15</f>
        <v>2.3039999999809879E-3</v>
      </c>
      <c r="FJ15" s="160">
        <f>Hourly_kWh!EK15</f>
        <v>0</v>
      </c>
      <c r="FK15" s="160">
        <f>Hourly_kWh!EL15</f>
        <v>0.16319999999996071</v>
      </c>
      <c r="FL15" s="160">
        <f>Hourly_kWh!EM15</f>
        <v>0.17510400000037407</v>
      </c>
      <c r="FM15" s="160">
        <f>Hourly_kWh!EN15</f>
        <v>0</v>
      </c>
      <c r="FN15" s="160">
        <f>Hourly_kWh!EO15</f>
        <v>7.6799999999366264E-4</v>
      </c>
      <c r="FO15" s="160">
        <f>Hourly_kWh!EP15</f>
        <v>0</v>
      </c>
      <c r="FP15" s="160">
        <f>Hourly_kWh!ER15</f>
        <v>0.13145000000001517</v>
      </c>
      <c r="FQ15" s="160">
        <f>Hourly_kWh!EQ15</f>
        <v>0</v>
      </c>
      <c r="FR15" s="160">
        <f>Hourly_kWh!M15</f>
        <v>0</v>
      </c>
      <c r="FS15" s="160">
        <f>Hourly_kWh!G15</f>
        <v>0</v>
      </c>
      <c r="FT15" s="160">
        <f>Hourly_kWh!C15</f>
        <v>0</v>
      </c>
      <c r="FU15" s="160">
        <f>Hourly_kWh!D15</f>
        <v>0.25638900000001286</v>
      </c>
      <c r="FV15" s="160">
        <f>Hourly_kWh!E15</f>
        <v>0.19702799999998888</v>
      </c>
      <c r="FW15" s="160">
        <f>Hourly_kWh!F15</f>
        <v>0.24537400000002663</v>
      </c>
      <c r="FX15" s="160">
        <f>Hourly_kWh!Q15</f>
        <v>0</v>
      </c>
      <c r="FY15" s="160">
        <f>Hourly_kWh!R15</f>
        <v>0.25804799999968964</v>
      </c>
      <c r="FZ15" s="160">
        <f>Hourly_kWh!S15</f>
        <v>0.21657600000071398</v>
      </c>
      <c r="GA15" s="160">
        <f>Hourly_kWh!T15</f>
        <v>0.23756800000046496</v>
      </c>
      <c r="GB15" s="160">
        <f t="shared" si="0"/>
        <v>1.3677519999999785</v>
      </c>
      <c r="GC15" s="160">
        <f t="shared" si="1"/>
        <v>1.2617159999988417</v>
      </c>
      <c r="GD15" s="160">
        <f t="shared" si="2"/>
        <v>0.10603600000113689</v>
      </c>
      <c r="GE15" s="159">
        <f t="shared" si="3"/>
        <v>7.7525750283047326E-2</v>
      </c>
    </row>
    <row r="16" spans="2:187" s="150" customFormat="1" ht="32.25" customHeight="1" x14ac:dyDescent="0.25">
      <c r="B16" s="149" t="s">
        <v>673</v>
      </c>
      <c r="C16" s="160">
        <f>Hourly_kWh!H16</f>
        <v>0</v>
      </c>
      <c r="D16" s="160">
        <f>Hourly_kWh!I16</f>
        <v>0</v>
      </c>
      <c r="E16" s="160">
        <f>Hourly_kWh!J16</f>
        <v>0</v>
      </c>
      <c r="F16" s="160">
        <f>Hourly_kWh!K16</f>
        <v>0</v>
      </c>
      <c r="G16" s="160">
        <f>Hourly_kWh!L16</f>
        <v>0</v>
      </c>
      <c r="H16" s="160">
        <f>Hourly_kWh!U16</f>
        <v>2.4824000000009505E-2</v>
      </c>
      <c r="I16" s="160">
        <f>Hourly_kWh!P16</f>
        <v>9.7099999999983311E-4</v>
      </c>
      <c r="J16" s="160">
        <f>Hourly_kWh!N16</f>
        <v>1.9721999999887885E-2</v>
      </c>
      <c r="K16" s="160">
        <f>Hourly_kWh!O16</f>
        <v>2.1794999999997344E-2</v>
      </c>
      <c r="L16" s="160">
        <f>Hourly_kWh!B16*0.001</f>
        <v>1.23075</v>
      </c>
      <c r="M16" s="160">
        <f>Hourly_kWh!AR16</f>
        <v>0.20512000000007902</v>
      </c>
      <c r="N16" s="160">
        <f>Hourly_kWh!BM16</f>
        <v>6.5152000000011867E-2</v>
      </c>
      <c r="O16" s="160">
        <f>Hourly_kWh!CM16</f>
        <v>0.20006400000011126</v>
      </c>
      <c r="P16" s="160">
        <f>Hourly_kWh!DI16</f>
        <v>0.21727999999995973</v>
      </c>
      <c r="Q16" s="160">
        <f>Hourly_kWh!EF16</f>
        <v>0.51908600000024308</v>
      </c>
      <c r="R16" s="119">
        <f>SUM('Zone wise Meter data'!O14:AF14)</f>
        <v>4.4125375000002798E-2</v>
      </c>
      <c r="S16" s="115">
        <f>SUM('Zone wise Meter data'!AG14:AW14)</f>
        <v>0.11100603124999214</v>
      </c>
      <c r="T16" s="115">
        <f>SUM('Zone wise Meter data'!AX14:BA14)</f>
        <v>6.389900000008808E-2</v>
      </c>
      <c r="U16" s="115">
        <f>SUM('Zone wise Meter data'!BB14:BC14)</f>
        <v>0.13673600000004171</v>
      </c>
      <c r="V16" s="115">
        <f>SUM('Zone wise Meter data'!BD14:BL14)</f>
        <v>0.50949599999968065</v>
      </c>
      <c r="W16" s="115">
        <f>SUM('Zone wise Meter data'!BM14:BX14)</f>
        <v>2.0687500000007297E-3</v>
      </c>
      <c r="X16" s="115">
        <f>SUM('Zone wise Meter data'!BY14:CE14)</f>
        <v>2.3893749999996938E-3</v>
      </c>
      <c r="Y16" s="115">
        <f>SUM('Zone wise Meter data'!CF14:CK14)</f>
        <v>7.5497937500004331E-2</v>
      </c>
      <c r="Z16" s="115">
        <f>SUM('Zone wise Meter data'!CL14:CO14)</f>
        <v>9.793599999997582E-2</v>
      </c>
      <c r="AA16" s="115">
        <f>SUM('Zone wise Meter data'!CP14:DD14)</f>
        <v>1.8429875000018803E-2</v>
      </c>
      <c r="AB16" s="115">
        <f>SUM('Zone wise Meter data'!DE14:DN14)</f>
        <v>9.5948046874979181E-3</v>
      </c>
      <c r="AC16" s="115">
        <f>SUM('Zone wise Meter data'!DO14:ED14)</f>
        <v>0</v>
      </c>
      <c r="AD16" s="160">
        <f>Hourly_kWh!AW16</f>
        <v>5.5295999999998457E-2</v>
      </c>
      <c r="AE16" s="160">
        <f>Hourly_kWh!DS16</f>
        <v>8.1440000000043256E-2</v>
      </c>
      <c r="AF16" s="160">
        <f>Hourly_kWh!EL16</f>
        <v>0.15782399999989138</v>
      </c>
      <c r="AG16" s="160">
        <f>Hourly_kWh!EK16</f>
        <v>0</v>
      </c>
      <c r="AH16" s="160">
        <f>Hourly_kWh!EN16</f>
        <v>0</v>
      </c>
      <c r="AI16" s="160">
        <f>Hourly_kWh!EO16</f>
        <v>7.6799999999366264E-4</v>
      </c>
      <c r="AJ16" s="160">
        <f>Hourly_kWh!EM16</f>
        <v>0.16614399999980378</v>
      </c>
      <c r="AK16" s="160">
        <f>Hourly_kWh!ER16</f>
        <v>0.12645799999999952</v>
      </c>
      <c r="AL16" s="160">
        <f>Hourly_kWh!EI16</f>
        <v>2.7647999999999229E-2</v>
      </c>
      <c r="AM16" s="160">
        <f>Hourly_kWh!EJ16+Hourly_kWh!AS16</f>
        <v>5.6590000000191765E-3</v>
      </c>
      <c r="AN16" s="160">
        <f>Hourly_kWh!CX16+Hourly_kWh!CY16+Hourly_kWh!DC16+Hourly_kWh!DD16</f>
        <v>1.0254374999999705E-2</v>
      </c>
      <c r="AO16" s="160">
        <f>SUM(Hourly_kWh!AI16:AQ16)</f>
        <v>7.8995031249995018E-2</v>
      </c>
      <c r="AP16" s="160">
        <f>SUM(Hourly_kWh!V16:AG16)</f>
        <v>3.6383999999998196E-2</v>
      </c>
      <c r="AQ16" s="160">
        <f>Hourly_kWh!DB16</f>
        <v>6.1979999999994817E-3</v>
      </c>
      <c r="AR16" s="160">
        <f>Hourly_kWh!CO16</f>
        <v>4.052799999999479E-2</v>
      </c>
      <c r="AS16" s="160">
        <f>Hourly_kWh!BJ16</f>
        <v>0</v>
      </c>
      <c r="AT16" s="160">
        <f>Hourly_kWh!U16</f>
        <v>2.4824000000009505E-2</v>
      </c>
      <c r="AU16" s="160">
        <f>Hourly_kWh!V16</f>
        <v>5.4839999999991562E-3</v>
      </c>
      <c r="AV16" s="160">
        <f>Hourly_kWh!W16</f>
        <v>5.4199999999990922E-3</v>
      </c>
      <c r="AW16" s="160">
        <f>Hourly_kWh!X16</f>
        <v>4.1779999999995709E-3</v>
      </c>
      <c r="AX16" s="160">
        <f>Hourly_kWh!Y16</f>
        <v>0</v>
      </c>
      <c r="AY16" s="160">
        <f>Hourly_kWh!Z16</f>
        <v>9.8299999999973409E-4</v>
      </c>
      <c r="AZ16" s="160">
        <f>Hourly_kWh!AA16</f>
        <v>5.9819999999994877E-3</v>
      </c>
      <c r="BA16" s="160">
        <f>Hourly_kWh!AB16</f>
        <v>6.6640000000006694E-3</v>
      </c>
      <c r="BB16" s="160">
        <f>Hourly_kWh!AC16</f>
        <v>1.4199999999995327E-3</v>
      </c>
      <c r="BC16" s="160">
        <f>Hourly_kWh!AD16</f>
        <v>2.5710000000014332E-3</v>
      </c>
      <c r="BD16" s="160">
        <f>Hourly_kWh!AE16</f>
        <v>3.2480000000001397E-3</v>
      </c>
      <c r="BE16" s="160">
        <f>Hourly_kWh!AF16</f>
        <v>0</v>
      </c>
      <c r="BF16" s="160">
        <f>Hourly_kWh!AG16</f>
        <v>4.3399999999937933E-4</v>
      </c>
      <c r="BG16" s="160">
        <f>Hourly_kWh!AH16</f>
        <v>8.6911999999983891E-2</v>
      </c>
      <c r="BH16" s="160">
        <f>Hourly_kWh!AI16</f>
        <v>0</v>
      </c>
      <c r="BI16" s="160">
        <f>Hourly_kWh!AJ16</f>
        <v>2.5195000000000078E-3</v>
      </c>
      <c r="BJ16" s="160">
        <f>Hourly_kWh!AK16</f>
        <v>0</v>
      </c>
      <c r="BK16" s="160">
        <f>Hourly_kWh!AL16</f>
        <v>1.5739531249999994E-2</v>
      </c>
      <c r="BL16" s="160">
        <f>Hourly_kWh!AM16</f>
        <v>2.0615999999989754E-2</v>
      </c>
      <c r="BM16" s="160">
        <f>Hourly_kWh!AN16</f>
        <v>1.6152000000005273E-2</v>
      </c>
      <c r="BN16" s="160">
        <f>Hourly_kWh!AO16</f>
        <v>6.6119999999969536E-3</v>
      </c>
      <c r="BO16" s="160">
        <f>Hourly_kWh!AP16</f>
        <v>3.7640000000003226E-3</v>
      </c>
      <c r="BP16" s="160">
        <f>Hourly_kWh!AQ16</f>
        <v>1.3592000000002713E-2</v>
      </c>
      <c r="BQ16" s="160">
        <f>Hourly_kWh!AR16</f>
        <v>0.20512000000007902</v>
      </c>
      <c r="BR16" s="160">
        <f>Hourly_kWh!AS16</f>
        <v>3.4829999999992367E-3</v>
      </c>
      <c r="BS16" s="160">
        <f>Hourly_kWh!AT16</f>
        <v>0</v>
      </c>
      <c r="BT16" s="160">
        <f>Hourly_kWh!AU16</f>
        <v>2.3279999999985534E-3</v>
      </c>
      <c r="BU16" s="160">
        <f>Hourly_kWh!AV16</f>
        <v>1.0419999999999874E-3</v>
      </c>
      <c r="BV16" s="160">
        <f>Hourly_kWh!AW16</f>
        <v>5.5295999999998457E-2</v>
      </c>
      <c r="BW16" s="160">
        <f>Hourly_kWh!AX16</f>
        <v>0</v>
      </c>
      <c r="BX16" s="160">
        <f>Hourly_kWh!AY16</f>
        <v>2.4189999999997269E-3</v>
      </c>
      <c r="BY16" s="160">
        <f>Hourly_kWh!AZ16</f>
        <v>0</v>
      </c>
      <c r="BZ16" s="160">
        <f>Hourly_kWh!BA16</f>
        <v>0</v>
      </c>
      <c r="CA16" s="160">
        <f>Hourly_kWh!BB16</f>
        <v>0</v>
      </c>
      <c r="CB16" s="160">
        <f>Hourly_kWh!BC16</f>
        <v>0</v>
      </c>
      <c r="CC16" s="160">
        <f>Hourly_kWh!BD16</f>
        <v>9.9757812500003706E-5</v>
      </c>
      <c r="CD16" s="160">
        <f>Hourly_kWh!BE16</f>
        <v>5.6280000000015207E-3</v>
      </c>
      <c r="CE16" s="160">
        <f>Hourly_kWh!BF16</f>
        <v>0</v>
      </c>
      <c r="CF16" s="160">
        <f>Hourly_kWh!BG16</f>
        <v>4.3099999999895999E-4</v>
      </c>
      <c r="CG16" s="160">
        <f>Hourly_kWh!BH16</f>
        <v>0</v>
      </c>
      <c r="CH16" s="160">
        <f>Hourly_kWh!BI16</f>
        <v>0.11996799999997165</v>
      </c>
      <c r="CI16" s="160">
        <f>Hourly_kWh!BJ16</f>
        <v>0</v>
      </c>
      <c r="CJ16" s="160">
        <f>Hourly_kWh!BK16</f>
        <v>1.5404999999999447E-3</v>
      </c>
      <c r="CK16" s="160">
        <f>Hourly_kWh!BL16</f>
        <v>0</v>
      </c>
      <c r="CL16" s="160">
        <f>Hourly_kWh!BM16</f>
        <v>6.5152000000011867E-2</v>
      </c>
      <c r="CM16" s="160">
        <f>Hourly_kWh!BN16</f>
        <v>0</v>
      </c>
      <c r="CN16" s="160">
        <f>Hourly_kWh!BO16</f>
        <v>1.5800000000005809E-3</v>
      </c>
      <c r="CO16" s="160">
        <f>Hourly_kWh!BP16</f>
        <v>0</v>
      </c>
      <c r="CP16" s="160">
        <f>Hourly_kWh!BQ16</f>
        <v>0</v>
      </c>
      <c r="CQ16" s="160">
        <f>Hourly_kWh!BR16</f>
        <v>0</v>
      </c>
      <c r="CR16" s="160">
        <f>Hourly_kWh!BS16</f>
        <v>0</v>
      </c>
      <c r="CS16" s="160">
        <f>Hourly_kWh!BT16</f>
        <v>1.1955999999997857E-2</v>
      </c>
      <c r="CT16" s="160">
        <f>Hourly_kWh!BU16</f>
        <v>0</v>
      </c>
      <c r="CU16" s="160">
        <f>Hourly_kWh!BV16</f>
        <v>0</v>
      </c>
      <c r="CV16" s="160">
        <f>Hourly_kWh!BW16</f>
        <v>0</v>
      </c>
      <c r="CW16" s="160">
        <f>Hourly_kWh!BX16</f>
        <v>0</v>
      </c>
      <c r="CX16" s="160">
        <f>Hourly_kWh!BY16</f>
        <v>0</v>
      </c>
      <c r="CY16" s="160">
        <f>Hourly_kWh!BZ16</f>
        <v>3.2176000000006866E-2</v>
      </c>
      <c r="CZ16" s="160">
        <f>Hourly_kWh!CA16</f>
        <v>1.2817437499999973E-2</v>
      </c>
      <c r="DA16" s="160">
        <f>Hourly_kWh!CB16</f>
        <v>0</v>
      </c>
      <c r="DB16" s="160">
        <f>Hourly_kWh!CC16</f>
        <v>0</v>
      </c>
      <c r="DC16" s="160">
        <f>Hourly_kWh!CD16</f>
        <v>0</v>
      </c>
      <c r="DD16" s="160">
        <f>Hourly_kWh!CE16</f>
        <v>0</v>
      </c>
      <c r="DE16" s="160">
        <f>Hourly_kWh!CF16</f>
        <v>1.9790000000003971E-3</v>
      </c>
      <c r="DF16" s="160">
        <f>Hourly_kWh!CG16</f>
        <v>0</v>
      </c>
      <c r="DG16" s="160">
        <f>Hourly_kWh!CH16</f>
        <v>1.0499999999997733E-3</v>
      </c>
      <c r="DH16" s="160">
        <f>Hourly_kWh!CI16</f>
        <v>0</v>
      </c>
      <c r="DI16" s="160">
        <f>Hourly_kWh!CJ16</f>
        <v>0</v>
      </c>
      <c r="DJ16" s="160">
        <f>Hourly_kWh!CK16</f>
        <v>0</v>
      </c>
      <c r="DK16" s="160">
        <f>Hourly_kWh!CL16</f>
        <v>2.6940000000017505E-3</v>
      </c>
      <c r="DL16" s="160">
        <f>Hourly_kWh!CM16</f>
        <v>0.20006400000011126</v>
      </c>
      <c r="DM16" s="160">
        <f>Hourly_kWh!CN16</f>
        <v>2.1609999999991913E-3</v>
      </c>
      <c r="DN16" s="160">
        <f>Hourly_kWh!CO16</f>
        <v>4.052799999999479E-2</v>
      </c>
      <c r="DO16" s="160">
        <f>Hourly_kWh!CP16</f>
        <v>0</v>
      </c>
      <c r="DP16" s="160">
        <f>Hourly_kWh!CQ16</f>
        <v>0</v>
      </c>
      <c r="DQ16" s="160">
        <f>Hourly_kWh!CR16</f>
        <v>9.2959999999990828E-3</v>
      </c>
      <c r="DR16" s="160">
        <f>Hourly_kWh!CS16</f>
        <v>0</v>
      </c>
      <c r="DS16" s="160">
        <f>Hourly_kWh!CT16</f>
        <v>2.1600000000887576E-4</v>
      </c>
      <c r="DT16" s="160">
        <f>Hourly_kWh!CU16</f>
        <v>0</v>
      </c>
      <c r="DU16" s="160">
        <f>Hourly_kWh!CV16</f>
        <v>1.3393749999999205E-3</v>
      </c>
      <c r="DV16" s="160">
        <f>Hourly_kWh!CW16</f>
        <v>0</v>
      </c>
      <c r="DW16" s="160">
        <f>Hourly_kWh!CX16</f>
        <v>0</v>
      </c>
      <c r="DX16" s="160">
        <f>Hourly_kWh!CY16</f>
        <v>7.0399999999981588E-4</v>
      </c>
      <c r="DY16" s="160">
        <f>Hourly_kWh!CZ16</f>
        <v>4.8875000000014879E-4</v>
      </c>
      <c r="DZ16" s="160">
        <f>Hourly_kWh!DA16</f>
        <v>1.1575999999998032E-2</v>
      </c>
      <c r="EA16" s="160">
        <f>Hourly_kWh!DB16</f>
        <v>6.1979999999994817E-3</v>
      </c>
      <c r="EB16" s="160">
        <f>Hourly_kWh!DC16</f>
        <v>8.3029999999999493E-3</v>
      </c>
      <c r="EC16" s="160">
        <f>Hourly_kWh!DD16</f>
        <v>1.2473749999999395E-3</v>
      </c>
      <c r="ED16" s="160">
        <f>Hourly_kWh!DE16</f>
        <v>0</v>
      </c>
      <c r="EE16" s="160">
        <f>Hourly_kWh!DF16</f>
        <v>0</v>
      </c>
      <c r="EF16" s="160">
        <f>Hourly_kWh!DG16</f>
        <v>0</v>
      </c>
      <c r="EG16" s="160">
        <f>Hourly_kWh!DH16</f>
        <v>6.975000000002396E-4</v>
      </c>
      <c r="EH16" s="160">
        <f>Hourly_kWh!DI16</f>
        <v>0.21727999999995973</v>
      </c>
      <c r="EI16" s="160">
        <f>Hourly_kWh!DJ16</f>
        <v>0</v>
      </c>
      <c r="EJ16" s="160">
        <f>Hourly_kWh!DK16</f>
        <v>2.7860000000003993E-3</v>
      </c>
      <c r="EK16" s="160">
        <f>Hourly_kWh!DL16</f>
        <v>1.0970468750000073E-3</v>
      </c>
      <c r="EL16" s="160">
        <f>Hourly_kWh!DM16</f>
        <v>1.811000000000007E-3</v>
      </c>
      <c r="EM16" s="160">
        <f>Hourly_kWh!DN16</f>
        <v>0</v>
      </c>
      <c r="EN16" s="160">
        <f>Hourly_kWh!DO16</f>
        <v>6.5920000000119217E-3</v>
      </c>
      <c r="EO16" s="160">
        <f>Hourly_kWh!DP16</f>
        <v>2.7694999999994252E-3</v>
      </c>
      <c r="EP16" s="160">
        <f>Hourly_kWh!DQ16</f>
        <v>0</v>
      </c>
      <c r="EQ16" s="160">
        <f>Hourly_kWh!DR16</f>
        <v>0</v>
      </c>
      <c r="ER16" s="160">
        <f>Hourly_kWh!DS16</f>
        <v>8.1440000000043256E-2</v>
      </c>
      <c r="ES16" s="160">
        <f>Hourly_kWh!DT16</f>
        <v>1.6569499999999238E-2</v>
      </c>
      <c r="ET16" s="160">
        <f>Hourly_kWh!DU16</f>
        <v>0</v>
      </c>
      <c r="EU16" s="160">
        <f>Hourly_kWh!DV16</f>
        <v>2.9299999999965465E-4</v>
      </c>
      <c r="EV16" s="160">
        <f>Hourly_kWh!DW16</f>
        <v>0</v>
      </c>
      <c r="EW16" s="160">
        <f>Hourly_kWh!DX16</f>
        <v>3.543000000000518E-3</v>
      </c>
      <c r="EX16" s="160">
        <f>Hourly_kWh!DY16</f>
        <v>2.2787500000009953E-4</v>
      </c>
      <c r="EY16" s="160">
        <f>Hourly_kWh!DZ16</f>
        <v>4.5259999999984757E-3</v>
      </c>
      <c r="EZ16" s="160">
        <f>Hourly_kWh!EA16</f>
        <v>0</v>
      </c>
      <c r="FA16" s="160">
        <f>Hourly_kWh!EB16</f>
        <v>6.6335999999978412E-2</v>
      </c>
      <c r="FB16" s="160">
        <f>Hourly_kWh!EC16</f>
        <v>3.1599999999997408E-2</v>
      </c>
      <c r="FC16" s="160">
        <f>Hourly_kWh!ED16</f>
        <v>2.6249999999983231E-4</v>
      </c>
      <c r="FD16" s="160">
        <f>Hourly_kWh!EE16</f>
        <v>5.062000000000566E-3</v>
      </c>
      <c r="FE16" s="160">
        <f>Hourly_kWh!EF16</f>
        <v>0.51908600000024308</v>
      </c>
      <c r="FF16" s="160">
        <f>Hourly_kWh!EG16</f>
        <v>0</v>
      </c>
      <c r="FG16" s="160">
        <f>Hourly_kWh!EH16</f>
        <v>3.0592000000069675E-2</v>
      </c>
      <c r="FH16" s="160">
        <f>Hourly_kWh!EI16</f>
        <v>2.7647999999999229E-2</v>
      </c>
      <c r="FI16" s="160">
        <f>Hourly_kWh!EJ16</f>
        <v>2.1760000000199398E-3</v>
      </c>
      <c r="FJ16" s="160">
        <f>Hourly_kWh!EK16</f>
        <v>0</v>
      </c>
      <c r="FK16" s="160">
        <f>Hourly_kWh!EL16</f>
        <v>0.15782399999989138</v>
      </c>
      <c r="FL16" s="160">
        <f>Hourly_kWh!EM16</f>
        <v>0.16614399999980378</v>
      </c>
      <c r="FM16" s="160">
        <f>Hourly_kWh!EN16</f>
        <v>0</v>
      </c>
      <c r="FN16" s="160">
        <f>Hourly_kWh!EO16</f>
        <v>7.6799999999366264E-4</v>
      </c>
      <c r="FO16" s="160">
        <f>Hourly_kWh!EP16</f>
        <v>0</v>
      </c>
      <c r="FP16" s="160">
        <f>Hourly_kWh!ER16</f>
        <v>0.12645799999999952</v>
      </c>
      <c r="FQ16" s="160">
        <f>Hourly_kWh!EQ16</f>
        <v>0</v>
      </c>
      <c r="FR16" s="160">
        <f>Hourly_kWh!M16</f>
        <v>0</v>
      </c>
      <c r="FS16" s="160">
        <f>Hourly_kWh!G16</f>
        <v>0</v>
      </c>
      <c r="FT16" s="160">
        <f>Hourly_kWh!C16</f>
        <v>0</v>
      </c>
      <c r="FU16" s="160">
        <f>Hourly_kWh!D16</f>
        <v>0.43917099999998754</v>
      </c>
      <c r="FV16" s="160">
        <f>Hourly_kWh!E16</f>
        <v>0.37081699999998818</v>
      </c>
      <c r="FW16" s="160">
        <f>Hourly_kWh!F16</f>
        <v>0.41626500000000988</v>
      </c>
      <c r="FX16" s="160">
        <f>Hourly_kWh!Q16</f>
        <v>0</v>
      </c>
      <c r="FY16" s="160">
        <f>Hourly_kWh!R16</f>
        <v>0.43212800000037532</v>
      </c>
      <c r="FZ16" s="160">
        <f>Hourly_kWh!S16</f>
        <v>0.36454399999911402</v>
      </c>
      <c r="GA16" s="160">
        <f>Hourly_kWh!T16</f>
        <v>0.40345600000000559</v>
      </c>
      <c r="GB16" s="160">
        <f t="shared" si="0"/>
        <v>1.2980619999998946</v>
      </c>
      <c r="GC16" s="160">
        <f t="shared" si="1"/>
        <v>1.206702000000405</v>
      </c>
      <c r="GD16" s="160">
        <f t="shared" si="2"/>
        <v>9.1359999999489627E-2</v>
      </c>
      <c r="GE16" s="159">
        <f t="shared" si="3"/>
        <v>7.0381846167206996E-2</v>
      </c>
    </row>
    <row r="17" spans="2:187" s="150" customFormat="1" ht="32.25" customHeight="1" x14ac:dyDescent="0.25">
      <c r="B17" s="149" t="s">
        <v>674</v>
      </c>
      <c r="C17" s="160">
        <f>Hourly_kWh!H17</f>
        <v>0</v>
      </c>
      <c r="D17" s="160">
        <f>Hourly_kWh!I17</f>
        <v>0</v>
      </c>
      <c r="E17" s="160">
        <f>Hourly_kWh!J17</f>
        <v>0</v>
      </c>
      <c r="F17" s="160">
        <f>Hourly_kWh!K17</f>
        <v>0</v>
      </c>
      <c r="G17" s="160">
        <f>Hourly_kWh!L17</f>
        <v>0</v>
      </c>
      <c r="H17" s="160">
        <f>Hourly_kWh!U17</f>
        <v>2.3431999999999675E-2</v>
      </c>
      <c r="I17" s="160">
        <f>Hourly_kWh!P17</f>
        <v>3.7999999996429779E-5</v>
      </c>
      <c r="J17" s="160">
        <f>Hourly_kWh!N17</f>
        <v>2.1200000001044828E-3</v>
      </c>
      <c r="K17" s="160">
        <f>Hourly_kWh!O17</f>
        <v>2.6450000000295404E-3</v>
      </c>
      <c r="L17" s="160">
        <f>Hourly_kWh!B17*0.001</f>
        <v>1.2193750000000001</v>
      </c>
      <c r="M17" s="160">
        <f>Hourly_kWh!AR17</f>
        <v>0.21868799999992916</v>
      </c>
      <c r="N17" s="160">
        <f>Hourly_kWh!BM17</f>
        <v>6.592000000000553E-2</v>
      </c>
      <c r="O17" s="160">
        <f>Hourly_kWh!CM17</f>
        <v>0.19251199999985147</v>
      </c>
      <c r="P17" s="160">
        <f>Hourly_kWh!DI17</f>
        <v>0.2237440000000106</v>
      </c>
      <c r="Q17" s="160">
        <f>Hourly_kWh!EF17</f>
        <v>0.45907100000113132</v>
      </c>
      <c r="R17" s="119">
        <f>SUM('Zone wise Meter data'!O15:AF15)</f>
        <v>4.7025000000000317E-2</v>
      </c>
      <c r="S17" s="115">
        <f>SUM('Zone wise Meter data'!AG15:AW15)</f>
        <v>0.10714549999999551</v>
      </c>
      <c r="T17" s="115">
        <f>SUM('Zone wise Meter data'!AX15:BA15)</f>
        <v>5.2453000000037164E-2</v>
      </c>
      <c r="U17" s="115">
        <f>SUM('Zone wise Meter data'!BB15:BC15)</f>
        <v>0.14959999999996398</v>
      </c>
      <c r="V17" s="115">
        <f>SUM('Zone wise Meter data'!BD15:BL15)</f>
        <v>0.46171700000033056</v>
      </c>
      <c r="W17" s="115">
        <f>SUM('Zone wise Meter data'!BM15:BX15)</f>
        <v>2.1132499999998444E-3</v>
      </c>
      <c r="X17" s="115">
        <f>SUM('Zone wise Meter data'!BY15:CE15)</f>
        <v>2.5698750000000548E-3</v>
      </c>
      <c r="Y17" s="115">
        <f>SUM('Zone wise Meter data'!CF15:CK15)</f>
        <v>7.8290750000006404E-2</v>
      </c>
      <c r="Z17" s="115">
        <f>SUM('Zone wise Meter data'!CL15:CO15)</f>
        <v>0.10304000000002134</v>
      </c>
      <c r="AA17" s="115">
        <f>SUM('Zone wise Meter data'!CP15:DD15)</f>
        <v>1.606593750001073E-2</v>
      </c>
      <c r="AB17" s="115">
        <f>SUM('Zone wise Meter data'!DE15:DN15)</f>
        <v>1.1919687500006326E-2</v>
      </c>
      <c r="AC17" s="115">
        <f>SUM('Zone wise Meter data'!DO15:ED15)</f>
        <v>0</v>
      </c>
      <c r="AD17" s="160">
        <f>Hourly_kWh!AW17</f>
        <v>6.5791999999987638E-2</v>
      </c>
      <c r="AE17" s="160">
        <f>Hourly_kWh!DS17</f>
        <v>8.3807999999976346E-2</v>
      </c>
      <c r="AF17" s="160">
        <f>Hourly_kWh!EL17</f>
        <v>0.1408000000001266</v>
      </c>
      <c r="AG17" s="160">
        <f>Hourly_kWh!EK17</f>
        <v>0</v>
      </c>
      <c r="AH17" s="160">
        <f>Hourly_kWh!EN17</f>
        <v>0</v>
      </c>
      <c r="AI17" s="160">
        <f>Hourly_kWh!EO17</f>
        <v>7.6800000010734948E-4</v>
      </c>
      <c r="AJ17" s="160">
        <f>Hourly_kWh!EM17</f>
        <v>0.15360000000009677</v>
      </c>
      <c r="AK17" s="160">
        <f>Hourly_kWh!ER17</f>
        <v>0.10812500000000114</v>
      </c>
      <c r="AL17" s="160">
        <f>Hourly_kWh!EI17</f>
        <v>2.4576000000024578E-2</v>
      </c>
      <c r="AM17" s="160">
        <f>Hourly_kWh!EJ17+Hourly_kWh!AS17</f>
        <v>6.3090000000105562E-3</v>
      </c>
      <c r="AN17" s="160">
        <f>Hourly_kWh!CX17+Hourly_kWh!CY17+Hourly_kWh!DC17+Hourly_kWh!DD17</f>
        <v>9.1069999999999762E-3</v>
      </c>
      <c r="AO17" s="160">
        <f>SUM(Hourly_kWh!AI17:AQ17)</f>
        <v>7.5952499999993706E-2</v>
      </c>
      <c r="AP17" s="160">
        <f>SUM(Hourly_kWh!V17:AG17)</f>
        <v>3.8105000000000722E-2</v>
      </c>
      <c r="AQ17" s="160">
        <f>Hourly_kWh!DB17</f>
        <v>6.1759999999999593E-3</v>
      </c>
      <c r="AR17" s="160">
        <f>Hourly_kWh!CO17</f>
        <v>4.0464000000000055E-2</v>
      </c>
      <c r="AS17" s="160">
        <f>Hourly_kWh!BJ17</f>
        <v>0</v>
      </c>
      <c r="AT17" s="160">
        <f>Hourly_kWh!U17</f>
        <v>2.3431999999999675E-2</v>
      </c>
      <c r="AU17" s="160">
        <f>Hourly_kWh!V17</f>
        <v>5.6240000000009616E-3</v>
      </c>
      <c r="AV17" s="160">
        <f>Hourly_kWh!W17</f>
        <v>5.2529999999997301E-3</v>
      </c>
      <c r="AW17" s="160">
        <f>Hourly_kWh!X17</f>
        <v>3.7730000000006925E-3</v>
      </c>
      <c r="AX17" s="160">
        <f>Hourly_kWh!Y17</f>
        <v>0</v>
      </c>
      <c r="AY17" s="160">
        <f>Hourly_kWh!Z17</f>
        <v>1.8600000000006389E-3</v>
      </c>
      <c r="AZ17" s="160">
        <f>Hourly_kWh!AA17</f>
        <v>5.5979999999991037E-3</v>
      </c>
      <c r="BA17" s="160">
        <f>Hourly_kWh!AB17</f>
        <v>5.8919999999993422E-3</v>
      </c>
      <c r="BB17" s="160">
        <f>Hourly_kWh!AC17</f>
        <v>6.7400000000006344E-4</v>
      </c>
      <c r="BC17" s="160">
        <f>Hourly_kWh!AD17</f>
        <v>3.6629999999995277E-3</v>
      </c>
      <c r="BD17" s="160">
        <f>Hourly_kWh!AE17</f>
        <v>2.8885000000000716E-3</v>
      </c>
      <c r="BE17" s="160">
        <f>Hourly_kWh!AF17</f>
        <v>0</v>
      </c>
      <c r="BF17" s="160">
        <f>Hourly_kWh!AG17</f>
        <v>2.8795000000005899E-3</v>
      </c>
      <c r="BG17" s="160">
        <f>Hourly_kWh!AH17</f>
        <v>8.1344000000001415E-2</v>
      </c>
      <c r="BH17" s="160">
        <f>Hourly_kWh!AI17</f>
        <v>0</v>
      </c>
      <c r="BI17" s="160">
        <f>Hourly_kWh!AJ17</f>
        <v>2.1040000000001058E-3</v>
      </c>
      <c r="BJ17" s="160">
        <f>Hourly_kWh!AK17</f>
        <v>0</v>
      </c>
      <c r="BK17" s="160">
        <f>Hourly_kWh!AL17</f>
        <v>1.4596499999999957E-2</v>
      </c>
      <c r="BL17" s="160">
        <f>Hourly_kWh!AM17</f>
        <v>2.0792000000000144E-2</v>
      </c>
      <c r="BM17" s="160">
        <f>Hourly_kWh!AN17</f>
        <v>1.5416000000001873E-2</v>
      </c>
      <c r="BN17" s="160">
        <f>Hourly_kWh!AO17</f>
        <v>5.2120000000002165E-3</v>
      </c>
      <c r="BO17" s="160">
        <f>Hourly_kWh!AP17</f>
        <v>3.6279999999990764E-3</v>
      </c>
      <c r="BP17" s="160">
        <f>Hourly_kWh!AQ17</f>
        <v>1.4203999999992334E-2</v>
      </c>
      <c r="BQ17" s="160">
        <f>Hourly_kWh!AR17</f>
        <v>0.21868799999992916</v>
      </c>
      <c r="BR17" s="160">
        <f>Hourly_kWh!AS17</f>
        <v>2.3730000000004026E-3</v>
      </c>
      <c r="BS17" s="160">
        <f>Hourly_kWh!AT17</f>
        <v>0</v>
      </c>
      <c r="BT17" s="160">
        <f>Hourly_kWh!AU17</f>
        <v>3.5560000000032232E-3</v>
      </c>
      <c r="BU17" s="160">
        <f>Hourly_kWh!AV17</f>
        <v>2.523000000000053E-3</v>
      </c>
      <c r="BV17" s="160">
        <f>Hourly_kWh!AW17</f>
        <v>6.5791999999987638E-2</v>
      </c>
      <c r="BW17" s="160">
        <f>Hourly_kWh!AX17</f>
        <v>0</v>
      </c>
      <c r="BX17" s="160">
        <f>Hourly_kWh!AY17</f>
        <v>3.6009999999997433E-3</v>
      </c>
      <c r="BY17" s="160">
        <f>Hourly_kWh!AZ17</f>
        <v>1.000000000139778E-6</v>
      </c>
      <c r="BZ17" s="160">
        <f>Hourly_kWh!BA17</f>
        <v>0</v>
      </c>
      <c r="CA17" s="160">
        <f>Hourly_kWh!BB17</f>
        <v>0</v>
      </c>
      <c r="CB17" s="160">
        <f>Hourly_kWh!BC17</f>
        <v>0</v>
      </c>
      <c r="CC17" s="160">
        <f>Hourly_kWh!BD17</f>
        <v>1.0476562500000286E-4</v>
      </c>
      <c r="CD17" s="160">
        <f>Hourly_kWh!BE17</f>
        <v>4.7840000000007876E-3</v>
      </c>
      <c r="CE17" s="160">
        <f>Hourly_kWh!BF17</f>
        <v>0</v>
      </c>
      <c r="CF17" s="160">
        <f>Hourly_kWh!BG17</f>
        <v>4.3900000000007822E-4</v>
      </c>
      <c r="CG17" s="160">
        <f>Hourly_kWh!BH17</f>
        <v>0</v>
      </c>
      <c r="CH17" s="160">
        <f>Hourly_kWh!BI17</f>
        <v>0.11808000000002039</v>
      </c>
      <c r="CI17" s="160">
        <f>Hourly_kWh!BJ17</f>
        <v>0</v>
      </c>
      <c r="CJ17" s="160">
        <f>Hourly_kWh!BK17</f>
        <v>4.2274999999998286E-3</v>
      </c>
      <c r="CK17" s="160">
        <f>Hourly_kWh!BL17</f>
        <v>0</v>
      </c>
      <c r="CL17" s="160">
        <f>Hourly_kWh!BM17</f>
        <v>6.592000000000553E-2</v>
      </c>
      <c r="CM17" s="160">
        <f>Hourly_kWh!BN17</f>
        <v>0</v>
      </c>
      <c r="CN17" s="160">
        <f>Hourly_kWh!BO17</f>
        <v>1.6140000000000043E-3</v>
      </c>
      <c r="CO17" s="160">
        <f>Hourly_kWh!BP17</f>
        <v>0</v>
      </c>
      <c r="CP17" s="160">
        <f>Hourly_kWh!BQ17</f>
        <v>0</v>
      </c>
      <c r="CQ17" s="160">
        <f>Hourly_kWh!BR17</f>
        <v>0</v>
      </c>
      <c r="CR17" s="160">
        <f>Hourly_kWh!BS17</f>
        <v>0</v>
      </c>
      <c r="CS17" s="160">
        <f>Hourly_kWh!BT17</f>
        <v>1.1791999999999803E-2</v>
      </c>
      <c r="CT17" s="160">
        <f>Hourly_kWh!BU17</f>
        <v>0</v>
      </c>
      <c r="CU17" s="160">
        <f>Hourly_kWh!BV17</f>
        <v>0</v>
      </c>
      <c r="CV17" s="160">
        <f>Hourly_kWh!BW17</f>
        <v>0</v>
      </c>
      <c r="CW17" s="160">
        <f>Hourly_kWh!BX17</f>
        <v>0</v>
      </c>
      <c r="CX17" s="160">
        <f>Hourly_kWh!BY17</f>
        <v>0</v>
      </c>
      <c r="CY17" s="160">
        <f>Hourly_kWh!BZ17</f>
        <v>3.4608000000005745E-2</v>
      </c>
      <c r="CZ17" s="160">
        <f>Hourly_kWh!CA17</f>
        <v>1.2872749999999988E-2</v>
      </c>
      <c r="DA17" s="160">
        <f>Hourly_kWh!CB17</f>
        <v>0</v>
      </c>
      <c r="DB17" s="160">
        <f>Hourly_kWh!CC17</f>
        <v>0</v>
      </c>
      <c r="DC17" s="160">
        <f>Hourly_kWh!CD17</f>
        <v>0</v>
      </c>
      <c r="DD17" s="160">
        <f>Hourly_kWh!CE17</f>
        <v>0</v>
      </c>
      <c r="DE17" s="160">
        <f>Hourly_kWh!CF17</f>
        <v>1.2600000000002609E-3</v>
      </c>
      <c r="DF17" s="160">
        <f>Hourly_kWh!CG17</f>
        <v>0</v>
      </c>
      <c r="DG17" s="160">
        <f>Hourly_kWh!CH17</f>
        <v>1.4382500000000853E-3</v>
      </c>
      <c r="DH17" s="160">
        <f>Hourly_kWh!CI17</f>
        <v>0</v>
      </c>
      <c r="DI17" s="160">
        <f>Hourly_kWh!CJ17</f>
        <v>0</v>
      </c>
      <c r="DJ17" s="160">
        <f>Hourly_kWh!CK17</f>
        <v>0</v>
      </c>
      <c r="DK17" s="160">
        <f>Hourly_kWh!CL17</f>
        <v>2.4639999999997997E-3</v>
      </c>
      <c r="DL17" s="160">
        <f>Hourly_kWh!CM17</f>
        <v>0.19251199999985147</v>
      </c>
      <c r="DM17" s="160">
        <f>Hourly_kWh!CN17</f>
        <v>2.2890000000010957E-3</v>
      </c>
      <c r="DN17" s="160">
        <f>Hourly_kWh!CO17</f>
        <v>4.0464000000000055E-2</v>
      </c>
      <c r="DO17" s="160">
        <f>Hourly_kWh!CP17</f>
        <v>0</v>
      </c>
      <c r="DP17" s="160">
        <f>Hourly_kWh!CQ17</f>
        <v>0</v>
      </c>
      <c r="DQ17" s="160">
        <f>Hourly_kWh!CR17</f>
        <v>8.0830000000009505E-3</v>
      </c>
      <c r="DR17" s="160">
        <f>Hourly_kWh!CS17</f>
        <v>0</v>
      </c>
      <c r="DS17" s="160">
        <f>Hourly_kWh!CT17</f>
        <v>1.5199999999992997E-4</v>
      </c>
      <c r="DT17" s="160">
        <f>Hourly_kWh!CU17</f>
        <v>0</v>
      </c>
      <c r="DU17" s="160">
        <f>Hourly_kWh!CV17</f>
        <v>1.1316249999999695E-3</v>
      </c>
      <c r="DV17" s="160">
        <f>Hourly_kWh!CW17</f>
        <v>0</v>
      </c>
      <c r="DW17" s="160">
        <f>Hourly_kWh!CX17</f>
        <v>0</v>
      </c>
      <c r="DX17" s="160">
        <f>Hourly_kWh!CY17</f>
        <v>5.9699999999995867E-4</v>
      </c>
      <c r="DY17" s="160">
        <f>Hourly_kWh!CZ17</f>
        <v>4.992499999998401E-4</v>
      </c>
      <c r="DZ17" s="160">
        <f>Hourly_kWh!DA17</f>
        <v>1.1783999999998684E-2</v>
      </c>
      <c r="EA17" s="160">
        <f>Hourly_kWh!DB17</f>
        <v>6.1759999999999593E-3</v>
      </c>
      <c r="EB17" s="160">
        <f>Hourly_kWh!DC17</f>
        <v>7.4713749999999468E-3</v>
      </c>
      <c r="EC17" s="160">
        <f>Hourly_kWh!DD17</f>
        <v>1.0386250000000707E-3</v>
      </c>
      <c r="ED17" s="160">
        <f>Hourly_kWh!DE17</f>
        <v>0</v>
      </c>
      <c r="EE17" s="160">
        <f>Hourly_kWh!DF17</f>
        <v>0</v>
      </c>
      <c r="EF17" s="160">
        <f>Hourly_kWh!DG17</f>
        <v>0</v>
      </c>
      <c r="EG17" s="160">
        <f>Hourly_kWh!DH17</f>
        <v>1.0354999999995229E-3</v>
      </c>
      <c r="EH17" s="160">
        <f>Hourly_kWh!DI17</f>
        <v>0.2237440000000106</v>
      </c>
      <c r="EI17" s="160">
        <f>Hourly_kWh!DJ17</f>
        <v>0</v>
      </c>
      <c r="EJ17" s="160">
        <f>Hourly_kWh!DK17</f>
        <v>2.7880000000024552E-3</v>
      </c>
      <c r="EK17" s="160">
        <f>Hourly_kWh!DL17</f>
        <v>1.0819218750000026E-3</v>
      </c>
      <c r="EL17" s="160">
        <f>Hourly_kWh!DM17</f>
        <v>1.4260000000003714E-3</v>
      </c>
      <c r="EM17" s="160">
        <f>Hourly_kWh!DN17</f>
        <v>0</v>
      </c>
      <c r="EN17" s="160">
        <f>Hourly_kWh!DO17</f>
        <v>4.768000000012762E-3</v>
      </c>
      <c r="EO17" s="160">
        <f>Hourly_kWh!DP17</f>
        <v>2.0635000000002179E-3</v>
      </c>
      <c r="EP17" s="160">
        <f>Hourly_kWh!DQ17</f>
        <v>0</v>
      </c>
      <c r="EQ17" s="160">
        <f>Hourly_kWh!DR17</f>
        <v>0</v>
      </c>
      <c r="ER17" s="160">
        <f>Hourly_kWh!DS17</f>
        <v>8.3807999999976346E-2</v>
      </c>
      <c r="ES17" s="160">
        <f>Hourly_kWh!DT17</f>
        <v>1.7758000000000607E-2</v>
      </c>
      <c r="ET17" s="160">
        <f>Hourly_kWh!DU17</f>
        <v>0</v>
      </c>
      <c r="EU17" s="160">
        <f>Hourly_kWh!DV17</f>
        <v>4.6025000000016192E-4</v>
      </c>
      <c r="EV17" s="160">
        <f>Hourly_kWh!DW17</f>
        <v>0</v>
      </c>
      <c r="EW17" s="160">
        <f>Hourly_kWh!DX17</f>
        <v>3.5309999999988406E-3</v>
      </c>
      <c r="EX17" s="160">
        <f>Hourly_kWh!DY17</f>
        <v>2.2268749999998505E-4</v>
      </c>
      <c r="EY17" s="160">
        <f>Hourly_kWh!DZ17</f>
        <v>4.6059999999989998E-3</v>
      </c>
      <c r="EZ17" s="160">
        <f>Hourly_kWh!EA17</f>
        <v>0</v>
      </c>
      <c r="FA17" s="160">
        <f>Hourly_kWh!EB17</f>
        <v>7.0768000000015263E-2</v>
      </c>
      <c r="FB17" s="160">
        <f>Hourly_kWh!EC17</f>
        <v>3.2272000000006074E-2</v>
      </c>
      <c r="FC17" s="160">
        <f>Hourly_kWh!ED17</f>
        <v>2.6249999999983231E-4</v>
      </c>
      <c r="FD17" s="160">
        <f>Hourly_kWh!EE17</f>
        <v>4.5219999999996929E-3</v>
      </c>
      <c r="FE17" s="160">
        <f>Hourly_kWh!EF17</f>
        <v>0.45907100000113132</v>
      </c>
      <c r="FF17" s="160">
        <f>Hourly_kWh!EG17</f>
        <v>0</v>
      </c>
      <c r="FG17" s="160">
        <f>Hourly_kWh!EH17</f>
        <v>2.156800000000203E-2</v>
      </c>
      <c r="FH17" s="160">
        <f>Hourly_kWh!EI17</f>
        <v>2.4576000000024578E-2</v>
      </c>
      <c r="FI17" s="160">
        <f>Hourly_kWh!EJ17</f>
        <v>3.9360000000101536E-3</v>
      </c>
      <c r="FJ17" s="160">
        <f>Hourly_kWh!EK17</f>
        <v>0</v>
      </c>
      <c r="FK17" s="160">
        <f>Hourly_kWh!EL17</f>
        <v>0.1408000000001266</v>
      </c>
      <c r="FL17" s="160">
        <f>Hourly_kWh!EM17</f>
        <v>0.15360000000009677</v>
      </c>
      <c r="FM17" s="160">
        <f>Hourly_kWh!EN17</f>
        <v>0</v>
      </c>
      <c r="FN17" s="160">
        <f>Hourly_kWh!EO17</f>
        <v>7.6800000010734948E-4</v>
      </c>
      <c r="FO17" s="160">
        <f>Hourly_kWh!EP17</f>
        <v>0</v>
      </c>
      <c r="FP17" s="160">
        <f>Hourly_kWh!ER17</f>
        <v>0.10812500000000114</v>
      </c>
      <c r="FQ17" s="160">
        <f>Hourly_kWh!EQ17</f>
        <v>0</v>
      </c>
      <c r="FR17" s="160">
        <f>Hourly_kWh!M17</f>
        <v>0</v>
      </c>
      <c r="FS17" s="160">
        <f>Hourly_kWh!G17</f>
        <v>0</v>
      </c>
      <c r="FT17" s="160">
        <f>Hourly_kWh!C17</f>
        <v>0</v>
      </c>
      <c r="FU17" s="160">
        <f>Hourly_kWh!D17</f>
        <v>0.4389409999999998</v>
      </c>
      <c r="FV17" s="160">
        <f>Hourly_kWh!E17</f>
        <v>0.37179000000003271</v>
      </c>
      <c r="FW17" s="160">
        <f>Hourly_kWh!F17</f>
        <v>0.41519099999999298</v>
      </c>
      <c r="FX17" s="160">
        <f>Hourly_kWh!Q17</f>
        <v>0</v>
      </c>
      <c r="FY17" s="160">
        <f>Hourly_kWh!R17</f>
        <v>0.42803199999980279</v>
      </c>
      <c r="FZ17" s="160">
        <f>Hourly_kWh!S17</f>
        <v>0.35635200000069744</v>
      </c>
      <c r="GA17" s="160">
        <f>Hourly_kWh!T17</f>
        <v>0.40140800000153831</v>
      </c>
      <c r="GB17" s="160">
        <f t="shared" si="0"/>
        <v>1.2476100000001302</v>
      </c>
      <c r="GC17" s="160">
        <f t="shared" si="1"/>
        <v>1.1599350000009281</v>
      </c>
      <c r="GD17" s="160">
        <f t="shared" si="2"/>
        <v>8.7674999999202141E-2</v>
      </c>
      <c r="GE17" s="159">
        <f t="shared" si="3"/>
        <v>7.0274364584439836E-2</v>
      </c>
    </row>
    <row r="18" spans="2:187" s="150" customFormat="1" ht="32.25" customHeight="1" x14ac:dyDescent="0.25">
      <c r="B18" s="149" t="s">
        <v>675</v>
      </c>
      <c r="C18" s="160">
        <f>Hourly_kWh!H18</f>
        <v>0</v>
      </c>
      <c r="D18" s="160">
        <f>Hourly_kWh!I18</f>
        <v>0</v>
      </c>
      <c r="E18" s="160">
        <f>Hourly_kWh!J18</f>
        <v>0</v>
      </c>
      <c r="F18" s="160">
        <f>Hourly_kWh!K18</f>
        <v>0</v>
      </c>
      <c r="G18" s="160">
        <f>Hourly_kWh!L18</f>
        <v>0</v>
      </c>
      <c r="H18" s="160">
        <f>Hourly_kWh!U18</f>
        <v>2.2327999999987469E-2</v>
      </c>
      <c r="I18" s="160">
        <f>Hourly_kWh!P18</f>
        <v>1.3000000002705292E-5</v>
      </c>
      <c r="J18" s="160">
        <f>Hourly_kWh!N18</f>
        <v>1.5400000006593473E-4</v>
      </c>
      <c r="K18" s="160">
        <f>Hourly_kWh!O18</f>
        <v>4.4000000002597517E-4</v>
      </c>
      <c r="L18" s="160">
        <f>Hourly_kWh!B18*0.001</f>
        <v>1.1372500000000001</v>
      </c>
      <c r="M18" s="160">
        <f>Hourly_kWh!AR18</f>
        <v>0.20064000000002125</v>
      </c>
      <c r="N18" s="160">
        <f>Hourly_kWh!BM18</f>
        <v>7.7791999999988093E-2</v>
      </c>
      <c r="O18" s="160">
        <f>Hourly_kWh!CM18</f>
        <v>0.16640000000006694</v>
      </c>
      <c r="P18" s="160">
        <f>Hourly_kWh!DI18</f>
        <v>0.19244800000001305</v>
      </c>
      <c r="Q18" s="160">
        <f>Hourly_kWh!EF18</f>
        <v>0.4314009999989139</v>
      </c>
      <c r="R18" s="119">
        <f>SUM('Zone wise Meter data'!O16:AF16)</f>
        <v>5.1584249999995668E-2</v>
      </c>
      <c r="S18" s="115">
        <f>SUM('Zone wise Meter data'!AG16:AW16)</f>
        <v>9.6536593750016386E-2</v>
      </c>
      <c r="T18" s="115">
        <f>SUM('Zone wise Meter data'!AX16:BA16)</f>
        <v>4.1648499999988431E-2</v>
      </c>
      <c r="U18" s="115">
        <f>SUM('Zone wise Meter data'!BB16:BC16)</f>
        <v>0.12156800000002477</v>
      </c>
      <c r="V18" s="115">
        <f>SUM('Zone wise Meter data'!BD16:BL16)</f>
        <v>0.43941799999995901</v>
      </c>
      <c r="W18" s="115">
        <f>SUM('Zone wise Meter data'!BM16:BX16)</f>
        <v>2.0749999999969404E-3</v>
      </c>
      <c r="X18" s="115">
        <f>SUM('Zone wise Meter data'!BY16:CE16)</f>
        <v>2.122999999999875E-3</v>
      </c>
      <c r="Y18" s="115">
        <f>SUM('Zone wise Meter data'!CF16:CK16)</f>
        <v>8.8626937499999059E-2</v>
      </c>
      <c r="Z18" s="115">
        <f>SUM('Zone wise Meter data'!CL16:CO16)</f>
        <v>8.7407999999982167E-2</v>
      </c>
      <c r="AA18" s="115">
        <f>SUM('Zone wise Meter data'!CP16:DD16)</f>
        <v>1.4352999999981852E-2</v>
      </c>
      <c r="AB18" s="115">
        <f>SUM('Zone wise Meter data'!DE16:DN16)</f>
        <v>1.260482031249846E-2</v>
      </c>
      <c r="AC18" s="115">
        <f>SUM('Zone wise Meter data'!DO16:ED16)</f>
        <v>0</v>
      </c>
      <c r="AD18" s="160">
        <f>Hourly_kWh!AW18</f>
        <v>5.177600000001803E-2</v>
      </c>
      <c r="AE18" s="160">
        <f>Hourly_kWh!DS18</f>
        <v>6.9792000000006738E-2</v>
      </c>
      <c r="AF18" s="160">
        <f>Hourly_kWh!EL18</f>
        <v>0.1391360000000077</v>
      </c>
      <c r="AG18" s="160">
        <f>Hourly_kWh!EK18</f>
        <v>0</v>
      </c>
      <c r="AH18" s="160">
        <f>Hourly_kWh!EN18</f>
        <v>0</v>
      </c>
      <c r="AI18" s="160">
        <f>Hourly_kWh!EO18</f>
        <v>7.6799999999366264E-4</v>
      </c>
      <c r="AJ18" s="160">
        <f>Hourly_kWh!EM18</f>
        <v>0.14771199999995588</v>
      </c>
      <c r="AK18" s="160">
        <f>Hourly_kWh!ER18</f>
        <v>0.10311699999999746</v>
      </c>
      <c r="AL18" s="160">
        <f>Hourly_kWh!EI18</f>
        <v>2.3808000000030916E-2</v>
      </c>
      <c r="AM18" s="160">
        <f>Hourly_kWh!EJ18+Hourly_kWh!AS18</f>
        <v>9.4564999999793287E-3</v>
      </c>
      <c r="AN18" s="160">
        <f>Hourly_kWh!CX18+Hourly_kWh!CY18+Hourly_kWh!DC18+Hourly_kWh!DD18</f>
        <v>9.4242500000001339E-3</v>
      </c>
      <c r="AO18" s="160">
        <f>SUM(Hourly_kWh!AI18:AQ18)</f>
        <v>7.24435937500158E-2</v>
      </c>
      <c r="AP18" s="160">
        <f>SUM(Hourly_kWh!V18:AG18)</f>
        <v>3.6612999999999118E-2</v>
      </c>
      <c r="AQ18" s="160">
        <f>Hourly_kWh!DB18</f>
        <v>5.3609999999988389E-3</v>
      </c>
      <c r="AR18" s="160">
        <f>Hourly_kWh!CO18</f>
        <v>3.1800000000004047E-2</v>
      </c>
      <c r="AS18" s="160">
        <f>Hourly_kWh!BJ18</f>
        <v>0</v>
      </c>
      <c r="AT18" s="160">
        <f>Hourly_kWh!U18</f>
        <v>2.2327999999987469E-2</v>
      </c>
      <c r="AU18" s="160">
        <f>Hourly_kWh!V18</f>
        <v>5.2099999999981605E-3</v>
      </c>
      <c r="AV18" s="160">
        <f>Hourly_kWh!W18</f>
        <v>5.1670000000001437E-3</v>
      </c>
      <c r="AW18" s="160">
        <f>Hourly_kWh!X18</f>
        <v>2.6189999999992608E-3</v>
      </c>
      <c r="AX18" s="160">
        <f>Hourly_kWh!Y18</f>
        <v>0</v>
      </c>
      <c r="AY18" s="160">
        <f>Hourly_kWh!Z18</f>
        <v>2.3400000000002308E-3</v>
      </c>
      <c r="AZ18" s="160">
        <f>Hourly_kWh!AA18</f>
        <v>5.2440000000011366E-3</v>
      </c>
      <c r="BA18" s="160">
        <f>Hourly_kWh!AB18</f>
        <v>5.8919999999993422E-3</v>
      </c>
      <c r="BB18" s="160">
        <f>Hourly_kWh!AC18</f>
        <v>4.8200000000164778E-4</v>
      </c>
      <c r="BC18" s="160">
        <f>Hourly_kWh!AD18</f>
        <v>3.1249999999989342E-3</v>
      </c>
      <c r="BD18" s="160">
        <f>Hourly_kWh!AE18</f>
        <v>1.7110000000002401E-3</v>
      </c>
      <c r="BE18" s="160">
        <f>Hourly_kWh!AF18</f>
        <v>0</v>
      </c>
      <c r="BF18" s="160">
        <f>Hourly_kWh!AG18</f>
        <v>4.8230000000000217E-3</v>
      </c>
      <c r="BG18" s="160">
        <f>Hourly_kWh!AH18</f>
        <v>7.8559999999981756E-2</v>
      </c>
      <c r="BH18" s="160">
        <f>Hourly_kWh!AI18</f>
        <v>0</v>
      </c>
      <c r="BI18" s="160">
        <f>Hourly_kWh!AJ18</f>
        <v>1.9029999999995439E-3</v>
      </c>
      <c r="BJ18" s="160">
        <f>Hourly_kWh!AK18</f>
        <v>0</v>
      </c>
      <c r="BK18" s="160">
        <f>Hourly_kWh!AL18</f>
        <v>1.284259375000002E-2</v>
      </c>
      <c r="BL18" s="160">
        <f>Hourly_kWh!AM18</f>
        <v>2.024800000000937E-2</v>
      </c>
      <c r="BM18" s="160">
        <f>Hourly_kWh!AN18</f>
        <v>1.5392000000005623E-2</v>
      </c>
      <c r="BN18" s="160">
        <f>Hourly_kWh!AO18</f>
        <v>5.1240000000021269E-3</v>
      </c>
      <c r="BO18" s="160">
        <f>Hourly_kWh!AP18</f>
        <v>3.4980000000004452E-3</v>
      </c>
      <c r="BP18" s="160">
        <f>Hourly_kWh!AQ18</f>
        <v>1.3435999999998671E-2</v>
      </c>
      <c r="BQ18" s="160">
        <f>Hourly_kWh!AR18</f>
        <v>0.20064000000002125</v>
      </c>
      <c r="BR18" s="160">
        <f>Hourly_kWh!AS18</f>
        <v>2.8965000000003016E-3</v>
      </c>
      <c r="BS18" s="160">
        <f>Hourly_kWh!AT18</f>
        <v>0</v>
      </c>
      <c r="BT18" s="160">
        <f>Hourly_kWh!AU18</f>
        <v>4.0720000000007417E-3</v>
      </c>
      <c r="BU18" s="160">
        <f>Hourly_kWh!AV18</f>
        <v>3.2699999999996621E-3</v>
      </c>
      <c r="BV18" s="160">
        <f>Hourly_kWh!AW18</f>
        <v>5.177600000001803E-2</v>
      </c>
      <c r="BW18" s="160">
        <f>Hourly_kWh!AX18</f>
        <v>0</v>
      </c>
      <c r="BX18" s="160">
        <f>Hourly_kWh!AY18</f>
        <v>4.206500000000446E-3</v>
      </c>
      <c r="BY18" s="160">
        <f>Hourly_kWh!AZ18</f>
        <v>0</v>
      </c>
      <c r="BZ18" s="160">
        <f>Hourly_kWh!BA18</f>
        <v>0</v>
      </c>
      <c r="CA18" s="160">
        <f>Hourly_kWh!BB18</f>
        <v>0</v>
      </c>
      <c r="CB18" s="160">
        <f>Hourly_kWh!BC18</f>
        <v>0</v>
      </c>
      <c r="CC18" s="160">
        <f>Hourly_kWh!BD18</f>
        <v>1.0033593750000125E-4</v>
      </c>
      <c r="CD18" s="160">
        <f>Hourly_kWh!BE18</f>
        <v>4.7999999999994714E-3</v>
      </c>
      <c r="CE18" s="160">
        <f>Hourly_kWh!BF18</f>
        <v>0</v>
      </c>
      <c r="CF18" s="160">
        <f>Hourly_kWh!BG18</f>
        <v>4.3800000000082662E-4</v>
      </c>
      <c r="CG18" s="160">
        <f>Hourly_kWh!BH18</f>
        <v>0</v>
      </c>
      <c r="CH18" s="160">
        <f>Hourly_kWh!BI18</f>
        <v>0.11116799999996374</v>
      </c>
      <c r="CI18" s="160">
        <f>Hourly_kWh!BJ18</f>
        <v>0</v>
      </c>
      <c r="CJ18" s="160">
        <f>Hourly_kWh!BK18</f>
        <v>5.7355000000001155E-3</v>
      </c>
      <c r="CK18" s="160">
        <f>Hourly_kWh!BL18</f>
        <v>0</v>
      </c>
      <c r="CL18" s="160">
        <f>Hourly_kWh!BM18</f>
        <v>7.7791999999988093E-2</v>
      </c>
      <c r="CM18" s="160">
        <f>Hourly_kWh!BN18</f>
        <v>0</v>
      </c>
      <c r="CN18" s="160">
        <f>Hourly_kWh!BO18</f>
        <v>1.5799999999970282E-3</v>
      </c>
      <c r="CO18" s="160">
        <f>Hourly_kWh!BP18</f>
        <v>0</v>
      </c>
      <c r="CP18" s="160">
        <f>Hourly_kWh!BQ18</f>
        <v>0</v>
      </c>
      <c r="CQ18" s="160">
        <f>Hourly_kWh!BR18</f>
        <v>0</v>
      </c>
      <c r="CR18" s="160">
        <f>Hourly_kWh!BS18</f>
        <v>0</v>
      </c>
      <c r="CS18" s="160">
        <f>Hourly_kWh!BT18</f>
        <v>1.1048000000002389E-2</v>
      </c>
      <c r="CT18" s="160">
        <f>Hourly_kWh!BU18</f>
        <v>0</v>
      </c>
      <c r="CU18" s="160">
        <f>Hourly_kWh!BV18</f>
        <v>0</v>
      </c>
      <c r="CV18" s="160">
        <f>Hourly_kWh!BW18</f>
        <v>0</v>
      </c>
      <c r="CW18" s="160">
        <f>Hourly_kWh!BX18</f>
        <v>0</v>
      </c>
      <c r="CX18" s="160">
        <f>Hourly_kWh!BY18</f>
        <v>0</v>
      </c>
      <c r="CY18" s="160">
        <f>Hourly_kWh!BZ18</f>
        <v>4.5935999999997534E-2</v>
      </c>
      <c r="CZ18" s="160">
        <f>Hourly_kWh!CA18</f>
        <v>1.2662937500000027E-2</v>
      </c>
      <c r="DA18" s="160">
        <f>Hourly_kWh!CB18</f>
        <v>0</v>
      </c>
      <c r="DB18" s="160">
        <f>Hourly_kWh!CC18</f>
        <v>0</v>
      </c>
      <c r="DC18" s="160">
        <f>Hourly_kWh!CD18</f>
        <v>0</v>
      </c>
      <c r="DD18" s="160">
        <f>Hourly_kWh!CE18</f>
        <v>0</v>
      </c>
      <c r="DE18" s="160">
        <f>Hourly_kWh!CF18</f>
        <v>9.3799999999966133E-4</v>
      </c>
      <c r="DF18" s="160">
        <f>Hourly_kWh!CG18</f>
        <v>0</v>
      </c>
      <c r="DG18" s="160">
        <f>Hourly_kWh!CH18</f>
        <v>9.2999999999987537E-4</v>
      </c>
      <c r="DH18" s="160">
        <f>Hourly_kWh!CI18</f>
        <v>0</v>
      </c>
      <c r="DI18" s="160">
        <f>Hourly_kWh!CJ18</f>
        <v>0</v>
      </c>
      <c r="DJ18" s="160">
        <f>Hourly_kWh!CK18</f>
        <v>0</v>
      </c>
      <c r="DK18" s="160">
        <f>Hourly_kWh!CL18</f>
        <v>2.2619999999982099E-3</v>
      </c>
      <c r="DL18" s="160">
        <f>Hourly_kWh!CM18</f>
        <v>0.16640000000006694</v>
      </c>
      <c r="DM18" s="160">
        <f>Hourly_kWh!CN18</f>
        <v>2.3039999999987515E-3</v>
      </c>
      <c r="DN18" s="160">
        <f>Hourly_kWh!CO18</f>
        <v>3.1800000000004047E-2</v>
      </c>
      <c r="DO18" s="160">
        <f>Hourly_kWh!CP18</f>
        <v>0</v>
      </c>
      <c r="DP18" s="160">
        <f>Hourly_kWh!CQ18</f>
        <v>0</v>
      </c>
      <c r="DQ18" s="160">
        <f>Hourly_kWh!CR18</f>
        <v>2.8120000000004808E-3</v>
      </c>
      <c r="DR18" s="160">
        <f>Hourly_kWh!CS18</f>
        <v>0</v>
      </c>
      <c r="DS18" s="160">
        <f>Hourly_kWh!CT18</f>
        <v>1.5999999999394277E-4</v>
      </c>
      <c r="DT18" s="160">
        <f>Hourly_kWh!CU18</f>
        <v>0</v>
      </c>
      <c r="DU18" s="160">
        <f>Hourly_kWh!CV18</f>
        <v>1.1929999999999996E-3</v>
      </c>
      <c r="DV18" s="160">
        <f>Hourly_kWh!CW18</f>
        <v>0</v>
      </c>
      <c r="DW18" s="160">
        <f>Hourly_kWh!CX18</f>
        <v>0</v>
      </c>
      <c r="DX18" s="160">
        <f>Hourly_kWh!CY18</f>
        <v>6.170000000000897E-4</v>
      </c>
      <c r="DY18" s="160">
        <f>Hourly_kWh!CZ18</f>
        <v>4.9499999999991218E-4</v>
      </c>
      <c r="DZ18" s="160">
        <f>Hourly_kWh!DA18</f>
        <v>1.1524000000001422E-2</v>
      </c>
      <c r="EA18" s="160">
        <f>Hourly_kWh!DB18</f>
        <v>5.3609999999988389E-3</v>
      </c>
      <c r="EB18" s="160">
        <f>Hourly_kWh!DC18</f>
        <v>7.6788750000000849E-3</v>
      </c>
      <c r="EC18" s="160">
        <f>Hourly_kWh!DD18</f>
        <v>1.1283749999999593E-3</v>
      </c>
      <c r="ED18" s="160">
        <f>Hourly_kWh!DE18</f>
        <v>0</v>
      </c>
      <c r="EE18" s="160">
        <f>Hourly_kWh!DF18</f>
        <v>0</v>
      </c>
      <c r="EF18" s="160">
        <f>Hourly_kWh!DG18</f>
        <v>0</v>
      </c>
      <c r="EG18" s="160">
        <f>Hourly_kWh!DH18</f>
        <v>9.0199999999995839E-4</v>
      </c>
      <c r="EH18" s="160">
        <f>Hourly_kWh!DI18</f>
        <v>0.19244800000001305</v>
      </c>
      <c r="EI18" s="160">
        <f>Hourly_kWh!DJ18</f>
        <v>0</v>
      </c>
      <c r="EJ18" s="160">
        <f>Hourly_kWh!DK18</f>
        <v>2.7559999999979823E-3</v>
      </c>
      <c r="EK18" s="160">
        <f>Hourly_kWh!DL18</f>
        <v>5.1248437500001076E-4</v>
      </c>
      <c r="EL18" s="160">
        <f>Hourly_kWh!DM18</f>
        <v>1.4559999999992357E-3</v>
      </c>
      <c r="EM18" s="160">
        <f>Hourly_kWh!DN18</f>
        <v>0</v>
      </c>
      <c r="EN18" s="160">
        <f>Hourly_kWh!DO18</f>
        <v>3.6639999999863448E-3</v>
      </c>
      <c r="EO18" s="160">
        <f>Hourly_kWh!DP18</f>
        <v>1.7294999999997174E-3</v>
      </c>
      <c r="EP18" s="160">
        <f>Hourly_kWh!DQ18</f>
        <v>0</v>
      </c>
      <c r="EQ18" s="160">
        <f>Hourly_kWh!DR18</f>
        <v>0</v>
      </c>
      <c r="ER18" s="160">
        <f>Hourly_kWh!DS18</f>
        <v>6.9792000000006738E-2</v>
      </c>
      <c r="ES18" s="160">
        <f>Hourly_kWh!DT18</f>
        <v>1.8041999999999447E-2</v>
      </c>
      <c r="ET18" s="160">
        <f>Hourly_kWh!DU18</f>
        <v>0</v>
      </c>
      <c r="EU18" s="160">
        <f>Hourly_kWh!DV18</f>
        <v>6.4775000000016902E-4</v>
      </c>
      <c r="EV18" s="160">
        <f>Hourly_kWh!DW18</f>
        <v>0</v>
      </c>
      <c r="EW18" s="160">
        <f>Hourly_kWh!DX18</f>
        <v>3.5560000000014469E-3</v>
      </c>
      <c r="EX18" s="160">
        <f>Hourly_kWh!DY18</f>
        <v>2.0749999999991608E-4</v>
      </c>
      <c r="EY18" s="160">
        <f>Hourly_kWh!DZ18</f>
        <v>4.129999999999967E-3</v>
      </c>
      <c r="EZ18" s="160">
        <f>Hourly_kWh!EA18</f>
        <v>0</v>
      </c>
      <c r="FA18" s="160">
        <f>Hourly_kWh!EB18</f>
        <v>5.4479999999983875E-2</v>
      </c>
      <c r="FB18" s="160">
        <f>Hourly_kWh!EC18</f>
        <v>3.2927999999998292E-2</v>
      </c>
      <c r="FC18" s="160">
        <f>Hourly_kWh!ED18</f>
        <v>2.5825000000034848E-4</v>
      </c>
      <c r="FD18" s="160">
        <f>Hourly_kWh!EE18</f>
        <v>6.6179999999995687E-3</v>
      </c>
      <c r="FE18" s="160">
        <f>Hourly_kWh!EF18</f>
        <v>0.4314009999989139</v>
      </c>
      <c r="FF18" s="160">
        <f>Hourly_kWh!EG18</f>
        <v>0</v>
      </c>
      <c r="FG18" s="160">
        <f>Hourly_kWh!EH18</f>
        <v>8.3839999999781867E-3</v>
      </c>
      <c r="FH18" s="160">
        <f>Hourly_kWh!EI18</f>
        <v>2.3808000000030916E-2</v>
      </c>
      <c r="FI18" s="160">
        <f>Hourly_kWh!EJ18</f>
        <v>6.5599999999790271E-3</v>
      </c>
      <c r="FJ18" s="160">
        <f>Hourly_kWh!EK18</f>
        <v>0</v>
      </c>
      <c r="FK18" s="160">
        <f>Hourly_kWh!EL18</f>
        <v>0.1391360000000077</v>
      </c>
      <c r="FL18" s="160">
        <f>Hourly_kWh!EM18</f>
        <v>0.14771199999995588</v>
      </c>
      <c r="FM18" s="160">
        <f>Hourly_kWh!EN18</f>
        <v>0</v>
      </c>
      <c r="FN18" s="160">
        <f>Hourly_kWh!EO18</f>
        <v>7.6799999999366264E-4</v>
      </c>
      <c r="FO18" s="160">
        <f>Hourly_kWh!EP18</f>
        <v>0</v>
      </c>
      <c r="FP18" s="160">
        <f>Hourly_kWh!ER18</f>
        <v>0.10311699999999746</v>
      </c>
      <c r="FQ18" s="160">
        <f>Hourly_kWh!EQ18</f>
        <v>0</v>
      </c>
      <c r="FR18" s="160">
        <f>Hourly_kWh!M18</f>
        <v>0</v>
      </c>
      <c r="FS18" s="160">
        <f>Hourly_kWh!G18</f>
        <v>0</v>
      </c>
      <c r="FT18" s="160">
        <f>Hourly_kWh!C18</f>
        <v>0</v>
      </c>
      <c r="FU18" s="160">
        <f>Hourly_kWh!D18</f>
        <v>0.41353800000001684</v>
      </c>
      <c r="FV18" s="160">
        <f>Hourly_kWh!E18</f>
        <v>0.35144999999999982</v>
      </c>
      <c r="FW18" s="160">
        <f>Hourly_kWh!F18</f>
        <v>0.39014899999995123</v>
      </c>
      <c r="FX18" s="160">
        <f>Hourly_kWh!Q18</f>
        <v>0</v>
      </c>
      <c r="FY18" s="160">
        <f>Hourly_kWh!R18</f>
        <v>0.39321600000039325</v>
      </c>
      <c r="FZ18" s="160">
        <f>Hourly_kWh!S18</f>
        <v>0.33791999999994005</v>
      </c>
      <c r="GA18" s="160">
        <f>Hourly_kWh!T18</f>
        <v>0.36863999999695807</v>
      </c>
      <c r="GB18" s="160">
        <f t="shared" si="0"/>
        <v>1.1601850000000822</v>
      </c>
      <c r="GC18" s="160">
        <f t="shared" si="1"/>
        <v>1.0686809999990032</v>
      </c>
      <c r="GD18" s="160">
        <f t="shared" si="2"/>
        <v>9.1504000001078944E-2</v>
      </c>
      <c r="GE18" s="159">
        <f t="shared" si="3"/>
        <v>7.8870180187704947E-2</v>
      </c>
    </row>
    <row r="19" spans="2:187" s="150" customFormat="1" ht="32.25" customHeight="1" x14ac:dyDescent="0.25">
      <c r="B19" s="149" t="s">
        <v>676</v>
      </c>
      <c r="C19" s="160">
        <f>Hourly_kWh!H19</f>
        <v>0</v>
      </c>
      <c r="D19" s="160">
        <f>Hourly_kWh!I19</f>
        <v>0</v>
      </c>
      <c r="E19" s="160">
        <f>Hourly_kWh!J19</f>
        <v>0</v>
      </c>
      <c r="F19" s="160">
        <f>Hourly_kWh!K19</f>
        <v>0</v>
      </c>
      <c r="G19" s="160">
        <f>Hourly_kWh!L19</f>
        <v>0</v>
      </c>
      <c r="H19" s="160">
        <f>Hourly_kWh!U19</f>
        <v>2.1551999999999794E-2</v>
      </c>
      <c r="I19" s="160">
        <f>Hourly_kWh!P19</f>
        <v>1.8800000000140926E-4</v>
      </c>
      <c r="J19" s="160">
        <f>Hourly_kWh!N19</f>
        <v>5.925999999931264E-3</v>
      </c>
      <c r="K19" s="160">
        <f>Hourly_kWh!O19</f>
        <v>6.870999999932792E-3</v>
      </c>
      <c r="L19" s="160">
        <f>Hourly_kWh!B19*0.001</f>
        <v>1.094875</v>
      </c>
      <c r="M19" s="160">
        <f>Hourly_kWh!AR19</f>
        <v>0.19603200000005927</v>
      </c>
      <c r="N19" s="160">
        <f>Hourly_kWh!BM19</f>
        <v>7.2576000000026397E-2</v>
      </c>
      <c r="O19" s="160">
        <f>Hourly_kWh!CM19</f>
        <v>0.15385599999990518</v>
      </c>
      <c r="P19" s="160">
        <f>Hourly_kWh!DI19</f>
        <v>0.21100799999999253</v>
      </c>
      <c r="Q19" s="160">
        <f>Hourly_kWh!EF19</f>
        <v>0.41093600000021979</v>
      </c>
      <c r="R19" s="119">
        <f>SUM('Zone wise Meter data'!O17:AF17)</f>
        <v>4.8469500000004162E-2</v>
      </c>
      <c r="S19" s="115">
        <f>SUM('Zone wise Meter data'!AG17:AW17)</f>
        <v>9.5282249999978919E-2</v>
      </c>
      <c r="T19" s="115">
        <f>SUM('Zone wise Meter data'!AX17:BA17)</f>
        <v>3.9332499999962245E-2</v>
      </c>
      <c r="U19" s="115">
        <f>SUM('Zone wise Meter data'!BB17:BC17)</f>
        <v>0.1299520000000598</v>
      </c>
      <c r="V19" s="115">
        <f>SUM('Zone wise Meter data'!BD17:BL17)</f>
        <v>0.41024500000002639</v>
      </c>
      <c r="W19" s="115">
        <f>SUM('Zone wise Meter data'!BM17:BX17)</f>
        <v>2.1035000000022563E-3</v>
      </c>
      <c r="X19" s="115">
        <f>SUM('Zone wise Meter data'!BY17:CE17)</f>
        <v>1.5572500000002876E-3</v>
      </c>
      <c r="Y19" s="115">
        <f>SUM('Zone wise Meter data'!CF17:CK17)</f>
        <v>7.7922437499996611E-2</v>
      </c>
      <c r="Z19" s="115">
        <f>SUM('Zone wise Meter data'!CL17:CO17)</f>
        <v>9.3184000000007927E-2</v>
      </c>
      <c r="AA19" s="115">
        <f>SUM('Zone wise Meter data'!CP17:DD17)</f>
        <v>1.5337312499994371E-2</v>
      </c>
      <c r="AB19" s="115">
        <f>SUM('Zone wise Meter data'!DE17:DN17)</f>
        <v>1.254740624999641E-2</v>
      </c>
      <c r="AC19" s="115">
        <f>SUM('Zone wise Meter data'!DO17:ED17)</f>
        <v>0</v>
      </c>
      <c r="AD19" s="160">
        <f>Hourly_kWh!AW19</f>
        <v>4.5952000000056614E-2</v>
      </c>
      <c r="AE19" s="160">
        <f>Hourly_kWh!DS19</f>
        <v>8.4000000000003183E-2</v>
      </c>
      <c r="AF19" s="160">
        <f>Hourly_kWh!EL19</f>
        <v>0.11968000000001666</v>
      </c>
      <c r="AG19" s="160">
        <f>Hourly_kWh!EK19</f>
        <v>0</v>
      </c>
      <c r="AH19" s="160">
        <f>Hourly_kWh!EN19</f>
        <v>0</v>
      </c>
      <c r="AI19" s="160">
        <f>Hourly_kWh!EO19</f>
        <v>7.6799999999366264E-4</v>
      </c>
      <c r="AJ19" s="160">
        <f>Hourly_kWh!EM19</f>
        <v>0.14822400000002744</v>
      </c>
      <c r="AK19" s="160">
        <f>Hourly_kWh!ER19</f>
        <v>0.1014809999999926</v>
      </c>
      <c r="AL19" s="160">
        <f>Hourly_kWh!EI19</f>
        <v>2.0991999999978361E-2</v>
      </c>
      <c r="AM19" s="160">
        <f>Hourly_kWh!EJ19+Hourly_kWh!AS19</f>
        <v>9.764500000035703E-3</v>
      </c>
      <c r="AN19" s="160">
        <f>Hourly_kWh!CX19+Hourly_kWh!CY19+Hourly_kWh!DC19+Hourly_kWh!DD19</f>
        <v>9.7625000000001183E-3</v>
      </c>
      <c r="AO19" s="160">
        <f>SUM(Hourly_kWh!AI19:AQ19)</f>
        <v>7.024124999997905E-2</v>
      </c>
      <c r="AP19" s="160">
        <f>SUM(Hourly_kWh!V19:AG19)</f>
        <v>3.6564000000002039E-2</v>
      </c>
      <c r="AQ19" s="160">
        <f>Hourly_kWh!DB19</f>
        <v>5.0800000000013057E-3</v>
      </c>
      <c r="AR19" s="160">
        <f>Hourly_kWh!CO19</f>
        <v>2.3287999999993758E-2</v>
      </c>
      <c r="AS19" s="160">
        <f>Hourly_kWh!BJ19</f>
        <v>0</v>
      </c>
      <c r="AT19" s="160">
        <f>Hourly_kWh!U19</f>
        <v>2.1551999999999794E-2</v>
      </c>
      <c r="AU19" s="160">
        <f>Hourly_kWh!V19</f>
        <v>5.250000000000199E-3</v>
      </c>
      <c r="AV19" s="160">
        <f>Hourly_kWh!W19</f>
        <v>3.1520000000000437E-3</v>
      </c>
      <c r="AW19" s="160">
        <f>Hourly_kWh!X19</f>
        <v>2.5779999999997472E-3</v>
      </c>
      <c r="AX19" s="160">
        <f>Hourly_kWh!Y19</f>
        <v>0</v>
      </c>
      <c r="AY19" s="160">
        <f>Hourly_kWh!Z19</f>
        <v>2.3789999999994649E-3</v>
      </c>
      <c r="AZ19" s="160">
        <f>Hourly_kWh!AA19</f>
        <v>5.4340000000010491E-3</v>
      </c>
      <c r="BA19" s="160">
        <f>Hourly_kWh!AB19</f>
        <v>5.8940000000013981E-3</v>
      </c>
      <c r="BB19" s="160">
        <f>Hourly_kWh!AC19</f>
        <v>3.5319999999998686E-3</v>
      </c>
      <c r="BC19" s="160">
        <f>Hourly_kWh!AD19</f>
        <v>2.2350000000006531E-3</v>
      </c>
      <c r="BD19" s="160">
        <f>Hourly_kWh!AE19</f>
        <v>1.8359999999999488E-3</v>
      </c>
      <c r="BE19" s="160">
        <f>Hourly_kWh!AF19</f>
        <v>0</v>
      </c>
      <c r="BF19" s="160">
        <f>Hourly_kWh!AG19</f>
        <v>4.273999999999667E-3</v>
      </c>
      <c r="BG19" s="160">
        <f>Hourly_kWh!AH19</f>
        <v>7.6096000000006825E-2</v>
      </c>
      <c r="BH19" s="160">
        <f>Hourly_kWh!AI19</f>
        <v>0</v>
      </c>
      <c r="BI19" s="160">
        <f>Hourly_kWh!AJ19</f>
        <v>1.7485000000005968E-3</v>
      </c>
      <c r="BJ19" s="160">
        <f>Hourly_kWh!AK19</f>
        <v>0</v>
      </c>
      <c r="BK19" s="160">
        <f>Hourly_kWh!AL19</f>
        <v>1.1636749999999974E-2</v>
      </c>
      <c r="BL19" s="160">
        <f>Hourly_kWh!AM19</f>
        <v>1.9815999999991618E-2</v>
      </c>
      <c r="BM19" s="160">
        <f>Hourly_kWh!AN19</f>
        <v>1.5015999999988594E-2</v>
      </c>
      <c r="BN19" s="160">
        <f>Hourly_kWh!AO19</f>
        <v>5.0400000000010436E-3</v>
      </c>
      <c r="BO19" s="160">
        <f>Hourly_kWh!AP19</f>
        <v>3.4799999999997056E-3</v>
      </c>
      <c r="BP19" s="160">
        <f>Hourly_kWh!AQ19</f>
        <v>1.3503999999997518E-2</v>
      </c>
      <c r="BQ19" s="160">
        <f>Hourly_kWh!AR19</f>
        <v>0.19603200000005927</v>
      </c>
      <c r="BR19" s="160">
        <f>Hourly_kWh!AS19</f>
        <v>3.2044999999998325E-3</v>
      </c>
      <c r="BS19" s="160">
        <f>Hourly_kWh!AT19</f>
        <v>0</v>
      </c>
      <c r="BT19" s="160">
        <f>Hourly_kWh!AU19</f>
        <v>3.9839999999955467E-3</v>
      </c>
      <c r="BU19" s="160">
        <f>Hourly_kWh!AV19</f>
        <v>3.32650000000001E-3</v>
      </c>
      <c r="BV19" s="160">
        <f>Hourly_kWh!AW19</f>
        <v>4.5952000000056614E-2</v>
      </c>
      <c r="BW19" s="160">
        <f>Hourly_kWh!AX19</f>
        <v>0</v>
      </c>
      <c r="BX19" s="160">
        <f>Hourly_kWh!AY19</f>
        <v>3.9384999999994008E-3</v>
      </c>
      <c r="BY19" s="160">
        <f>Hourly_kWh!AZ19</f>
        <v>0</v>
      </c>
      <c r="BZ19" s="160">
        <f>Hourly_kWh!BA19</f>
        <v>0</v>
      </c>
      <c r="CA19" s="160">
        <f>Hourly_kWh!BB19</f>
        <v>0</v>
      </c>
      <c r="CB19" s="160">
        <f>Hourly_kWh!BC19</f>
        <v>0</v>
      </c>
      <c r="CC19" s="160">
        <f>Hourly_kWh!BD19</f>
        <v>1.0023437499999399E-4</v>
      </c>
      <c r="CD19" s="160">
        <f>Hourly_kWh!BE19</f>
        <v>4.7180000000004441E-3</v>
      </c>
      <c r="CE19" s="160">
        <f>Hourly_kWh!BF19</f>
        <v>0</v>
      </c>
      <c r="CF19" s="160">
        <f>Hourly_kWh!BG19</f>
        <v>4.3100000000073635E-4</v>
      </c>
      <c r="CG19" s="160">
        <f>Hourly_kWh!BH19</f>
        <v>0</v>
      </c>
      <c r="CH19" s="160">
        <f>Hourly_kWh!BI19</f>
        <v>0.11030400000004192</v>
      </c>
      <c r="CI19" s="160">
        <f>Hourly_kWh!BJ19</f>
        <v>0</v>
      </c>
      <c r="CJ19" s="160">
        <f>Hourly_kWh!BK19</f>
        <v>5.6989999999998986E-3</v>
      </c>
      <c r="CK19" s="160">
        <f>Hourly_kWh!BL19</f>
        <v>0</v>
      </c>
      <c r="CL19" s="160">
        <f>Hourly_kWh!BM19</f>
        <v>7.2576000000026397E-2</v>
      </c>
      <c r="CM19" s="160">
        <f>Hourly_kWh!BN19</f>
        <v>0</v>
      </c>
      <c r="CN19" s="160">
        <f>Hourly_kWh!BO19</f>
        <v>1.6160000000020602E-3</v>
      </c>
      <c r="CO19" s="160">
        <f>Hourly_kWh!BP19</f>
        <v>0</v>
      </c>
      <c r="CP19" s="160">
        <f>Hourly_kWh!BQ19</f>
        <v>0</v>
      </c>
      <c r="CQ19" s="160">
        <f>Hourly_kWh!BR19</f>
        <v>0</v>
      </c>
      <c r="CR19" s="160">
        <f>Hourly_kWh!BS19</f>
        <v>0</v>
      </c>
      <c r="CS19" s="160">
        <f>Hourly_kWh!BT19</f>
        <v>1.0936000000000945E-2</v>
      </c>
      <c r="CT19" s="160">
        <f>Hourly_kWh!BU19</f>
        <v>0</v>
      </c>
      <c r="CU19" s="160">
        <f>Hourly_kWh!BV19</f>
        <v>0</v>
      </c>
      <c r="CV19" s="160">
        <f>Hourly_kWh!BW19</f>
        <v>0</v>
      </c>
      <c r="CW19" s="160">
        <f>Hourly_kWh!BX19</f>
        <v>0</v>
      </c>
      <c r="CX19" s="160">
        <f>Hourly_kWh!BY19</f>
        <v>0</v>
      </c>
      <c r="CY19" s="160">
        <f>Hourly_kWh!BZ19</f>
        <v>3.9559999999994488E-2</v>
      </c>
      <c r="CZ19" s="160">
        <f>Hourly_kWh!CA19</f>
        <v>1.250093749999992E-2</v>
      </c>
      <c r="DA19" s="160">
        <f>Hourly_kWh!CB19</f>
        <v>0</v>
      </c>
      <c r="DB19" s="160">
        <f>Hourly_kWh!CC19</f>
        <v>0</v>
      </c>
      <c r="DC19" s="160">
        <f>Hourly_kWh!CD19</f>
        <v>0</v>
      </c>
      <c r="DD19" s="160">
        <f>Hourly_kWh!CE19</f>
        <v>0</v>
      </c>
      <c r="DE19" s="160">
        <f>Hourly_kWh!CF19</f>
        <v>6.3300000000054979E-4</v>
      </c>
      <c r="DF19" s="160">
        <f>Hourly_kWh!CG19</f>
        <v>0</v>
      </c>
      <c r="DG19" s="160">
        <f>Hourly_kWh!CH19</f>
        <v>8.3825000000015137E-4</v>
      </c>
      <c r="DH19" s="160">
        <f>Hourly_kWh!CI19</f>
        <v>0</v>
      </c>
      <c r="DI19" s="160">
        <f>Hourly_kWh!CJ19</f>
        <v>0</v>
      </c>
      <c r="DJ19" s="160">
        <f>Hourly_kWh!CK19</f>
        <v>0</v>
      </c>
      <c r="DK19" s="160">
        <f>Hourly_kWh!CL19</f>
        <v>1.0940000000019268E-3</v>
      </c>
      <c r="DL19" s="160">
        <f>Hourly_kWh!CM19</f>
        <v>0.15385599999990518</v>
      </c>
      <c r="DM19" s="160">
        <f>Hourly_kWh!CN19</f>
        <v>2.4259999999998172E-3</v>
      </c>
      <c r="DN19" s="160">
        <f>Hourly_kWh!CO19</f>
        <v>2.3287999999993758E-2</v>
      </c>
      <c r="DO19" s="160">
        <f>Hourly_kWh!CP19</f>
        <v>0</v>
      </c>
      <c r="DP19" s="160">
        <f>Hourly_kWh!CQ19</f>
        <v>0</v>
      </c>
      <c r="DQ19" s="160">
        <f>Hourly_kWh!CR19</f>
        <v>3.3049999999992252E-3</v>
      </c>
      <c r="DR19" s="160">
        <f>Hourly_kWh!CS19</f>
        <v>0</v>
      </c>
      <c r="DS19" s="160">
        <f>Hourly_kWh!CT19</f>
        <v>1.5199999999992997E-4</v>
      </c>
      <c r="DT19" s="160">
        <f>Hourly_kWh!CU19</f>
        <v>0</v>
      </c>
      <c r="DU19" s="160">
        <f>Hourly_kWh!CV19</f>
        <v>7.190000000001362E-4</v>
      </c>
      <c r="DV19" s="160">
        <f>Hourly_kWh!CW19</f>
        <v>0</v>
      </c>
      <c r="DW19" s="160">
        <f>Hourly_kWh!CX19</f>
        <v>0</v>
      </c>
      <c r="DX19" s="160">
        <f>Hourly_kWh!CY19</f>
        <v>6.5800000000004744E-4</v>
      </c>
      <c r="DY19" s="160">
        <f>Hourly_kWh!CZ19</f>
        <v>4.8750000000019611E-4</v>
      </c>
      <c r="DZ19" s="160">
        <f>Hourly_kWh!DA19</f>
        <v>1.1724000000000956E-2</v>
      </c>
      <c r="EA19" s="160">
        <f>Hourly_kWh!DB19</f>
        <v>5.0800000000013057E-3</v>
      </c>
      <c r="EB19" s="160">
        <f>Hourly_kWh!DC19</f>
        <v>7.9082500000000611E-3</v>
      </c>
      <c r="EC19" s="160">
        <f>Hourly_kWh!DD19</f>
        <v>1.1962500000000098E-3</v>
      </c>
      <c r="ED19" s="160">
        <f>Hourly_kWh!DE19</f>
        <v>0</v>
      </c>
      <c r="EE19" s="160">
        <f>Hourly_kWh!DF19</f>
        <v>0</v>
      </c>
      <c r="EF19" s="160">
        <f>Hourly_kWh!DG19</f>
        <v>0</v>
      </c>
      <c r="EG19" s="160">
        <f>Hourly_kWh!DH19</f>
        <v>1.052000000000497E-3</v>
      </c>
      <c r="EH19" s="160">
        <f>Hourly_kWh!DI19</f>
        <v>0.21100799999999253</v>
      </c>
      <c r="EI19" s="160">
        <f>Hourly_kWh!DJ19</f>
        <v>0</v>
      </c>
      <c r="EJ19" s="160">
        <f>Hourly_kWh!DK19</f>
        <v>2.8100000000002012E-3</v>
      </c>
      <c r="EK19" s="160">
        <f>Hourly_kWh!DL19</f>
        <v>5.0467187500000121E-4</v>
      </c>
      <c r="EL19" s="160">
        <f>Hourly_kWh!DM19</f>
        <v>1.3909999999999201E-3</v>
      </c>
      <c r="EM19" s="160">
        <f>Hourly_kWh!DN19</f>
        <v>0</v>
      </c>
      <c r="EN19" s="160">
        <f>Hourly_kWh!DO19</f>
        <v>4.8319999999932861E-3</v>
      </c>
      <c r="EO19" s="160">
        <f>Hourly_kWh!DP19</f>
        <v>1.6149999999992559E-3</v>
      </c>
      <c r="EP19" s="160">
        <f>Hourly_kWh!DQ19</f>
        <v>0</v>
      </c>
      <c r="EQ19" s="160">
        <f>Hourly_kWh!DR19</f>
        <v>0</v>
      </c>
      <c r="ER19" s="160">
        <f>Hourly_kWh!DS19</f>
        <v>8.4000000000003183E-2</v>
      </c>
      <c r="ES19" s="160">
        <f>Hourly_kWh!DT19</f>
        <v>1.4292500000000707E-2</v>
      </c>
      <c r="ET19" s="160">
        <f>Hourly_kWh!DU19</f>
        <v>0</v>
      </c>
      <c r="EU19" s="160">
        <f>Hourly_kWh!DV19</f>
        <v>6.4649999999977226E-4</v>
      </c>
      <c r="EV19" s="160">
        <f>Hourly_kWh!DW19</f>
        <v>0</v>
      </c>
      <c r="EW19" s="160">
        <f>Hourly_kWh!DX19</f>
        <v>3.4890000000000754E-3</v>
      </c>
      <c r="EX19" s="160">
        <f>Hourly_kWh!DY19</f>
        <v>2.0731250000005641E-4</v>
      </c>
      <c r="EY19" s="160">
        <f>Hourly_kWh!DZ19</f>
        <v>4.1320000000020229E-3</v>
      </c>
      <c r="EZ19" s="160">
        <f>Hourly_kWh!EA19</f>
        <v>0</v>
      </c>
      <c r="FA19" s="160">
        <f>Hourly_kWh!EB19</f>
        <v>6.7824000000001661E-2</v>
      </c>
      <c r="FB19" s="160">
        <f>Hourly_kWh!EC19</f>
        <v>2.5360000000006266E-2</v>
      </c>
      <c r="FC19" s="160">
        <f>Hourly_kWh!ED19</f>
        <v>2.6349999999997209E-4</v>
      </c>
      <c r="FD19" s="160">
        <f>Hourly_kWh!EE19</f>
        <v>4.9515000000006637E-3</v>
      </c>
      <c r="FE19" s="160">
        <f>Hourly_kWh!EF19</f>
        <v>0.41093600000021979</v>
      </c>
      <c r="FF19" s="160">
        <f>Hourly_kWh!EG19</f>
        <v>0</v>
      </c>
      <c r="FG19" s="160">
        <f>Hourly_kWh!EH19</f>
        <v>8.5759999999481806E-3</v>
      </c>
      <c r="FH19" s="160">
        <f>Hourly_kWh!EI19</f>
        <v>2.0991999999978361E-2</v>
      </c>
      <c r="FI19" s="160">
        <f>Hourly_kWh!EJ19</f>
        <v>6.5600000000358705E-3</v>
      </c>
      <c r="FJ19" s="160">
        <f>Hourly_kWh!EK19</f>
        <v>0</v>
      </c>
      <c r="FK19" s="160">
        <f>Hourly_kWh!EL19</f>
        <v>0.11968000000001666</v>
      </c>
      <c r="FL19" s="160">
        <f>Hourly_kWh!EM19</f>
        <v>0.14822400000002744</v>
      </c>
      <c r="FM19" s="160">
        <f>Hourly_kWh!EN19</f>
        <v>0</v>
      </c>
      <c r="FN19" s="160">
        <f>Hourly_kWh!EO19</f>
        <v>7.6799999999366264E-4</v>
      </c>
      <c r="FO19" s="160">
        <f>Hourly_kWh!EP19</f>
        <v>0</v>
      </c>
      <c r="FP19" s="160">
        <f>Hourly_kWh!ER19</f>
        <v>0.1014809999999926</v>
      </c>
      <c r="FQ19" s="160">
        <f>Hourly_kWh!EQ19</f>
        <v>0</v>
      </c>
      <c r="FR19" s="160">
        <f>Hourly_kWh!M19</f>
        <v>0</v>
      </c>
      <c r="FS19" s="160">
        <f>Hourly_kWh!G19</f>
        <v>0</v>
      </c>
      <c r="FT19" s="160">
        <f>Hourly_kWh!C19</f>
        <v>0</v>
      </c>
      <c r="FU19" s="160">
        <f>Hourly_kWh!D19</f>
        <v>0.3916550000000143</v>
      </c>
      <c r="FV19" s="160">
        <f>Hourly_kWh!E19</f>
        <v>0.33123799999992798</v>
      </c>
      <c r="FW19" s="160">
        <f>Hourly_kWh!F19</f>
        <v>0.37148200000001452</v>
      </c>
      <c r="FX19" s="160">
        <f>Hourly_kWh!Q19</f>
        <v>0</v>
      </c>
      <c r="FY19" s="160">
        <f>Hourly_kWh!R19</f>
        <v>0.38502399999924819</v>
      </c>
      <c r="FZ19" s="160">
        <f>Hourly_kWh!S19</f>
        <v>0.32511999999951513</v>
      </c>
      <c r="GA19" s="160">
        <f>Hourly_kWh!T19</f>
        <v>0.36249600000155624</v>
      </c>
      <c r="GB19" s="160">
        <f t="shared" si="0"/>
        <v>1.1294119999998653</v>
      </c>
      <c r="GC19" s="160">
        <f t="shared" si="1"/>
        <v>1.0444080000002032</v>
      </c>
      <c r="GD19" s="160">
        <f t="shared" si="2"/>
        <v>8.5003999999662128E-2</v>
      </c>
      <c r="GE19" s="159">
        <f t="shared" si="3"/>
        <v>7.5263942653055096E-2</v>
      </c>
    </row>
    <row r="20" spans="2:187" s="150" customFormat="1" ht="32.25" customHeight="1" x14ac:dyDescent="0.25">
      <c r="B20" s="149" t="s">
        <v>677</v>
      </c>
      <c r="C20" s="160">
        <f>Hourly_kWh!H20</f>
        <v>0</v>
      </c>
      <c r="D20" s="160">
        <f>Hourly_kWh!I20</f>
        <v>0</v>
      </c>
      <c r="E20" s="160">
        <f>Hourly_kWh!J20</f>
        <v>0</v>
      </c>
      <c r="F20" s="160">
        <f>Hourly_kWh!K20</f>
        <v>0</v>
      </c>
      <c r="G20" s="160">
        <f>Hourly_kWh!L20</f>
        <v>0</v>
      </c>
      <c r="H20" s="160">
        <f>Hourly_kWh!U20</f>
        <v>2.384800000000098E-2</v>
      </c>
      <c r="I20" s="160">
        <f>Hourly_kWh!P20</f>
        <v>0</v>
      </c>
      <c r="J20" s="160">
        <f>Hourly_kWh!N20</f>
        <v>0</v>
      </c>
      <c r="K20" s="160">
        <f>Hourly_kWh!O20</f>
        <v>0</v>
      </c>
      <c r="L20" s="160">
        <f>Hourly_kWh!B20*0.001</f>
        <v>1.1072500000000001</v>
      </c>
      <c r="M20" s="160">
        <f>Hourly_kWh!AR20</f>
        <v>0.21363199999996141</v>
      </c>
      <c r="N20" s="160">
        <f>Hourly_kWh!BM20</f>
        <v>8.5727999999960502E-2</v>
      </c>
      <c r="O20" s="160">
        <f>Hourly_kWh!CM20</f>
        <v>0.14579200000002857</v>
      </c>
      <c r="P20" s="160">
        <f>Hourly_kWh!DI20</f>
        <v>0.20416000000000167</v>
      </c>
      <c r="Q20" s="160">
        <f>Hourly_kWh!EF20</f>
        <v>0.39152899999953661</v>
      </c>
      <c r="R20" s="119">
        <f>SUM('Zone wise Meter data'!O18:AF18)</f>
        <v>4.7878249999993905E-2</v>
      </c>
      <c r="S20" s="115">
        <f>SUM('Zone wise Meter data'!AG18:AW18)</f>
        <v>0.10036146874999852</v>
      </c>
      <c r="T20" s="115">
        <f>SUM('Zone wise Meter data'!AX18:BA18)</f>
        <v>3.0907500000109778E-2</v>
      </c>
      <c r="U20" s="115">
        <f>SUM('Zone wise Meter data'!BB18:BC18)</f>
        <v>0.13695999999993091</v>
      </c>
      <c r="V20" s="115">
        <f>SUM('Zone wise Meter data'!BD18:BL18)</f>
        <v>0.40247099999983682</v>
      </c>
      <c r="W20" s="115">
        <f>SUM('Zone wise Meter data'!BM18:BX18)</f>
        <v>2.1014999999988682E-3</v>
      </c>
      <c r="X20" s="115">
        <f>SUM('Zone wise Meter data'!BY18:CE18)</f>
        <v>1.4772499999997635E-3</v>
      </c>
      <c r="Y20" s="115">
        <f>SUM('Zone wise Meter data'!CF18:CK18)</f>
        <v>8.9644500000001681E-2</v>
      </c>
      <c r="Z20" s="115">
        <f>SUM('Zone wise Meter data'!CL18:CO18)</f>
        <v>9.478400000003262E-2</v>
      </c>
      <c r="AA20" s="115">
        <f>SUM('Zone wise Meter data'!CP18:DD18)</f>
        <v>1.5477687500002557E-2</v>
      </c>
      <c r="AB20" s="115">
        <f>SUM('Zone wise Meter data'!DE18:DN18)</f>
        <v>1.2718898437499057E-2</v>
      </c>
      <c r="AC20" s="115">
        <f>SUM('Zone wise Meter data'!DO18:ED18)</f>
        <v>0</v>
      </c>
      <c r="AD20" s="160">
        <f>Hourly_kWh!AW20</f>
        <v>6.2015999999971427E-2</v>
      </c>
      <c r="AE20" s="160">
        <f>Hourly_kWh!DS20</f>
        <v>7.4943999999959487E-2</v>
      </c>
      <c r="AF20" s="160">
        <f>Hourly_kWh!EL20</f>
        <v>0.11161599999991267</v>
      </c>
      <c r="AG20" s="160">
        <f>Hourly_kWh!EK20</f>
        <v>0</v>
      </c>
      <c r="AH20" s="160">
        <f>Hourly_kWh!EN20</f>
        <v>0</v>
      </c>
      <c r="AI20" s="160">
        <f>Hourly_kWh!EO20</f>
        <v>7.6799999999366264E-4</v>
      </c>
      <c r="AJ20" s="160">
        <f>Hourly_kWh!EM20</f>
        <v>0.15078399999993053</v>
      </c>
      <c r="AK20" s="160">
        <f>Hourly_kWh!ER20</f>
        <v>0.10136599999999873</v>
      </c>
      <c r="AL20" s="160">
        <f>Hourly_kWh!EI20</f>
        <v>1.2992000000053849E-2</v>
      </c>
      <c r="AM20" s="160">
        <f>Hourly_kWh!EJ20+Hourly_kWh!AS20</f>
        <v>8.7634999999703922E-3</v>
      </c>
      <c r="AN20" s="160">
        <f>Hourly_kWh!CX20+Hourly_kWh!CY20+Hourly_kWh!DC20+Hourly_kWh!DD20</f>
        <v>9.5827499999998622E-3</v>
      </c>
      <c r="AO20" s="160">
        <f>SUM(Hourly_kWh!AI20:AQ20)</f>
        <v>7.4036468749998585E-2</v>
      </c>
      <c r="AP20" s="160">
        <f>SUM(Hourly_kWh!V20:AG20)</f>
        <v>3.7079499999997267E-2</v>
      </c>
      <c r="AQ20" s="160">
        <f>Hourly_kWh!DB20</f>
        <v>4.6809999999997132E-3</v>
      </c>
      <c r="AR20" s="160">
        <f>Hourly_kWh!CO20</f>
        <v>2.1760000000000446E-2</v>
      </c>
      <c r="AS20" s="160">
        <f>Hourly_kWh!BJ20</f>
        <v>0</v>
      </c>
      <c r="AT20" s="160">
        <f>Hourly_kWh!U20</f>
        <v>2.384800000000098E-2</v>
      </c>
      <c r="AU20" s="160">
        <f>Hourly_kWh!V20</f>
        <v>5.9019999999989636E-3</v>
      </c>
      <c r="AV20" s="160">
        <f>Hourly_kWh!W20</f>
        <v>7.4200000000068655E-4</v>
      </c>
      <c r="AW20" s="160">
        <f>Hourly_kWh!X20</f>
        <v>2.3820000000007724E-3</v>
      </c>
      <c r="AX20" s="160">
        <f>Hourly_kWh!Y20</f>
        <v>0</v>
      </c>
      <c r="AY20" s="160">
        <f>Hourly_kWh!Z20</f>
        <v>2.3800000000004928E-3</v>
      </c>
      <c r="AZ20" s="160">
        <f>Hourly_kWh!AA20</f>
        <v>5.2799999999990632E-3</v>
      </c>
      <c r="BA20" s="160">
        <f>Hourly_kWh!AB20</f>
        <v>5.8439999999997383E-3</v>
      </c>
      <c r="BB20" s="160">
        <f>Hourly_kWh!AC20</f>
        <v>7.2559999999981528E-3</v>
      </c>
      <c r="BC20" s="160">
        <f>Hourly_kWh!AD20</f>
        <v>1.6069999999999141E-3</v>
      </c>
      <c r="BD20" s="160">
        <f>Hourly_kWh!AE20</f>
        <v>1.5799999999996928E-3</v>
      </c>
      <c r="BE20" s="160">
        <f>Hourly_kWh!AF20</f>
        <v>0</v>
      </c>
      <c r="BF20" s="160">
        <f>Hourly_kWh!AG20</f>
        <v>4.1064999999997909E-3</v>
      </c>
      <c r="BG20" s="160">
        <f>Hourly_kWh!AH20</f>
        <v>7.9903999999999087E-2</v>
      </c>
      <c r="BH20" s="160">
        <f>Hourly_kWh!AI20</f>
        <v>0</v>
      </c>
      <c r="BI20" s="160">
        <f>Hourly_kWh!AJ20</f>
        <v>1.6084999999996796E-3</v>
      </c>
      <c r="BJ20" s="160">
        <f>Hourly_kWh!AK20</f>
        <v>0</v>
      </c>
      <c r="BK20" s="160">
        <f>Hourly_kWh!AL20</f>
        <v>1.4421968750000014E-2</v>
      </c>
      <c r="BL20" s="160">
        <f>Hourly_kWh!AM20</f>
        <v>2.0415999999997325E-2</v>
      </c>
      <c r="BM20" s="160">
        <f>Hourly_kWh!AN20</f>
        <v>1.5416000000001873E-2</v>
      </c>
      <c r="BN20" s="160">
        <f>Hourly_kWh!AO20</f>
        <v>5.0760000000025229E-3</v>
      </c>
      <c r="BO20" s="160">
        <f>Hourly_kWh!AP20</f>
        <v>3.6059999999977776E-3</v>
      </c>
      <c r="BP20" s="160">
        <f>Hourly_kWh!AQ20</f>
        <v>1.3491999999999393E-2</v>
      </c>
      <c r="BQ20" s="160">
        <f>Hourly_kWh!AR20</f>
        <v>0.21363199999996141</v>
      </c>
      <c r="BR20" s="160">
        <f>Hourly_kWh!AS20</f>
        <v>2.2675000000003109E-3</v>
      </c>
      <c r="BS20" s="160">
        <f>Hourly_kWh!AT20</f>
        <v>0</v>
      </c>
      <c r="BT20" s="160">
        <f>Hourly_kWh!AU20</f>
        <v>4.1399999999995885E-3</v>
      </c>
      <c r="BU20" s="160">
        <f>Hourly_kWh!AV20</f>
        <v>3.222499999999684E-3</v>
      </c>
      <c r="BV20" s="160">
        <f>Hourly_kWh!AW20</f>
        <v>6.2015999999971427E-2</v>
      </c>
      <c r="BW20" s="160">
        <f>Hourly_kWh!AX20</f>
        <v>0</v>
      </c>
      <c r="BX20" s="160">
        <f>Hourly_kWh!AY20</f>
        <v>3.8990000000005409E-3</v>
      </c>
      <c r="BY20" s="160">
        <f>Hourly_kWh!AZ20</f>
        <v>0</v>
      </c>
      <c r="BZ20" s="160">
        <f>Hourly_kWh!BA20</f>
        <v>0</v>
      </c>
      <c r="CA20" s="160">
        <f>Hourly_kWh!BB20</f>
        <v>0</v>
      </c>
      <c r="CB20" s="160">
        <f>Hourly_kWh!BC20</f>
        <v>0</v>
      </c>
      <c r="CC20" s="160">
        <f>Hourly_kWh!BD20</f>
        <v>1.5213281249999711E-4</v>
      </c>
      <c r="CD20" s="160">
        <f>Hourly_kWh!BE20</f>
        <v>4.7959999999989122E-3</v>
      </c>
      <c r="CE20" s="160">
        <f>Hourly_kWh!BF20</f>
        <v>0</v>
      </c>
      <c r="CF20" s="160">
        <f>Hourly_kWh!BG20</f>
        <v>4.3999999999932982E-4</v>
      </c>
      <c r="CG20" s="160">
        <f>Hourly_kWh!BH20</f>
        <v>0</v>
      </c>
      <c r="CH20" s="160">
        <f>Hourly_kWh!BI20</f>
        <v>0.11417599999998629</v>
      </c>
      <c r="CI20" s="160">
        <f>Hourly_kWh!BJ20</f>
        <v>0</v>
      </c>
      <c r="CJ20" s="160">
        <f>Hourly_kWh!BK20</f>
        <v>5.5525000000002933E-3</v>
      </c>
      <c r="CK20" s="160">
        <f>Hourly_kWh!BL20</f>
        <v>0</v>
      </c>
      <c r="CL20" s="160">
        <f>Hourly_kWh!BM20</f>
        <v>8.5727999999960502E-2</v>
      </c>
      <c r="CM20" s="160">
        <f>Hourly_kWh!BN20</f>
        <v>0</v>
      </c>
      <c r="CN20" s="160">
        <f>Hourly_kWh!BO20</f>
        <v>1.6059999999988861E-3</v>
      </c>
      <c r="CO20" s="160">
        <f>Hourly_kWh!BP20</f>
        <v>0</v>
      </c>
      <c r="CP20" s="160">
        <f>Hourly_kWh!BQ20</f>
        <v>0</v>
      </c>
      <c r="CQ20" s="160">
        <f>Hourly_kWh!BR20</f>
        <v>0</v>
      </c>
      <c r="CR20" s="160">
        <f>Hourly_kWh!BS20</f>
        <v>0</v>
      </c>
      <c r="CS20" s="160">
        <f>Hourly_kWh!BT20</f>
        <v>1.1423999999998102E-2</v>
      </c>
      <c r="CT20" s="160">
        <f>Hourly_kWh!BU20</f>
        <v>0</v>
      </c>
      <c r="CU20" s="160">
        <f>Hourly_kWh!BV20</f>
        <v>0</v>
      </c>
      <c r="CV20" s="160">
        <f>Hourly_kWh!BW20</f>
        <v>0</v>
      </c>
      <c r="CW20" s="160">
        <f>Hourly_kWh!BX20</f>
        <v>0</v>
      </c>
      <c r="CX20" s="160">
        <f>Hourly_kWh!BY20</f>
        <v>0</v>
      </c>
      <c r="CY20" s="160">
        <f>Hourly_kWh!BZ20</f>
        <v>4.843200000000536E-2</v>
      </c>
      <c r="CZ20" s="160">
        <f>Hourly_kWh!CA20</f>
        <v>1.1399500000000007E-2</v>
      </c>
      <c r="DA20" s="160">
        <f>Hourly_kWh!CB20</f>
        <v>0</v>
      </c>
      <c r="DB20" s="160">
        <f>Hourly_kWh!CC20</f>
        <v>0</v>
      </c>
      <c r="DC20" s="160">
        <f>Hourly_kWh!CD20</f>
        <v>0</v>
      </c>
      <c r="DD20" s="160">
        <f>Hourly_kWh!CE20</f>
        <v>0</v>
      </c>
      <c r="DE20" s="160">
        <f>Hourly_kWh!CF20</f>
        <v>6.6399999999866566E-4</v>
      </c>
      <c r="DF20" s="160">
        <f>Hourly_kWh!CG20</f>
        <v>0</v>
      </c>
      <c r="DG20" s="160">
        <f>Hourly_kWh!CH20</f>
        <v>8.1599999999992789E-4</v>
      </c>
      <c r="DH20" s="160">
        <f>Hourly_kWh!CI20</f>
        <v>0</v>
      </c>
      <c r="DI20" s="160">
        <f>Hourly_kWh!CJ20</f>
        <v>0</v>
      </c>
      <c r="DJ20" s="160">
        <f>Hourly_kWh!CK20</f>
        <v>0</v>
      </c>
      <c r="DK20" s="160">
        <f>Hourly_kWh!CL20</f>
        <v>5.0199999999733791E-4</v>
      </c>
      <c r="DL20" s="160">
        <f>Hourly_kWh!CM20</f>
        <v>0.14579200000002857</v>
      </c>
      <c r="DM20" s="160">
        <f>Hourly_kWh!CN20</f>
        <v>2.499000000000251E-3</v>
      </c>
      <c r="DN20" s="160">
        <f>Hourly_kWh!CO20</f>
        <v>2.1760000000000446E-2</v>
      </c>
      <c r="DO20" s="160">
        <f>Hourly_kWh!CP20</f>
        <v>0</v>
      </c>
      <c r="DP20" s="160">
        <f>Hourly_kWh!CQ20</f>
        <v>0</v>
      </c>
      <c r="DQ20" s="160">
        <f>Hourly_kWh!CR20</f>
        <v>4.1790000000005989E-3</v>
      </c>
      <c r="DR20" s="160">
        <f>Hourly_kWh!CS20</f>
        <v>0</v>
      </c>
      <c r="DS20" s="160">
        <f>Hourly_kWh!CT20</f>
        <v>1.5199999999992997E-4</v>
      </c>
      <c r="DT20" s="160">
        <f>Hourly_kWh!CU20</f>
        <v>0</v>
      </c>
      <c r="DU20" s="160">
        <f>Hourly_kWh!CV20</f>
        <v>6.6124999999983558E-4</v>
      </c>
      <c r="DV20" s="160">
        <f>Hourly_kWh!CW20</f>
        <v>0</v>
      </c>
      <c r="DW20" s="160">
        <f>Hourly_kWh!CX20</f>
        <v>0</v>
      </c>
      <c r="DX20" s="160">
        <f>Hourly_kWh!CY20</f>
        <v>6.5299999999979264E-4</v>
      </c>
      <c r="DY20" s="160">
        <f>Hourly_kWh!CZ20</f>
        <v>4.9549999999998207E-4</v>
      </c>
      <c r="DZ20" s="160">
        <f>Hourly_kWh!DA20</f>
        <v>1.1496000000001061E-2</v>
      </c>
      <c r="EA20" s="160">
        <f>Hourly_kWh!DB20</f>
        <v>4.6809999999997132E-3</v>
      </c>
      <c r="EB20" s="160">
        <f>Hourly_kWh!DC20</f>
        <v>7.7567499999999789E-3</v>
      </c>
      <c r="EC20" s="160">
        <f>Hourly_kWh!DD20</f>
        <v>1.1730000000000906E-3</v>
      </c>
      <c r="ED20" s="160">
        <f>Hourly_kWh!DE20</f>
        <v>0</v>
      </c>
      <c r="EE20" s="160">
        <f>Hourly_kWh!DF20</f>
        <v>0</v>
      </c>
      <c r="EF20" s="160">
        <f>Hourly_kWh!DG20</f>
        <v>0</v>
      </c>
      <c r="EG20" s="160">
        <f>Hourly_kWh!DH20</f>
        <v>1.0664999999994151E-3</v>
      </c>
      <c r="EH20" s="160">
        <f>Hourly_kWh!DI20</f>
        <v>0.20416000000000167</v>
      </c>
      <c r="EI20" s="160">
        <f>Hourly_kWh!DJ20</f>
        <v>0</v>
      </c>
      <c r="EJ20" s="160">
        <f>Hourly_kWh!DK20</f>
        <v>2.8040000000011389E-3</v>
      </c>
      <c r="EK20" s="160">
        <f>Hourly_kWh!DL20</f>
        <v>4.9726562499999294E-4</v>
      </c>
      <c r="EL20" s="160">
        <f>Hourly_kWh!DM20</f>
        <v>1.462999999999326E-3</v>
      </c>
      <c r="EM20" s="160">
        <f>Hourly_kWh!DN20</f>
        <v>0</v>
      </c>
      <c r="EN20" s="160">
        <f>Hourly_kWh!DO20</f>
        <v>3.9840000000026521E-3</v>
      </c>
      <c r="EO20" s="160">
        <f>Hourly_kWh!DP20</f>
        <v>1.812000000001035E-3</v>
      </c>
      <c r="EP20" s="160">
        <f>Hourly_kWh!DQ20</f>
        <v>0</v>
      </c>
      <c r="EQ20" s="160">
        <f>Hourly_kWh!DR20</f>
        <v>0</v>
      </c>
      <c r="ER20" s="160">
        <f>Hourly_kWh!DS20</f>
        <v>7.4943999999959487E-2</v>
      </c>
      <c r="ES20" s="160">
        <f>Hourly_kWh!DT20</f>
        <v>1.7724999999999547E-2</v>
      </c>
      <c r="ET20" s="160">
        <f>Hourly_kWh!DU20</f>
        <v>0</v>
      </c>
      <c r="EU20" s="160">
        <f>Hourly_kWh!DV20</f>
        <v>6.3674999999996373E-4</v>
      </c>
      <c r="EV20" s="160">
        <f>Hourly_kWh!DW20</f>
        <v>0</v>
      </c>
      <c r="EW20" s="160">
        <f>Hourly_kWh!DX20</f>
        <v>3.540999999998462E-3</v>
      </c>
      <c r="EX20" s="160">
        <f>Hourly_kWh!DY20</f>
        <v>2.0443749999998762E-4</v>
      </c>
      <c r="EY20" s="160">
        <f>Hourly_kWh!DZ20</f>
        <v>4.8840000000005546E-3</v>
      </c>
      <c r="EZ20" s="160">
        <f>Hourly_kWh!EA20</f>
        <v>0</v>
      </c>
      <c r="FA20" s="160">
        <f>Hourly_kWh!EB20</f>
        <v>6.3920000000024402E-2</v>
      </c>
      <c r="FB20" s="160">
        <f>Hourly_kWh!EC20</f>
        <v>3.0864000000008218E-2</v>
      </c>
      <c r="FC20" s="160">
        <f>Hourly_kWh!ED20</f>
        <v>2.6349999999997209E-4</v>
      </c>
      <c r="FD20" s="160">
        <f>Hourly_kWh!EE20</f>
        <v>5.0469999999993576E-3</v>
      </c>
      <c r="FE20" s="160">
        <f>Hourly_kWh!EF20</f>
        <v>0.39152899999953661</v>
      </c>
      <c r="FF20" s="160">
        <f>Hourly_kWh!EG20</f>
        <v>0</v>
      </c>
      <c r="FG20" s="160">
        <f>Hourly_kWh!EH20</f>
        <v>9.1520000000855362E-3</v>
      </c>
      <c r="FH20" s="160">
        <f>Hourly_kWh!EI20</f>
        <v>1.2992000000053849E-2</v>
      </c>
      <c r="FI20" s="160">
        <f>Hourly_kWh!EJ20</f>
        <v>6.4959999999700813E-3</v>
      </c>
      <c r="FJ20" s="160">
        <f>Hourly_kWh!EK20</f>
        <v>0</v>
      </c>
      <c r="FK20" s="160">
        <f>Hourly_kWh!EL20</f>
        <v>0.11161599999991267</v>
      </c>
      <c r="FL20" s="160">
        <f>Hourly_kWh!EM20</f>
        <v>0.15078399999993053</v>
      </c>
      <c r="FM20" s="160">
        <f>Hourly_kWh!EN20</f>
        <v>0</v>
      </c>
      <c r="FN20" s="160">
        <f>Hourly_kWh!EO20</f>
        <v>7.6799999999366264E-4</v>
      </c>
      <c r="FO20" s="160">
        <f>Hourly_kWh!EP20</f>
        <v>0</v>
      </c>
      <c r="FP20" s="160">
        <f>Hourly_kWh!ER20</f>
        <v>0.10136599999999873</v>
      </c>
      <c r="FQ20" s="160">
        <f>Hourly_kWh!EQ20</f>
        <v>0</v>
      </c>
      <c r="FR20" s="160">
        <f>Hourly_kWh!M20</f>
        <v>0</v>
      </c>
      <c r="FS20" s="160">
        <f>Hourly_kWh!G20</f>
        <v>0</v>
      </c>
      <c r="FT20" s="160">
        <f>Hourly_kWh!C20</f>
        <v>0</v>
      </c>
      <c r="FU20" s="160">
        <f>Hourly_kWh!D20</f>
        <v>0.40068400000006932</v>
      </c>
      <c r="FV20" s="160">
        <f>Hourly_kWh!E20</f>
        <v>0.34076099999998632</v>
      </c>
      <c r="FW20" s="160">
        <f>Hourly_kWh!F20</f>
        <v>0.3781659999999647</v>
      </c>
      <c r="FX20" s="160">
        <f>Hourly_kWh!Q20</f>
        <v>0</v>
      </c>
      <c r="FY20" s="160">
        <f>Hourly_kWh!R20</f>
        <v>0.39321600000039325</v>
      </c>
      <c r="FZ20" s="160">
        <f>Hourly_kWh!S20</f>
        <v>0.32409600000028149</v>
      </c>
      <c r="GA20" s="160">
        <f>Hourly_kWh!T20</f>
        <v>0.36659199999849079</v>
      </c>
      <c r="GB20" s="160">
        <f t="shared" si="0"/>
        <v>1.131098000000001</v>
      </c>
      <c r="GC20" s="160">
        <f t="shared" si="1"/>
        <v>1.0408409999994888</v>
      </c>
      <c r="GD20" s="160">
        <f t="shared" si="2"/>
        <v>9.0257000000512289E-2</v>
      </c>
      <c r="GE20" s="159">
        <f t="shared" si="3"/>
        <v>7.9795915120097649E-2</v>
      </c>
    </row>
    <row r="21" spans="2:187" s="150" customFormat="1" ht="32.25" customHeight="1" x14ac:dyDescent="0.25">
      <c r="B21" s="149" t="s">
        <v>678</v>
      </c>
      <c r="C21" s="160">
        <f>Hourly_kWh!H21</f>
        <v>0</v>
      </c>
      <c r="D21" s="160">
        <f>Hourly_kWh!I21</f>
        <v>0</v>
      </c>
      <c r="E21" s="160">
        <f>Hourly_kWh!J21</f>
        <v>0</v>
      </c>
      <c r="F21" s="160">
        <f>Hourly_kWh!K21</f>
        <v>0</v>
      </c>
      <c r="G21" s="160">
        <f>Hourly_kWh!L21</f>
        <v>0</v>
      </c>
      <c r="H21" s="160">
        <f>Hourly_kWh!U21</f>
        <v>2.2792000000009693E-2</v>
      </c>
      <c r="I21" s="160">
        <f>Hourly_kWh!P21</f>
        <v>0</v>
      </c>
      <c r="J21" s="160">
        <f>Hourly_kWh!N21</f>
        <v>0</v>
      </c>
      <c r="K21" s="160">
        <f>Hourly_kWh!O21</f>
        <v>0</v>
      </c>
      <c r="L21" s="160">
        <f>Hourly_kWh!B21*0.001</f>
        <v>1.0855000000000001</v>
      </c>
      <c r="M21" s="160">
        <f>Hourly_kWh!AR21</f>
        <v>0.201663999999937</v>
      </c>
      <c r="N21" s="160">
        <f>Hourly_kWh!BM21</f>
        <v>8.636800000004996E-2</v>
      </c>
      <c r="O21" s="160">
        <f>Hourly_kWh!CM21</f>
        <v>0.14272000000005391</v>
      </c>
      <c r="P21" s="160">
        <f>Hourly_kWh!DI21</f>
        <v>0.2136960000000272</v>
      </c>
      <c r="Q21" s="160">
        <f>Hourly_kWh!EF21</f>
        <v>0.34852000000137195</v>
      </c>
      <c r="R21" s="119">
        <f>SUM('Zone wise Meter data'!O19:AF19)</f>
        <v>4.9844500000004288E-2</v>
      </c>
      <c r="S21" s="115">
        <f>SUM('Zone wise Meter data'!AG19:AW19)</f>
        <v>0.10000256250002015</v>
      </c>
      <c r="T21" s="115">
        <f>SUM('Zone wise Meter data'!AX19:BA19)</f>
        <v>4.1308999999925433E-2</v>
      </c>
      <c r="U21" s="115">
        <f>SUM('Zone wise Meter data'!BB19:BC19)</f>
        <v>0.13452800000004572</v>
      </c>
      <c r="V21" s="115">
        <f>SUM('Zone wise Meter data'!BD19:BL19)</f>
        <v>0.35874100000010323</v>
      </c>
      <c r="W21" s="115">
        <f>SUM('Zone wise Meter data'!BM19:BX19)</f>
        <v>2.0975000000018618E-3</v>
      </c>
      <c r="X21" s="115">
        <f>SUM('Zone wise Meter data'!BY19:CE19)</f>
        <v>1.3498750000002779E-3</v>
      </c>
      <c r="Y21" s="115">
        <f>SUM('Zone wise Meter data'!CF19:CK19)</f>
        <v>9.3551312500005479E-2</v>
      </c>
      <c r="Z21" s="115">
        <f>SUM('Zone wise Meter data'!CL19:CO19)</f>
        <v>9.6527999999977965E-2</v>
      </c>
      <c r="AA21" s="115">
        <f>SUM('Zone wise Meter data'!CP19:DD19)</f>
        <v>1.4695749999999563E-2</v>
      </c>
      <c r="AB21" s="115">
        <f>SUM('Zone wise Meter data'!DE19:DN19)</f>
        <v>1.2800484375003349E-2</v>
      </c>
      <c r="AC21" s="115">
        <f>SUM('Zone wise Meter data'!DO19:ED19)</f>
        <v>0</v>
      </c>
      <c r="AD21" s="160">
        <f>Hourly_kWh!AW21</f>
        <v>5.3888000000029024E-2</v>
      </c>
      <c r="AE21" s="160">
        <f>Hourly_kWh!DS21</f>
        <v>8.0640000000016698E-2</v>
      </c>
      <c r="AF21" s="160">
        <f>Hourly_kWh!EL21</f>
        <v>8.5888000000068132E-2</v>
      </c>
      <c r="AG21" s="160">
        <f>Hourly_kWh!EK21</f>
        <v>0</v>
      </c>
      <c r="AH21" s="160">
        <f>Hourly_kWh!EN21</f>
        <v>0</v>
      </c>
      <c r="AI21" s="160">
        <f>Hourly_kWh!EO21</f>
        <v>7.6799999999366264E-4</v>
      </c>
      <c r="AJ21" s="160">
        <f>Hourly_kWh!EM21</f>
        <v>0.14822400000002744</v>
      </c>
      <c r="AK21" s="160">
        <f>Hourly_kWh!ER21</f>
        <v>9.0054000000009182E-2</v>
      </c>
      <c r="AL21" s="160">
        <f>Hourly_kWh!EI21</f>
        <v>1.9584000000008928E-2</v>
      </c>
      <c r="AM21" s="160">
        <f>Hourly_kWh!EJ21+Hourly_kWh!AS21</f>
        <v>9.4370000000179033E-3</v>
      </c>
      <c r="AN21" s="160">
        <f>Hourly_kWh!CX21+Hourly_kWh!CY21+Hourly_kWh!DC21+Hourly_kWh!DD21</f>
        <v>9.8454999999999515E-3</v>
      </c>
      <c r="AO21" s="160">
        <f>SUM(Hourly_kWh!AI21:AQ21)</f>
        <v>7.3841562500020053E-2</v>
      </c>
      <c r="AP21" s="160">
        <f>SUM(Hourly_kWh!V21:AG21)</f>
        <v>3.5888500000004875E-2</v>
      </c>
      <c r="AQ21" s="160">
        <f>Hourly_kWh!DB21</f>
        <v>4.4669999999999987E-3</v>
      </c>
      <c r="AR21" s="160">
        <f>Hourly_kWh!CO21</f>
        <v>1.7672000000004573E-2</v>
      </c>
      <c r="AS21" s="160">
        <f>Hourly_kWh!BJ21</f>
        <v>0</v>
      </c>
      <c r="AT21" s="160">
        <f>Hourly_kWh!U21</f>
        <v>2.2792000000009693E-2</v>
      </c>
      <c r="AU21" s="160">
        <f>Hourly_kWh!V21</f>
        <v>6.0420000000043217E-3</v>
      </c>
      <c r="AV21" s="160">
        <f>Hourly_kWh!W21</f>
        <v>7.8599999999973136E-4</v>
      </c>
      <c r="AW21" s="160">
        <f>Hourly_kWh!X21</f>
        <v>2.3920000000003938E-3</v>
      </c>
      <c r="AX21" s="160">
        <f>Hourly_kWh!Y21</f>
        <v>0</v>
      </c>
      <c r="AY21" s="160">
        <f>Hourly_kWh!Z21</f>
        <v>1.3470000000008753E-3</v>
      </c>
      <c r="AZ21" s="160">
        <f>Hourly_kWh!AA21</f>
        <v>5.150000000000432E-3</v>
      </c>
      <c r="BA21" s="160">
        <f>Hourly_kWh!AB21</f>
        <v>5.9499999999985675E-3</v>
      </c>
      <c r="BB21" s="160">
        <f>Hourly_kWh!AC21</f>
        <v>7.2820000000000107E-3</v>
      </c>
      <c r="BC21" s="160">
        <f>Hourly_kWh!AD21</f>
        <v>1.7230000000001411E-3</v>
      </c>
      <c r="BD21" s="160">
        <f>Hourly_kWh!AE21</f>
        <v>9.5449999999974722E-4</v>
      </c>
      <c r="BE21" s="160">
        <f>Hourly_kWh!AF21</f>
        <v>0</v>
      </c>
      <c r="BF21" s="160">
        <f>Hourly_kWh!AG21</f>
        <v>4.2620000000006542E-3</v>
      </c>
      <c r="BG21" s="160">
        <f>Hourly_kWh!AH21</f>
        <v>8.0640000000016698E-2</v>
      </c>
      <c r="BH21" s="160">
        <f>Hourly_kWh!AI21</f>
        <v>0</v>
      </c>
      <c r="BI21" s="160">
        <f>Hourly_kWh!AJ21</f>
        <v>1.467500000000399E-3</v>
      </c>
      <c r="BJ21" s="160">
        <f>Hourly_kWh!AK21</f>
        <v>0</v>
      </c>
      <c r="BK21" s="160">
        <f>Hourly_kWh!AL21</f>
        <v>1.3902062500000034E-2</v>
      </c>
      <c r="BL21" s="160">
        <f>Hourly_kWh!AM21</f>
        <v>1.9664000000005899E-2</v>
      </c>
      <c r="BM21" s="160">
        <f>Hourly_kWh!AN21</f>
        <v>1.5832000000003177E-2</v>
      </c>
      <c r="BN21" s="160">
        <f>Hourly_kWh!AO21</f>
        <v>5.1399999999972579E-3</v>
      </c>
      <c r="BO21" s="160">
        <f>Hourly_kWh!AP21</f>
        <v>3.6000000000022681E-3</v>
      </c>
      <c r="BP21" s="160">
        <f>Hourly_kWh!AQ21</f>
        <v>1.4236000000011018E-2</v>
      </c>
      <c r="BQ21" s="160">
        <f>Hourly_kWh!AR21</f>
        <v>0.201663999999937</v>
      </c>
      <c r="BR21" s="160">
        <f>Hourly_kWh!AS21</f>
        <v>3.0049999999999244E-3</v>
      </c>
      <c r="BS21" s="160">
        <f>Hourly_kWh!AT21</f>
        <v>0</v>
      </c>
      <c r="BT21" s="160">
        <f>Hourly_kWh!AU21</f>
        <v>4.0680000000037353E-3</v>
      </c>
      <c r="BU21" s="160">
        <f>Hourly_kWh!AV21</f>
        <v>3.2285000000005226E-3</v>
      </c>
      <c r="BV21" s="160">
        <f>Hourly_kWh!AW21</f>
        <v>5.3888000000029024E-2</v>
      </c>
      <c r="BW21" s="160">
        <f>Hourly_kWh!AX21</f>
        <v>0</v>
      </c>
      <c r="BX21" s="160">
        <f>Hourly_kWh!AY21</f>
        <v>3.5389999999999588E-3</v>
      </c>
      <c r="BY21" s="160">
        <f>Hourly_kWh!AZ21</f>
        <v>0</v>
      </c>
      <c r="BZ21" s="160">
        <f>Hourly_kWh!BA21</f>
        <v>0</v>
      </c>
      <c r="CA21" s="160">
        <f>Hourly_kWh!BB21</f>
        <v>0</v>
      </c>
      <c r="CB21" s="160">
        <f>Hourly_kWh!BC21</f>
        <v>0</v>
      </c>
      <c r="CC21" s="160">
        <f>Hourly_kWh!BD21</f>
        <v>2.0595312500000518E-4</v>
      </c>
      <c r="CD21" s="160">
        <f>Hourly_kWh!BE21</f>
        <v>4.7959999999989122E-3</v>
      </c>
      <c r="CE21" s="160">
        <f>Hourly_kWh!BF21</f>
        <v>0</v>
      </c>
      <c r="CF21" s="160">
        <f>Hourly_kWh!BG21</f>
        <v>4.3999999999932982E-4</v>
      </c>
      <c r="CG21" s="160">
        <f>Hourly_kWh!BH21</f>
        <v>0</v>
      </c>
      <c r="CH21" s="160">
        <f>Hourly_kWh!BI21</f>
        <v>0.11244799999997213</v>
      </c>
      <c r="CI21" s="160">
        <f>Hourly_kWh!BJ21</f>
        <v>0</v>
      </c>
      <c r="CJ21" s="160">
        <f>Hourly_kWh!BK21</f>
        <v>5.5994999999997574E-3</v>
      </c>
      <c r="CK21" s="160">
        <f>Hourly_kWh!BL21</f>
        <v>0</v>
      </c>
      <c r="CL21" s="160">
        <f>Hourly_kWh!BM21</f>
        <v>8.636800000004996E-2</v>
      </c>
      <c r="CM21" s="160">
        <f>Hourly_kWh!BN21</f>
        <v>0</v>
      </c>
      <c r="CN21" s="160">
        <f>Hourly_kWh!BO21</f>
        <v>1.6020000000018797E-3</v>
      </c>
      <c r="CO21" s="160">
        <f>Hourly_kWh!BP21</f>
        <v>0</v>
      </c>
      <c r="CP21" s="160">
        <f>Hourly_kWh!BQ21</f>
        <v>0</v>
      </c>
      <c r="CQ21" s="160">
        <f>Hourly_kWh!BR21</f>
        <v>0</v>
      </c>
      <c r="CR21" s="160">
        <f>Hourly_kWh!BS21</f>
        <v>0</v>
      </c>
      <c r="CS21" s="160">
        <f>Hourly_kWh!BT21</f>
        <v>1.1820000000000164E-2</v>
      </c>
      <c r="CT21" s="160">
        <f>Hourly_kWh!BU21</f>
        <v>0</v>
      </c>
      <c r="CU21" s="160">
        <f>Hourly_kWh!BV21</f>
        <v>0</v>
      </c>
      <c r="CV21" s="160">
        <f>Hourly_kWh!BW21</f>
        <v>0</v>
      </c>
      <c r="CW21" s="160">
        <f>Hourly_kWh!BX21</f>
        <v>0</v>
      </c>
      <c r="CX21" s="160">
        <f>Hourly_kWh!BY21</f>
        <v>0</v>
      </c>
      <c r="CY21" s="160">
        <f>Hourly_kWh!BZ21</f>
        <v>5.2896000000004051E-2</v>
      </c>
      <c r="CZ21" s="160">
        <f>Hourly_kWh!CA21</f>
        <v>1.2553312500000025E-2</v>
      </c>
      <c r="DA21" s="160">
        <f>Hourly_kWh!CB21</f>
        <v>0</v>
      </c>
      <c r="DB21" s="160">
        <f>Hourly_kWh!CC21</f>
        <v>0</v>
      </c>
      <c r="DC21" s="160">
        <f>Hourly_kWh!CD21</f>
        <v>0</v>
      </c>
      <c r="DD21" s="160">
        <f>Hourly_kWh!CE21</f>
        <v>0</v>
      </c>
      <c r="DE21" s="160">
        <f>Hourly_kWh!CF21</f>
        <v>6.9400000000108264E-4</v>
      </c>
      <c r="DF21" s="160">
        <f>Hourly_kWh!CG21</f>
        <v>0</v>
      </c>
      <c r="DG21" s="160">
        <f>Hourly_kWh!CH21</f>
        <v>8.1325000000020964E-4</v>
      </c>
      <c r="DH21" s="160">
        <f>Hourly_kWh!CI21</f>
        <v>0</v>
      </c>
      <c r="DI21" s="160">
        <f>Hourly_kWh!CJ21</f>
        <v>0</v>
      </c>
      <c r="DJ21" s="160">
        <f>Hourly_kWh!CK21</f>
        <v>0</v>
      </c>
      <c r="DK21" s="160">
        <f>Hourly_kWh!CL21</f>
        <v>6.8600000000174077E-4</v>
      </c>
      <c r="DL21" s="160">
        <f>Hourly_kWh!CM21</f>
        <v>0.14272000000005391</v>
      </c>
      <c r="DM21" s="160">
        <f>Hourly_kWh!CN21</f>
        <v>2.8150000000000119E-3</v>
      </c>
      <c r="DN21" s="160">
        <f>Hourly_kWh!CO21</f>
        <v>1.7672000000004573E-2</v>
      </c>
      <c r="DO21" s="160">
        <f>Hourly_kWh!CP21</f>
        <v>0</v>
      </c>
      <c r="DP21" s="160">
        <f>Hourly_kWh!CQ21</f>
        <v>0</v>
      </c>
      <c r="DQ21" s="160">
        <f>Hourly_kWh!CR21</f>
        <v>4.6659999999985047E-3</v>
      </c>
      <c r="DR21" s="160">
        <f>Hourly_kWh!CS21</f>
        <v>0</v>
      </c>
      <c r="DS21" s="160">
        <f>Hourly_kWh!CT21</f>
        <v>1.5199999999992997E-4</v>
      </c>
      <c r="DT21" s="160">
        <f>Hourly_kWh!CU21</f>
        <v>0</v>
      </c>
      <c r="DU21" s="160">
        <f>Hourly_kWh!CV21</f>
        <v>5.366250000000683E-4</v>
      </c>
      <c r="DV21" s="160">
        <f>Hourly_kWh!CW21</f>
        <v>0</v>
      </c>
      <c r="DW21" s="160">
        <f>Hourly_kWh!CX21</f>
        <v>0</v>
      </c>
      <c r="DX21" s="160">
        <f>Hourly_kWh!CY21</f>
        <v>6.6199999999994041E-4</v>
      </c>
      <c r="DY21" s="160">
        <f>Hourly_kWh!CZ21</f>
        <v>4.9549999999998207E-4</v>
      </c>
      <c r="DZ21" s="160">
        <f>Hourly_kWh!DA21</f>
        <v>1.1668000000000234E-2</v>
      </c>
      <c r="EA21" s="160">
        <f>Hourly_kWh!DB21</f>
        <v>4.4669999999999987E-3</v>
      </c>
      <c r="EB21" s="160">
        <f>Hourly_kWh!DC21</f>
        <v>7.978625000000017E-3</v>
      </c>
      <c r="EC21" s="160">
        <f>Hourly_kWh!DD21</f>
        <v>1.2048749999999941E-3</v>
      </c>
      <c r="ED21" s="160">
        <f>Hourly_kWh!DE21</f>
        <v>0</v>
      </c>
      <c r="EE21" s="160">
        <f>Hourly_kWh!DF21</f>
        <v>0</v>
      </c>
      <c r="EF21" s="160">
        <f>Hourly_kWh!DG21</f>
        <v>0</v>
      </c>
      <c r="EG21" s="160">
        <f>Hourly_kWh!DH21</f>
        <v>1.052000000000497E-3</v>
      </c>
      <c r="EH21" s="160">
        <f>Hourly_kWh!DI21</f>
        <v>0.2136960000000272</v>
      </c>
      <c r="EI21" s="160">
        <f>Hourly_kWh!DJ21</f>
        <v>0</v>
      </c>
      <c r="EJ21" s="160">
        <f>Hourly_kWh!DK21</f>
        <v>2.7739999999987219E-3</v>
      </c>
      <c r="EK21" s="160">
        <f>Hourly_kWh!DL21</f>
        <v>5.0703124999998406E-4</v>
      </c>
      <c r="EL21" s="160">
        <f>Hourly_kWh!DM21</f>
        <v>1.5770000000010498E-3</v>
      </c>
      <c r="EM21" s="160">
        <f>Hourly_kWh!DN21</f>
        <v>0</v>
      </c>
      <c r="EN21" s="160">
        <f>Hourly_kWh!DO21</f>
        <v>3.4559999999999036E-3</v>
      </c>
      <c r="EO21" s="160">
        <f>Hourly_kWh!DP21</f>
        <v>1.8560000000000798E-3</v>
      </c>
      <c r="EP21" s="160">
        <f>Hourly_kWh!DQ21</f>
        <v>0</v>
      </c>
      <c r="EQ21" s="160">
        <f>Hourly_kWh!DR21</f>
        <v>0</v>
      </c>
      <c r="ER21" s="160">
        <f>Hourly_kWh!DS21</f>
        <v>8.0640000000016698E-2</v>
      </c>
      <c r="ES21" s="160">
        <f>Hourly_kWh!DT21</f>
        <v>1.5588000000000157E-2</v>
      </c>
      <c r="ET21" s="160">
        <f>Hourly_kWh!DU21</f>
        <v>0</v>
      </c>
      <c r="EU21" s="160">
        <f>Hourly_kWh!DV21</f>
        <v>6.4825000000023891E-4</v>
      </c>
      <c r="EV21" s="160">
        <f>Hourly_kWh!DW21</f>
        <v>0</v>
      </c>
      <c r="EW21" s="160">
        <f>Hourly_kWh!DX21</f>
        <v>3.5420000000012664E-3</v>
      </c>
      <c r="EX21" s="160">
        <f>Hourly_kWh!DY21</f>
        <v>2.0825000000002092E-4</v>
      </c>
      <c r="EY21" s="160">
        <f>Hourly_kWh!DZ21</f>
        <v>4.5739999999980796E-3</v>
      </c>
      <c r="EZ21" s="160">
        <f>Hourly_kWh!EA21</f>
        <v>0</v>
      </c>
      <c r="FA21" s="160">
        <f>Hourly_kWh!EB21</f>
        <v>6.5695999999974219E-2</v>
      </c>
      <c r="FB21" s="160">
        <f>Hourly_kWh!EC21</f>
        <v>3.0832000000003745E-2</v>
      </c>
      <c r="FC21" s="160">
        <f>Hourly_kWh!ED21</f>
        <v>2.5925000000004417E-4</v>
      </c>
      <c r="FD21" s="160">
        <f>Hourly_kWh!EE21</f>
        <v>7.1180000000001797E-3</v>
      </c>
      <c r="FE21" s="160">
        <f>Hourly_kWh!EF21</f>
        <v>0.34852000000137195</v>
      </c>
      <c r="FF21" s="160">
        <f>Hourly_kWh!EG21</f>
        <v>0</v>
      </c>
      <c r="FG21" s="160">
        <f>Hourly_kWh!EH21</f>
        <v>1.2287999999898602E-2</v>
      </c>
      <c r="FH21" s="160">
        <f>Hourly_kWh!EI21</f>
        <v>1.9584000000008928E-2</v>
      </c>
      <c r="FI21" s="160">
        <f>Hourly_kWh!EJ21</f>
        <v>6.4320000000179789E-3</v>
      </c>
      <c r="FJ21" s="160">
        <f>Hourly_kWh!EK21</f>
        <v>0</v>
      </c>
      <c r="FK21" s="160">
        <f>Hourly_kWh!EL21</f>
        <v>8.5888000000068132E-2</v>
      </c>
      <c r="FL21" s="160">
        <f>Hourly_kWh!EM21</f>
        <v>0.14822400000002744</v>
      </c>
      <c r="FM21" s="160">
        <f>Hourly_kWh!EN21</f>
        <v>0</v>
      </c>
      <c r="FN21" s="160">
        <f>Hourly_kWh!EO21</f>
        <v>7.6799999999366264E-4</v>
      </c>
      <c r="FO21" s="160">
        <f>Hourly_kWh!EP21</f>
        <v>0</v>
      </c>
      <c r="FP21" s="160">
        <f>Hourly_kWh!ER21</f>
        <v>9.0054000000009182E-2</v>
      </c>
      <c r="FQ21" s="160">
        <f>Hourly_kWh!EQ21</f>
        <v>0</v>
      </c>
      <c r="FR21" s="160">
        <f>Hourly_kWh!M21</f>
        <v>0</v>
      </c>
      <c r="FS21" s="160">
        <f>Hourly_kWh!G21</f>
        <v>0</v>
      </c>
      <c r="FT21" s="160">
        <f>Hourly_kWh!C21</f>
        <v>0</v>
      </c>
      <c r="FU21" s="160">
        <f>Hourly_kWh!D21</f>
        <v>0.39025599999990845</v>
      </c>
      <c r="FV21" s="160">
        <f>Hourly_kWh!E21</f>
        <v>0.3305240000000822</v>
      </c>
      <c r="FW21" s="160">
        <f>Hourly_kWh!F21</f>
        <v>0.36917800000003353</v>
      </c>
      <c r="FX21" s="160">
        <f>Hourly_kWh!Q21</f>
        <v>0</v>
      </c>
      <c r="FY21" s="160">
        <f>Hourly_kWh!R21</f>
        <v>0.37683200000174111</v>
      </c>
      <c r="FZ21" s="160">
        <f>Hourly_kWh!S21</f>
        <v>0.32204799999999523</v>
      </c>
      <c r="GA21" s="160">
        <f>Hourly_kWh!T21</f>
        <v>0.35635200000251643</v>
      </c>
      <c r="GB21" s="160">
        <f t="shared" si="0"/>
        <v>1.1082920000000098</v>
      </c>
      <c r="GC21" s="160">
        <f t="shared" si="1"/>
        <v>0.99296800000144003</v>
      </c>
      <c r="GD21" s="160">
        <f t="shared" si="2"/>
        <v>0.11532399999856979</v>
      </c>
      <c r="GE21" s="159">
        <f t="shared" si="3"/>
        <v>0.10405560989213021</v>
      </c>
    </row>
    <row r="22" spans="2:187" s="150" customFormat="1" ht="32.25" customHeight="1" x14ac:dyDescent="0.25">
      <c r="B22" s="149" t="s">
        <v>679</v>
      </c>
      <c r="C22" s="160">
        <f>Hourly_kWh!H22</f>
        <v>0</v>
      </c>
      <c r="D22" s="160">
        <f>Hourly_kWh!I22</f>
        <v>0</v>
      </c>
      <c r="E22" s="160">
        <f>Hourly_kWh!J22</f>
        <v>0</v>
      </c>
      <c r="F22" s="160">
        <f>Hourly_kWh!K22</f>
        <v>0</v>
      </c>
      <c r="G22" s="160">
        <f>Hourly_kWh!L22</f>
        <v>0</v>
      </c>
      <c r="H22" s="160">
        <f>Hourly_kWh!U22</f>
        <v>2.3055999999996857E-2</v>
      </c>
      <c r="I22" s="160">
        <f>Hourly_kWh!P22</f>
        <v>0</v>
      </c>
      <c r="J22" s="160">
        <f>Hourly_kWh!N22</f>
        <v>0</v>
      </c>
      <c r="K22" s="160">
        <f>Hourly_kWh!O22</f>
        <v>0</v>
      </c>
      <c r="L22" s="160">
        <f>Hourly_kWh!B22*0.001</f>
        <v>1.00325</v>
      </c>
      <c r="M22" s="160">
        <f>Hourly_kWh!AR22</f>
        <v>0.19033600000000206</v>
      </c>
      <c r="N22" s="160">
        <f>Hourly_kWh!BM22</f>
        <v>8.095999999994774E-2</v>
      </c>
      <c r="O22" s="160">
        <f>Hourly_kWh!CM22</f>
        <v>0.13593600000012884</v>
      </c>
      <c r="P22" s="160">
        <f>Hourly_kWh!DI22</f>
        <v>0.16025600000000395</v>
      </c>
      <c r="Q22" s="160">
        <f>Hourly_kWh!EF22</f>
        <v>0.37750599999981205</v>
      </c>
      <c r="R22" s="119">
        <f>SUM('Zone wise Meter data'!O20:AF20)</f>
        <v>4.2367874999999389E-2</v>
      </c>
      <c r="S22" s="115">
        <f>SUM('Zone wise Meter data'!AG20:AW20)</f>
        <v>0.10010131250001425</v>
      </c>
      <c r="T22" s="115">
        <f>SUM('Zone wise Meter data'!AX20:BA20)</f>
        <v>4.3708500000007255E-2</v>
      </c>
      <c r="U22" s="115">
        <f>SUM('Zone wise Meter data'!BB20:BC20)</f>
        <v>0.10105599999997139</v>
      </c>
      <c r="V22" s="115">
        <f>SUM('Zone wise Meter data'!BD20:BL20)</f>
        <v>0.37158499999980599</v>
      </c>
      <c r="W22" s="115">
        <f>SUM('Zone wise Meter data'!BM20:BX20)</f>
        <v>2.1135000000001014E-3</v>
      </c>
      <c r="X22" s="115">
        <f>SUM('Zone wise Meter data'!BY20:CE20)</f>
        <v>9.8175000000000345E-4</v>
      </c>
      <c r="Y22" s="115">
        <f>SUM('Zone wise Meter data'!CF20:CK20)</f>
        <v>8.5997562499987579E-2</v>
      </c>
      <c r="Z22" s="115">
        <f>SUM('Zone wise Meter data'!CL20:CO20)</f>
        <v>7.0943999999997231E-2</v>
      </c>
      <c r="AA22" s="115">
        <f>SUM('Zone wise Meter data'!CP20:DD20)</f>
        <v>1.4642750000001481E-2</v>
      </c>
      <c r="AB22" s="115">
        <f>SUM('Zone wise Meter data'!DE20:DN20)</f>
        <v>1.3176312499998052E-2</v>
      </c>
      <c r="AC22" s="115">
        <f>SUM('Zone wise Meter data'!DO20:ED20)</f>
        <v>0</v>
      </c>
      <c r="AD22" s="160">
        <f>Hourly_kWh!AW22</f>
        <v>4.5631999999955042E-2</v>
      </c>
      <c r="AE22" s="160">
        <f>Hourly_kWh!DS22</f>
        <v>5.5424000000016349E-2</v>
      </c>
      <c r="AF22" s="160">
        <f>Hourly_kWh!EL22</f>
        <v>9.6383999999943626E-2</v>
      </c>
      <c r="AG22" s="160">
        <f>Hourly_kWh!EK22</f>
        <v>0</v>
      </c>
      <c r="AH22" s="160">
        <f>Hourly_kWh!EN22</f>
        <v>0</v>
      </c>
      <c r="AI22" s="160">
        <f>Hourly_kWh!EO22</f>
        <v>7.6799999999366264E-4</v>
      </c>
      <c r="AJ22" s="160">
        <f>Hourly_kWh!EM22</f>
        <v>0.14719999999988431</v>
      </c>
      <c r="AK22" s="160">
        <f>Hourly_kWh!ER22</f>
        <v>9.4581999999988398E-2</v>
      </c>
      <c r="AL22" s="160">
        <f>Hourly_kWh!EI22</f>
        <v>2.3871999999983018E-2</v>
      </c>
      <c r="AM22" s="160">
        <f>Hourly_kWh!EJ22+Hourly_kWh!AS22</f>
        <v>8.1884999999877195E-3</v>
      </c>
      <c r="AN22" s="160">
        <f>Hourly_kWh!CX22+Hourly_kWh!CY22+Hourly_kWh!DC22+Hourly_kWh!DD22</f>
        <v>9.7418749999997889E-3</v>
      </c>
      <c r="AO22" s="160">
        <f>SUM(Hourly_kWh!AI22:AQ22)</f>
        <v>7.3233312500012138E-2</v>
      </c>
      <c r="AP22" s="160">
        <f>SUM(Hourly_kWh!V22:AG22)</f>
        <v>3.7027499999997104E-2</v>
      </c>
      <c r="AQ22" s="160">
        <f>Hourly_kWh!DB22</f>
        <v>4.1990000000016181E-3</v>
      </c>
      <c r="AR22" s="160">
        <f>Hourly_kWh!CO22</f>
        <v>1.688000000000045E-2</v>
      </c>
      <c r="AS22" s="160">
        <f>Hourly_kWh!BJ22</f>
        <v>0</v>
      </c>
      <c r="AT22" s="160">
        <f>Hourly_kWh!U22</f>
        <v>2.3055999999996857E-2</v>
      </c>
      <c r="AU22" s="160">
        <f>Hourly_kWh!V22</f>
        <v>5.9959999999961155E-3</v>
      </c>
      <c r="AV22" s="160">
        <f>Hourly_kWh!W22</f>
        <v>1.2209999999992505E-3</v>
      </c>
      <c r="AW22" s="160">
        <f>Hourly_kWh!X22</f>
        <v>2.4420000000002773E-3</v>
      </c>
      <c r="AX22" s="160">
        <f>Hourly_kWh!Y22</f>
        <v>0</v>
      </c>
      <c r="AY22" s="160">
        <f>Hourly_kWh!Z22</f>
        <v>1.2999999999987466E-3</v>
      </c>
      <c r="AZ22" s="160">
        <f>Hourly_kWh!AA22</f>
        <v>4.8859999999990578E-3</v>
      </c>
      <c r="BA22" s="160">
        <f>Hourly_kWh!AB22</f>
        <v>6.0339999999996508E-3</v>
      </c>
      <c r="BB22" s="160">
        <f>Hourly_kWh!AC22</f>
        <v>7.3820000000033303E-3</v>
      </c>
      <c r="BC22" s="160">
        <f>Hourly_kWh!AD22</f>
        <v>2.9350000000007981E-3</v>
      </c>
      <c r="BD22" s="160">
        <f>Hourly_kWh!AE22</f>
        <v>9.1900000000055826E-4</v>
      </c>
      <c r="BE22" s="160">
        <f>Hourly_kWh!AF22</f>
        <v>0</v>
      </c>
      <c r="BF22" s="160">
        <f>Hourly_kWh!AG22</f>
        <v>3.9124999999993193E-3</v>
      </c>
      <c r="BG22" s="160">
        <f>Hourly_kWh!AH22</f>
        <v>7.920000000001437E-2</v>
      </c>
      <c r="BH22" s="160">
        <f>Hourly_kWh!AI22</f>
        <v>0</v>
      </c>
      <c r="BI22" s="160">
        <f>Hourly_kWh!AJ22</f>
        <v>1.3100000000001444E-3</v>
      </c>
      <c r="BJ22" s="160">
        <f>Hourly_kWh!AK22</f>
        <v>0</v>
      </c>
      <c r="BK22" s="160">
        <f>Hourly_kWh!AL22</f>
        <v>1.317531249999998E-2</v>
      </c>
      <c r="BL22" s="160">
        <f>Hourly_kWh!AM22</f>
        <v>2.0368000000004827E-2</v>
      </c>
      <c r="BM22" s="160">
        <f>Hourly_kWh!AN22</f>
        <v>1.5680000000003247E-2</v>
      </c>
      <c r="BN22" s="160">
        <f>Hourly_kWh!AO22</f>
        <v>5.0840000000036412E-3</v>
      </c>
      <c r="BO22" s="160">
        <f>Hourly_kWh!AP22</f>
        <v>3.4439999999982263E-3</v>
      </c>
      <c r="BP22" s="160">
        <f>Hourly_kWh!AQ22</f>
        <v>1.4172000000002072E-2</v>
      </c>
      <c r="BQ22" s="160">
        <f>Hourly_kWh!AR22</f>
        <v>0.19033600000000206</v>
      </c>
      <c r="BR22" s="160">
        <f>Hourly_kWh!AS22</f>
        <v>2.1724999999994665E-3</v>
      </c>
      <c r="BS22" s="160">
        <f>Hourly_kWh!AT22</f>
        <v>0</v>
      </c>
      <c r="BT22" s="160">
        <f>Hourly_kWh!AU22</f>
        <v>3.7200000000012778E-3</v>
      </c>
      <c r="BU22" s="160">
        <f>Hourly_kWh!AV22</f>
        <v>2.0324999999994375E-3</v>
      </c>
      <c r="BV22" s="160">
        <f>Hourly_kWh!AW22</f>
        <v>4.5631999999955042E-2</v>
      </c>
      <c r="BW22" s="160">
        <f>Hourly_kWh!AX22</f>
        <v>0</v>
      </c>
      <c r="BX22" s="160">
        <f>Hourly_kWh!AY22</f>
        <v>2.5040000000000617E-3</v>
      </c>
      <c r="BY22" s="160">
        <f>Hourly_kWh!AZ22</f>
        <v>0</v>
      </c>
      <c r="BZ22" s="160">
        <f>Hourly_kWh!BA22</f>
        <v>0</v>
      </c>
      <c r="CA22" s="160">
        <f>Hourly_kWh!BB22</f>
        <v>0</v>
      </c>
      <c r="CB22" s="160">
        <f>Hourly_kWh!BC22</f>
        <v>0</v>
      </c>
      <c r="CC22" s="160">
        <f>Hourly_kWh!BD22</f>
        <v>1.0023437499999399E-4</v>
      </c>
      <c r="CD22" s="160">
        <f>Hourly_kWh!BE22</f>
        <v>4.8440000000020689E-3</v>
      </c>
      <c r="CE22" s="160">
        <f>Hourly_kWh!BF22</f>
        <v>0</v>
      </c>
      <c r="CF22" s="160">
        <f>Hourly_kWh!BG22</f>
        <v>4.2999999999970839E-4</v>
      </c>
      <c r="CG22" s="160">
        <f>Hourly_kWh!BH22</f>
        <v>2.1999999999984254E-3</v>
      </c>
      <c r="CH22" s="160">
        <f>Hourly_kWh!BI22</f>
        <v>0.10950400000001537</v>
      </c>
      <c r="CI22" s="160">
        <f>Hourly_kWh!BJ22</f>
        <v>0</v>
      </c>
      <c r="CJ22" s="160">
        <f>Hourly_kWh!BK22</f>
        <v>2.2269999999995349E-3</v>
      </c>
      <c r="CK22" s="160">
        <f>Hourly_kWh!BL22</f>
        <v>0</v>
      </c>
      <c r="CL22" s="160">
        <f>Hourly_kWh!BM22</f>
        <v>8.095999999994774E-2</v>
      </c>
      <c r="CM22" s="160">
        <f>Hourly_kWh!BN22</f>
        <v>0</v>
      </c>
      <c r="CN22" s="160">
        <f>Hourly_kWh!BO22</f>
        <v>1.6280000000001849E-3</v>
      </c>
      <c r="CO22" s="160">
        <f>Hourly_kWh!BP22</f>
        <v>0</v>
      </c>
      <c r="CP22" s="160">
        <f>Hourly_kWh!BQ22</f>
        <v>0</v>
      </c>
      <c r="CQ22" s="160">
        <f>Hourly_kWh!BR22</f>
        <v>0</v>
      </c>
      <c r="CR22" s="160">
        <f>Hourly_kWh!BS22</f>
        <v>0</v>
      </c>
      <c r="CS22" s="160">
        <f>Hourly_kWh!BT22</f>
        <v>1.1479999999998824E-2</v>
      </c>
      <c r="CT22" s="160">
        <f>Hourly_kWh!BU22</f>
        <v>0</v>
      </c>
      <c r="CU22" s="160">
        <f>Hourly_kWh!BV22</f>
        <v>0</v>
      </c>
      <c r="CV22" s="160">
        <f>Hourly_kWh!BW22</f>
        <v>0</v>
      </c>
      <c r="CW22" s="160">
        <f>Hourly_kWh!BX22</f>
        <v>0</v>
      </c>
      <c r="CX22" s="160">
        <f>Hourly_kWh!BY22</f>
        <v>0</v>
      </c>
      <c r="CY22" s="160">
        <f>Hourly_kWh!BZ22</f>
        <v>4.3799999999990291E-2</v>
      </c>
      <c r="CZ22" s="160">
        <f>Hourly_kWh!CA22</f>
        <v>1.408406250000005E-2</v>
      </c>
      <c r="DA22" s="160">
        <f>Hourly_kWh!CB22</f>
        <v>0</v>
      </c>
      <c r="DB22" s="160">
        <f>Hourly_kWh!CC22</f>
        <v>0</v>
      </c>
      <c r="DC22" s="160">
        <f>Hourly_kWh!CD22</f>
        <v>0</v>
      </c>
      <c r="DD22" s="160">
        <f>Hourly_kWh!CE22</f>
        <v>0</v>
      </c>
      <c r="DE22" s="160">
        <f>Hourly_kWh!CF22</f>
        <v>7.4699999999872091E-4</v>
      </c>
      <c r="DF22" s="160">
        <f>Hourly_kWh!CG22</f>
        <v>0</v>
      </c>
      <c r="DG22" s="160">
        <f>Hourly_kWh!CH22</f>
        <v>7.8224999999987332E-4</v>
      </c>
      <c r="DH22" s="160">
        <f>Hourly_kWh!CI22</f>
        <v>0</v>
      </c>
      <c r="DI22" s="160">
        <f>Hourly_kWh!CJ22</f>
        <v>0</v>
      </c>
      <c r="DJ22" s="160">
        <f>Hourly_kWh!CK22</f>
        <v>0</v>
      </c>
      <c r="DK22" s="160">
        <f>Hourly_kWh!CL22</f>
        <v>1.0520000000013852E-3</v>
      </c>
      <c r="DL22" s="160">
        <f>Hourly_kWh!CM22</f>
        <v>0.13593600000012884</v>
      </c>
      <c r="DM22" s="160">
        <f>Hourly_kWh!CN22</f>
        <v>2.7059999999998752E-3</v>
      </c>
      <c r="DN22" s="160">
        <f>Hourly_kWh!CO22</f>
        <v>1.688000000000045E-2</v>
      </c>
      <c r="DO22" s="160">
        <f>Hourly_kWh!CP22</f>
        <v>0</v>
      </c>
      <c r="DP22" s="160">
        <f>Hourly_kWh!CQ22</f>
        <v>0</v>
      </c>
      <c r="DQ22" s="160">
        <f>Hourly_kWh!CR22</f>
        <v>3.9960000000007767E-3</v>
      </c>
      <c r="DR22" s="160">
        <f>Hourly_kWh!CS22</f>
        <v>0</v>
      </c>
      <c r="DS22" s="160">
        <f>Hourly_kWh!CT22</f>
        <v>1.5199999999992997E-4</v>
      </c>
      <c r="DT22" s="160">
        <f>Hourly_kWh!CU22</f>
        <v>0</v>
      </c>
      <c r="DU22" s="160">
        <f>Hourly_kWh!CV22</f>
        <v>1.9950000000013013E-4</v>
      </c>
      <c r="DV22" s="160">
        <f>Hourly_kWh!CW22</f>
        <v>0</v>
      </c>
      <c r="DW22" s="160">
        <f>Hourly_kWh!CX22</f>
        <v>0</v>
      </c>
      <c r="DX22" s="160">
        <f>Hourly_kWh!CY22</f>
        <v>6.0400000000004894E-4</v>
      </c>
      <c r="DY22" s="160">
        <f>Hourly_kWh!CZ22</f>
        <v>4.8549999999991655E-4</v>
      </c>
      <c r="DZ22" s="160">
        <f>Hourly_kWh!DA22</f>
        <v>1.157199999999392E-2</v>
      </c>
      <c r="EA22" s="160">
        <f>Hourly_kWh!DB22</f>
        <v>4.1990000000016181E-3</v>
      </c>
      <c r="EB22" s="160">
        <f>Hourly_kWh!DC22</f>
        <v>7.9399999999998361E-3</v>
      </c>
      <c r="EC22" s="160">
        <f>Hourly_kWh!DD22</f>
        <v>1.1978749999999039E-3</v>
      </c>
      <c r="ED22" s="160">
        <f>Hourly_kWh!DE22</f>
        <v>0</v>
      </c>
      <c r="EE22" s="160">
        <f>Hourly_kWh!DF22</f>
        <v>0</v>
      </c>
      <c r="EF22" s="160">
        <f>Hourly_kWh!DG22</f>
        <v>0</v>
      </c>
      <c r="EG22" s="160">
        <f>Hourly_kWh!DH22</f>
        <v>1.179500000000111E-3</v>
      </c>
      <c r="EH22" s="160">
        <f>Hourly_kWh!DI22</f>
        <v>0.16025600000000395</v>
      </c>
      <c r="EI22" s="160">
        <f>Hourly_kWh!DJ22</f>
        <v>0</v>
      </c>
      <c r="EJ22" s="160">
        <f>Hourly_kWh!DK22</f>
        <v>2.8119999999987044E-3</v>
      </c>
      <c r="EK22" s="160">
        <f>Hourly_kWh!DL22</f>
        <v>5.0557812500001686E-4</v>
      </c>
      <c r="EL22" s="160">
        <f>Hourly_kWh!DM22</f>
        <v>1.3760000000004879E-3</v>
      </c>
      <c r="EM22" s="160">
        <f>Hourly_kWh!DN22</f>
        <v>0</v>
      </c>
      <c r="EN22" s="160">
        <f>Hourly_kWh!DO22</f>
        <v>3.5680000000013479E-3</v>
      </c>
      <c r="EO22" s="160">
        <f>Hourly_kWh!DP22</f>
        <v>1.7479999999991946E-3</v>
      </c>
      <c r="EP22" s="160">
        <f>Hourly_kWh!DQ22</f>
        <v>0</v>
      </c>
      <c r="EQ22" s="160">
        <f>Hourly_kWh!DR22</f>
        <v>0</v>
      </c>
      <c r="ER22" s="160">
        <f>Hourly_kWh!DS22</f>
        <v>5.5424000000016349E-2</v>
      </c>
      <c r="ES22" s="160">
        <f>Hourly_kWh!DT22</f>
        <v>1.5886499999999693E-2</v>
      </c>
      <c r="ET22" s="160">
        <f>Hourly_kWh!DU22</f>
        <v>0</v>
      </c>
      <c r="EU22" s="160">
        <f>Hourly_kWh!DV22</f>
        <v>6.4724999999965505E-4</v>
      </c>
      <c r="EV22" s="160">
        <f>Hourly_kWh!DW22</f>
        <v>0</v>
      </c>
      <c r="EW22" s="160">
        <f>Hourly_kWh!DX22</f>
        <v>3.4919999999996065E-3</v>
      </c>
      <c r="EX22" s="160">
        <f>Hourly_kWh!DY22</f>
        <v>2.0774999999995103E-4</v>
      </c>
      <c r="EY22" s="160">
        <f>Hourly_kWh!DZ22</f>
        <v>4.5640000000020109E-3</v>
      </c>
      <c r="EZ22" s="160">
        <f>Hourly_kWh!EA22</f>
        <v>0</v>
      </c>
      <c r="FA22" s="160">
        <f>Hourly_kWh!EB22</f>
        <v>4.118400000001543E-2</v>
      </c>
      <c r="FB22" s="160">
        <f>Hourly_kWh!EC22</f>
        <v>2.9759999999981801E-2</v>
      </c>
      <c r="FC22" s="160">
        <f>Hourly_kWh!ED22</f>
        <v>2.6374999999978499E-4</v>
      </c>
      <c r="FD22" s="160">
        <f>Hourly_kWh!EE22</f>
        <v>3.9580000000007942E-3</v>
      </c>
      <c r="FE22" s="160">
        <f>Hourly_kWh!EF22</f>
        <v>0.37750599999981205</v>
      </c>
      <c r="FF22" s="160">
        <f>Hourly_kWh!EG22</f>
        <v>0</v>
      </c>
      <c r="FG22" s="160">
        <f>Hourly_kWh!EH22</f>
        <v>1.1648000000036518E-2</v>
      </c>
      <c r="FH22" s="160">
        <f>Hourly_kWh!EI22</f>
        <v>2.3871999999983018E-2</v>
      </c>
      <c r="FI22" s="160">
        <f>Hourly_kWh!EJ22</f>
        <v>6.015999999988253E-3</v>
      </c>
      <c r="FJ22" s="160">
        <f>Hourly_kWh!EK22</f>
        <v>0</v>
      </c>
      <c r="FK22" s="160">
        <f>Hourly_kWh!EL22</f>
        <v>9.6383999999943626E-2</v>
      </c>
      <c r="FL22" s="160">
        <f>Hourly_kWh!EM22</f>
        <v>0.14719999999988431</v>
      </c>
      <c r="FM22" s="160">
        <f>Hourly_kWh!EN22</f>
        <v>0</v>
      </c>
      <c r="FN22" s="160">
        <f>Hourly_kWh!EO22</f>
        <v>7.6799999999366264E-4</v>
      </c>
      <c r="FO22" s="160">
        <f>Hourly_kWh!EP22</f>
        <v>0</v>
      </c>
      <c r="FP22" s="160">
        <f>Hourly_kWh!ER22</f>
        <v>9.4581999999988398E-2</v>
      </c>
      <c r="FQ22" s="160">
        <f>Hourly_kWh!EQ22</f>
        <v>0</v>
      </c>
      <c r="FR22" s="160">
        <f>Hourly_kWh!M22</f>
        <v>0</v>
      </c>
      <c r="FS22" s="160">
        <f>Hourly_kWh!G22</f>
        <v>0</v>
      </c>
      <c r="FT22" s="160">
        <f>Hourly_kWh!C22</f>
        <v>0</v>
      </c>
      <c r="FU22" s="160">
        <f>Hourly_kWh!D22</f>
        <v>0.36276600000007875</v>
      </c>
      <c r="FV22" s="160">
        <f>Hourly_kWh!E22</f>
        <v>0.30853499999994938</v>
      </c>
      <c r="FW22" s="160">
        <f>Hourly_kWh!F22</f>
        <v>0.34270500000002357</v>
      </c>
      <c r="FX22" s="160">
        <f>Hourly_kWh!Q22</f>
        <v>0</v>
      </c>
      <c r="FY22" s="160">
        <f>Hourly_kWh!R22</f>
        <v>0.35430400000041118</v>
      </c>
      <c r="FZ22" s="160">
        <f>Hourly_kWh!S22</f>
        <v>0.29849600000034116</v>
      </c>
      <c r="GA22" s="160">
        <f>Hourly_kWh!T22</f>
        <v>0.33177599999908125</v>
      </c>
      <c r="GB22" s="160">
        <f t="shared" si="0"/>
        <v>1.0263059999999968</v>
      </c>
      <c r="GC22" s="160">
        <f t="shared" si="1"/>
        <v>0.94499399999989464</v>
      </c>
      <c r="GD22" s="160">
        <f t="shared" si="2"/>
        <v>8.1312000000102191E-2</v>
      </c>
      <c r="GE22" s="159">
        <f t="shared" si="3"/>
        <v>7.9227832634811104E-2</v>
      </c>
    </row>
    <row r="23" spans="2:187" s="150" customFormat="1" ht="32.25" customHeight="1" x14ac:dyDescent="0.25">
      <c r="B23" s="149" t="s">
        <v>680</v>
      </c>
      <c r="C23" s="160">
        <f>Hourly_kWh!H23</f>
        <v>0</v>
      </c>
      <c r="D23" s="160">
        <f>Hourly_kWh!I23</f>
        <v>0</v>
      </c>
      <c r="E23" s="160">
        <f>Hourly_kWh!J23</f>
        <v>0</v>
      </c>
      <c r="F23" s="160">
        <f>Hourly_kWh!K23</f>
        <v>0</v>
      </c>
      <c r="G23" s="160">
        <f>Hourly_kWh!L23</f>
        <v>0</v>
      </c>
      <c r="H23" s="160">
        <f>Hourly_kWh!U23</f>
        <v>2.0544000000001006E-2</v>
      </c>
      <c r="I23" s="160">
        <f>Hourly_kWh!P23</f>
        <v>0</v>
      </c>
      <c r="J23" s="160">
        <f>Hourly_kWh!N23</f>
        <v>0</v>
      </c>
      <c r="K23" s="160">
        <f>Hourly_kWh!O23</f>
        <v>0</v>
      </c>
      <c r="L23" s="160">
        <f>Hourly_kWh!B23*0.001</f>
        <v>0.86875000000000002</v>
      </c>
      <c r="M23" s="160">
        <f>Hourly_kWh!AR23</f>
        <v>0.16384000000005017</v>
      </c>
      <c r="N23" s="160">
        <f>Hourly_kWh!BM23</f>
        <v>8.7264000000004671E-2</v>
      </c>
      <c r="O23" s="160">
        <f>Hourly_kWh!CM23</f>
        <v>0.12608000000000175</v>
      </c>
      <c r="P23" s="160">
        <f>Hourly_kWh!DI23</f>
        <v>0.16070400000000973</v>
      </c>
      <c r="Q23" s="160">
        <f>Hourly_kWh!EF23</f>
        <v>0.27698499999951309</v>
      </c>
      <c r="R23" s="119">
        <f>SUM('Zone wise Meter data'!O21:AF21)</f>
        <v>4.2819500000003785E-2</v>
      </c>
      <c r="S23" s="115">
        <f>SUM('Zone wise Meter data'!AG21:AW21)</f>
        <v>9.0811093749983418E-2</v>
      </c>
      <c r="T23" s="115">
        <f>SUM('Zone wise Meter data'!AX21:BA21)</f>
        <v>2.653449999999058E-2</v>
      </c>
      <c r="U23" s="115">
        <f>SUM('Zone wise Meter data'!BB21:BC21)</f>
        <v>9.9391999999966174E-2</v>
      </c>
      <c r="V23" s="115">
        <f>SUM('Zone wise Meter data'!BD21:BL21)</f>
        <v>0.27843800000012209</v>
      </c>
      <c r="W23" s="115">
        <f>SUM('Zone wise Meter data'!BM21:BX21)</f>
        <v>2.1229999999983207E-3</v>
      </c>
      <c r="X23" s="115">
        <f>SUM('Zone wise Meter data'!BY21:CE21)</f>
        <v>6.3974999999993898E-4</v>
      </c>
      <c r="Y23" s="115">
        <f>SUM('Zone wise Meter data'!CF21:CK21)</f>
        <v>9.439850000000094E-2</v>
      </c>
      <c r="Z23" s="115">
        <f>SUM('Zone wise Meter data'!CL21:CO21)</f>
        <v>6.9616000000024769E-2</v>
      </c>
      <c r="AA23" s="115">
        <f>SUM('Zone wise Meter data'!CP21:DD21)</f>
        <v>1.3493812500000146E-2</v>
      </c>
      <c r="AB23" s="115">
        <f>SUM('Zone wise Meter data'!DE21:DN21)</f>
        <v>1.0957851562500551E-2</v>
      </c>
      <c r="AC23" s="115">
        <f>SUM('Zone wise Meter data'!DO21:ED21)</f>
        <v>0</v>
      </c>
      <c r="AD23" s="160">
        <f>Hourly_kWh!AW23</f>
        <v>3.9103999999952066E-2</v>
      </c>
      <c r="AE23" s="160">
        <f>Hourly_kWh!DS23</f>
        <v>6.0288000000014108E-2</v>
      </c>
      <c r="AF23" s="160">
        <f>Hourly_kWh!EL23</f>
        <v>2.8287999999975E-2</v>
      </c>
      <c r="AG23" s="160">
        <f>Hourly_kWh!EK23</f>
        <v>0</v>
      </c>
      <c r="AH23" s="160">
        <f>Hourly_kWh!EN23</f>
        <v>0</v>
      </c>
      <c r="AI23" s="160">
        <f>Hourly_kWh!EO23</f>
        <v>7.6799999999366264E-4</v>
      </c>
      <c r="AJ23" s="160">
        <f>Hourly_kWh!EM23</f>
        <v>0.12134400000013557</v>
      </c>
      <c r="AK23" s="160">
        <f>Hourly_kWh!ER23</f>
        <v>9.5923000000013303E-2</v>
      </c>
      <c r="AL23" s="160">
        <f>Hourly_kWh!EI23</f>
        <v>1.8239999999991596E-2</v>
      </c>
      <c r="AM23" s="160">
        <f>Hourly_kWh!EJ23+Hourly_kWh!AS23</f>
        <v>9.9850000000234473E-4</v>
      </c>
      <c r="AN23" s="160">
        <f>Hourly_kWh!CX23+Hourly_kWh!CY23+Hourly_kWh!DC23+Hourly_kWh!DD23</f>
        <v>9.712000000000387E-3</v>
      </c>
      <c r="AO23" s="160">
        <f>SUM(Hourly_kWh!AI23:AQ23)</f>
        <v>6.6677093749983318E-2</v>
      </c>
      <c r="AP23" s="160">
        <f>SUM(Hourly_kWh!V23:AG23)</f>
        <v>3.3863000000004639E-2</v>
      </c>
      <c r="AQ23" s="160">
        <f>Hourly_kWh!DB23</f>
        <v>3.2429999999976644E-3</v>
      </c>
      <c r="AR23" s="160">
        <f>Hourly_kWh!CO23</f>
        <v>1.7408000000003199E-2</v>
      </c>
      <c r="AS23" s="160">
        <f>Hourly_kWh!BJ23</f>
        <v>0</v>
      </c>
      <c r="AT23" s="160">
        <f>Hourly_kWh!U23</f>
        <v>2.0544000000001006E-2</v>
      </c>
      <c r="AU23" s="160">
        <f>Hourly_kWh!V23</f>
        <v>6.2160000000019977E-3</v>
      </c>
      <c r="AV23" s="160">
        <f>Hourly_kWh!W23</f>
        <v>7.9600000000112914E-4</v>
      </c>
      <c r="AW23" s="160">
        <f>Hourly_kWh!X23</f>
        <v>2.3659999999985359E-3</v>
      </c>
      <c r="AX23" s="160">
        <f>Hourly_kWh!Y23</f>
        <v>0</v>
      </c>
      <c r="AY23" s="160">
        <f>Hourly_kWh!Z23</f>
        <v>1.300000000000523E-3</v>
      </c>
      <c r="AZ23" s="160">
        <f>Hourly_kWh!AA23</f>
        <v>4.1280000000014638E-3</v>
      </c>
      <c r="BA23" s="160">
        <f>Hourly_kWh!AB23</f>
        <v>5.9300000000028774E-3</v>
      </c>
      <c r="BB23" s="160">
        <f>Hourly_kWh!AC23</f>
        <v>7.4259999999988224E-3</v>
      </c>
      <c r="BC23" s="160">
        <f>Hourly_kWh!AD23</f>
        <v>1.6289999999994365E-3</v>
      </c>
      <c r="BD23" s="160">
        <f>Hourly_kWh!AE23</f>
        <v>8.9899999999953906E-4</v>
      </c>
      <c r="BE23" s="160">
        <f>Hourly_kWh!AF23</f>
        <v>0</v>
      </c>
      <c r="BF23" s="160">
        <f>Hourly_kWh!AG23</f>
        <v>3.1730000000003145E-3</v>
      </c>
      <c r="BG23" s="160">
        <f>Hourly_kWh!AH23</f>
        <v>6.9791999999949894E-2</v>
      </c>
      <c r="BH23" s="160">
        <f>Hourly_kWh!AI23</f>
        <v>0</v>
      </c>
      <c r="BI23" s="160">
        <f>Hourly_kWh!AJ23</f>
        <v>6.284999999994767E-4</v>
      </c>
      <c r="BJ23" s="160">
        <f>Hourly_kWh!AK23</f>
        <v>0</v>
      </c>
      <c r="BK23" s="160">
        <f>Hourly_kWh!AL23</f>
        <v>8.2645937499999933E-3</v>
      </c>
      <c r="BL23" s="160">
        <f>Hourly_kWh!AM23</f>
        <v>2.0727999999991198E-2</v>
      </c>
      <c r="BM23" s="160">
        <f>Hourly_kWh!AN23</f>
        <v>1.5168000000002735E-2</v>
      </c>
      <c r="BN23" s="160">
        <f>Hourly_kWh!AO23</f>
        <v>5.0759999999954175E-3</v>
      </c>
      <c r="BO23" s="160">
        <f>Hourly_kWh!AP23</f>
        <v>3.2840000000007308E-3</v>
      </c>
      <c r="BP23" s="160">
        <f>Hourly_kWh!AQ23</f>
        <v>1.3527999999993767E-2</v>
      </c>
      <c r="BQ23" s="160">
        <f>Hourly_kWh!AR23</f>
        <v>0.16384000000005017</v>
      </c>
      <c r="BR23" s="160">
        <f>Hourly_kWh!AS23</f>
        <v>1.664999999997363E-4</v>
      </c>
      <c r="BS23" s="160">
        <f>Hourly_kWh!AT23</f>
        <v>0</v>
      </c>
      <c r="BT23" s="160">
        <f>Hourly_kWh!AU23</f>
        <v>2.4039999999985184E-3</v>
      </c>
      <c r="BU23" s="160">
        <f>Hourly_kWh!AV23</f>
        <v>5.1749999999994856E-4</v>
      </c>
      <c r="BV23" s="160">
        <f>Hourly_kWh!AW23</f>
        <v>3.9103999999952066E-2</v>
      </c>
      <c r="BW23" s="160">
        <f>Hourly_kWh!AX23</f>
        <v>0</v>
      </c>
      <c r="BX23" s="160">
        <f>Hourly_kWh!AY23</f>
        <v>2.4234999999999118E-3</v>
      </c>
      <c r="BY23" s="160">
        <f>Hourly_kWh!AZ23</f>
        <v>0</v>
      </c>
      <c r="BZ23" s="160">
        <f>Hourly_kWh!BA23</f>
        <v>0</v>
      </c>
      <c r="CA23" s="160">
        <f>Hourly_kWh!BB23</f>
        <v>0</v>
      </c>
      <c r="CB23" s="160">
        <f>Hourly_kWh!BC23</f>
        <v>0</v>
      </c>
      <c r="CC23" s="160">
        <f>Hourly_kWh!BD23</f>
        <v>9.8976562500005527E-5</v>
      </c>
      <c r="CD23" s="160">
        <f>Hourly_kWh!BE23</f>
        <v>5.0080000000001235E-3</v>
      </c>
      <c r="CE23" s="160">
        <f>Hourly_kWh!BF23</f>
        <v>0</v>
      </c>
      <c r="CF23" s="160">
        <f>Hourly_kWh!BG23</f>
        <v>4.4000000000110617E-4</v>
      </c>
      <c r="CG23" s="160">
        <f>Hourly_kWh!BH23</f>
        <v>3.1420000000004222E-3</v>
      </c>
      <c r="CH23" s="160">
        <f>Hourly_kWh!BI23</f>
        <v>0.1007680000000164</v>
      </c>
      <c r="CI23" s="160">
        <f>Hourly_kWh!BJ23</f>
        <v>0</v>
      </c>
      <c r="CJ23" s="160">
        <f>Hourly_kWh!BK23</f>
        <v>1.4289999999999026E-3</v>
      </c>
      <c r="CK23" s="160">
        <f>Hourly_kWh!BL23</f>
        <v>0</v>
      </c>
      <c r="CL23" s="160">
        <f>Hourly_kWh!BM23</f>
        <v>8.7264000000004671E-2</v>
      </c>
      <c r="CM23" s="160">
        <f>Hourly_kWh!BN23</f>
        <v>0</v>
      </c>
      <c r="CN23" s="160">
        <f>Hourly_kWh!BO23</f>
        <v>1.6259999999981289E-3</v>
      </c>
      <c r="CO23" s="160">
        <f>Hourly_kWh!BP23</f>
        <v>0</v>
      </c>
      <c r="CP23" s="160">
        <f>Hourly_kWh!BQ23</f>
        <v>0</v>
      </c>
      <c r="CQ23" s="160">
        <f>Hourly_kWh!BR23</f>
        <v>0</v>
      </c>
      <c r="CR23" s="160">
        <f>Hourly_kWh!BS23</f>
        <v>0</v>
      </c>
      <c r="CS23" s="160">
        <f>Hourly_kWh!BT23</f>
        <v>1.0592000000002599E-2</v>
      </c>
      <c r="CT23" s="160">
        <f>Hourly_kWh!BU23</f>
        <v>0</v>
      </c>
      <c r="CU23" s="160">
        <f>Hourly_kWh!BV23</f>
        <v>0</v>
      </c>
      <c r="CV23" s="160">
        <f>Hourly_kWh!BW23</f>
        <v>0</v>
      </c>
      <c r="CW23" s="160">
        <f>Hourly_kWh!BX23</f>
        <v>0</v>
      </c>
      <c r="CX23" s="160">
        <f>Hourly_kWh!BY23</f>
        <v>0</v>
      </c>
      <c r="CY23" s="160">
        <f>Hourly_kWh!BZ23</f>
        <v>4.8935999999997648E-2</v>
      </c>
      <c r="CZ23" s="160">
        <f>Hourly_kWh!CA23</f>
        <v>1.8728999999999996E-2</v>
      </c>
      <c r="DA23" s="160">
        <f>Hourly_kWh!CB23</f>
        <v>0</v>
      </c>
      <c r="DB23" s="160">
        <f>Hourly_kWh!CC23</f>
        <v>0</v>
      </c>
      <c r="DC23" s="160">
        <f>Hourly_kWh!CD23</f>
        <v>0</v>
      </c>
      <c r="DD23" s="160">
        <f>Hourly_kWh!CE23</f>
        <v>0</v>
      </c>
      <c r="DE23" s="160">
        <f>Hourly_kWh!CF23</f>
        <v>7.0000000000014495E-4</v>
      </c>
      <c r="DF23" s="160">
        <f>Hourly_kWh!CG23</f>
        <v>0</v>
      </c>
      <c r="DG23" s="160">
        <f>Hourly_kWh!CH23</f>
        <v>6.3974999999993898E-4</v>
      </c>
      <c r="DH23" s="160">
        <f>Hourly_kWh!CI23</f>
        <v>0</v>
      </c>
      <c r="DI23" s="160">
        <f>Hourly_kWh!CJ23</f>
        <v>0</v>
      </c>
      <c r="DJ23" s="160">
        <f>Hourly_kWh!CK23</f>
        <v>0</v>
      </c>
      <c r="DK23" s="160">
        <f>Hourly_kWh!CL23</f>
        <v>1.1259999999992942E-3</v>
      </c>
      <c r="DL23" s="160">
        <f>Hourly_kWh!CM23</f>
        <v>0.12608000000000175</v>
      </c>
      <c r="DM23" s="160">
        <f>Hourly_kWh!CN23</f>
        <v>2.5980000000007664E-3</v>
      </c>
      <c r="DN23" s="160">
        <f>Hourly_kWh!CO23</f>
        <v>1.7408000000003199E-2</v>
      </c>
      <c r="DO23" s="160">
        <f>Hourly_kWh!CP23</f>
        <v>0</v>
      </c>
      <c r="DP23" s="160">
        <f>Hourly_kWh!CQ23</f>
        <v>0</v>
      </c>
      <c r="DQ23" s="160">
        <f>Hourly_kWh!CR23</f>
        <v>3.8909999999994227E-3</v>
      </c>
      <c r="DR23" s="160">
        <f>Hourly_kWh!CS23</f>
        <v>0</v>
      </c>
      <c r="DS23" s="160">
        <f>Hourly_kWh!CT23</f>
        <v>1.5199999999992997E-4</v>
      </c>
      <c r="DT23" s="160">
        <f>Hourly_kWh!CU23</f>
        <v>0</v>
      </c>
      <c r="DU23" s="160">
        <f>Hourly_kWh!CV23</f>
        <v>0</v>
      </c>
      <c r="DV23" s="160">
        <f>Hourly_kWh!CW23</f>
        <v>0</v>
      </c>
      <c r="DW23" s="160">
        <f>Hourly_kWh!CX23</f>
        <v>0</v>
      </c>
      <c r="DX23" s="160">
        <f>Hourly_kWh!CY23</f>
        <v>6.7000000000017046E-4</v>
      </c>
      <c r="DY23" s="160">
        <f>Hourly_kWh!CZ23</f>
        <v>4.9700000000019173E-4</v>
      </c>
      <c r="DZ23" s="160">
        <f>Hourly_kWh!DA23</f>
        <v>1.1464000000003693E-2</v>
      </c>
      <c r="EA23" s="160">
        <f>Hourly_kWh!DB23</f>
        <v>3.2429999999976644E-3</v>
      </c>
      <c r="EB23" s="160">
        <f>Hourly_kWh!DC23</f>
        <v>7.8562500000001201E-3</v>
      </c>
      <c r="EC23" s="160">
        <f>Hourly_kWh!DD23</f>
        <v>1.1857500000000964E-3</v>
      </c>
      <c r="ED23" s="160">
        <f>Hourly_kWh!DE23</f>
        <v>0</v>
      </c>
      <c r="EE23" s="160">
        <f>Hourly_kWh!DF23</f>
        <v>0</v>
      </c>
      <c r="EF23" s="160">
        <f>Hourly_kWh!DG23</f>
        <v>0</v>
      </c>
      <c r="EG23" s="160">
        <f>Hourly_kWh!DH23</f>
        <v>1.1814999999995024E-3</v>
      </c>
      <c r="EH23" s="160">
        <f>Hourly_kWh!DI23</f>
        <v>0.16070400000000973</v>
      </c>
      <c r="EI23" s="160">
        <f>Hourly_kWh!DJ23</f>
        <v>0</v>
      </c>
      <c r="EJ23" s="160">
        <f>Hourly_kWh!DK23</f>
        <v>2.808000000001698E-3</v>
      </c>
      <c r="EK23" s="160">
        <f>Hourly_kWh!DL23</f>
        <v>4.9437499999999135E-4</v>
      </c>
      <c r="EL23" s="160">
        <f>Hourly_kWh!DM23</f>
        <v>1.0529999999988604E-3</v>
      </c>
      <c r="EM23" s="160">
        <f>Hourly_kWh!DN23</f>
        <v>0</v>
      </c>
      <c r="EN23" s="160">
        <f>Hourly_kWh!DO23</f>
        <v>3.4559999999999036E-3</v>
      </c>
      <c r="EO23" s="160">
        <f>Hourly_kWh!DP23</f>
        <v>7.8099999999992065E-4</v>
      </c>
      <c r="EP23" s="160">
        <f>Hourly_kWh!DQ23</f>
        <v>0</v>
      </c>
      <c r="EQ23" s="160">
        <f>Hourly_kWh!DR23</f>
        <v>0</v>
      </c>
      <c r="ER23" s="160">
        <f>Hourly_kWh!DS23</f>
        <v>6.0288000000014108E-2</v>
      </c>
      <c r="ES23" s="160">
        <f>Hourly_kWh!DT23</f>
        <v>1.5441500000000552E-2</v>
      </c>
      <c r="ET23" s="160">
        <f>Hourly_kWh!DU23</f>
        <v>0</v>
      </c>
      <c r="EU23" s="160">
        <f>Hourly_kWh!DV23</f>
        <v>6.1250000000034888E-4</v>
      </c>
      <c r="EV23" s="160">
        <f>Hourly_kWh!DW23</f>
        <v>0</v>
      </c>
      <c r="EW23" s="160">
        <f>Hourly_kWh!DX23</f>
        <v>3.5410000000002384E-3</v>
      </c>
      <c r="EX23" s="160">
        <f>Hourly_kWh!DY23</f>
        <v>2.0506250000007498E-4</v>
      </c>
      <c r="EY23" s="160">
        <f>Hourly_kWh!DZ23</f>
        <v>4.4819999999994309E-3</v>
      </c>
      <c r="EZ23" s="160">
        <f>Hourly_kWh!EA23</f>
        <v>0</v>
      </c>
      <c r="FA23" s="160">
        <f>Hourly_kWh!EB23</f>
        <v>4.0928000000008069E-2</v>
      </c>
      <c r="FB23" s="160">
        <f>Hourly_kWh!EC23</f>
        <v>2.86880000000167E-2</v>
      </c>
      <c r="FC23" s="160">
        <f>Hourly_kWh!ED23</f>
        <v>2.6425000000029897E-4</v>
      </c>
      <c r="FD23" s="160">
        <f>Hourly_kWh!EE23</f>
        <v>5.721499999999935E-3</v>
      </c>
      <c r="FE23" s="160">
        <f>Hourly_kWh!EF23</f>
        <v>0.27698499999951309</v>
      </c>
      <c r="FF23" s="160">
        <f>Hourly_kWh!EG23</f>
        <v>0</v>
      </c>
      <c r="FG23" s="160">
        <f>Hourly_kWh!EH23</f>
        <v>7.2959999999966385E-3</v>
      </c>
      <c r="FH23" s="160">
        <f>Hourly_kWh!EI23</f>
        <v>1.8239999999991596E-2</v>
      </c>
      <c r="FI23" s="160">
        <f>Hourly_kWh!EJ23</f>
        <v>8.3200000000260843E-4</v>
      </c>
      <c r="FJ23" s="160">
        <f>Hourly_kWh!EK23</f>
        <v>0</v>
      </c>
      <c r="FK23" s="160">
        <f>Hourly_kWh!EL23</f>
        <v>2.8287999999975E-2</v>
      </c>
      <c r="FL23" s="160">
        <f>Hourly_kWh!EM23</f>
        <v>0.12134400000013557</v>
      </c>
      <c r="FM23" s="160">
        <f>Hourly_kWh!EN23</f>
        <v>0</v>
      </c>
      <c r="FN23" s="160">
        <f>Hourly_kWh!EO23</f>
        <v>7.6799999999366264E-4</v>
      </c>
      <c r="FO23" s="160">
        <f>Hourly_kWh!EP23</f>
        <v>0</v>
      </c>
      <c r="FP23" s="160">
        <f>Hourly_kWh!ER23</f>
        <v>9.5923000000013303E-2</v>
      </c>
      <c r="FQ23" s="160">
        <f>Hourly_kWh!EQ23</f>
        <v>0</v>
      </c>
      <c r="FR23" s="160">
        <f>Hourly_kWh!M23</f>
        <v>0</v>
      </c>
      <c r="FS23" s="160">
        <f>Hourly_kWh!G23</f>
        <v>0</v>
      </c>
      <c r="FT23" s="160">
        <f>Hourly_kWh!C23</f>
        <v>0</v>
      </c>
      <c r="FU23" s="160">
        <f>Hourly_kWh!D23</f>
        <v>0.31314999999983684</v>
      </c>
      <c r="FV23" s="160">
        <f>Hourly_kWh!E23</f>
        <v>0.26604499999996278</v>
      </c>
      <c r="FW23" s="160">
        <f>Hourly_kWh!F23</f>
        <v>0.29627999999996746</v>
      </c>
      <c r="FX23" s="160">
        <f>Hourly_kWh!Q23</f>
        <v>0</v>
      </c>
      <c r="FY23" s="160">
        <f>Hourly_kWh!R23</f>
        <v>0.30515199999717879</v>
      </c>
      <c r="FZ23" s="160">
        <f>Hourly_kWh!S23</f>
        <v>0.25343999999950029</v>
      </c>
      <c r="GA23" s="160">
        <f>Hourly_kWh!T23</f>
        <v>0.28467199999795412</v>
      </c>
      <c r="GB23" s="160">
        <f t="shared" si="0"/>
        <v>0.88929400000000103</v>
      </c>
      <c r="GC23" s="160">
        <f t="shared" si="1"/>
        <v>0.81487299999957941</v>
      </c>
      <c r="GD23" s="160">
        <f t="shared" si="2"/>
        <v>7.4421000000421622E-2</v>
      </c>
      <c r="GE23" s="159">
        <f t="shared" si="3"/>
        <v>8.3685485340530275E-2</v>
      </c>
    </row>
    <row r="24" spans="2:187" s="150" customFormat="1" ht="32.25" customHeight="1" x14ac:dyDescent="0.25">
      <c r="B24" s="149" t="s">
        <v>681</v>
      </c>
      <c r="C24" s="160">
        <f>Hourly_kWh!H24</f>
        <v>0</v>
      </c>
      <c r="D24" s="160">
        <f>Hourly_kWh!I24</f>
        <v>0</v>
      </c>
      <c r="E24" s="160">
        <f>Hourly_kWh!J24</f>
        <v>0</v>
      </c>
      <c r="F24" s="160">
        <f>Hourly_kWh!K24</f>
        <v>0</v>
      </c>
      <c r="G24" s="160">
        <f>Hourly_kWh!L24</f>
        <v>0</v>
      </c>
      <c r="H24" s="160">
        <f>Hourly_kWh!U24</f>
        <v>1.944000000000301E-2</v>
      </c>
      <c r="I24" s="160">
        <f>Hourly_kWh!P24</f>
        <v>0</v>
      </c>
      <c r="J24" s="160">
        <f>Hourly_kWh!N24</f>
        <v>0</v>
      </c>
      <c r="K24" s="160">
        <f>Hourly_kWh!O24</f>
        <v>0</v>
      </c>
      <c r="L24" s="160">
        <f>Hourly_kWh!B24*0.001</f>
        <v>0.85750000000000004</v>
      </c>
      <c r="M24" s="160">
        <f>Hourly_kWh!AR24</f>
        <v>0.1613439999999855</v>
      </c>
      <c r="N24" s="160">
        <f>Hourly_kWh!BM24</f>
        <v>0.10147200000000112</v>
      </c>
      <c r="O24" s="160">
        <f>Hourly_kWh!CM24</f>
        <v>0.12876799999980904</v>
      </c>
      <c r="P24" s="160">
        <f>Hourly_kWh!DI24</f>
        <v>0.14982399999996687</v>
      </c>
      <c r="Q24" s="160">
        <f>Hourly_kWh!EF24</f>
        <v>0.26195999999981723</v>
      </c>
      <c r="R24" s="119">
        <f>SUM('Zone wise Meter data'!O22:AF22)</f>
        <v>4.4539249999996811E-2</v>
      </c>
      <c r="S24" s="115">
        <f>SUM('Zone wise Meter data'!AG22:AW22)</f>
        <v>8.9862531250008204E-2</v>
      </c>
      <c r="T24" s="115">
        <f>SUM('Zone wise Meter data'!AX22:BA22)</f>
        <v>2.7067999999910164E-2</v>
      </c>
      <c r="U24" s="115">
        <f>SUM('Zone wise Meter data'!BB22:BC22)</f>
        <v>8.8480000000060954E-2</v>
      </c>
      <c r="V24" s="115">
        <f>SUM('Zone wise Meter data'!BD22:BL22)</f>
        <v>0.26582299999974879</v>
      </c>
      <c r="W24" s="115">
        <f>SUM('Zone wise Meter data'!BM22:BX22)</f>
        <v>2.0942500000002973E-3</v>
      </c>
      <c r="X24" s="115">
        <f>SUM('Zone wise Meter data'!BY22:CE22)</f>
        <v>6.2924999999980358E-4</v>
      </c>
      <c r="Y24" s="115">
        <f>SUM('Zone wise Meter data'!CF22:CK22)</f>
        <v>9.9386625000000062E-2</v>
      </c>
      <c r="Z24" s="115">
        <f>SUM('Zone wise Meter data'!CL22:CO22)</f>
        <v>6.9375999999977012E-2</v>
      </c>
      <c r="AA24" s="115">
        <f>SUM('Zone wise Meter data'!CP22:DD22)</f>
        <v>1.3104812500015273E-2</v>
      </c>
      <c r="AB24" s="115">
        <f>SUM('Zone wise Meter data'!DE22:DN22)</f>
        <v>1.0059023437496581E-2</v>
      </c>
      <c r="AC24" s="115">
        <f>SUM('Zone wise Meter data'!DO22:ED22)</f>
        <v>0</v>
      </c>
      <c r="AD24" s="160">
        <f>Hourly_kWh!AW24</f>
        <v>3.8016000000084205E-2</v>
      </c>
      <c r="AE24" s="160">
        <f>Hourly_kWh!DS24</f>
        <v>5.046399999997675E-2</v>
      </c>
      <c r="AF24" s="160">
        <f>Hourly_kWh!EL24</f>
        <v>0</v>
      </c>
      <c r="AG24" s="160">
        <f>Hourly_kWh!EK24</f>
        <v>0</v>
      </c>
      <c r="AH24" s="160">
        <f>Hourly_kWh!EN24</f>
        <v>0</v>
      </c>
      <c r="AI24" s="160">
        <f>Hourly_kWh!EO24</f>
        <v>7.6799999999366264E-4</v>
      </c>
      <c r="AJ24" s="160">
        <f>Hourly_kWh!EM24</f>
        <v>0.13823999999976877</v>
      </c>
      <c r="AK24" s="160">
        <f>Hourly_kWh!ER24</f>
        <v>9.4692999999992367E-2</v>
      </c>
      <c r="AL24" s="160">
        <f>Hourly_kWh!EI24</f>
        <v>1.9519999999943138E-2</v>
      </c>
      <c r="AM24" s="160">
        <f>Hourly_kWh!EJ24+Hourly_kWh!AS24</f>
        <v>6.0000000000393072E-5</v>
      </c>
      <c r="AN24" s="160">
        <f>Hourly_kWh!CX24+Hourly_kWh!CY24+Hourly_kWh!DC24+Hourly_kWh!DD24</f>
        <v>9.7962499999997288E-3</v>
      </c>
      <c r="AO24" s="160">
        <f>SUM(Hourly_kWh!AI24:AQ24)</f>
        <v>6.5826531250007592E-2</v>
      </c>
      <c r="AP24" s="160">
        <f>SUM(Hourly_kWh!V24:AG24)</f>
        <v>3.3325999999998857E-2</v>
      </c>
      <c r="AQ24" s="160">
        <f>Hourly_kWh!DB24</f>
        <v>3.3820000000019945E-3</v>
      </c>
      <c r="AR24" s="160">
        <f>Hourly_kWh!CO24</f>
        <v>1.7135999999993601E-2</v>
      </c>
      <c r="AS24" s="160">
        <f>Hourly_kWh!BJ24</f>
        <v>0</v>
      </c>
      <c r="AT24" s="160">
        <f>Hourly_kWh!U24</f>
        <v>1.944000000000301E-2</v>
      </c>
      <c r="AU24" s="160">
        <f>Hourly_kWh!V24</f>
        <v>6.5519999999992251E-3</v>
      </c>
      <c r="AV24" s="160">
        <f>Hourly_kWh!W24</f>
        <v>7.9500000000010118E-4</v>
      </c>
      <c r="AW24" s="160">
        <f>Hourly_kWh!X24</f>
        <v>2.3550000000014393E-3</v>
      </c>
      <c r="AX24" s="160">
        <f>Hourly_kWh!Y24</f>
        <v>0</v>
      </c>
      <c r="AY24" s="160">
        <f>Hourly_kWh!Z24</f>
        <v>1.2799999999995038E-3</v>
      </c>
      <c r="AZ24" s="160">
        <f>Hourly_kWh!AA24</f>
        <v>4.0079999999989013E-3</v>
      </c>
      <c r="BA24" s="160">
        <f>Hourly_kWh!AB24</f>
        <v>6.0339999999996508E-3</v>
      </c>
      <c r="BB24" s="160">
        <f>Hourly_kWh!AC24</f>
        <v>7.0160000000001332E-3</v>
      </c>
      <c r="BC24" s="160">
        <f>Hourly_kWh!AD24</f>
        <v>1.3839999999998298E-3</v>
      </c>
      <c r="BD24" s="160">
        <f>Hourly_kWh!AE24</f>
        <v>9.0500000000037772E-4</v>
      </c>
      <c r="BE24" s="160">
        <f>Hourly_kWh!AF24</f>
        <v>0</v>
      </c>
      <c r="BF24" s="160">
        <f>Hourly_kWh!AG24</f>
        <v>2.9969999999996944E-3</v>
      </c>
      <c r="BG24" s="160">
        <f>Hourly_kWh!AH24</f>
        <v>6.9312000000024909E-2</v>
      </c>
      <c r="BH24" s="160">
        <f>Hourly_kWh!AI24</f>
        <v>0</v>
      </c>
      <c r="BI24" s="160">
        <f>Hourly_kWh!AJ24</f>
        <v>6.4400000000031099E-4</v>
      </c>
      <c r="BJ24" s="160">
        <f>Hourly_kWh!AK24</f>
        <v>0</v>
      </c>
      <c r="BK24" s="160">
        <f>Hourly_kWh!AL24</f>
        <v>7.0785312500000197E-3</v>
      </c>
      <c r="BL24" s="160">
        <f>Hourly_kWh!AM24</f>
        <v>2.0672000000004687E-2</v>
      </c>
      <c r="BM24" s="160">
        <f>Hourly_kWh!AN24</f>
        <v>1.5439999999998122E-2</v>
      </c>
      <c r="BN24" s="160">
        <f>Hourly_kWh!AO24</f>
        <v>5.0120000000006826E-3</v>
      </c>
      <c r="BO24" s="160">
        <f>Hourly_kWh!AP24</f>
        <v>3.3600000000006958E-3</v>
      </c>
      <c r="BP24" s="160">
        <f>Hourly_kWh!AQ24</f>
        <v>1.3620000000003074E-2</v>
      </c>
      <c r="BQ24" s="160">
        <f>Hourly_kWh!AR24</f>
        <v>0.1613439999999855</v>
      </c>
      <c r="BR24" s="160">
        <f>Hourly_kWh!AS24</f>
        <v>6.0000000000393072E-5</v>
      </c>
      <c r="BS24" s="160">
        <f>Hourly_kWh!AT24</f>
        <v>0</v>
      </c>
      <c r="BT24" s="160">
        <f>Hourly_kWh!AU24</f>
        <v>2.3959999999974002E-3</v>
      </c>
      <c r="BU24" s="160">
        <f>Hourly_kWh!AV24</f>
        <v>5.7200000000001694E-4</v>
      </c>
      <c r="BV24" s="160">
        <f>Hourly_kWh!AW24</f>
        <v>3.8016000000084205E-2</v>
      </c>
      <c r="BW24" s="160">
        <f>Hourly_kWh!AX24</f>
        <v>0</v>
      </c>
      <c r="BX24" s="160">
        <f>Hourly_kWh!AY24</f>
        <v>3.0909999999995108E-3</v>
      </c>
      <c r="BY24" s="160">
        <f>Hourly_kWh!AZ24</f>
        <v>0</v>
      </c>
      <c r="BZ24" s="160">
        <f>Hourly_kWh!BA24</f>
        <v>0</v>
      </c>
      <c r="CA24" s="160">
        <f>Hourly_kWh!BB24</f>
        <v>0</v>
      </c>
      <c r="CB24" s="160">
        <f>Hourly_kWh!BC24</f>
        <v>0</v>
      </c>
      <c r="CC24" s="160">
        <f>Hourly_kWh!BD24</f>
        <v>1.0117968749999429E-4</v>
      </c>
      <c r="CD24" s="160">
        <f>Hourly_kWh!BE24</f>
        <v>5.0199999999982481E-3</v>
      </c>
      <c r="CE24" s="160">
        <f>Hourly_kWh!BF24</f>
        <v>0</v>
      </c>
      <c r="CF24" s="160">
        <f>Hourly_kWh!BG24</f>
        <v>4.3999999999932982E-4</v>
      </c>
      <c r="CG24" s="160">
        <f>Hourly_kWh!BH24</f>
        <v>2.2559999999991476E-3</v>
      </c>
      <c r="CH24" s="160">
        <f>Hourly_kWh!BI24</f>
        <v>9.88479999999754E-2</v>
      </c>
      <c r="CI24" s="160">
        <f>Hourly_kWh!BJ24</f>
        <v>0</v>
      </c>
      <c r="CJ24" s="160">
        <f>Hourly_kWh!BK24</f>
        <v>1.4755000000006291E-3</v>
      </c>
      <c r="CK24" s="160">
        <f>Hourly_kWh!BL24</f>
        <v>0</v>
      </c>
      <c r="CL24" s="160">
        <f>Hourly_kWh!BM24</f>
        <v>0.10147200000000112</v>
      </c>
      <c r="CM24" s="160">
        <f>Hourly_kWh!BN24</f>
        <v>0</v>
      </c>
      <c r="CN24" s="160">
        <f>Hourly_kWh!BO24</f>
        <v>1.6040000000003829E-3</v>
      </c>
      <c r="CO24" s="160">
        <f>Hourly_kWh!BP24</f>
        <v>0</v>
      </c>
      <c r="CP24" s="160">
        <f>Hourly_kWh!BQ24</f>
        <v>0</v>
      </c>
      <c r="CQ24" s="160">
        <f>Hourly_kWh!BR24</f>
        <v>0</v>
      </c>
      <c r="CR24" s="160">
        <f>Hourly_kWh!BS24</f>
        <v>0</v>
      </c>
      <c r="CS24" s="160">
        <f>Hourly_kWh!BT24</f>
        <v>1.1299999999998533E-2</v>
      </c>
      <c r="CT24" s="160">
        <f>Hourly_kWh!BU24</f>
        <v>0</v>
      </c>
      <c r="CU24" s="160">
        <f>Hourly_kWh!BV24</f>
        <v>0</v>
      </c>
      <c r="CV24" s="160">
        <f>Hourly_kWh!BW24</f>
        <v>0</v>
      </c>
      <c r="CW24" s="160">
        <f>Hourly_kWh!BX24</f>
        <v>0</v>
      </c>
      <c r="CX24" s="160">
        <f>Hourly_kWh!BY24</f>
        <v>0</v>
      </c>
      <c r="CY24" s="160">
        <f>Hourly_kWh!BZ24</f>
        <v>5.8160000000000878E-2</v>
      </c>
      <c r="CZ24" s="160">
        <f>Hourly_kWh!CA24</f>
        <v>1.7924624999999916E-2</v>
      </c>
      <c r="DA24" s="160">
        <f>Hourly_kWh!CB24</f>
        <v>0</v>
      </c>
      <c r="DB24" s="160">
        <f>Hourly_kWh!CC24</f>
        <v>0</v>
      </c>
      <c r="DC24" s="160">
        <f>Hourly_kWh!CD24</f>
        <v>0</v>
      </c>
      <c r="DD24" s="160">
        <f>Hourly_kWh!CE24</f>
        <v>0</v>
      </c>
      <c r="DE24" s="160">
        <f>Hourly_kWh!CF24</f>
        <v>8.9100000000108537E-4</v>
      </c>
      <c r="DF24" s="160">
        <f>Hourly_kWh!CG24</f>
        <v>0</v>
      </c>
      <c r="DG24" s="160">
        <f>Hourly_kWh!CH24</f>
        <v>6.2924999999980358E-4</v>
      </c>
      <c r="DH24" s="160">
        <f>Hourly_kWh!CI24</f>
        <v>0</v>
      </c>
      <c r="DI24" s="160">
        <f>Hourly_kWh!CJ24</f>
        <v>0</v>
      </c>
      <c r="DJ24" s="160">
        <f>Hourly_kWh!CK24</f>
        <v>0</v>
      </c>
      <c r="DK24" s="160">
        <f>Hourly_kWh!CL24</f>
        <v>6.199999999978445E-5</v>
      </c>
      <c r="DL24" s="160">
        <f>Hourly_kWh!CM24</f>
        <v>0.12876799999980904</v>
      </c>
      <c r="DM24" s="160">
        <f>Hourly_kWh!CN24</f>
        <v>2.5429999999992958E-3</v>
      </c>
      <c r="DN24" s="160">
        <f>Hourly_kWh!CO24</f>
        <v>1.7135999999993601E-2</v>
      </c>
      <c r="DO24" s="160">
        <f>Hourly_kWh!CP24</f>
        <v>0</v>
      </c>
      <c r="DP24" s="160">
        <f>Hourly_kWh!CQ24</f>
        <v>0</v>
      </c>
      <c r="DQ24" s="160">
        <f>Hourly_kWh!CR24</f>
        <v>4.655000000001408E-3</v>
      </c>
      <c r="DR24" s="160">
        <f>Hourly_kWh!CS24</f>
        <v>0</v>
      </c>
      <c r="DS24" s="160">
        <f>Hourly_kWh!CT24</f>
        <v>1.6000000000815362E-4</v>
      </c>
      <c r="DT24" s="160">
        <f>Hourly_kWh!CU24</f>
        <v>0</v>
      </c>
      <c r="DU24" s="160">
        <f>Hourly_kWh!CV24</f>
        <v>0</v>
      </c>
      <c r="DV24" s="160">
        <f>Hourly_kWh!CW24</f>
        <v>0</v>
      </c>
      <c r="DW24" s="160">
        <f>Hourly_kWh!CX24</f>
        <v>0</v>
      </c>
      <c r="DX24" s="160">
        <f>Hourly_kWh!CY24</f>
        <v>6.5899999999996517E-4</v>
      </c>
      <c r="DY24" s="160">
        <f>Hourly_kWh!CZ24</f>
        <v>4.9024999999991437E-4</v>
      </c>
      <c r="DZ24" s="160">
        <f>Hourly_kWh!DA24</f>
        <v>1.1603999999998393E-2</v>
      </c>
      <c r="EA24" s="160">
        <f>Hourly_kWh!DB24</f>
        <v>3.3820000000019945E-3</v>
      </c>
      <c r="EB24" s="160">
        <f>Hourly_kWh!DC24</f>
        <v>7.9374999999999307E-3</v>
      </c>
      <c r="EC24" s="160">
        <f>Hourly_kWh!DD24</f>
        <v>1.1997499999998329E-3</v>
      </c>
      <c r="ED24" s="160">
        <f>Hourly_kWh!DE24</f>
        <v>0</v>
      </c>
      <c r="EE24" s="160">
        <f>Hourly_kWh!DF24</f>
        <v>0</v>
      </c>
      <c r="EF24" s="160">
        <f>Hourly_kWh!DG24</f>
        <v>0</v>
      </c>
      <c r="EG24" s="160">
        <f>Hourly_kWh!DH24</f>
        <v>1.1584999999998402E-3</v>
      </c>
      <c r="EH24" s="160">
        <f>Hourly_kWh!DI24</f>
        <v>0.14982399999996687</v>
      </c>
      <c r="EI24" s="160">
        <f>Hourly_kWh!DJ24</f>
        <v>0</v>
      </c>
      <c r="EJ24" s="160">
        <f>Hourly_kWh!DK24</f>
        <v>2.7679999999996596E-3</v>
      </c>
      <c r="EK24" s="160">
        <f>Hourly_kWh!DL24</f>
        <v>5.0184375000000836E-4</v>
      </c>
      <c r="EL24" s="160">
        <f>Hourly_kWh!DM24</f>
        <v>1.0240000000010241E-3</v>
      </c>
      <c r="EM24" s="160">
        <f>Hourly_kWh!DN24</f>
        <v>0</v>
      </c>
      <c r="EN24" s="160">
        <f>Hourly_kWh!DO24</f>
        <v>3.4080000000074051E-3</v>
      </c>
      <c r="EO24" s="160">
        <f>Hourly_kWh!DP24</f>
        <v>7.2049999999990177E-4</v>
      </c>
      <c r="EP24" s="160">
        <f>Hourly_kWh!DQ24</f>
        <v>0</v>
      </c>
      <c r="EQ24" s="160">
        <f>Hourly_kWh!DR24</f>
        <v>0</v>
      </c>
      <c r="ER24" s="160">
        <f>Hourly_kWh!DS24</f>
        <v>5.046399999997675E-2</v>
      </c>
      <c r="ES24" s="160">
        <f>Hourly_kWh!DT24</f>
        <v>1.1110999999999649E-2</v>
      </c>
      <c r="ET24" s="160">
        <f>Hourly_kWh!DU24</f>
        <v>0</v>
      </c>
      <c r="EU24" s="160">
        <f>Hourly_kWh!DV24</f>
        <v>2.9624999999988688E-4</v>
      </c>
      <c r="EV24" s="160">
        <f>Hourly_kWh!DW24</f>
        <v>0</v>
      </c>
      <c r="EW24" s="160">
        <f>Hourly_kWh!DX24</f>
        <v>3.5749999999996618E-3</v>
      </c>
      <c r="EX24" s="160">
        <f>Hourly_kWh!DY24</f>
        <v>2.0856249999989807E-4</v>
      </c>
      <c r="EY24" s="160">
        <f>Hourly_kWh!DZ24</f>
        <v>4.4760000000003686E-3</v>
      </c>
      <c r="EZ24" s="160">
        <f>Hourly_kWh!EA24</f>
        <v>0</v>
      </c>
      <c r="FA24" s="160">
        <f>Hourly_kWh!EB24</f>
        <v>3.7375999999994747E-2</v>
      </c>
      <c r="FB24" s="160">
        <f>Hourly_kWh!EC24</f>
        <v>3.1999999999982265E-2</v>
      </c>
      <c r="FC24" s="160">
        <f>Hourly_kWh!ED24</f>
        <v>2.6049999999999685E-4</v>
      </c>
      <c r="FD24" s="160">
        <f>Hourly_kWh!EE24</f>
        <v>7.4480000000001212E-3</v>
      </c>
      <c r="FE24" s="160">
        <f>Hourly_kWh!EF24</f>
        <v>0.26195999999981723</v>
      </c>
      <c r="FF24" s="160">
        <f>Hourly_kWh!EG24</f>
        <v>0</v>
      </c>
      <c r="FG24" s="160">
        <f>Hourly_kWh!EH24</f>
        <v>7.4879999999666325E-3</v>
      </c>
      <c r="FH24" s="160">
        <f>Hourly_kWh!EI24</f>
        <v>1.9519999999943138E-2</v>
      </c>
      <c r="FI24" s="160">
        <f>Hourly_kWh!EJ24</f>
        <v>0</v>
      </c>
      <c r="FJ24" s="160">
        <f>Hourly_kWh!EK24</f>
        <v>0</v>
      </c>
      <c r="FK24" s="160">
        <f>Hourly_kWh!EL24</f>
        <v>0</v>
      </c>
      <c r="FL24" s="160">
        <f>Hourly_kWh!EM24</f>
        <v>0.13823999999976877</v>
      </c>
      <c r="FM24" s="160">
        <f>Hourly_kWh!EN24</f>
        <v>0</v>
      </c>
      <c r="FN24" s="160">
        <f>Hourly_kWh!EO24</f>
        <v>7.6799999999366264E-4</v>
      </c>
      <c r="FO24" s="160">
        <f>Hourly_kWh!EP24</f>
        <v>0</v>
      </c>
      <c r="FP24" s="160">
        <f>Hourly_kWh!ER24</f>
        <v>9.4692999999992367E-2</v>
      </c>
      <c r="FQ24" s="160">
        <f>Hourly_kWh!EQ24</f>
        <v>0</v>
      </c>
      <c r="FR24" s="160">
        <f>Hourly_kWh!M24</f>
        <v>0</v>
      </c>
      <c r="FS24" s="160">
        <f>Hourly_kWh!G24</f>
        <v>0</v>
      </c>
      <c r="FT24" s="160">
        <f>Hourly_kWh!C24</f>
        <v>0</v>
      </c>
      <c r="FU24" s="160">
        <f>Hourly_kWh!D24</f>
        <v>0.30852400000014768</v>
      </c>
      <c r="FV24" s="160">
        <f>Hourly_kWh!E24</f>
        <v>0.26178000000004431</v>
      </c>
      <c r="FW24" s="160">
        <f>Hourly_kWh!F24</f>
        <v>0.29193499999996675</v>
      </c>
      <c r="FX24" s="160">
        <f>Hourly_kWh!Q24</f>
        <v>0</v>
      </c>
      <c r="FY24" s="160">
        <f>Hourly_kWh!R24</f>
        <v>0.29696000000330969</v>
      </c>
      <c r="FZ24" s="160">
        <f>Hourly_kWh!S24</f>
        <v>0.25497600000016973</v>
      </c>
      <c r="GA24" s="160">
        <f>Hourly_kWh!T24</f>
        <v>0.28262400000312482</v>
      </c>
      <c r="GB24" s="160">
        <f t="shared" si="0"/>
        <v>0.87694000000000305</v>
      </c>
      <c r="GC24" s="160">
        <f t="shared" si="1"/>
        <v>0.80336799999957975</v>
      </c>
      <c r="GD24" s="160">
        <f t="shared" si="2"/>
        <v>7.3572000000423299E-2</v>
      </c>
      <c r="GE24" s="159">
        <f t="shared" si="3"/>
        <v>8.3896275686390229E-2</v>
      </c>
    </row>
    <row r="25" spans="2:187" s="150" customFormat="1" ht="32.25" customHeight="1" x14ac:dyDescent="0.25">
      <c r="B25" s="149" t="s">
        <v>682</v>
      </c>
      <c r="C25" s="160">
        <f>Hourly_kWh!H25</f>
        <v>0</v>
      </c>
      <c r="D25" s="160">
        <f>Hourly_kWh!I25</f>
        <v>0</v>
      </c>
      <c r="E25" s="160">
        <f>Hourly_kWh!J25</f>
        <v>0</v>
      </c>
      <c r="F25" s="160">
        <f>Hourly_kWh!K25</f>
        <v>0</v>
      </c>
      <c r="G25" s="160">
        <f>Hourly_kWh!L25</f>
        <v>0</v>
      </c>
      <c r="H25" s="160">
        <f>Hourly_kWh!U25</f>
        <v>2.0088000000001216E-2</v>
      </c>
      <c r="I25" s="160">
        <f>Hourly_kWh!P25</f>
        <v>0</v>
      </c>
      <c r="J25" s="160">
        <f>Hourly_kWh!N25</f>
        <v>0</v>
      </c>
      <c r="K25" s="160">
        <f>Hourly_kWh!O25</f>
        <v>0</v>
      </c>
      <c r="L25" s="160">
        <f>Hourly_kWh!B25*0.001</f>
        <v>0.85875000000000001</v>
      </c>
      <c r="M25" s="160">
        <f>Hourly_kWh!AR25</f>
        <v>0.15731200000004719</v>
      </c>
      <c r="N25" s="160">
        <f>Hourly_kWh!BM25</f>
        <v>8.6496000000011009E-2</v>
      </c>
      <c r="O25" s="160">
        <f>Hourly_kWh!CM25</f>
        <v>0.13196800000014264</v>
      </c>
      <c r="P25" s="160">
        <f>Hourly_kWh!DI25</f>
        <v>0.16006400000003396</v>
      </c>
      <c r="Q25" s="160">
        <f>Hourly_kWh!EF25</f>
        <v>0.26570700000047509</v>
      </c>
      <c r="R25" s="119">
        <f>SUM('Zone wise Meter data'!O23:AF23)</f>
        <v>4.5132374999995895E-2</v>
      </c>
      <c r="S25" s="115">
        <f>SUM('Zone wise Meter data'!AG23:AW23)</f>
        <v>9.2154156249998398E-2</v>
      </c>
      <c r="T25" s="115">
        <f>SUM('Zone wise Meter data'!AX23:BA23)</f>
        <v>2.5469000000083675E-2</v>
      </c>
      <c r="U25" s="115">
        <f>SUM('Zone wise Meter data'!BB23:BC23)</f>
        <v>9.6767999999997301E-2</v>
      </c>
      <c r="V25" s="115">
        <f>SUM('Zone wise Meter data'!BD23:BL23)</f>
        <v>0.27197800000020322</v>
      </c>
      <c r="W25" s="115">
        <f>SUM('Zone wise Meter data'!BM23:BX23)</f>
        <v>2.1427499999986388E-3</v>
      </c>
      <c r="X25" s="115">
        <f>SUM('Zone wise Meter data'!BY23:CE23)</f>
        <v>6.2950000000006057E-4</v>
      </c>
      <c r="Y25" s="115">
        <f>SUM('Zone wise Meter data'!CF23:CK23)</f>
        <v>8.9665000000001993E-2</v>
      </c>
      <c r="Z25" s="115">
        <f>SUM('Zone wise Meter data'!CL23:CO23)</f>
        <v>7.3664000000007945E-2</v>
      </c>
      <c r="AA25" s="115">
        <f>SUM('Zone wise Meter data'!CP23:DD23)</f>
        <v>1.3225999999994742E-2</v>
      </c>
      <c r="AB25" s="115">
        <f>SUM('Zone wise Meter data'!DE23:DN23)</f>
        <v>7.330335937499044E-3</v>
      </c>
      <c r="AC25" s="115">
        <f>SUM('Zone wise Meter data'!DO23:ED23)</f>
        <v>0</v>
      </c>
      <c r="AD25" s="160">
        <f>Hourly_kWh!AW25</f>
        <v>3.8591999999994187E-2</v>
      </c>
      <c r="AE25" s="160">
        <f>Hourly_kWh!DS25</f>
        <v>5.8176000000003114E-2</v>
      </c>
      <c r="AF25" s="160">
        <f>Hourly_kWh!EL25</f>
        <v>0</v>
      </c>
      <c r="AG25" s="160">
        <f>Hourly_kWh!EK25</f>
        <v>0</v>
      </c>
      <c r="AH25" s="160">
        <f>Hourly_kWh!EN25</f>
        <v>0</v>
      </c>
      <c r="AI25" s="160">
        <f>Hourly_kWh!EO25</f>
        <v>7.6799999999366264E-4</v>
      </c>
      <c r="AJ25" s="160">
        <f>Hourly_kWh!EM25</f>
        <v>0.14131200000019817</v>
      </c>
      <c r="AK25" s="160">
        <f>Hourly_kWh!ER25</f>
        <v>9.7102000000006683E-2</v>
      </c>
      <c r="AL25" s="160">
        <f>Hourly_kWh!EI25</f>
        <v>1.8624000000045271E-2</v>
      </c>
      <c r="AM25" s="160">
        <f>Hourly_kWh!EJ25+Hourly_kWh!AS25</f>
        <v>6.0999999999644672E-5</v>
      </c>
      <c r="AN25" s="160">
        <f>Hourly_kWh!CX25+Hourly_kWh!CY25+Hourly_kWh!DC25+Hourly_kWh!DD25</f>
        <v>9.8463750000001848E-3</v>
      </c>
      <c r="AO25" s="160">
        <f>SUM(Hourly_kWh!AI25:AQ25)</f>
        <v>6.7546156249995992E-2</v>
      </c>
      <c r="AP25" s="160">
        <f>SUM(Hourly_kWh!V25:AG25)</f>
        <v>3.2955999999996877E-2</v>
      </c>
      <c r="AQ25" s="160">
        <f>Hourly_kWh!DB25</f>
        <v>3.7439999999975271E-3</v>
      </c>
      <c r="AR25" s="160">
        <f>Hourly_kWh!CO25</f>
        <v>1.7464000000003921E-2</v>
      </c>
      <c r="AS25" s="160">
        <f>Hourly_kWh!BJ25</f>
        <v>0</v>
      </c>
      <c r="AT25" s="160">
        <f>Hourly_kWh!U25</f>
        <v>2.0088000000001216E-2</v>
      </c>
      <c r="AU25" s="160">
        <f>Hourly_kWh!V25</f>
        <v>6.3359999999974548E-3</v>
      </c>
      <c r="AV25" s="160">
        <f>Hourly_kWh!W25</f>
        <v>7.839999999994518E-4</v>
      </c>
      <c r="AW25" s="160">
        <f>Hourly_kWh!X25</f>
        <v>2.3809999999997444E-3</v>
      </c>
      <c r="AX25" s="160">
        <f>Hourly_kWh!Y25</f>
        <v>0</v>
      </c>
      <c r="AY25" s="160">
        <f>Hourly_kWh!Z25</f>
        <v>1.8270000000004671E-3</v>
      </c>
      <c r="AZ25" s="160">
        <f>Hourly_kWh!AA25</f>
        <v>3.4400000000012199E-3</v>
      </c>
      <c r="BA25" s="160">
        <f>Hourly_kWh!AB25</f>
        <v>6.1459999999975423E-3</v>
      </c>
      <c r="BB25" s="160">
        <f>Hourly_kWh!AC25</f>
        <v>6.7920000000007974E-3</v>
      </c>
      <c r="BC25" s="160">
        <f>Hourly_kWh!AD25</f>
        <v>1.4570000000002636E-3</v>
      </c>
      <c r="BD25" s="160">
        <f>Hourly_kWh!AE25</f>
        <v>8.960000000000079E-4</v>
      </c>
      <c r="BE25" s="160">
        <f>Hourly_kWh!AF25</f>
        <v>0</v>
      </c>
      <c r="BF25" s="160">
        <f>Hourly_kWh!AG25</f>
        <v>2.8969999999999274E-3</v>
      </c>
      <c r="BG25" s="160">
        <f>Hourly_kWh!AH25</f>
        <v>7.1008000000006177E-2</v>
      </c>
      <c r="BH25" s="160">
        <f>Hourly_kWh!AI25</f>
        <v>0</v>
      </c>
      <c r="BI25" s="160">
        <f>Hourly_kWh!AJ25</f>
        <v>6.3049999999975626E-4</v>
      </c>
      <c r="BJ25" s="160">
        <f>Hourly_kWh!AK25</f>
        <v>0</v>
      </c>
      <c r="BK25" s="160">
        <f>Hourly_kWh!AL25</f>
        <v>8.0896562499999658E-3</v>
      </c>
      <c r="BL25" s="160">
        <f>Hourly_kWh!AM25</f>
        <v>2.1247999999999934E-2</v>
      </c>
      <c r="BM25" s="160">
        <f>Hourly_kWh!AN25</f>
        <v>1.5463999999994371E-2</v>
      </c>
      <c r="BN25" s="160">
        <f>Hourly_kWh!AO25</f>
        <v>5.1520000000024879E-3</v>
      </c>
      <c r="BO25" s="160">
        <f>Hourly_kWh!AP25</f>
        <v>3.3460000000005152E-3</v>
      </c>
      <c r="BP25" s="160">
        <f>Hourly_kWh!AQ25</f>
        <v>1.3615999999998962E-2</v>
      </c>
      <c r="BQ25" s="160">
        <f>Hourly_kWh!AR25</f>
        <v>0.15731200000004719</v>
      </c>
      <c r="BR25" s="160">
        <f>Hourly_kWh!AS25</f>
        <v>6.0999999999644672E-5</v>
      </c>
      <c r="BS25" s="160">
        <f>Hourly_kWh!AT25</f>
        <v>0</v>
      </c>
      <c r="BT25" s="160">
        <f>Hourly_kWh!AU25</f>
        <v>2.0039999999994507E-3</v>
      </c>
      <c r="BU25" s="160">
        <f>Hourly_kWh!AV25</f>
        <v>5.1250000000013785E-4</v>
      </c>
      <c r="BV25" s="160">
        <f>Hourly_kWh!AW25</f>
        <v>3.8591999999994187E-2</v>
      </c>
      <c r="BW25" s="160">
        <f>Hourly_kWh!AX25</f>
        <v>0</v>
      </c>
      <c r="BX25" s="160">
        <f>Hourly_kWh!AY25</f>
        <v>2.8595000000004589E-3</v>
      </c>
      <c r="BY25" s="160">
        <f>Hourly_kWh!AZ25</f>
        <v>0</v>
      </c>
      <c r="BZ25" s="160">
        <f>Hourly_kWh!BA25</f>
        <v>0</v>
      </c>
      <c r="CA25" s="160">
        <f>Hourly_kWh!BB25</f>
        <v>0</v>
      </c>
      <c r="CB25" s="160">
        <f>Hourly_kWh!BC25</f>
        <v>0</v>
      </c>
      <c r="CC25" s="160">
        <f>Hourly_kWh!BD25</f>
        <v>1.1030468750000688E-4</v>
      </c>
      <c r="CD25" s="160">
        <f>Hourly_kWh!BE25</f>
        <v>4.8600000000007526E-3</v>
      </c>
      <c r="CE25" s="160">
        <f>Hourly_kWh!BF25</f>
        <v>0</v>
      </c>
      <c r="CF25" s="160">
        <f>Hourly_kWh!BG25</f>
        <v>4.3300000000101591E-4</v>
      </c>
      <c r="CG25" s="160">
        <f>Hourly_kWh!BH25</f>
        <v>0</v>
      </c>
      <c r="CH25" s="160">
        <f>Hourly_kWh!BI25</f>
        <v>9.8912000000041189E-2</v>
      </c>
      <c r="CI25" s="160">
        <f>Hourly_kWh!BJ25</f>
        <v>0</v>
      </c>
      <c r="CJ25" s="160">
        <f>Hourly_kWh!BK25</f>
        <v>1.458999999999655E-3</v>
      </c>
      <c r="CK25" s="160">
        <f>Hourly_kWh!BL25</f>
        <v>0</v>
      </c>
      <c r="CL25" s="160">
        <f>Hourly_kWh!BM25</f>
        <v>8.6496000000011009E-2</v>
      </c>
      <c r="CM25" s="160">
        <f>Hourly_kWh!BN25</f>
        <v>0</v>
      </c>
      <c r="CN25" s="160">
        <f>Hourly_kWh!BO25</f>
        <v>1.6439999999988686E-3</v>
      </c>
      <c r="CO25" s="160">
        <f>Hourly_kWh!BP25</f>
        <v>0</v>
      </c>
      <c r="CP25" s="160">
        <f>Hourly_kWh!BQ25</f>
        <v>0</v>
      </c>
      <c r="CQ25" s="160">
        <f>Hourly_kWh!BR25</f>
        <v>0</v>
      </c>
      <c r="CR25" s="160">
        <f>Hourly_kWh!BS25</f>
        <v>0</v>
      </c>
      <c r="CS25" s="160">
        <f>Hourly_kWh!BT25</f>
        <v>1.1456000000002575E-2</v>
      </c>
      <c r="CT25" s="160">
        <f>Hourly_kWh!BU25</f>
        <v>0</v>
      </c>
      <c r="CU25" s="160">
        <f>Hourly_kWh!BV25</f>
        <v>0</v>
      </c>
      <c r="CV25" s="160">
        <f>Hourly_kWh!BW25</f>
        <v>0</v>
      </c>
      <c r="CW25" s="160">
        <f>Hourly_kWh!BX25</f>
        <v>0</v>
      </c>
      <c r="CX25" s="160">
        <f>Hourly_kWh!BY25</f>
        <v>0</v>
      </c>
      <c r="CY25" s="160">
        <f>Hourly_kWh!BZ25</f>
        <v>4.6520000000001005E-2</v>
      </c>
      <c r="CZ25" s="160">
        <f>Hourly_kWh!CA25</f>
        <v>1.9332500000000086E-2</v>
      </c>
      <c r="DA25" s="160">
        <f>Hourly_kWh!CB25</f>
        <v>0</v>
      </c>
      <c r="DB25" s="160">
        <f>Hourly_kWh!CC25</f>
        <v>0</v>
      </c>
      <c r="DC25" s="160">
        <f>Hourly_kWh!CD25</f>
        <v>0</v>
      </c>
      <c r="DD25" s="160">
        <f>Hourly_kWh!CE25</f>
        <v>0</v>
      </c>
      <c r="DE25" s="160">
        <f>Hourly_kWh!CF25</f>
        <v>6.829999999986569E-4</v>
      </c>
      <c r="DF25" s="160">
        <f>Hourly_kWh!CG25</f>
        <v>0</v>
      </c>
      <c r="DG25" s="160">
        <f>Hourly_kWh!CH25</f>
        <v>6.2950000000006057E-4</v>
      </c>
      <c r="DH25" s="160">
        <f>Hourly_kWh!CI25</f>
        <v>0</v>
      </c>
      <c r="DI25" s="160">
        <f>Hourly_kWh!CJ25</f>
        <v>0</v>
      </c>
      <c r="DJ25" s="160">
        <f>Hourly_kWh!CK25</f>
        <v>0</v>
      </c>
      <c r="DK25" s="160">
        <f>Hourly_kWh!CL25</f>
        <v>0</v>
      </c>
      <c r="DL25" s="160">
        <f>Hourly_kWh!CM25</f>
        <v>0.13196800000014264</v>
      </c>
      <c r="DM25" s="160">
        <f>Hourly_kWh!CN25</f>
        <v>2.5390000000005131E-3</v>
      </c>
      <c r="DN25" s="160">
        <f>Hourly_kWh!CO25</f>
        <v>1.7464000000003921E-2</v>
      </c>
      <c r="DO25" s="160">
        <f>Hourly_kWh!CP25</f>
        <v>0</v>
      </c>
      <c r="DP25" s="160">
        <f>Hourly_kWh!CQ25</f>
        <v>0</v>
      </c>
      <c r="DQ25" s="160">
        <f>Hourly_kWh!CR25</f>
        <v>5.3879999999999484E-3</v>
      </c>
      <c r="DR25" s="160">
        <f>Hourly_kWh!CS25</f>
        <v>0</v>
      </c>
      <c r="DS25" s="160">
        <f>Hourly_kWh!CT25</f>
        <v>1.5199999999992997E-4</v>
      </c>
      <c r="DT25" s="160">
        <f>Hourly_kWh!CU25</f>
        <v>0</v>
      </c>
      <c r="DU25" s="160">
        <f>Hourly_kWh!CV25</f>
        <v>0</v>
      </c>
      <c r="DV25" s="160">
        <f>Hourly_kWh!CW25</f>
        <v>0</v>
      </c>
      <c r="DW25" s="160">
        <f>Hourly_kWh!CX25</f>
        <v>0</v>
      </c>
      <c r="DX25" s="160">
        <f>Hourly_kWh!CY25</f>
        <v>6.6600000000005544E-4</v>
      </c>
      <c r="DY25" s="160">
        <f>Hourly_kWh!CZ25</f>
        <v>4.9874999999977021E-4</v>
      </c>
      <c r="DZ25" s="160">
        <f>Hourly_kWh!DA25</f>
        <v>1.1588000000003262E-2</v>
      </c>
      <c r="EA25" s="160">
        <f>Hourly_kWh!DB25</f>
        <v>3.7439999999975271E-3</v>
      </c>
      <c r="EB25" s="160">
        <f>Hourly_kWh!DC25</f>
        <v>7.9751249999999718E-3</v>
      </c>
      <c r="EC25" s="160">
        <f>Hourly_kWh!DD25</f>
        <v>1.2052500000001576E-3</v>
      </c>
      <c r="ED25" s="160">
        <f>Hourly_kWh!DE25</f>
        <v>0</v>
      </c>
      <c r="EE25" s="160">
        <f>Hourly_kWh!DF25</f>
        <v>0</v>
      </c>
      <c r="EF25" s="160">
        <f>Hourly_kWh!DG25</f>
        <v>0</v>
      </c>
      <c r="EG25" s="160">
        <f>Hourly_kWh!DH25</f>
        <v>1.1775000000007196E-3</v>
      </c>
      <c r="EH25" s="160">
        <f>Hourly_kWh!DI25</f>
        <v>0.16006400000003396</v>
      </c>
      <c r="EI25" s="160">
        <f>Hourly_kWh!DJ25</f>
        <v>0</v>
      </c>
      <c r="EJ25" s="160">
        <f>Hourly_kWh!DK25</f>
        <v>2.8119999999987044E-3</v>
      </c>
      <c r="EK25" s="160">
        <f>Hourly_kWh!DL25</f>
        <v>4.9453124999998543E-4</v>
      </c>
      <c r="EL25" s="160">
        <f>Hourly_kWh!DM25</f>
        <v>9.6399999999974284E-4</v>
      </c>
      <c r="EM25" s="160">
        <f>Hourly_kWh!DN25</f>
        <v>0</v>
      </c>
      <c r="EN25" s="160">
        <f>Hourly_kWh!DO25</f>
        <v>3.4239999999954307E-3</v>
      </c>
      <c r="EO25" s="160">
        <f>Hourly_kWh!DP25</f>
        <v>5.6250000000090949E-4</v>
      </c>
      <c r="EP25" s="160">
        <f>Hourly_kWh!DQ25</f>
        <v>0</v>
      </c>
      <c r="EQ25" s="160">
        <f>Hourly_kWh!DR25</f>
        <v>0</v>
      </c>
      <c r="ER25" s="160">
        <f>Hourly_kWh!DS25</f>
        <v>5.8176000000003114E-2</v>
      </c>
      <c r="ES25" s="160">
        <f>Hourly_kWh!DT25</f>
        <v>1.167349999999967E-2</v>
      </c>
      <c r="ET25" s="160">
        <f>Hourly_kWh!DU25</f>
        <v>0</v>
      </c>
      <c r="EU25" s="160">
        <f>Hourly_kWh!DV25</f>
        <v>2.9749999999983956E-4</v>
      </c>
      <c r="EV25" s="160">
        <f>Hourly_kWh!DW25</f>
        <v>0</v>
      </c>
      <c r="EW25" s="160">
        <f>Hourly_kWh!DX25</f>
        <v>3.5380000000007072E-3</v>
      </c>
      <c r="EX25" s="160">
        <f>Hourly_kWh!DY25</f>
        <v>2.0900000000001473E-4</v>
      </c>
      <c r="EY25" s="160">
        <f>Hourly_kWh!DZ25</f>
        <v>4.7779999999981726E-3</v>
      </c>
      <c r="EZ25" s="160">
        <f>Hourly_kWh!EA25</f>
        <v>0</v>
      </c>
      <c r="FA25" s="160">
        <f>Hourly_kWh!EB25</f>
        <v>4.0495999999990318E-2</v>
      </c>
      <c r="FB25" s="160">
        <f>Hourly_kWh!EC25</f>
        <v>3.3168000000017628E-2</v>
      </c>
      <c r="FC25" s="160">
        <f>Hourly_kWh!ED25</f>
        <v>2.6499999999973767E-4</v>
      </c>
      <c r="FD25" s="160">
        <f>Hourly_kWh!EE25</f>
        <v>8.6549999999991911E-3</v>
      </c>
      <c r="FE25" s="160">
        <f>Hourly_kWh!EF25</f>
        <v>0.26570700000047509</v>
      </c>
      <c r="FF25" s="160">
        <f>Hourly_kWh!EG25</f>
        <v>0</v>
      </c>
      <c r="FG25" s="160">
        <f>Hourly_kWh!EH25</f>
        <v>6.784000000038759E-3</v>
      </c>
      <c r="FH25" s="160">
        <f>Hourly_kWh!EI25</f>
        <v>1.8624000000045271E-2</v>
      </c>
      <c r="FI25" s="160">
        <f>Hourly_kWh!EJ25</f>
        <v>0</v>
      </c>
      <c r="FJ25" s="160">
        <f>Hourly_kWh!EK25</f>
        <v>0</v>
      </c>
      <c r="FK25" s="160">
        <f>Hourly_kWh!EL25</f>
        <v>0</v>
      </c>
      <c r="FL25" s="160">
        <f>Hourly_kWh!EM25</f>
        <v>0.14131200000019817</v>
      </c>
      <c r="FM25" s="160">
        <f>Hourly_kWh!EN25</f>
        <v>0</v>
      </c>
      <c r="FN25" s="160">
        <f>Hourly_kWh!EO25</f>
        <v>7.6799999999366264E-4</v>
      </c>
      <c r="FO25" s="160">
        <f>Hourly_kWh!EP25</f>
        <v>0</v>
      </c>
      <c r="FP25" s="160">
        <f>Hourly_kWh!ER25</f>
        <v>9.7102000000006683E-2</v>
      </c>
      <c r="FQ25" s="160">
        <f>Hourly_kWh!EQ25</f>
        <v>0</v>
      </c>
      <c r="FR25" s="160">
        <f>Hourly_kWh!M25</f>
        <v>0</v>
      </c>
      <c r="FS25" s="160">
        <f>Hourly_kWh!G25</f>
        <v>0</v>
      </c>
      <c r="FT25" s="160">
        <f>Hourly_kWh!C25</f>
        <v>0</v>
      </c>
      <c r="FU25" s="160">
        <f>Hourly_kWh!D25</f>
        <v>0.30866099999991548</v>
      </c>
      <c r="FV25" s="160">
        <f>Hourly_kWh!E25</f>
        <v>0.26171999999996842</v>
      </c>
      <c r="FW25" s="160">
        <f>Hourly_kWh!F25</f>
        <v>0.26794599999999491</v>
      </c>
      <c r="FX25" s="160">
        <f>Hourly_kWh!Q25</f>
        <v>0</v>
      </c>
      <c r="FY25" s="160">
        <f>Hourly_kWh!R25</f>
        <v>0.29695999999967171</v>
      </c>
      <c r="FZ25" s="160">
        <f>Hourly_kWh!S25</f>
        <v>0.2539520000000266</v>
      </c>
      <c r="GA25" s="160">
        <f>Hourly_kWh!T25</f>
        <v>0.29081599999699392</v>
      </c>
      <c r="GB25" s="160">
        <f t="shared" si="0"/>
        <v>0.87883800000000123</v>
      </c>
      <c r="GC25" s="160">
        <f t="shared" si="1"/>
        <v>0.80154700000070989</v>
      </c>
      <c r="GD25" s="160">
        <f t="shared" si="2"/>
        <v>7.7290999999291343E-2</v>
      </c>
      <c r="GE25" s="159">
        <f t="shared" si="3"/>
        <v>8.7946811584491386E-2</v>
      </c>
    </row>
    <row r="26" spans="2:187" s="150" customFormat="1" ht="32.25" customHeight="1" x14ac:dyDescent="0.25">
      <c r="B26" s="149" t="s">
        <v>683</v>
      </c>
      <c r="C26" s="160">
        <f>Hourly_kWh!H26</f>
        <v>0</v>
      </c>
      <c r="D26" s="160">
        <f>Hourly_kWh!I26</f>
        <v>0</v>
      </c>
      <c r="E26" s="160">
        <f>Hourly_kWh!J26</f>
        <v>0</v>
      </c>
      <c r="F26" s="160">
        <f>Hourly_kWh!K26</f>
        <v>0</v>
      </c>
      <c r="G26" s="160">
        <f>Hourly_kWh!L26</f>
        <v>0</v>
      </c>
      <c r="H26" s="160">
        <f>Hourly_kWh!U26</f>
        <v>1.8567999999987705E-2</v>
      </c>
      <c r="I26" s="160">
        <f>Hourly_kWh!P26</f>
        <v>0</v>
      </c>
      <c r="J26" s="160">
        <f>Hourly_kWh!N26</f>
        <v>0</v>
      </c>
      <c r="K26" s="160">
        <f>Hourly_kWh!O26</f>
        <v>0</v>
      </c>
      <c r="L26" s="160">
        <f>Hourly_kWh!B26*0.001</f>
        <v>0.83187500000000003</v>
      </c>
      <c r="M26" s="160">
        <f>Hourly_kWh!AR26</f>
        <v>0.15475199999991673</v>
      </c>
      <c r="N26" s="160">
        <f>Hourly_kWh!BM26</f>
        <v>8.3808000000033189E-2</v>
      </c>
      <c r="O26" s="160">
        <f>Hourly_kWh!CM26</f>
        <v>0.13184000000001106</v>
      </c>
      <c r="P26" s="160">
        <f>Hourly_kWh!DI26</f>
        <v>0.13267199999995682</v>
      </c>
      <c r="Q26" s="160">
        <f>Hourly_kWh!EF26</f>
        <v>0.27086500000041269</v>
      </c>
      <c r="R26" s="119">
        <f>SUM('Zone wise Meter data'!O24:AF24)</f>
        <v>4.3365750000007752E-2</v>
      </c>
      <c r="S26" s="115">
        <f>SUM('Zone wise Meter data'!AG24:AW24)</f>
        <v>8.8579343749993655E-2</v>
      </c>
      <c r="T26" s="115">
        <f>SUM('Zone wise Meter data'!AX24:BA24)</f>
        <v>2.6492000000000182E-2</v>
      </c>
      <c r="U26" s="115">
        <f>SUM('Zone wise Meter data'!BB24:BC24)</f>
        <v>8.0927999999971689E-2</v>
      </c>
      <c r="V26" s="115">
        <f>SUM('Zone wise Meter data'!BD24:BL24)</f>
        <v>0.2761119999997419</v>
      </c>
      <c r="W26" s="115">
        <f>SUM('Zone wise Meter data'!BM24:BX24)</f>
        <v>2.0992499999996639E-3</v>
      </c>
      <c r="X26" s="115">
        <f>SUM('Zone wise Meter data'!BY24:CE24)</f>
        <v>6.3925000000031318E-4</v>
      </c>
      <c r="Y26" s="115">
        <f>SUM('Zone wise Meter data'!CF24:CK24)</f>
        <v>8.5160062499992528E-2</v>
      </c>
      <c r="Z26" s="115">
        <f>SUM('Zone wise Meter data'!CL24:CO24)</f>
        <v>6.4335999999997284E-2</v>
      </c>
      <c r="AA26" s="115">
        <f>SUM('Zone wise Meter data'!CP24:DD24)</f>
        <v>1.3801999999998649E-2</v>
      </c>
      <c r="AB26" s="115">
        <f>SUM('Zone wise Meter data'!DE24:DN24)</f>
        <v>7.3307265625060791E-3</v>
      </c>
      <c r="AC26" s="115">
        <f>SUM('Zone wise Meter data'!DO24:ED24)</f>
        <v>0</v>
      </c>
      <c r="AD26" s="160">
        <f>Hourly_kWh!AW26</f>
        <v>3.8143999999988409E-2</v>
      </c>
      <c r="AE26" s="160">
        <f>Hourly_kWh!DS26</f>
        <v>4.278399999998328E-2</v>
      </c>
      <c r="AF26" s="160">
        <f>Hourly_kWh!EL26</f>
        <v>0</v>
      </c>
      <c r="AG26" s="160">
        <f>Hourly_kWh!EK26</f>
        <v>0</v>
      </c>
      <c r="AH26" s="160">
        <f>Hourly_kWh!EN26</f>
        <v>0</v>
      </c>
      <c r="AI26" s="160">
        <f>Hourly_kWh!EO26</f>
        <v>7.6799999999366264E-4</v>
      </c>
      <c r="AJ26" s="160">
        <f>Hourly_kWh!EM26</f>
        <v>0.14310399999976653</v>
      </c>
      <c r="AK26" s="160">
        <f>Hourly_kWh!ER26</f>
        <v>9.9463999999983344E-2</v>
      </c>
      <c r="AL26" s="160">
        <f>Hourly_kWh!EI26</f>
        <v>1.721599999996215E-2</v>
      </c>
      <c r="AM26" s="160">
        <f>Hourly_kWh!EJ26+Hourly_kWh!AS26</f>
        <v>6.0000000000393072E-5</v>
      </c>
      <c r="AN26" s="160">
        <f>Hourly_kWh!CX26+Hourly_kWh!CY26+Hourly_kWh!DC26+Hourly_kWh!DD26</f>
        <v>9.8022500000001234E-3</v>
      </c>
      <c r="AO26" s="160">
        <f>SUM(Hourly_kWh!AI26:AQ26)</f>
        <v>6.3278343749996524E-2</v>
      </c>
      <c r="AP26" s="160">
        <f>SUM(Hourly_kWh!V26:AG26)</f>
        <v>3.2350500000005056E-2</v>
      </c>
      <c r="AQ26" s="160">
        <f>Hourly_kWh!DB26</f>
        <v>3.852000000001965E-3</v>
      </c>
      <c r="AR26" s="160">
        <f>Hourly_kWh!CO26</f>
        <v>1.7511999999996419E-2</v>
      </c>
      <c r="AS26" s="160">
        <f>Hourly_kWh!BJ26</f>
        <v>0</v>
      </c>
      <c r="AT26" s="160">
        <f>Hourly_kWh!U26</f>
        <v>1.8567999999987705E-2</v>
      </c>
      <c r="AU26" s="160">
        <f>Hourly_kWh!V26</f>
        <v>6.2260000000051718E-3</v>
      </c>
      <c r="AV26" s="160">
        <f>Hourly_kWh!W26</f>
        <v>5.0000000000061107E-4</v>
      </c>
      <c r="AW26" s="160">
        <f>Hourly_kWh!X26</f>
        <v>2.4449999999998084E-3</v>
      </c>
      <c r="AX26" s="160">
        <f>Hourly_kWh!Y26</f>
        <v>0</v>
      </c>
      <c r="AY26" s="160">
        <f>Hourly_kWh!Z26</f>
        <v>2.3800000000004928E-3</v>
      </c>
      <c r="AZ26" s="160">
        <f>Hourly_kWh!AA26</f>
        <v>3.0639999999984013E-3</v>
      </c>
      <c r="BA26" s="160">
        <f>Hourly_kWh!AB26</f>
        <v>5.914000000000641E-3</v>
      </c>
      <c r="BB26" s="160">
        <f>Hourly_kWh!AC26</f>
        <v>6.7659999999989395E-3</v>
      </c>
      <c r="BC26" s="160">
        <f>Hourly_kWh!AD26</f>
        <v>1.7060000000004294E-3</v>
      </c>
      <c r="BD26" s="160">
        <f>Hourly_kWh!AE26</f>
        <v>8.8799999999977786E-4</v>
      </c>
      <c r="BE26" s="160">
        <f>Hourly_kWh!AF26</f>
        <v>0</v>
      </c>
      <c r="BF26" s="160">
        <f>Hourly_kWh!AG26</f>
        <v>2.4615000000007825E-3</v>
      </c>
      <c r="BG26" s="160">
        <f>Hourly_kWh!AH26</f>
        <v>6.5247999999996864E-2</v>
      </c>
      <c r="BH26" s="160">
        <f>Hourly_kWh!AI26</f>
        <v>0</v>
      </c>
      <c r="BI26" s="160">
        <f>Hourly_kWh!AJ26</f>
        <v>6.0750000000009408E-4</v>
      </c>
      <c r="BJ26" s="160">
        <f>Hourly_kWh!AK26</f>
        <v>0</v>
      </c>
      <c r="BK26" s="160">
        <f>Hourly_kWh!AL26</f>
        <v>5.7248437500000415E-3</v>
      </c>
      <c r="BL26" s="160">
        <f>Hourly_kWh!AM26</f>
        <v>2.0296000000001868E-2</v>
      </c>
      <c r="BM26" s="160">
        <f>Hourly_kWh!AN26</f>
        <v>1.5072000000003527E-2</v>
      </c>
      <c r="BN26" s="160">
        <f>Hourly_kWh!AO26</f>
        <v>5.1719999999946253E-3</v>
      </c>
      <c r="BO26" s="160">
        <f>Hourly_kWh!AP26</f>
        <v>3.3019999999979177E-3</v>
      </c>
      <c r="BP26" s="160">
        <f>Hourly_kWh!AQ26</f>
        <v>1.310399999999845E-2</v>
      </c>
      <c r="BQ26" s="160">
        <f>Hourly_kWh!AR26</f>
        <v>0.15475199999991673</v>
      </c>
      <c r="BR26" s="160">
        <f>Hourly_kWh!AS26</f>
        <v>6.0000000000393072E-5</v>
      </c>
      <c r="BS26" s="160">
        <f>Hourly_kWh!AT26</f>
        <v>0</v>
      </c>
      <c r="BT26" s="160">
        <f>Hourly_kWh!AU26</f>
        <v>1.948000000005834E-3</v>
      </c>
      <c r="BU26" s="160">
        <f>Hourly_kWh!AV26</f>
        <v>5.959999999998189E-4</v>
      </c>
      <c r="BV26" s="160">
        <f>Hourly_kWh!AW26</f>
        <v>3.8143999999988409E-2</v>
      </c>
      <c r="BW26" s="160">
        <f>Hourly_kWh!AX26</f>
        <v>0</v>
      </c>
      <c r="BX26" s="160">
        <f>Hourly_kWh!AY26</f>
        <v>2.9620000000001312E-3</v>
      </c>
      <c r="BY26" s="160">
        <f>Hourly_kWh!AZ26</f>
        <v>0</v>
      </c>
      <c r="BZ26" s="160">
        <f>Hourly_kWh!BA26</f>
        <v>0</v>
      </c>
      <c r="CA26" s="160">
        <f>Hourly_kWh!BB26</f>
        <v>0</v>
      </c>
      <c r="CB26" s="160">
        <f>Hourly_kWh!BC26</f>
        <v>0</v>
      </c>
      <c r="CC26" s="160">
        <f>Hourly_kWh!BD26</f>
        <v>1.0033593750000125E-4</v>
      </c>
      <c r="CD26" s="160">
        <f>Hourly_kWh!BE26</f>
        <v>4.8640000000013117E-3</v>
      </c>
      <c r="CE26" s="160">
        <f>Hourly_kWh!BF26</f>
        <v>0</v>
      </c>
      <c r="CF26" s="160">
        <f>Hourly_kWh!BG26</f>
        <v>4.4299999999886097E-4</v>
      </c>
      <c r="CG26" s="160">
        <f>Hourly_kWh!BH26</f>
        <v>0</v>
      </c>
      <c r="CH26" s="160">
        <f>Hourly_kWh!BI26</f>
        <v>9.5743999999967855E-2</v>
      </c>
      <c r="CI26" s="160">
        <f>Hourly_kWh!BJ26</f>
        <v>0</v>
      </c>
      <c r="CJ26" s="160">
        <f>Hourly_kWh!BK26</f>
        <v>1.472000000000584E-3</v>
      </c>
      <c r="CK26" s="160">
        <f>Hourly_kWh!BL26</f>
        <v>0</v>
      </c>
      <c r="CL26" s="160">
        <f>Hourly_kWh!BM26</f>
        <v>8.3808000000033189E-2</v>
      </c>
      <c r="CM26" s="160">
        <f>Hourly_kWh!BN26</f>
        <v>0</v>
      </c>
      <c r="CN26" s="160">
        <f>Hourly_kWh!BO26</f>
        <v>1.6099999999994452E-3</v>
      </c>
      <c r="CO26" s="160">
        <f>Hourly_kWh!BP26</f>
        <v>0</v>
      </c>
      <c r="CP26" s="160">
        <f>Hourly_kWh!BQ26</f>
        <v>0</v>
      </c>
      <c r="CQ26" s="160">
        <f>Hourly_kWh!BR26</f>
        <v>0</v>
      </c>
      <c r="CR26" s="160">
        <f>Hourly_kWh!BS26</f>
        <v>0</v>
      </c>
      <c r="CS26" s="160">
        <f>Hourly_kWh!BT26</f>
        <v>1.1371999999994387E-2</v>
      </c>
      <c r="CT26" s="160">
        <f>Hourly_kWh!BU26</f>
        <v>0</v>
      </c>
      <c r="CU26" s="160">
        <f>Hourly_kWh!BV26</f>
        <v>0</v>
      </c>
      <c r="CV26" s="160">
        <f>Hourly_kWh!BW26</f>
        <v>0</v>
      </c>
      <c r="CW26" s="160">
        <f>Hourly_kWh!BX26</f>
        <v>0</v>
      </c>
      <c r="CX26" s="160">
        <f>Hourly_kWh!BY26</f>
        <v>0</v>
      </c>
      <c r="CY26" s="160">
        <f>Hourly_kWh!BZ26</f>
        <v>4.8215999999996484E-2</v>
      </c>
      <c r="CZ26" s="160">
        <f>Hourly_kWh!CA26</f>
        <v>1.395706249999995E-2</v>
      </c>
      <c r="DA26" s="160">
        <f>Hourly_kWh!CB26</f>
        <v>0</v>
      </c>
      <c r="DB26" s="160">
        <f>Hourly_kWh!CC26</f>
        <v>0</v>
      </c>
      <c r="DC26" s="160">
        <f>Hourly_kWh!CD26</f>
        <v>0</v>
      </c>
      <c r="DD26" s="160">
        <f>Hourly_kWh!CE26</f>
        <v>0</v>
      </c>
      <c r="DE26" s="160">
        <f>Hourly_kWh!CF26</f>
        <v>6.3200000000129819E-4</v>
      </c>
      <c r="DF26" s="160">
        <f>Hourly_kWh!CG26</f>
        <v>0</v>
      </c>
      <c r="DG26" s="160">
        <f>Hourly_kWh!CH26</f>
        <v>6.3925000000031318E-4</v>
      </c>
      <c r="DH26" s="160">
        <f>Hourly_kWh!CI26</f>
        <v>0</v>
      </c>
      <c r="DI26" s="160">
        <f>Hourly_kWh!CJ26</f>
        <v>0</v>
      </c>
      <c r="DJ26" s="160">
        <f>Hourly_kWh!CK26</f>
        <v>0</v>
      </c>
      <c r="DK26" s="160">
        <f>Hourly_kWh!CL26</f>
        <v>4.5799999999829311E-4</v>
      </c>
      <c r="DL26" s="160">
        <f>Hourly_kWh!CM26</f>
        <v>0.13184000000001106</v>
      </c>
      <c r="DM26" s="160">
        <f>Hourly_kWh!CN26</f>
        <v>2.5449999999995754E-3</v>
      </c>
      <c r="DN26" s="160">
        <f>Hourly_kWh!CO26</f>
        <v>1.7511999999996419E-2</v>
      </c>
      <c r="DO26" s="160">
        <f>Hourly_kWh!CP26</f>
        <v>0</v>
      </c>
      <c r="DP26" s="160">
        <f>Hourly_kWh!CQ26</f>
        <v>0</v>
      </c>
      <c r="DQ26" s="160">
        <f>Hourly_kWh!CR26</f>
        <v>5.8949999999988734E-3</v>
      </c>
      <c r="DR26" s="160">
        <f>Hourly_kWh!CS26</f>
        <v>0</v>
      </c>
      <c r="DS26" s="160">
        <f>Hourly_kWh!CT26</f>
        <v>1.2559999999979254E-3</v>
      </c>
      <c r="DT26" s="160">
        <f>Hourly_kWh!CU26</f>
        <v>0</v>
      </c>
      <c r="DU26" s="160">
        <f>Hourly_kWh!CV26</f>
        <v>0</v>
      </c>
      <c r="DV26" s="160">
        <f>Hourly_kWh!CW26</f>
        <v>0</v>
      </c>
      <c r="DW26" s="160">
        <f>Hourly_kWh!CX26</f>
        <v>0</v>
      </c>
      <c r="DX26" s="160">
        <f>Hourly_kWh!CY26</f>
        <v>6.5899999999996517E-4</v>
      </c>
      <c r="DY26" s="160">
        <f>Hourly_kWh!CZ26</f>
        <v>4.8925000000021868E-4</v>
      </c>
      <c r="DZ26" s="160">
        <f>Hourly_kWh!DA26</f>
        <v>1.1411999999999978E-2</v>
      </c>
      <c r="EA26" s="160">
        <f>Hourly_kWh!DB26</f>
        <v>3.852000000001965E-3</v>
      </c>
      <c r="EB26" s="160">
        <f>Hourly_kWh!DC26</f>
        <v>7.9396250000001167E-3</v>
      </c>
      <c r="EC26" s="160">
        <f>Hourly_kWh!DD26</f>
        <v>1.2036250000000415E-3</v>
      </c>
      <c r="ED26" s="160">
        <f>Hourly_kWh!DE26</f>
        <v>0</v>
      </c>
      <c r="EE26" s="160">
        <f>Hourly_kWh!DF26</f>
        <v>0</v>
      </c>
      <c r="EF26" s="160">
        <f>Hourly_kWh!DG26</f>
        <v>0</v>
      </c>
      <c r="EG26" s="160">
        <f>Hourly_kWh!DH26</f>
        <v>1.1820000000000164E-3</v>
      </c>
      <c r="EH26" s="160">
        <f>Hourly_kWh!DI26</f>
        <v>0.13267199999995682</v>
      </c>
      <c r="EI26" s="160">
        <f>Hourly_kWh!DJ26</f>
        <v>0</v>
      </c>
      <c r="EJ26" s="160">
        <f>Hourly_kWh!DK26</f>
        <v>2.7660000000011564E-3</v>
      </c>
      <c r="EK26" s="160">
        <f>Hourly_kWh!DL26</f>
        <v>5.0239062500001541E-4</v>
      </c>
      <c r="EL26" s="160">
        <f>Hourly_kWh!DM26</f>
        <v>9.7500000000039222E-4</v>
      </c>
      <c r="EM26" s="160">
        <f>Hourly_kWh!DN26</f>
        <v>0</v>
      </c>
      <c r="EN26" s="160">
        <f>Hourly_kWh!DO26</f>
        <v>3.4559999999999036E-3</v>
      </c>
      <c r="EO26" s="160">
        <f>Hourly_kWh!DP26</f>
        <v>6.8800000000024397E-4</v>
      </c>
      <c r="EP26" s="160">
        <f>Hourly_kWh!DQ26</f>
        <v>0</v>
      </c>
      <c r="EQ26" s="160">
        <f>Hourly_kWh!DR26</f>
        <v>0</v>
      </c>
      <c r="ER26" s="160">
        <f>Hourly_kWh!DS26</f>
        <v>4.278399999998328E-2</v>
      </c>
      <c r="ES26" s="160">
        <f>Hourly_kWh!DT26</f>
        <v>1.0983000000000409E-2</v>
      </c>
      <c r="ET26" s="160">
        <f>Hourly_kWh!DU26</f>
        <v>0</v>
      </c>
      <c r="EU26" s="160">
        <f>Hourly_kWh!DV26</f>
        <v>2.9150000000033316E-4</v>
      </c>
      <c r="EV26" s="160">
        <f>Hourly_kWh!DW26</f>
        <v>0</v>
      </c>
      <c r="EW26" s="160">
        <f>Hourly_kWh!DX26</f>
        <v>3.5439999999997696E-3</v>
      </c>
      <c r="EX26" s="160">
        <f>Hourly_kWh!DY26</f>
        <v>2.0575000000000454E-4</v>
      </c>
      <c r="EY26" s="160">
        <f>Hourly_kWh!DZ26</f>
        <v>4.0960000000005437E-3</v>
      </c>
      <c r="EZ26" s="160">
        <f>Hourly_kWh!EA26</f>
        <v>0</v>
      </c>
      <c r="FA26" s="160">
        <f>Hourly_kWh!EB26</f>
        <v>3.5120000000006257E-2</v>
      </c>
      <c r="FB26" s="160">
        <f>Hourly_kWh!EC26</f>
        <v>2.9215999999991027E-2</v>
      </c>
      <c r="FC26" s="160">
        <f>Hourly_kWh!ED26</f>
        <v>2.6474999999992477E-4</v>
      </c>
      <c r="FD26" s="160">
        <f>Hourly_kWh!EE26</f>
        <v>7.1360000000009194E-3</v>
      </c>
      <c r="FE26" s="160">
        <f>Hourly_kWh!EF26</f>
        <v>0.27086500000041269</v>
      </c>
      <c r="FF26" s="160">
        <f>Hourly_kWh!EG26</f>
        <v>0</v>
      </c>
      <c r="FG26" s="160">
        <f>Hourly_kWh!EH26</f>
        <v>9.2160000000376385E-3</v>
      </c>
      <c r="FH26" s="160">
        <f>Hourly_kWh!EI26</f>
        <v>1.721599999996215E-2</v>
      </c>
      <c r="FI26" s="160">
        <f>Hourly_kWh!EJ26</f>
        <v>0</v>
      </c>
      <c r="FJ26" s="160">
        <f>Hourly_kWh!EK26</f>
        <v>0</v>
      </c>
      <c r="FK26" s="160">
        <f>Hourly_kWh!EL26</f>
        <v>0</v>
      </c>
      <c r="FL26" s="160">
        <f>Hourly_kWh!EM26</f>
        <v>0.14310399999976653</v>
      </c>
      <c r="FM26" s="160">
        <f>Hourly_kWh!EN26</f>
        <v>0</v>
      </c>
      <c r="FN26" s="160">
        <f>Hourly_kWh!EO26</f>
        <v>7.6799999999366264E-4</v>
      </c>
      <c r="FO26" s="160">
        <f>Hourly_kWh!EP26</f>
        <v>0</v>
      </c>
      <c r="FP26" s="160">
        <f>Hourly_kWh!ER26</f>
        <v>9.9463999999983344E-2</v>
      </c>
      <c r="FQ26" s="160">
        <f>Hourly_kWh!EQ26</f>
        <v>0</v>
      </c>
      <c r="FR26" s="160">
        <f>Hourly_kWh!M26</f>
        <v>0</v>
      </c>
      <c r="FS26" s="160">
        <f>Hourly_kWh!G26</f>
        <v>0</v>
      </c>
      <c r="FT26" s="160">
        <f>Hourly_kWh!C26</f>
        <v>0</v>
      </c>
      <c r="FU26" s="160">
        <f>Hourly_kWh!D26</f>
        <v>0.29946400000005724</v>
      </c>
      <c r="FV26" s="160">
        <f>Hourly_kWh!E26</f>
        <v>0.25449300000002495</v>
      </c>
      <c r="FW26" s="160">
        <f>Hourly_kWh!F26</f>
        <v>0.28437999999999874</v>
      </c>
      <c r="FX26" s="160">
        <f>Hourly_kWh!Q26</f>
        <v>0</v>
      </c>
      <c r="FY26" s="160">
        <f>Hourly_kWh!R26</f>
        <v>0.29081599999699392</v>
      </c>
      <c r="FZ26" s="160">
        <f>Hourly_kWh!S26</f>
        <v>0.24268800000027113</v>
      </c>
      <c r="GA26" s="160">
        <f>Hourly_kWh!T26</f>
        <v>0.27648000000044703</v>
      </c>
      <c r="GB26" s="160">
        <f t="shared" si="0"/>
        <v>0.85044299999998774</v>
      </c>
      <c r="GC26" s="160">
        <f t="shared" si="1"/>
        <v>0.7739370000003305</v>
      </c>
      <c r="GD26" s="160">
        <f t="shared" si="2"/>
        <v>7.6505999999657237E-2</v>
      </c>
      <c r="GE26" s="159">
        <f t="shared" si="3"/>
        <v>8.9960173697306398E-2</v>
      </c>
    </row>
    <row r="27" spans="2:187" s="150" customFormat="1" ht="32.25" customHeight="1" x14ac:dyDescent="0.25">
      <c r="B27" s="149" t="s">
        <v>684</v>
      </c>
      <c r="C27" s="160">
        <f>Hourly_kWh!H27</f>
        <v>0</v>
      </c>
      <c r="D27" s="160">
        <f>Hourly_kWh!I27</f>
        <v>0</v>
      </c>
      <c r="E27" s="160">
        <f>Hourly_kWh!J27</f>
        <v>0</v>
      </c>
      <c r="F27" s="160">
        <f>Hourly_kWh!K27</f>
        <v>0</v>
      </c>
      <c r="G27" s="160">
        <f>Hourly_kWh!L27</f>
        <v>0</v>
      </c>
      <c r="H27" s="160">
        <f>Hourly_kWh!U27</f>
        <v>1.9472000000007483E-2</v>
      </c>
      <c r="I27" s="160">
        <f>Hourly_kWh!P27</f>
        <v>0</v>
      </c>
      <c r="J27" s="160">
        <f>Hourly_kWh!N27</f>
        <v>0</v>
      </c>
      <c r="K27" s="160">
        <f>Hourly_kWh!O27</f>
        <v>0</v>
      </c>
      <c r="L27" s="160">
        <f>Hourly_kWh!B27*0.001</f>
        <v>0.88062499999999999</v>
      </c>
      <c r="M27" s="160">
        <f>Hourly_kWh!AR27</f>
        <v>0.15340800000001309</v>
      </c>
      <c r="N27" s="160">
        <f>Hourly_kWh!BM27</f>
        <v>8.9887999999973545E-2</v>
      </c>
      <c r="O27" s="160">
        <f>Hourly_kWh!CM27</f>
        <v>0.14771199999995588</v>
      </c>
      <c r="P27" s="160">
        <f>Hourly_kWh!DI27</f>
        <v>0.15635200000008354</v>
      </c>
      <c r="Q27" s="160">
        <f>Hourly_kWh!EF27</f>
        <v>0.27581299999928888</v>
      </c>
      <c r="R27" s="119">
        <f>SUM('Zone wise Meter data'!O25:AF25)</f>
        <v>3.2084999999997699E-2</v>
      </c>
      <c r="S27" s="115">
        <f>SUM('Zone wise Meter data'!AG25:AW25)</f>
        <v>8.9943343749998572E-2</v>
      </c>
      <c r="T27" s="115">
        <f>SUM('Zone wise Meter data'!AX25:BA25)</f>
        <v>2.2653500000031634E-2</v>
      </c>
      <c r="U27" s="115">
        <f>SUM('Zone wise Meter data'!BB25:BC25)</f>
        <v>9.3983999999977641E-2</v>
      </c>
      <c r="V27" s="115">
        <f>SUM('Zone wise Meter data'!BD25:BL25)</f>
        <v>0.27672100000038569</v>
      </c>
      <c r="W27" s="115">
        <f>SUM('Zone wise Meter data'!BM25:BX25)</f>
        <v>2.1440000000021442E-3</v>
      </c>
      <c r="X27" s="115">
        <f>SUM('Zone wise Meter data'!BY25:CE25)</f>
        <v>6.27750000000038E-4</v>
      </c>
      <c r="Y27" s="115">
        <f>SUM('Zone wise Meter data'!CF25:CK25)</f>
        <v>9.0001750000006209E-2</v>
      </c>
      <c r="Z27" s="115">
        <f>SUM('Zone wise Meter data'!CL25:CO25)</f>
        <v>7.3263999999994667E-2</v>
      </c>
      <c r="AA27" s="115">
        <f>SUM('Zone wise Meter data'!CP25:DD25)</f>
        <v>3.4634562499989752E-2</v>
      </c>
      <c r="AB27" s="115">
        <f>SUM('Zone wise Meter data'!DE25:DN25)</f>
        <v>7.5551484374974109E-3</v>
      </c>
      <c r="AC27" s="115">
        <f>SUM('Zone wise Meter data'!DO25:ED25)</f>
        <v>0</v>
      </c>
      <c r="AD27" s="160">
        <f>Hourly_kWh!AW27</f>
        <v>3.9359999999987849E-2</v>
      </c>
      <c r="AE27" s="160">
        <f>Hourly_kWh!DS27</f>
        <v>5.4623999999989792E-2</v>
      </c>
      <c r="AF27" s="160">
        <f>Hourly_kWh!EL27</f>
        <v>0</v>
      </c>
      <c r="AG27" s="160">
        <f>Hourly_kWh!EK27</f>
        <v>0</v>
      </c>
      <c r="AH27" s="160">
        <f>Hourly_kWh!EN27</f>
        <v>0</v>
      </c>
      <c r="AI27" s="160">
        <f>Hourly_kWh!EO27</f>
        <v>7.6799999999366264E-4</v>
      </c>
      <c r="AJ27" s="160">
        <f>Hourly_kWh!EM27</f>
        <v>0.15078400000038528</v>
      </c>
      <c r="AK27" s="160">
        <f>Hourly_kWh!ER27</f>
        <v>9.2601000000016143E-2</v>
      </c>
      <c r="AL27" s="160">
        <f>Hourly_kWh!EI27</f>
        <v>1.555200000007062E-2</v>
      </c>
      <c r="AM27" s="160">
        <f>Hourly_kWh!EJ27+Hourly_kWh!AS27</f>
        <v>6.150000000015865E-5</v>
      </c>
      <c r="AN27" s="160">
        <f>Hourly_kWh!CX27+Hourly_kWh!CY27+Hourly_kWh!DC27+Hourly_kWh!DD27</f>
        <v>3.7384999999998669E-3</v>
      </c>
      <c r="AO27" s="160">
        <f>SUM(Hourly_kWh!AI27:AQ27)</f>
        <v>6.5356343749998214E-2</v>
      </c>
      <c r="AP27" s="160">
        <f>SUM(Hourly_kWh!V27:AG27)</f>
        <v>3.2152500000000472E-2</v>
      </c>
      <c r="AQ27" s="160">
        <f>Hourly_kWh!DB27</f>
        <v>3.8559999999989714E-3</v>
      </c>
      <c r="AR27" s="160">
        <f>Hourly_kWh!CO27</f>
        <v>1.7191999999994323E-2</v>
      </c>
      <c r="AS27" s="160">
        <f>Hourly_kWh!BJ27</f>
        <v>0</v>
      </c>
      <c r="AT27" s="160">
        <f>Hourly_kWh!U27</f>
        <v>1.9472000000007483E-2</v>
      </c>
      <c r="AU27" s="160">
        <f>Hourly_kWh!V27</f>
        <v>6.6419999999993706E-3</v>
      </c>
      <c r="AV27" s="160">
        <f>Hourly_kWh!W27</f>
        <v>4.6199999999885222E-4</v>
      </c>
      <c r="AW27" s="160">
        <f>Hourly_kWh!X27</f>
        <v>2.3269999999993018E-3</v>
      </c>
      <c r="AX27" s="160">
        <f>Hourly_kWh!Y27</f>
        <v>0</v>
      </c>
      <c r="AY27" s="160">
        <f>Hourly_kWh!Z27</f>
        <v>2.3780000000002133E-3</v>
      </c>
      <c r="AZ27" s="160">
        <f>Hourly_kWh!AA27</f>
        <v>3.1060000000024957E-3</v>
      </c>
      <c r="BA27" s="160">
        <f>Hourly_kWh!AB27</f>
        <v>5.9940000000011651E-3</v>
      </c>
      <c r="BB27" s="160">
        <f>Hourly_kWh!AC27</f>
        <v>6.5840000000001453E-3</v>
      </c>
      <c r="BC27" s="160">
        <f>Hourly_kWh!AD27</f>
        <v>1.3799999999992707E-3</v>
      </c>
      <c r="BD27" s="160">
        <f>Hourly_kWh!AE27</f>
        <v>8.955000000003821E-4</v>
      </c>
      <c r="BE27" s="160">
        <f>Hourly_kWh!AF27</f>
        <v>0</v>
      </c>
      <c r="BF27" s="160">
        <f>Hourly_kWh!AG27</f>
        <v>2.3839999999992756E-3</v>
      </c>
      <c r="BG27" s="160">
        <f>Hourly_kWh!AH27</f>
        <v>6.9279999999992015E-2</v>
      </c>
      <c r="BH27" s="160">
        <f>Hourly_kWh!AI27</f>
        <v>0</v>
      </c>
      <c r="BI27" s="160">
        <f>Hourly_kWh!AJ27</f>
        <v>6.0799999999971988E-4</v>
      </c>
      <c r="BJ27" s="160">
        <f>Hourly_kWh!AK27</f>
        <v>0</v>
      </c>
      <c r="BK27" s="160">
        <f>Hourly_kWh!AL27</f>
        <v>7.9523437499999794E-3</v>
      </c>
      <c r="BL27" s="160">
        <f>Hourly_kWh!AM27</f>
        <v>1.9887999999994577E-2</v>
      </c>
      <c r="BM27" s="160">
        <f>Hourly_kWh!AN27</f>
        <v>1.5336000000004901E-2</v>
      </c>
      <c r="BN27" s="160">
        <f>Hourly_kWh!AO27</f>
        <v>4.9800000000033151E-3</v>
      </c>
      <c r="BO27" s="160">
        <f>Hourly_kWh!AP27</f>
        <v>3.3400000000014529E-3</v>
      </c>
      <c r="BP27" s="160">
        <f>Hourly_kWh!AQ27</f>
        <v>1.3251999999994268E-2</v>
      </c>
      <c r="BQ27" s="160">
        <f>Hourly_kWh!AR27</f>
        <v>0.15340800000001309</v>
      </c>
      <c r="BR27" s="160">
        <f>Hourly_kWh!AS27</f>
        <v>6.150000000015865E-5</v>
      </c>
      <c r="BS27" s="160">
        <f>Hourly_kWh!AT27</f>
        <v>0</v>
      </c>
      <c r="BT27" s="160">
        <f>Hourly_kWh!AU27</f>
        <v>1.9119999999972492E-3</v>
      </c>
      <c r="BU27" s="160">
        <f>Hourly_kWh!AV27</f>
        <v>5.2050000000036789E-4</v>
      </c>
      <c r="BV27" s="160">
        <f>Hourly_kWh!AW27</f>
        <v>3.9359999999987849E-2</v>
      </c>
      <c r="BW27" s="160">
        <f>Hourly_kWh!AX27</f>
        <v>0</v>
      </c>
      <c r="BX27" s="160">
        <f>Hourly_kWh!AY27</f>
        <v>1.9504999999995221E-3</v>
      </c>
      <c r="BY27" s="160">
        <f>Hourly_kWh!AZ27</f>
        <v>0</v>
      </c>
      <c r="BZ27" s="160">
        <f>Hourly_kWh!BA27</f>
        <v>0</v>
      </c>
      <c r="CA27" s="160">
        <f>Hourly_kWh!BB27</f>
        <v>0</v>
      </c>
      <c r="CB27" s="160">
        <f>Hourly_kWh!BC27</f>
        <v>0</v>
      </c>
      <c r="CC27" s="160">
        <f>Hourly_kWh!BD27</f>
        <v>3.6941406249998976E-4</v>
      </c>
      <c r="CD27" s="160">
        <f>Hourly_kWh!BE27</f>
        <v>5.0299999999978695E-3</v>
      </c>
      <c r="CE27" s="160">
        <f>Hourly_kWh!BF27</f>
        <v>0</v>
      </c>
      <c r="CF27" s="160">
        <f>Hourly_kWh!BG27</f>
        <v>4.4500000000091688E-4</v>
      </c>
      <c r="CG27" s="160">
        <f>Hourly_kWh!BH27</f>
        <v>0</v>
      </c>
      <c r="CH27" s="160">
        <f>Hourly_kWh!BI27</f>
        <v>9.7151999999994132E-2</v>
      </c>
      <c r="CI27" s="160">
        <f>Hourly_kWh!BJ27</f>
        <v>0</v>
      </c>
      <c r="CJ27" s="160">
        <f>Hourly_kWh!BK27</f>
        <v>1.4659999999997453E-3</v>
      </c>
      <c r="CK27" s="160">
        <f>Hourly_kWh!BL27</f>
        <v>0</v>
      </c>
      <c r="CL27" s="160">
        <f>Hourly_kWh!BM27</f>
        <v>8.9887999999973545E-2</v>
      </c>
      <c r="CM27" s="160">
        <f>Hourly_kWh!BN27</f>
        <v>0</v>
      </c>
      <c r="CN27" s="160">
        <f>Hourly_kWh!BO27</f>
        <v>1.6440000000024213E-3</v>
      </c>
      <c r="CO27" s="160">
        <f>Hourly_kWh!BP27</f>
        <v>0</v>
      </c>
      <c r="CP27" s="160">
        <f>Hourly_kWh!BQ27</f>
        <v>0</v>
      </c>
      <c r="CQ27" s="160">
        <f>Hourly_kWh!BR27</f>
        <v>0</v>
      </c>
      <c r="CR27" s="160">
        <f>Hourly_kWh!BS27</f>
        <v>0</v>
      </c>
      <c r="CS27" s="160">
        <f>Hourly_kWh!BT27</f>
        <v>1.092400000000282E-2</v>
      </c>
      <c r="CT27" s="160">
        <f>Hourly_kWh!BU27</f>
        <v>0</v>
      </c>
      <c r="CU27" s="160">
        <f>Hourly_kWh!BV27</f>
        <v>0</v>
      </c>
      <c r="CV27" s="160">
        <f>Hourly_kWh!BW27</f>
        <v>0</v>
      </c>
      <c r="CW27" s="160">
        <f>Hourly_kWh!BX27</f>
        <v>0</v>
      </c>
      <c r="CX27" s="160">
        <f>Hourly_kWh!BY27</f>
        <v>0</v>
      </c>
      <c r="CY27" s="160">
        <f>Hourly_kWh!BZ27</f>
        <v>4.8376000000004638E-2</v>
      </c>
      <c r="CZ27" s="160">
        <f>Hourly_kWh!CA27</f>
        <v>1.8380249999999987E-2</v>
      </c>
      <c r="DA27" s="160">
        <f>Hourly_kWh!CB27</f>
        <v>0</v>
      </c>
      <c r="DB27" s="160">
        <f>Hourly_kWh!CC27</f>
        <v>0</v>
      </c>
      <c r="DC27" s="160">
        <f>Hourly_kWh!CD27</f>
        <v>0</v>
      </c>
      <c r="DD27" s="160">
        <f>Hourly_kWh!CE27</f>
        <v>0</v>
      </c>
      <c r="DE27" s="160">
        <f>Hourly_kWh!CF27</f>
        <v>4.4499999999914053E-4</v>
      </c>
      <c r="DF27" s="160">
        <f>Hourly_kWh!CG27</f>
        <v>0</v>
      </c>
      <c r="DG27" s="160">
        <f>Hourly_kWh!CH27</f>
        <v>6.27750000000038E-4</v>
      </c>
      <c r="DH27" s="160">
        <f>Hourly_kWh!CI27</f>
        <v>0</v>
      </c>
      <c r="DI27" s="160">
        <f>Hourly_kWh!CJ27</f>
        <v>0</v>
      </c>
      <c r="DJ27" s="160">
        <f>Hourly_kWh!CK27</f>
        <v>0</v>
      </c>
      <c r="DK27" s="160">
        <f>Hourly_kWh!CL27</f>
        <v>7.4000000001461785E-5</v>
      </c>
      <c r="DL27" s="160">
        <f>Hourly_kWh!CM27</f>
        <v>0.14771199999995588</v>
      </c>
      <c r="DM27" s="160">
        <f>Hourly_kWh!CN27</f>
        <v>2.5040000000000617E-3</v>
      </c>
      <c r="DN27" s="160">
        <f>Hourly_kWh!CO27</f>
        <v>1.7191999999994323E-2</v>
      </c>
      <c r="DO27" s="160">
        <f>Hourly_kWh!CP27</f>
        <v>0</v>
      </c>
      <c r="DP27" s="160">
        <f>Hourly_kWh!CQ27</f>
        <v>0</v>
      </c>
      <c r="DQ27" s="160">
        <f>Hourly_kWh!CR27</f>
        <v>5.8460000000000178E-3</v>
      </c>
      <c r="DR27" s="160">
        <f>Hourly_kWh!CS27</f>
        <v>0</v>
      </c>
      <c r="DS27" s="160">
        <f>Hourly_kWh!CT27</f>
        <v>2.1360000000001378E-2</v>
      </c>
      <c r="DT27" s="160">
        <f>Hourly_kWh!CU27</f>
        <v>0</v>
      </c>
      <c r="DU27" s="160">
        <f>Hourly_kWh!CV27</f>
        <v>0</v>
      </c>
      <c r="DV27" s="160">
        <f>Hourly_kWh!CW27</f>
        <v>0</v>
      </c>
      <c r="DW27" s="160">
        <f>Hourly_kWh!CX27</f>
        <v>0</v>
      </c>
      <c r="DX27" s="160">
        <f>Hourly_kWh!CY27</f>
        <v>6.7100000000008819E-4</v>
      </c>
      <c r="DY27" s="160">
        <f>Hourly_kWh!CZ27</f>
        <v>4.9999999999972289E-4</v>
      </c>
      <c r="DZ27" s="160">
        <f>Hourly_kWh!DA27</f>
        <v>1.151999999999731E-2</v>
      </c>
      <c r="EA27" s="160">
        <f>Hourly_kWh!DB27</f>
        <v>3.8559999999989714E-3</v>
      </c>
      <c r="EB27" s="160">
        <f>Hourly_kWh!DC27</f>
        <v>1.8642499999999007E-3</v>
      </c>
      <c r="EC27" s="160">
        <f>Hourly_kWh!DD27</f>
        <v>1.203249999999878E-3</v>
      </c>
      <c r="ED27" s="160">
        <f>Hourly_kWh!DE27</f>
        <v>0</v>
      </c>
      <c r="EE27" s="160">
        <f>Hourly_kWh!DF27</f>
        <v>0</v>
      </c>
      <c r="EF27" s="160">
        <f>Hourly_kWh!DG27</f>
        <v>0</v>
      </c>
      <c r="EG27" s="160">
        <f>Hourly_kWh!DH27</f>
        <v>6.2249999999952621E-4</v>
      </c>
      <c r="EH27" s="160">
        <f>Hourly_kWh!DI27</f>
        <v>0.15635200000008354</v>
      </c>
      <c r="EI27" s="160">
        <f>Hourly_kWh!DJ27</f>
        <v>0</v>
      </c>
      <c r="EJ27" s="160">
        <f>Hourly_kWh!DK27</f>
        <v>2.8199999999998226E-3</v>
      </c>
      <c r="EK27" s="160">
        <f>Hourly_kWh!DL27</f>
        <v>4.9723437499998857E-4</v>
      </c>
      <c r="EL27" s="160">
        <f>Hourly_kWh!DM27</f>
        <v>9.9099999999907595E-4</v>
      </c>
      <c r="EM27" s="160">
        <f>Hourly_kWh!DN27</f>
        <v>0</v>
      </c>
      <c r="EN27" s="160">
        <f>Hourly_kWh!DO27</f>
        <v>3.3919999999909578E-3</v>
      </c>
      <c r="EO27" s="160">
        <f>Hourly_kWh!DP27</f>
        <v>6.294999999987283E-4</v>
      </c>
      <c r="EP27" s="160">
        <f>Hourly_kWh!DQ27</f>
        <v>0</v>
      </c>
      <c r="EQ27" s="160">
        <f>Hourly_kWh!DR27</f>
        <v>0</v>
      </c>
      <c r="ER27" s="160">
        <f>Hourly_kWh!DS27</f>
        <v>5.4623999999989792E-2</v>
      </c>
      <c r="ES27" s="160">
        <f>Hourly_kWh!DT27</f>
        <v>1.1876499999999623E-2</v>
      </c>
      <c r="ET27" s="160">
        <f>Hourly_kWh!DU27</f>
        <v>0</v>
      </c>
      <c r="EU27" s="160">
        <f>Hourly_kWh!DV27</f>
        <v>2.9749999999983956E-4</v>
      </c>
      <c r="EV27" s="160">
        <f>Hourly_kWh!DW27</f>
        <v>0</v>
      </c>
      <c r="EW27" s="160">
        <f>Hourly_kWh!DX27</f>
        <v>3.5709999999991027E-3</v>
      </c>
      <c r="EX27" s="160">
        <f>Hourly_kWh!DY27</f>
        <v>2.0981250000007279E-4</v>
      </c>
      <c r="EY27" s="160">
        <f>Hourly_kWh!DZ27</f>
        <v>4.9139999999994188E-3</v>
      </c>
      <c r="EZ27" s="160">
        <f>Hourly_kWh!EA27</f>
        <v>0</v>
      </c>
      <c r="FA27" s="160">
        <f>Hourly_kWh!EB27</f>
        <v>4.0079999999989013E-2</v>
      </c>
      <c r="FB27" s="160">
        <f>Hourly_kWh!EC27</f>
        <v>3.3184000000005653E-2</v>
      </c>
      <c r="FC27" s="160">
        <f>Hourly_kWh!ED27</f>
        <v>2.6075000000025383E-4</v>
      </c>
      <c r="FD27" s="160">
        <f>Hourly_kWh!EE27</f>
        <v>3.2879999999995135E-3</v>
      </c>
      <c r="FE27" s="160">
        <f>Hourly_kWh!EF27</f>
        <v>0.27581299999928888</v>
      </c>
      <c r="FF27" s="160">
        <f>Hourly_kWh!EG27</f>
        <v>0</v>
      </c>
      <c r="FG27" s="160">
        <f>Hourly_kWh!EH27</f>
        <v>7.0399999999608553E-3</v>
      </c>
      <c r="FH27" s="160">
        <f>Hourly_kWh!EI27</f>
        <v>1.555200000007062E-2</v>
      </c>
      <c r="FI27" s="160">
        <f>Hourly_kWh!EJ27</f>
        <v>0</v>
      </c>
      <c r="FJ27" s="160">
        <f>Hourly_kWh!EK27</f>
        <v>0</v>
      </c>
      <c r="FK27" s="160">
        <f>Hourly_kWh!EL27</f>
        <v>0</v>
      </c>
      <c r="FL27" s="160">
        <f>Hourly_kWh!EM27</f>
        <v>0.15078400000038528</v>
      </c>
      <c r="FM27" s="160">
        <f>Hourly_kWh!EN27</f>
        <v>0</v>
      </c>
      <c r="FN27" s="160">
        <f>Hourly_kWh!EO27</f>
        <v>7.6799999999366264E-4</v>
      </c>
      <c r="FO27" s="160">
        <f>Hourly_kWh!EP27</f>
        <v>0</v>
      </c>
      <c r="FP27" s="160">
        <f>Hourly_kWh!ER27</f>
        <v>9.2601000000016143E-2</v>
      </c>
      <c r="FQ27" s="160">
        <f>Hourly_kWh!EQ27</f>
        <v>0</v>
      </c>
      <c r="FR27" s="160">
        <f>Hourly_kWh!M27</f>
        <v>0</v>
      </c>
      <c r="FS27" s="160">
        <f>Hourly_kWh!G27</f>
        <v>0</v>
      </c>
      <c r="FT27" s="160">
        <f>Hourly_kWh!C27</f>
        <v>0</v>
      </c>
      <c r="FU27" s="160">
        <f>Hourly_kWh!D27</f>
        <v>0.31636399999990772</v>
      </c>
      <c r="FV27" s="160">
        <f>Hourly_kWh!E27</f>
        <v>0.2681880000000092</v>
      </c>
      <c r="FW27" s="160">
        <f>Hourly_kWh!F27</f>
        <v>0.29737800000003745</v>
      </c>
      <c r="FX27" s="160">
        <f>Hourly_kWh!Q27</f>
        <v>0</v>
      </c>
      <c r="FY27" s="160">
        <f>Hourly_kWh!R27</f>
        <v>0.31334400000196183</v>
      </c>
      <c r="FZ27" s="160">
        <f>Hourly_kWh!S27</f>
        <v>0.26112000000011903</v>
      </c>
      <c r="GA27" s="160">
        <f>Hourly_kWh!T27</f>
        <v>0.28876800000216463</v>
      </c>
      <c r="GB27" s="160">
        <f t="shared" si="0"/>
        <v>0.90009700000000747</v>
      </c>
      <c r="GC27" s="160">
        <f t="shared" si="1"/>
        <v>0.82317299999931492</v>
      </c>
      <c r="GD27" s="160">
        <f t="shared" si="2"/>
        <v>7.692400000069255E-2</v>
      </c>
      <c r="GE27" s="159">
        <f t="shared" si="3"/>
        <v>8.5461900218189724E-2</v>
      </c>
    </row>
    <row r="28" spans="2:187" s="150" customFormat="1" ht="32.25" customHeight="1" x14ac:dyDescent="0.25">
      <c r="B28" s="149" t="s">
        <v>685</v>
      </c>
      <c r="C28" s="160">
        <f>Hourly_kWh!H28</f>
        <v>0</v>
      </c>
      <c r="D28" s="160">
        <f>Hourly_kWh!I28</f>
        <v>0</v>
      </c>
      <c r="E28" s="160">
        <f>Hourly_kWh!J28</f>
        <v>0</v>
      </c>
      <c r="F28" s="160">
        <f>Hourly_kWh!K28</f>
        <v>0</v>
      </c>
      <c r="G28" s="160">
        <f>Hourly_kWh!L28</f>
        <v>0</v>
      </c>
      <c r="H28" s="160">
        <f>Hourly_kWh!U28</f>
        <v>1.9391999999996301E-2</v>
      </c>
      <c r="I28" s="160">
        <f>Hourly_kWh!P28</f>
        <v>0</v>
      </c>
      <c r="J28" s="160">
        <f>Hourly_kWh!N28</f>
        <v>0</v>
      </c>
      <c r="K28" s="160">
        <f>Hourly_kWh!O28</f>
        <v>9.9999999747524271E-7</v>
      </c>
      <c r="L28" s="160">
        <f>Hourly_kWh!B28*0.001</f>
        <v>0.87775000000000003</v>
      </c>
      <c r="M28" s="160">
        <f>Hourly_kWh!AR28</f>
        <v>0.15545600000007198</v>
      </c>
      <c r="N28" s="160">
        <f>Hourly_kWh!BM28</f>
        <v>8.3935999999994237E-2</v>
      </c>
      <c r="O28" s="160">
        <f>Hourly_kWh!CM28</f>
        <v>0.15603199999986828</v>
      </c>
      <c r="P28" s="160">
        <f>Hourly_kWh!DI28</f>
        <v>0.14611199999990276</v>
      </c>
      <c r="Q28" s="160">
        <f>Hourly_kWh!EF28</f>
        <v>0.25238499999977648</v>
      </c>
      <c r="R28" s="119">
        <f>SUM('Zone wise Meter data'!O26:AF26)</f>
        <v>3.4214875000003975E-2</v>
      </c>
      <c r="S28" s="115">
        <f>SUM('Zone wise Meter data'!AG26:AW26)</f>
        <v>8.9354562500011614E-2</v>
      </c>
      <c r="T28" s="115">
        <f>SUM('Zone wise Meter data'!AX26:BA26)</f>
        <v>2.2525500000013743E-2</v>
      </c>
      <c r="U28" s="115">
        <f>SUM('Zone wise Meter data'!BB26:BC26)</f>
        <v>8.8287999999977274E-2</v>
      </c>
      <c r="V28" s="115">
        <f>SUM('Zone wise Meter data'!BD26:BL26)</f>
        <v>0.28311799999963227</v>
      </c>
      <c r="W28" s="115">
        <f>SUM('Zone wise Meter data'!BM26:BX26)</f>
        <v>1.3121499999998676E-2</v>
      </c>
      <c r="X28" s="115">
        <f>SUM('Zone wise Meter data'!BY26:CE26)</f>
        <v>6.3799999999991641E-4</v>
      </c>
      <c r="Y28" s="115">
        <f>SUM('Zone wise Meter data'!CF26:CK26)</f>
        <v>8.2637312500011051E-2</v>
      </c>
      <c r="Z28" s="115">
        <f>SUM('Zone wise Meter data'!CL26:CO26)</f>
        <v>6.6975999999982605E-2</v>
      </c>
      <c r="AA28" s="115">
        <f>SUM('Zone wise Meter data'!CP26:DD26)</f>
        <v>3.3636749999986337E-2</v>
      </c>
      <c r="AB28" s="115">
        <f>SUM('Zone wise Meter data'!DE26:DN26)</f>
        <v>7.0739687499961901E-3</v>
      </c>
      <c r="AC28" s="115">
        <f>SUM('Zone wise Meter data'!DO26:ED26)</f>
        <v>0</v>
      </c>
      <c r="AD28" s="160">
        <f>Hourly_kWh!AW28</f>
        <v>3.8207999999940512E-2</v>
      </c>
      <c r="AE28" s="160">
        <f>Hourly_kWh!DS28</f>
        <v>5.0080000000036762E-2</v>
      </c>
      <c r="AF28" s="160">
        <f>Hourly_kWh!EL28</f>
        <v>0</v>
      </c>
      <c r="AG28" s="160">
        <f>Hourly_kWh!EK28</f>
        <v>0</v>
      </c>
      <c r="AH28" s="160">
        <f>Hourly_kWh!EN28</f>
        <v>0</v>
      </c>
      <c r="AI28" s="160">
        <f>Hourly_kWh!EO28</f>
        <v>7.6799999999366264E-4</v>
      </c>
      <c r="AJ28" s="160">
        <f>Hourly_kWh!EM28</f>
        <v>0.14694399999962116</v>
      </c>
      <c r="AK28" s="160">
        <f>Hourly_kWh!ER28</f>
        <v>0.10254100000000221</v>
      </c>
      <c r="AL28" s="160">
        <f>Hourly_kWh!EI28</f>
        <v>1.5807999999992717E-2</v>
      </c>
      <c r="AM28" s="160">
        <f>Hourly_kWh!EJ28+Hourly_kWh!AS28</f>
        <v>6.150000000015865E-5</v>
      </c>
      <c r="AN28" s="160">
        <f>Hourly_kWh!CX28+Hourly_kWh!CY28+Hourly_kWh!DC28+Hourly_kWh!DD28</f>
        <v>1.9023749999997897E-3</v>
      </c>
      <c r="AO28" s="160">
        <f>SUM(Hourly_kWh!AI28:AQ28)</f>
        <v>6.4922562500012493E-2</v>
      </c>
      <c r="AP28" s="160">
        <f>SUM(Hourly_kWh!V28:AG28)</f>
        <v>3.1629999999999825E-2</v>
      </c>
      <c r="AQ28" s="160">
        <f>Hourly_kWh!DB28</f>
        <v>3.8529999999994402E-3</v>
      </c>
      <c r="AR28" s="160">
        <f>Hourly_kWh!CO28</f>
        <v>1.7472000000012144E-2</v>
      </c>
      <c r="AS28" s="160">
        <f>Hourly_kWh!BJ28</f>
        <v>0</v>
      </c>
      <c r="AT28" s="160">
        <f>Hourly_kWh!U28</f>
        <v>1.9391999999996301E-2</v>
      </c>
      <c r="AU28" s="160">
        <f>Hourly_kWh!V28</f>
        <v>6.1040000000005534E-3</v>
      </c>
      <c r="AV28" s="160">
        <f>Hourly_kWh!W28</f>
        <v>4.5600000000156626E-4</v>
      </c>
      <c r="AW28" s="160">
        <f>Hourly_kWh!X28</f>
        <v>2.3580000000009704E-3</v>
      </c>
      <c r="AX28" s="160">
        <f>Hourly_kWh!Y28</f>
        <v>0</v>
      </c>
      <c r="AY28" s="160">
        <f>Hourly_kWh!Z28</f>
        <v>2.3389999999992028E-3</v>
      </c>
      <c r="AZ28" s="160">
        <f>Hourly_kWh!AA28</f>
        <v>3.0219999999978597E-3</v>
      </c>
      <c r="BA28" s="160">
        <f>Hourly_kWh!AB28</f>
        <v>5.990000000000606E-3</v>
      </c>
      <c r="BB28" s="160">
        <f>Hourly_kWh!AC28</f>
        <v>6.8079999999994811E-3</v>
      </c>
      <c r="BC28" s="160">
        <f>Hourly_kWh!AD28</f>
        <v>1.3299999999993872E-3</v>
      </c>
      <c r="BD28" s="160">
        <f>Hourly_kWh!AE28</f>
        <v>9.5899999999993213E-4</v>
      </c>
      <c r="BE28" s="160">
        <f>Hourly_kWh!AF28</f>
        <v>0</v>
      </c>
      <c r="BF28" s="160">
        <f>Hourly_kWh!AG28</f>
        <v>2.2640000000002658E-3</v>
      </c>
      <c r="BG28" s="160">
        <f>Hourly_kWh!AH28</f>
        <v>6.8159999999977572E-2</v>
      </c>
      <c r="BH28" s="160">
        <f>Hourly_kWh!AI28</f>
        <v>0</v>
      </c>
      <c r="BI28" s="160">
        <f>Hourly_kWh!AJ28</f>
        <v>6.4500000000045077E-4</v>
      </c>
      <c r="BJ28" s="160">
        <f>Hourly_kWh!AK28</f>
        <v>0</v>
      </c>
      <c r="BK28" s="160">
        <f>Hourly_kWh!AL28</f>
        <v>6.8635624999999756E-3</v>
      </c>
      <c r="BL28" s="160">
        <f>Hourly_kWh!AM28</f>
        <v>2.080800000000238E-2</v>
      </c>
      <c r="BM28" s="160">
        <f>Hourly_kWh!AN28</f>
        <v>1.53839999999974E-2</v>
      </c>
      <c r="BN28" s="160">
        <f>Hourly_kWh!AO28</f>
        <v>5.1479999999983761E-3</v>
      </c>
      <c r="BO28" s="160">
        <f>Hourly_kWh!AP28</f>
        <v>3.3020000000014704E-3</v>
      </c>
      <c r="BP28" s="160">
        <f>Hourly_kWh!AQ28</f>
        <v>1.277200000001244E-2</v>
      </c>
      <c r="BQ28" s="160">
        <f>Hourly_kWh!AR28</f>
        <v>0.15545600000007198</v>
      </c>
      <c r="BR28" s="160">
        <f>Hourly_kWh!AS28</f>
        <v>6.150000000015865E-5</v>
      </c>
      <c r="BS28" s="160">
        <f>Hourly_kWh!AT28</f>
        <v>0</v>
      </c>
      <c r="BT28" s="160">
        <f>Hourly_kWh!AU28</f>
        <v>1.9119999999972492E-3</v>
      </c>
      <c r="BU28" s="160">
        <f>Hourly_kWh!AV28</f>
        <v>3.0850000000004485E-4</v>
      </c>
      <c r="BV28" s="160">
        <f>Hourly_kWh!AW28</f>
        <v>3.8207999999940512E-2</v>
      </c>
      <c r="BW28" s="160">
        <f>Hourly_kWh!AX28</f>
        <v>0</v>
      </c>
      <c r="BX28" s="160">
        <f>Hourly_kWh!AY28</f>
        <v>1.8640000000003099E-3</v>
      </c>
      <c r="BY28" s="160">
        <f>Hourly_kWh!AZ28</f>
        <v>0</v>
      </c>
      <c r="BZ28" s="160">
        <f>Hourly_kWh!BA28</f>
        <v>0</v>
      </c>
      <c r="CA28" s="160">
        <f>Hourly_kWh!BB28</f>
        <v>0</v>
      </c>
      <c r="CB28" s="160">
        <f>Hourly_kWh!BC28</f>
        <v>0</v>
      </c>
      <c r="CC28" s="160">
        <f>Hourly_kWh!BD28</f>
        <v>1.257500000000078E-4</v>
      </c>
      <c r="CD28" s="160">
        <f>Hourly_kWh!BE28</f>
        <v>4.9480000000023949E-3</v>
      </c>
      <c r="CE28" s="160">
        <f>Hourly_kWh!BF28</f>
        <v>0</v>
      </c>
      <c r="CF28" s="160">
        <f>Hourly_kWh!BG28</f>
        <v>4.4499999999914053E-4</v>
      </c>
      <c r="CG28" s="160">
        <f>Hourly_kWh!BH28</f>
        <v>0</v>
      </c>
      <c r="CH28" s="160">
        <f>Hourly_kWh!BI28</f>
        <v>9.6064000000012584E-2</v>
      </c>
      <c r="CI28" s="160">
        <f>Hourly_kWh!BJ28</f>
        <v>0</v>
      </c>
      <c r="CJ28" s="160">
        <f>Hourly_kWh!BK28</f>
        <v>1.4570000000002636E-3</v>
      </c>
      <c r="CK28" s="160">
        <f>Hourly_kWh!BL28</f>
        <v>0</v>
      </c>
      <c r="CL28" s="160">
        <f>Hourly_kWh!BM28</f>
        <v>8.3935999999994237E-2</v>
      </c>
      <c r="CM28" s="160">
        <f>Hourly_kWh!BN28</f>
        <v>0</v>
      </c>
      <c r="CN28" s="160">
        <f>Hourly_kWh!BO28</f>
        <v>1.0587999999998488E-2</v>
      </c>
      <c r="CO28" s="160">
        <f>Hourly_kWh!BP28</f>
        <v>0</v>
      </c>
      <c r="CP28" s="160">
        <f>Hourly_kWh!BQ28</f>
        <v>0</v>
      </c>
      <c r="CQ28" s="160">
        <f>Hourly_kWh!BR28</f>
        <v>0</v>
      </c>
      <c r="CR28" s="160">
        <f>Hourly_kWh!BS28</f>
        <v>0</v>
      </c>
      <c r="CS28" s="160">
        <f>Hourly_kWh!BT28</f>
        <v>1.1048000000002389E-2</v>
      </c>
      <c r="CT28" s="160">
        <f>Hourly_kWh!BU28</f>
        <v>0</v>
      </c>
      <c r="CU28" s="160">
        <f>Hourly_kWh!BV28</f>
        <v>0</v>
      </c>
      <c r="CV28" s="160">
        <f>Hourly_kWh!BW28</f>
        <v>0</v>
      </c>
      <c r="CW28" s="160">
        <f>Hourly_kWh!BX28</f>
        <v>0</v>
      </c>
      <c r="CX28" s="160">
        <f>Hourly_kWh!BY28</f>
        <v>0</v>
      </c>
      <c r="CY28" s="160">
        <f>Hourly_kWh!BZ28</f>
        <v>4.2448000000007369E-2</v>
      </c>
      <c r="CZ28" s="160">
        <f>Hourly_kWh!CA28</f>
        <v>1.4085312500000002E-2</v>
      </c>
      <c r="DA28" s="160">
        <f>Hourly_kWh!CB28</f>
        <v>0</v>
      </c>
      <c r="DB28" s="160">
        <f>Hourly_kWh!CC28</f>
        <v>0</v>
      </c>
      <c r="DC28" s="160">
        <f>Hourly_kWh!CD28</f>
        <v>0</v>
      </c>
      <c r="DD28" s="160">
        <f>Hourly_kWh!CE28</f>
        <v>0</v>
      </c>
      <c r="DE28" s="160">
        <f>Hourly_kWh!CF28</f>
        <v>4.6600000000118769E-4</v>
      </c>
      <c r="DF28" s="160">
        <f>Hourly_kWh!CG28</f>
        <v>0</v>
      </c>
      <c r="DG28" s="160">
        <f>Hourly_kWh!CH28</f>
        <v>6.3799999999991641E-4</v>
      </c>
      <c r="DH28" s="160">
        <f>Hourly_kWh!CI28</f>
        <v>0</v>
      </c>
      <c r="DI28" s="160">
        <f>Hourly_kWh!CJ28</f>
        <v>0</v>
      </c>
      <c r="DJ28" s="160">
        <f>Hourly_kWh!CK28</f>
        <v>0</v>
      </c>
      <c r="DK28" s="160">
        <f>Hourly_kWh!CL28</f>
        <v>3.6599999999964439E-4</v>
      </c>
      <c r="DL28" s="160">
        <f>Hourly_kWh!CM28</f>
        <v>0.15603199999986828</v>
      </c>
      <c r="DM28" s="160">
        <f>Hourly_kWh!CN28</f>
        <v>2.5399999999997647E-3</v>
      </c>
      <c r="DN28" s="160">
        <f>Hourly_kWh!CO28</f>
        <v>1.7472000000012144E-2</v>
      </c>
      <c r="DO28" s="160">
        <f>Hourly_kWh!CP28</f>
        <v>0</v>
      </c>
      <c r="DP28" s="160">
        <f>Hourly_kWh!CQ28</f>
        <v>0</v>
      </c>
      <c r="DQ28" s="160">
        <f>Hourly_kWh!CR28</f>
        <v>5.5790000000008888E-3</v>
      </c>
      <c r="DR28" s="160">
        <f>Hourly_kWh!CS28</f>
        <v>0</v>
      </c>
      <c r="DS28" s="160">
        <f>Hourly_kWh!CT28</f>
        <v>2.0807999999988169E-2</v>
      </c>
      <c r="DT28" s="160">
        <f>Hourly_kWh!CU28</f>
        <v>0</v>
      </c>
      <c r="DU28" s="160">
        <f>Hourly_kWh!CV28</f>
        <v>0</v>
      </c>
      <c r="DV28" s="160">
        <f>Hourly_kWh!CW28</f>
        <v>0</v>
      </c>
      <c r="DW28" s="160">
        <f>Hourly_kWh!CX28</f>
        <v>0</v>
      </c>
      <c r="DX28" s="160">
        <f>Hourly_kWh!CY28</f>
        <v>6.7799999999973437E-4</v>
      </c>
      <c r="DY28" s="160">
        <f>Hourly_kWh!CZ28</f>
        <v>2.5335000000001884E-3</v>
      </c>
      <c r="DZ28" s="160">
        <f>Hourly_kWh!DA28</f>
        <v>1.1540000000003658E-2</v>
      </c>
      <c r="EA28" s="160">
        <f>Hourly_kWh!DB28</f>
        <v>3.8529999999994402E-3</v>
      </c>
      <c r="EB28" s="160">
        <f>Hourly_kWh!DC28</f>
        <v>0</v>
      </c>
      <c r="EC28" s="160">
        <f>Hourly_kWh!DD28</f>
        <v>1.2243750000000553E-3</v>
      </c>
      <c r="ED28" s="160">
        <f>Hourly_kWh!DE28</f>
        <v>0</v>
      </c>
      <c r="EE28" s="160">
        <f>Hourly_kWh!DF28</f>
        <v>0</v>
      </c>
      <c r="EF28" s="160">
        <f>Hourly_kWh!DG28</f>
        <v>0</v>
      </c>
      <c r="EG28" s="160">
        <f>Hourly_kWh!DH28</f>
        <v>4.4749999999993406E-4</v>
      </c>
      <c r="EH28" s="160">
        <f>Hourly_kWh!DI28</f>
        <v>0.14611199999990276</v>
      </c>
      <c r="EI28" s="160">
        <f>Hourly_kWh!DJ28</f>
        <v>0</v>
      </c>
      <c r="EJ28" s="160">
        <f>Hourly_kWh!DK28</f>
        <v>2.8240000000003818E-3</v>
      </c>
      <c r="EK28" s="160">
        <f>Hourly_kWh!DL28</f>
        <v>4.8471875000000164E-4</v>
      </c>
      <c r="EL28" s="160">
        <f>Hourly_kWh!DM28</f>
        <v>9.7399999999936426E-4</v>
      </c>
      <c r="EM28" s="160">
        <f>Hourly_kWh!DN28</f>
        <v>0</v>
      </c>
      <c r="EN28" s="160">
        <f>Hourly_kWh!DO28</f>
        <v>3.4239999999954307E-3</v>
      </c>
      <c r="EO28" s="160">
        <f>Hourly_kWh!DP28</f>
        <v>6.3100000000027023E-4</v>
      </c>
      <c r="EP28" s="160">
        <f>Hourly_kWh!DQ28</f>
        <v>0</v>
      </c>
      <c r="EQ28" s="160">
        <f>Hourly_kWh!DR28</f>
        <v>0</v>
      </c>
      <c r="ER28" s="160">
        <f>Hourly_kWh!DS28</f>
        <v>5.0080000000036762E-2</v>
      </c>
      <c r="ES28" s="160">
        <f>Hourly_kWh!DT28</f>
        <v>1.4590000000000103E-2</v>
      </c>
      <c r="ET28" s="160">
        <f>Hourly_kWh!DU28</f>
        <v>0</v>
      </c>
      <c r="EU28" s="160">
        <f>Hourly_kWh!DV28</f>
        <v>2.9725000000002666E-4</v>
      </c>
      <c r="EV28" s="160">
        <f>Hourly_kWh!DW28</f>
        <v>0</v>
      </c>
      <c r="EW28" s="160">
        <f>Hourly_kWh!DX28</f>
        <v>3.58300000000078E-3</v>
      </c>
      <c r="EX28" s="160">
        <f>Hourly_kWh!DY28</f>
        <v>2.0624999999996341E-4</v>
      </c>
      <c r="EY28" s="160">
        <f>Hourly_kWh!DZ28</f>
        <v>4.4220000000017023E-3</v>
      </c>
      <c r="EZ28" s="160">
        <f>Hourly_kWh!EA28</f>
        <v>0</v>
      </c>
      <c r="FA28" s="160">
        <f>Hourly_kWh!EB28</f>
        <v>3.9007999999995491E-2</v>
      </c>
      <c r="FB28" s="160">
        <f>Hourly_kWh!EC28</f>
        <v>2.7967999999987114E-2</v>
      </c>
      <c r="FC28" s="160">
        <f>Hourly_kWh!ED28</f>
        <v>2.6524999999999466E-4</v>
      </c>
      <c r="FD28" s="160">
        <f>Hourly_kWh!EE28</f>
        <v>7.9130000000002809E-3</v>
      </c>
      <c r="FE28" s="160">
        <f>Hourly_kWh!EF28</f>
        <v>0.25238499999977648</v>
      </c>
      <c r="FF28" s="160">
        <f>Hourly_kWh!EG28</f>
        <v>0</v>
      </c>
      <c r="FG28" s="160">
        <f>Hourly_kWh!EH28</f>
        <v>6.6560000000208674E-3</v>
      </c>
      <c r="FH28" s="160">
        <f>Hourly_kWh!EI28</f>
        <v>1.5807999999992717E-2</v>
      </c>
      <c r="FI28" s="160">
        <f>Hourly_kWh!EJ28</f>
        <v>0</v>
      </c>
      <c r="FJ28" s="160">
        <f>Hourly_kWh!EK28</f>
        <v>0</v>
      </c>
      <c r="FK28" s="160">
        <f>Hourly_kWh!EL28</f>
        <v>0</v>
      </c>
      <c r="FL28" s="160">
        <f>Hourly_kWh!EM28</f>
        <v>0.14694399999962116</v>
      </c>
      <c r="FM28" s="160">
        <f>Hourly_kWh!EN28</f>
        <v>0</v>
      </c>
      <c r="FN28" s="160">
        <f>Hourly_kWh!EO28</f>
        <v>7.6799999999366264E-4</v>
      </c>
      <c r="FO28" s="160">
        <f>Hourly_kWh!EP28</f>
        <v>0</v>
      </c>
      <c r="FP28" s="160">
        <f>Hourly_kWh!ER28</f>
        <v>0.10254100000000221</v>
      </c>
      <c r="FQ28" s="160">
        <f>Hourly_kWh!EQ28</f>
        <v>0</v>
      </c>
      <c r="FR28" s="160">
        <f>Hourly_kWh!M28</f>
        <v>0</v>
      </c>
      <c r="FS28" s="160">
        <f>Hourly_kWh!G28</f>
        <v>0</v>
      </c>
      <c r="FT28" s="160">
        <f>Hourly_kWh!C28</f>
        <v>0</v>
      </c>
      <c r="FU28" s="160">
        <f>Hourly_kWh!D28</f>
        <v>0.2897570000000087</v>
      </c>
      <c r="FV28" s="160">
        <f>Hourly_kWh!E28</f>
        <v>0.26807399999995596</v>
      </c>
      <c r="FW28" s="160">
        <f>Hourly_kWh!F28</f>
        <v>0.29977000000002363</v>
      </c>
      <c r="FX28" s="160">
        <f>Hourly_kWh!Q28</f>
        <v>0</v>
      </c>
      <c r="FY28" s="160">
        <f>Hourly_kWh!R28</f>
        <v>0.30105600000024424</v>
      </c>
      <c r="FZ28" s="160">
        <f>Hourly_kWh!S28</f>
        <v>0.25958399999944959</v>
      </c>
      <c r="GA28" s="160">
        <f>Hourly_kWh!T28</f>
        <v>0.29286399999909918</v>
      </c>
      <c r="GB28" s="160">
        <f t="shared" si="0"/>
        <v>0.89714299999999381</v>
      </c>
      <c r="GC28" s="160">
        <f t="shared" si="1"/>
        <v>0.79392099999961374</v>
      </c>
      <c r="GD28" s="160">
        <f t="shared" si="2"/>
        <v>0.10322200000038007</v>
      </c>
      <c r="GE28" s="159">
        <f t="shared" si="3"/>
        <v>0.115056351106101</v>
      </c>
    </row>
    <row r="29" spans="2:187" s="150" customFormat="1" ht="32.25" customHeight="1" x14ac:dyDescent="0.25">
      <c r="B29" s="149" t="s">
        <v>686</v>
      </c>
      <c r="C29" s="160">
        <f>Hourly_kWh!H29</f>
        <v>0</v>
      </c>
      <c r="D29" s="160">
        <f>Hourly_kWh!I29</f>
        <v>0</v>
      </c>
      <c r="E29" s="160">
        <f>Hourly_kWh!J29</f>
        <v>0</v>
      </c>
      <c r="F29" s="160">
        <f>Hourly_kWh!K29</f>
        <v>0</v>
      </c>
      <c r="G29" s="160">
        <f>Hourly_kWh!L29</f>
        <v>0</v>
      </c>
      <c r="H29" s="160">
        <f>Hourly_kWh!U29</f>
        <v>1.8352000000007251E-2</v>
      </c>
      <c r="I29" s="160">
        <f>Hourly_kWh!P29</f>
        <v>3.2000000000209639E-4</v>
      </c>
      <c r="J29" s="160">
        <f>Hourly_kWh!N29</f>
        <v>1.1707000000001244E-2</v>
      </c>
      <c r="K29" s="160">
        <f>Hourly_kWh!O29</f>
        <v>1.2766999999939799E-2</v>
      </c>
      <c r="L29" s="160">
        <f>Hourly_kWh!B29*0.001</f>
        <v>0.88524999999999998</v>
      </c>
      <c r="M29" s="160">
        <f>Hourly_kWh!AR29</f>
        <v>0.15737599999999929</v>
      </c>
      <c r="N29" s="160">
        <f>Hourly_kWh!BM29</f>
        <v>7.7951999999982036E-2</v>
      </c>
      <c r="O29" s="160">
        <f>Hourly_kWh!CM29</f>
        <v>0.15360000000009677</v>
      </c>
      <c r="P29" s="160">
        <f>Hourly_kWh!DI29</f>
        <v>0.14656000000002223</v>
      </c>
      <c r="Q29" s="160">
        <f>Hourly_kWh!EF29</f>
        <v>0.31246499999997468</v>
      </c>
      <c r="R29" s="119">
        <f>SUM('Zone wise Meter data'!O27:AF27)</f>
        <v>3.503487499999558E-2</v>
      </c>
      <c r="S29" s="115">
        <f>SUM('Zone wise Meter data'!AG27:AW27)</f>
        <v>8.6344062499989382E-2</v>
      </c>
      <c r="T29" s="115">
        <f>SUM('Zone wise Meter data'!AX27:BA27)</f>
        <v>2.5875999999943389E-2</v>
      </c>
      <c r="U29" s="115">
        <f>SUM('Zone wise Meter data'!BB27:BC27)</f>
        <v>8.5376000000053409E-2</v>
      </c>
      <c r="V29" s="115">
        <f>SUM('Zone wise Meter data'!BD27:BL27)</f>
        <v>0.32523700000023048</v>
      </c>
      <c r="W29" s="115">
        <f>SUM('Zone wise Meter data'!BM27:BX27)</f>
        <v>1.9395750000001488E-2</v>
      </c>
      <c r="X29" s="115">
        <f>SUM('Zone wise Meter data'!BY27:CE27)</f>
        <v>6.5999999999966086E-4</v>
      </c>
      <c r="Y29" s="115">
        <f>SUM('Zone wise Meter data'!CF27:CK27)</f>
        <v>6.8581874999993131E-2</v>
      </c>
      <c r="Z29" s="115">
        <f>SUM('Zone wise Meter data'!CL27:CO27)</f>
        <v>6.8848000000002685E-2</v>
      </c>
      <c r="AA29" s="115">
        <f>SUM('Zone wise Meter data'!CP27:DD27)</f>
        <v>3.3209437500013372E-2</v>
      </c>
      <c r="AB29" s="115">
        <f>SUM('Zone wise Meter data'!DE27:DN27)</f>
        <v>7.1607421875038296E-3</v>
      </c>
      <c r="AC29" s="115">
        <f>SUM('Zone wise Meter data'!DO27:ED27)</f>
        <v>0</v>
      </c>
      <c r="AD29" s="160">
        <f>Hourly_kWh!AW29</f>
        <v>3.8016000000084205E-2</v>
      </c>
      <c r="AE29" s="160">
        <f>Hourly_kWh!DS29</f>
        <v>4.7359999999969205E-2</v>
      </c>
      <c r="AF29" s="160">
        <f>Hourly_kWh!EL29</f>
        <v>4.2112000000088301E-2</v>
      </c>
      <c r="AG29" s="160">
        <f>Hourly_kWh!EK29</f>
        <v>0</v>
      </c>
      <c r="AH29" s="160">
        <f>Hourly_kWh!EN29</f>
        <v>0</v>
      </c>
      <c r="AI29" s="160">
        <f>Hourly_kWh!EO29</f>
        <v>7.6799999999366264E-4</v>
      </c>
      <c r="AJ29" s="160">
        <f>Hourly_kWh!EM29</f>
        <v>0.14924800000017058</v>
      </c>
      <c r="AK29" s="160">
        <f>Hourly_kWh!ER29</f>
        <v>0.10042799999999374</v>
      </c>
      <c r="AL29" s="160">
        <f>Hourly_kWh!EI29</f>
        <v>1.7663999999967928E-2</v>
      </c>
      <c r="AM29" s="160">
        <f>Hourly_kWh!EJ29+Hourly_kWh!AS29</f>
        <v>1.8119999999903769E-3</v>
      </c>
      <c r="AN29" s="160">
        <f>Hourly_kWh!CX29+Hourly_kWh!CY29+Hourly_kWh!DC29+Hourly_kWh!DD29</f>
        <v>1.8383750000001697E-3</v>
      </c>
      <c r="AO29" s="160">
        <f>SUM(Hourly_kWh!AI29:AQ29)</f>
        <v>6.3763062499992307E-2</v>
      </c>
      <c r="AP29" s="160">
        <f>SUM(Hourly_kWh!V29:AG29)</f>
        <v>3.0576999999995635E-2</v>
      </c>
      <c r="AQ29" s="160">
        <f>Hourly_kWh!DB29</f>
        <v>4.4050000000002143E-3</v>
      </c>
      <c r="AR29" s="160">
        <f>Hourly_kWh!CO29</f>
        <v>1.6951999999989198E-2</v>
      </c>
      <c r="AS29" s="160">
        <f>Hourly_kWh!BJ29</f>
        <v>0</v>
      </c>
      <c r="AT29" s="160">
        <f>Hourly_kWh!U29</f>
        <v>1.8352000000007251E-2</v>
      </c>
      <c r="AU29" s="160">
        <f>Hourly_kWh!V29</f>
        <v>5.9079999999980259E-3</v>
      </c>
      <c r="AV29" s="160">
        <f>Hourly_kWh!W29</f>
        <v>4.6299999999988017E-4</v>
      </c>
      <c r="AW29" s="160">
        <f>Hourly_kWh!X29</f>
        <v>2.3719999999993746E-3</v>
      </c>
      <c r="AX29" s="160">
        <f>Hourly_kWh!Y29</f>
        <v>0</v>
      </c>
      <c r="AY29" s="160">
        <f>Hourly_kWh!Z29</f>
        <v>2.3789999999994649E-3</v>
      </c>
      <c r="AZ29" s="160">
        <f>Hourly_kWh!AA29</f>
        <v>3.1520000000000437E-3</v>
      </c>
      <c r="BA29" s="160">
        <f>Hourly_kWh!AB29</f>
        <v>5.8620000000004779E-3</v>
      </c>
      <c r="BB29" s="160">
        <f>Hourly_kWh!AC29</f>
        <v>3.8899999999983947E-3</v>
      </c>
      <c r="BC29" s="160">
        <f>Hourly_kWh!AD29</f>
        <v>2.0459999999999923E-3</v>
      </c>
      <c r="BD29" s="160">
        <f>Hourly_kWh!AE29</f>
        <v>1.9729999999995584E-3</v>
      </c>
      <c r="BE29" s="160">
        <f>Hourly_kWh!AF29</f>
        <v>0</v>
      </c>
      <c r="BF29" s="160">
        <f>Hourly_kWh!AG29</f>
        <v>2.5320000000004228E-3</v>
      </c>
      <c r="BG29" s="160">
        <f>Hourly_kWh!AH29</f>
        <v>6.5760000000011587E-2</v>
      </c>
      <c r="BH29" s="160">
        <f>Hourly_kWh!AI29</f>
        <v>0</v>
      </c>
      <c r="BI29" s="160">
        <f>Hourly_kWh!AJ29</f>
        <v>6.6499999999969361E-4</v>
      </c>
      <c r="BJ29" s="160">
        <f>Hourly_kWh!AK29</f>
        <v>0</v>
      </c>
      <c r="BK29" s="160">
        <f>Hourly_kWh!AL29</f>
        <v>6.0140625000000281E-3</v>
      </c>
      <c r="BL29" s="160">
        <f>Hourly_kWh!AM29</f>
        <v>2.0616000000003964E-2</v>
      </c>
      <c r="BM29" s="160">
        <f>Hourly_kWh!AN29</f>
        <v>1.4879999999990901E-2</v>
      </c>
      <c r="BN29" s="160">
        <f>Hourly_kWh!AO29</f>
        <v>5.0840000000036412E-3</v>
      </c>
      <c r="BO29" s="160">
        <f>Hourly_kWh!AP29</f>
        <v>3.3759999999993795E-3</v>
      </c>
      <c r="BP29" s="160">
        <f>Hourly_kWh!AQ29</f>
        <v>1.3127999999994699E-2</v>
      </c>
      <c r="BQ29" s="160">
        <f>Hourly_kWh!AR29</f>
        <v>0.15737599999999929</v>
      </c>
      <c r="BR29" s="160">
        <f>Hourly_kWh!AS29</f>
        <v>6.599999999998829E-4</v>
      </c>
      <c r="BS29" s="160">
        <f>Hourly_kWh!AT29</f>
        <v>0</v>
      </c>
      <c r="BT29" s="160">
        <f>Hourly_kWh!AU29</f>
        <v>2.1040000000027703E-3</v>
      </c>
      <c r="BU29" s="160">
        <f>Hourly_kWh!AV29</f>
        <v>7.0000000000014495E-5</v>
      </c>
      <c r="BV29" s="160">
        <f>Hourly_kWh!AW29</f>
        <v>3.8016000000084205E-2</v>
      </c>
      <c r="BW29" s="160">
        <f>Hourly_kWh!AX29</f>
        <v>0</v>
      </c>
      <c r="BX29" s="160">
        <f>Hourly_kWh!AY29</f>
        <v>2.7995000000000658E-3</v>
      </c>
      <c r="BY29" s="160">
        <f>Hourly_kWh!AZ29</f>
        <v>2.4999999999053557E-6</v>
      </c>
      <c r="BZ29" s="160">
        <f>Hourly_kWh!BA29</f>
        <v>0</v>
      </c>
      <c r="CA29" s="160">
        <f>Hourly_kWh!BB29</f>
        <v>0</v>
      </c>
      <c r="CB29" s="160">
        <f>Hourly_kWh!BC29</f>
        <v>0</v>
      </c>
      <c r="CC29" s="160">
        <f>Hourly_kWh!BD29</f>
        <v>1.0088281249999442E-4</v>
      </c>
      <c r="CD29" s="160">
        <f>Hourly_kWh!BE29</f>
        <v>5.0359999999969318E-3</v>
      </c>
      <c r="CE29" s="160">
        <f>Hourly_kWh!BF29</f>
        <v>0</v>
      </c>
      <c r="CF29" s="160">
        <f>Hourly_kWh!BG29</f>
        <v>4.7499999999978115E-4</v>
      </c>
      <c r="CG29" s="160">
        <f>Hourly_kWh!BH29</f>
        <v>0</v>
      </c>
      <c r="CH29" s="160">
        <f>Hourly_kWh!BI29</f>
        <v>9.5232000000009975E-2</v>
      </c>
      <c r="CI29" s="160">
        <f>Hourly_kWh!BJ29</f>
        <v>0</v>
      </c>
      <c r="CJ29" s="160">
        <f>Hourly_kWh!BK29</f>
        <v>3.6274999999994506E-3</v>
      </c>
      <c r="CK29" s="160">
        <f>Hourly_kWh!BL29</f>
        <v>0</v>
      </c>
      <c r="CL29" s="160">
        <f>Hourly_kWh!BM29</f>
        <v>7.7951999999982036E-2</v>
      </c>
      <c r="CM29" s="160">
        <f>Hourly_kWh!BN29</f>
        <v>0</v>
      </c>
      <c r="CN29" s="160">
        <f>Hourly_kWh!BO29</f>
        <v>1.8032000000001602E-2</v>
      </c>
      <c r="CO29" s="160">
        <f>Hourly_kWh!BP29</f>
        <v>0</v>
      </c>
      <c r="CP29" s="160">
        <f>Hourly_kWh!BQ29</f>
        <v>0</v>
      </c>
      <c r="CQ29" s="160">
        <f>Hourly_kWh!BR29</f>
        <v>0</v>
      </c>
      <c r="CR29" s="160">
        <f>Hourly_kWh!BS29</f>
        <v>0</v>
      </c>
      <c r="CS29" s="160">
        <f>Hourly_kWh!BT29</f>
        <v>1.1403999999998859E-2</v>
      </c>
      <c r="CT29" s="160">
        <f>Hourly_kWh!BU29</f>
        <v>0</v>
      </c>
      <c r="CU29" s="160">
        <f>Hourly_kWh!BV29</f>
        <v>0</v>
      </c>
      <c r="CV29" s="160">
        <f>Hourly_kWh!BW29</f>
        <v>0</v>
      </c>
      <c r="CW29" s="160">
        <f>Hourly_kWh!BX29</f>
        <v>0</v>
      </c>
      <c r="CX29" s="160">
        <f>Hourly_kWh!BY29</f>
        <v>0</v>
      </c>
      <c r="CY29" s="160">
        <f>Hourly_kWh!BZ29</f>
        <v>2.7407999999994104E-2</v>
      </c>
      <c r="CZ29" s="160">
        <f>Hourly_kWh!CA29</f>
        <v>1.5595374999999967E-2</v>
      </c>
      <c r="DA29" s="160">
        <f>Hourly_kWh!CB29</f>
        <v>0</v>
      </c>
      <c r="DB29" s="160">
        <f>Hourly_kWh!CC29</f>
        <v>0</v>
      </c>
      <c r="DC29" s="160">
        <f>Hourly_kWh!CD29</f>
        <v>0</v>
      </c>
      <c r="DD29" s="160">
        <f>Hourly_kWh!CE29</f>
        <v>0</v>
      </c>
      <c r="DE29" s="160">
        <f>Hourly_kWh!CF29</f>
        <v>4.6099999999960062E-4</v>
      </c>
      <c r="DF29" s="160">
        <f>Hourly_kWh!CG29</f>
        <v>0</v>
      </c>
      <c r="DG29" s="160">
        <f>Hourly_kWh!CH29</f>
        <v>6.2924999999980358E-4</v>
      </c>
      <c r="DH29" s="160">
        <f>Hourly_kWh!CI29</f>
        <v>0</v>
      </c>
      <c r="DI29" s="160">
        <f>Hourly_kWh!CJ29</f>
        <v>0</v>
      </c>
      <c r="DJ29" s="160">
        <f>Hourly_kWh!CK29</f>
        <v>0</v>
      </c>
      <c r="DK29" s="160">
        <f>Hourly_kWh!CL29</f>
        <v>5.3000000000125169E-4</v>
      </c>
      <c r="DL29" s="160">
        <f>Hourly_kWh!CM29</f>
        <v>0.15360000000009677</v>
      </c>
      <c r="DM29" s="160">
        <f>Hourly_kWh!CN29</f>
        <v>2.5150000000007111E-3</v>
      </c>
      <c r="DN29" s="160">
        <f>Hourly_kWh!CO29</f>
        <v>1.6951999999989198E-2</v>
      </c>
      <c r="DO29" s="160">
        <f>Hourly_kWh!CP29</f>
        <v>0</v>
      </c>
      <c r="DP29" s="160">
        <f>Hourly_kWh!CQ29</f>
        <v>0</v>
      </c>
      <c r="DQ29" s="160">
        <f>Hourly_kWh!CR29</f>
        <v>5.7639999999992142E-3</v>
      </c>
      <c r="DR29" s="160">
        <f>Hourly_kWh!CS29</f>
        <v>0</v>
      </c>
      <c r="DS29" s="160">
        <f>Hourly_kWh!CT29</f>
        <v>2.1040000000013492E-2</v>
      </c>
      <c r="DT29" s="160">
        <f>Hourly_kWh!CU29</f>
        <v>0</v>
      </c>
      <c r="DU29" s="160">
        <f>Hourly_kWh!CV29</f>
        <v>3.074999999985728E-5</v>
      </c>
      <c r="DV29" s="160">
        <f>Hourly_kWh!CW29</f>
        <v>0</v>
      </c>
      <c r="DW29" s="160">
        <f>Hourly_kWh!CX29</f>
        <v>0</v>
      </c>
      <c r="DX29" s="160">
        <f>Hourly_kWh!CY29</f>
        <v>6.5600000000021197E-4</v>
      </c>
      <c r="DY29" s="160">
        <f>Hourly_kWh!CZ29</f>
        <v>1.3637499999998859E-3</v>
      </c>
      <c r="DZ29" s="160">
        <f>Hourly_kWh!DA29</f>
        <v>1.1323999999994783E-2</v>
      </c>
      <c r="EA29" s="160">
        <f>Hourly_kWh!DB29</f>
        <v>4.4050000000002143E-3</v>
      </c>
      <c r="EB29" s="160">
        <f>Hourly_kWh!DC29</f>
        <v>0</v>
      </c>
      <c r="EC29" s="160">
        <f>Hourly_kWh!DD29</f>
        <v>1.1823749999999578E-3</v>
      </c>
      <c r="ED29" s="160">
        <f>Hourly_kWh!DE29</f>
        <v>0</v>
      </c>
      <c r="EE29" s="160">
        <f>Hourly_kWh!DF29</f>
        <v>0</v>
      </c>
      <c r="EF29" s="160">
        <f>Hourly_kWh!DG29</f>
        <v>0</v>
      </c>
      <c r="EG29" s="160">
        <f>Hourly_kWh!DH29</f>
        <v>4.3850000000045242E-4</v>
      </c>
      <c r="EH29" s="160">
        <f>Hourly_kWh!DI29</f>
        <v>0.14656000000002223</v>
      </c>
      <c r="EI29" s="160">
        <f>Hourly_kWh!DJ29</f>
        <v>0</v>
      </c>
      <c r="EJ29" s="160">
        <f>Hourly_kWh!DK29</f>
        <v>2.7760000000007778E-3</v>
      </c>
      <c r="EK29" s="160">
        <f>Hourly_kWh!DL29</f>
        <v>6.4335937500001328E-4</v>
      </c>
      <c r="EL29" s="160">
        <f>Hourly_kWh!DM29</f>
        <v>9.8900000000057275E-4</v>
      </c>
      <c r="EM29" s="160">
        <f>Hourly_kWh!DN29</f>
        <v>0</v>
      </c>
      <c r="EN29" s="160">
        <f>Hourly_kWh!DO29</f>
        <v>3.4559999999999036E-3</v>
      </c>
      <c r="EO29" s="160">
        <f>Hourly_kWh!DP29</f>
        <v>6.2450000000069394E-4</v>
      </c>
      <c r="EP29" s="160">
        <f>Hourly_kWh!DQ29</f>
        <v>0</v>
      </c>
      <c r="EQ29" s="160">
        <f>Hourly_kWh!DR29</f>
        <v>0</v>
      </c>
      <c r="ER29" s="160">
        <f>Hourly_kWh!DS29</f>
        <v>4.7359999999969205E-2</v>
      </c>
      <c r="ES29" s="160">
        <f>Hourly_kWh!DT29</f>
        <v>1.37135000000006E-2</v>
      </c>
      <c r="ET29" s="160">
        <f>Hourly_kWh!DU29</f>
        <v>0</v>
      </c>
      <c r="EU29" s="160">
        <f>Hourly_kWh!DV29</f>
        <v>2.9125000000007617E-4</v>
      </c>
      <c r="EV29" s="160">
        <f>Hourly_kWh!DW29</f>
        <v>0</v>
      </c>
      <c r="EW29" s="160">
        <f>Hourly_kWh!DX29</f>
        <v>3.5150000000001569E-3</v>
      </c>
      <c r="EX29" s="160">
        <f>Hourly_kWh!DY29</f>
        <v>2.0968749999994429E-4</v>
      </c>
      <c r="EY29" s="160">
        <f>Hourly_kWh!DZ29</f>
        <v>3.8079999999993674E-3</v>
      </c>
      <c r="EZ29" s="160">
        <f>Hourly_kWh!EA29</f>
        <v>0</v>
      </c>
      <c r="FA29" s="160">
        <f>Hourly_kWh!EB29</f>
        <v>3.9296000000007325E-2</v>
      </c>
      <c r="FB29" s="160">
        <f>Hourly_kWh!EC29</f>
        <v>2.955199999999536E-2</v>
      </c>
      <c r="FC29" s="160">
        <f>Hourly_kWh!ED29</f>
        <v>2.6499999999973767E-4</v>
      </c>
      <c r="FD29" s="160">
        <f>Hourly_kWh!EE29</f>
        <v>4.4899999999987728E-3</v>
      </c>
      <c r="FE29" s="160">
        <f>Hourly_kWh!EF29</f>
        <v>0.31246499999997468</v>
      </c>
      <c r="FF29" s="160">
        <f>Hourly_kWh!EG29</f>
        <v>0</v>
      </c>
      <c r="FG29" s="160">
        <f>Hourly_kWh!EH29</f>
        <v>6.3999999999850843E-3</v>
      </c>
      <c r="FH29" s="160">
        <f>Hourly_kWh!EI29</f>
        <v>1.7663999999967928E-2</v>
      </c>
      <c r="FI29" s="160">
        <f>Hourly_kWh!EJ29</f>
        <v>1.151999999990494E-3</v>
      </c>
      <c r="FJ29" s="160">
        <f>Hourly_kWh!EK29</f>
        <v>0</v>
      </c>
      <c r="FK29" s="160">
        <f>Hourly_kWh!EL29</f>
        <v>4.2112000000088301E-2</v>
      </c>
      <c r="FL29" s="160">
        <f>Hourly_kWh!EM29</f>
        <v>0.14924800000017058</v>
      </c>
      <c r="FM29" s="160">
        <f>Hourly_kWh!EN29</f>
        <v>0</v>
      </c>
      <c r="FN29" s="160">
        <f>Hourly_kWh!EO29</f>
        <v>7.6799999999366264E-4</v>
      </c>
      <c r="FO29" s="160">
        <f>Hourly_kWh!EP29</f>
        <v>0</v>
      </c>
      <c r="FP29" s="160">
        <f>Hourly_kWh!ER29</f>
        <v>0.10042799999999374</v>
      </c>
      <c r="FQ29" s="160">
        <f>Hourly_kWh!EQ29</f>
        <v>0</v>
      </c>
      <c r="FR29" s="160">
        <f>Hourly_kWh!M29</f>
        <v>0</v>
      </c>
      <c r="FS29" s="160">
        <f>Hourly_kWh!G29</f>
        <v>0</v>
      </c>
      <c r="FT29" s="160">
        <f>Hourly_kWh!C29</f>
        <v>0</v>
      </c>
      <c r="FU29" s="160">
        <f>Hourly_kWh!D29</f>
        <v>0.31944200000009459</v>
      </c>
      <c r="FV29" s="160">
        <f>Hourly_kWh!E29</f>
        <v>0.27018500000002632</v>
      </c>
      <c r="FW29" s="160">
        <f>Hourly_kWh!F29</f>
        <v>0.30245700000000397</v>
      </c>
      <c r="FX29" s="160">
        <f>Hourly_kWh!Q29</f>
        <v>0</v>
      </c>
      <c r="FY29" s="160">
        <f>Hourly_kWh!R29</f>
        <v>0.30924799999775132</v>
      </c>
      <c r="FZ29" s="160">
        <f>Hourly_kWh!S29</f>
        <v>0.25804799999968964</v>
      </c>
      <c r="GA29" s="160">
        <f>Hourly_kWh!T29</f>
        <v>0.29491200000120443</v>
      </c>
      <c r="GB29" s="160">
        <f t="shared" si="0"/>
        <v>0.92839599999995037</v>
      </c>
      <c r="GC29" s="160">
        <f t="shared" si="1"/>
        <v>0.84795300000007501</v>
      </c>
      <c r="GD29" s="160">
        <f t="shared" si="2"/>
        <v>8.0442999999875364E-2</v>
      </c>
      <c r="GE29" s="159">
        <f t="shared" si="3"/>
        <v>8.6647292749946855E-2</v>
      </c>
    </row>
    <row r="30" spans="2:187" s="150" customFormat="1" ht="32.25" customHeight="1" x14ac:dyDescent="0.25">
      <c r="B30" s="149" t="s">
        <v>663</v>
      </c>
      <c r="C30" s="160">
        <f>Hourly_kWh!H30</f>
        <v>0</v>
      </c>
      <c r="D30" s="160">
        <f>Hourly_kWh!I30</f>
        <v>0</v>
      </c>
      <c r="E30" s="160">
        <f>Hourly_kWh!J30</f>
        <v>0</v>
      </c>
      <c r="F30" s="160">
        <f>Hourly_kWh!K30</f>
        <v>0</v>
      </c>
      <c r="G30" s="160">
        <f>Hourly_kWh!L30</f>
        <v>0</v>
      </c>
      <c r="H30" s="160">
        <f>Hourly_kWh!U30</f>
        <v>2.3119999999991592E-2</v>
      </c>
      <c r="I30" s="160">
        <f>Hourly_kWh!P30</f>
        <v>1.082999999994172E-3</v>
      </c>
      <c r="J30" s="160">
        <f>Hourly_kWh!N30</f>
        <v>3.7332999999989624E-2</v>
      </c>
      <c r="K30" s="160">
        <f>Hourly_kWh!O30</f>
        <v>3.9156000000161839E-2</v>
      </c>
      <c r="L30" s="160">
        <f>Hourly_kWh!B30*0.001</f>
        <v>1.00325</v>
      </c>
      <c r="M30" s="160">
        <f>Hourly_kWh!AR30</f>
        <v>0.20780799999999999</v>
      </c>
      <c r="N30" s="160">
        <f>Hourly_kWh!BM30</f>
        <v>0.11043200000000297</v>
      </c>
      <c r="O30" s="160">
        <f>Hourly_kWh!CM30</f>
        <v>0.17382399999996778</v>
      </c>
      <c r="P30" s="160">
        <f>Hourly_kWh!DI30</f>
        <v>0.22233600000004117</v>
      </c>
      <c r="Q30" s="160">
        <f>Hourly_kWh!EF30</f>
        <v>0.30170600000019476</v>
      </c>
      <c r="R30" s="119">
        <f>SUM('Zone wise Meter data'!O28:AF28)</f>
        <v>4.360024999999168E-2</v>
      </c>
      <c r="S30" s="115">
        <f>SUM('Zone wise Meter data'!AG28:AW28)</f>
        <v>0.10171340624999647</v>
      </c>
      <c r="T30" s="115">
        <f>SUM('Zone wise Meter data'!AX28:BA28)</f>
        <v>3.0283499999908869E-2</v>
      </c>
      <c r="U30" s="115">
        <f>SUM('Zone wise Meter data'!BB28:BC28)</f>
        <v>0.1381759999999872</v>
      </c>
      <c r="V30" s="115">
        <f>SUM('Zone wise Meter data'!BD28:BL28)</f>
        <v>0.30250600000008809</v>
      </c>
      <c r="W30" s="115">
        <f>SUM('Zone wise Meter data'!BM28:BX28)</f>
        <v>5.8028499999997596E-2</v>
      </c>
      <c r="X30" s="115">
        <f>SUM('Zone wise Meter data'!BY28:CE28)</f>
        <v>1.4180000000001414E-3</v>
      </c>
      <c r="Y30" s="115">
        <f>SUM('Zone wise Meter data'!CF28:CK28)</f>
        <v>7.7678687500004173E-2</v>
      </c>
      <c r="Z30" s="115">
        <f>SUM('Zone wise Meter data'!CL28:CO28)</f>
        <v>9.5280000000002474E-2</v>
      </c>
      <c r="AA30" s="115">
        <f>SUM('Zone wise Meter data'!CP28:DD28)</f>
        <v>4.4271312500017035E-2</v>
      </c>
      <c r="AB30" s="115">
        <f>SUM('Zone wise Meter data'!DE28:DN28)</f>
        <v>9.0802031250015458E-3</v>
      </c>
      <c r="AC30" s="115">
        <f>SUM('Zone wise Meter data'!DO28:ED28)</f>
        <v>0</v>
      </c>
      <c r="AD30" s="160">
        <f>Hourly_kWh!AW30</f>
        <v>6.4127999999982421E-2</v>
      </c>
      <c r="AE30" s="160">
        <f>Hourly_kWh!DS30</f>
        <v>7.4048000000004777E-2</v>
      </c>
      <c r="AF30" s="160">
        <f>Hourly_kWh!EL30</f>
        <v>0.12851200000000063</v>
      </c>
      <c r="AG30" s="160">
        <f>Hourly_kWh!EK30</f>
        <v>0</v>
      </c>
      <c r="AH30" s="160">
        <f>Hourly_kWh!EN30</f>
        <v>0</v>
      </c>
      <c r="AI30" s="160">
        <f>Hourly_kWh!EO30</f>
        <v>7.0400000004156027E-4</v>
      </c>
      <c r="AJ30" s="160">
        <f>Hourly_kWh!EM30</f>
        <v>3.763200000003053E-2</v>
      </c>
      <c r="AK30" s="160">
        <f>Hourly_kWh!ER30</f>
        <v>0.10264500000000965</v>
      </c>
      <c r="AL30" s="160">
        <f>Hourly_kWh!EI30</f>
        <v>1.4783999999963271E-2</v>
      </c>
      <c r="AM30" s="160">
        <f>Hourly_kWh!EJ30+Hourly_kWh!AS30</f>
        <v>4.4914999999985383E-3</v>
      </c>
      <c r="AN30" s="160">
        <f>Hourly_kWh!CX30+Hourly_kWh!CY30+Hourly_kWh!DC30+Hourly_kWh!DD30</f>
        <v>5.545249999999724E-3</v>
      </c>
      <c r="AO30" s="160">
        <f>SUM(Hourly_kWh!AI30:AQ30)</f>
        <v>7.7654406249993535E-2</v>
      </c>
      <c r="AP30" s="160">
        <f>SUM(Hourly_kWh!V30:AG30)</f>
        <v>3.2537499999997443E-2</v>
      </c>
      <c r="AQ30" s="160">
        <f>Hourly_kWh!DB30</f>
        <v>4.5650000000012625E-3</v>
      </c>
      <c r="AR30" s="160">
        <f>Hourly_kWh!CO30</f>
        <v>1.6952000000003409E-2</v>
      </c>
      <c r="AS30" s="160">
        <f>Hourly_kWh!BJ30</f>
        <v>1.699999999971169E-5</v>
      </c>
      <c r="AT30" s="160">
        <f>Hourly_kWh!U30</f>
        <v>2.3119999999991592E-2</v>
      </c>
      <c r="AU30" s="160">
        <f>Hourly_kWh!V30</f>
        <v>5.2439999999975839E-3</v>
      </c>
      <c r="AV30" s="160">
        <f>Hourly_kWh!W30</f>
        <v>2.8869999999994178E-3</v>
      </c>
      <c r="AW30" s="160">
        <f>Hourly_kWh!X30</f>
        <v>2.458999999999989E-3</v>
      </c>
      <c r="AX30" s="160">
        <f>Hourly_kWh!Y30</f>
        <v>0</v>
      </c>
      <c r="AY30" s="160">
        <f>Hourly_kWh!Z30</f>
        <v>2.3770000000009617E-3</v>
      </c>
      <c r="AZ30" s="160">
        <f>Hourly_kWh!AA30</f>
        <v>4.7239999999995064E-3</v>
      </c>
      <c r="BA30" s="160">
        <f>Hourly_kWh!AB30</f>
        <v>6.0599999999979559E-3</v>
      </c>
      <c r="BB30" s="160">
        <f>Hourly_kWh!AC30</f>
        <v>1.0080000000023404E-3</v>
      </c>
      <c r="BC30" s="160">
        <f>Hourly_kWh!AD30</f>
        <v>2.48700000000035E-3</v>
      </c>
      <c r="BD30" s="160">
        <f>Hourly_kWh!AE30</f>
        <v>2.502999999999922E-3</v>
      </c>
      <c r="BE30" s="160">
        <f>Hourly_kWh!AF30</f>
        <v>0</v>
      </c>
      <c r="BF30" s="160">
        <f>Hourly_kWh!AG30</f>
        <v>2.7884999999994164E-3</v>
      </c>
      <c r="BG30" s="160">
        <f>Hourly_kWh!AH30</f>
        <v>8.4224000000006072E-2</v>
      </c>
      <c r="BH30" s="160">
        <f>Hourly_kWh!AI30</f>
        <v>0</v>
      </c>
      <c r="BI30" s="160">
        <f>Hourly_kWh!AJ30</f>
        <v>1.2629999999997921E-3</v>
      </c>
      <c r="BJ30" s="160">
        <f>Hourly_kWh!AK30</f>
        <v>0</v>
      </c>
      <c r="BK30" s="160">
        <f>Hourly_kWh!AL30</f>
        <v>1.2055406250000011E-2</v>
      </c>
      <c r="BL30" s="160">
        <f>Hourly_kWh!AM30</f>
        <v>2.1335999999990918E-2</v>
      </c>
      <c r="BM30" s="160">
        <f>Hourly_kWh!AN30</f>
        <v>1.708000000000709E-2</v>
      </c>
      <c r="BN30" s="160">
        <f>Hourly_kWh!AO30</f>
        <v>8.0919999999977676E-3</v>
      </c>
      <c r="BO30" s="160">
        <f>Hourly_kWh!AP30</f>
        <v>3.9359999999994955E-3</v>
      </c>
      <c r="BP30" s="160">
        <f>Hourly_kWh!AQ30</f>
        <v>1.3891999999998461E-2</v>
      </c>
      <c r="BQ30" s="160">
        <f>Hourly_kWh!AR30</f>
        <v>0.20780799999999999</v>
      </c>
      <c r="BR30" s="160">
        <f>Hourly_kWh!AS30</f>
        <v>2.6674999999993787E-3</v>
      </c>
      <c r="BS30" s="160">
        <f>Hourly_kWh!AT30</f>
        <v>0</v>
      </c>
      <c r="BT30" s="160">
        <f>Hourly_kWh!AU30</f>
        <v>2.4119999999996367E-3</v>
      </c>
      <c r="BU30" s="160">
        <f>Hourly_kWh!AV30</f>
        <v>5.4499999999979565E-4</v>
      </c>
      <c r="BV30" s="160">
        <f>Hourly_kWh!AW30</f>
        <v>6.4127999999982421E-2</v>
      </c>
      <c r="BW30" s="160">
        <f>Hourly_kWh!AX30</f>
        <v>0</v>
      </c>
      <c r="BX30" s="160">
        <f>Hourly_kWh!AY30</f>
        <v>3.3775000000000333E-3</v>
      </c>
      <c r="BY30" s="160">
        <f>Hourly_kWh!AZ30</f>
        <v>0</v>
      </c>
      <c r="BZ30" s="160">
        <f>Hourly_kWh!BA30</f>
        <v>0</v>
      </c>
      <c r="CA30" s="160">
        <f>Hourly_kWh!BB30</f>
        <v>0</v>
      </c>
      <c r="CB30" s="160">
        <f>Hourly_kWh!BC30</f>
        <v>0</v>
      </c>
      <c r="CC30" s="160">
        <f>Hourly_kWh!BD30</f>
        <v>9.9500000000002364E-5</v>
      </c>
      <c r="CD30" s="160">
        <f>Hourly_kWh!BE30</f>
        <v>5.0080000000001235E-3</v>
      </c>
      <c r="CE30" s="160">
        <f>Hourly_kWh!BF30</f>
        <v>0</v>
      </c>
      <c r="CF30" s="160">
        <f>Hourly_kWh!BG30</f>
        <v>6.0700000000046828E-4</v>
      </c>
      <c r="CG30" s="160">
        <f>Hourly_kWh!BH30</f>
        <v>0</v>
      </c>
      <c r="CH30" s="160">
        <f>Hourly_kWh!BI30</f>
        <v>0.11283199999996896</v>
      </c>
      <c r="CI30" s="160">
        <f>Hourly_kWh!BJ30</f>
        <v>1.699999999971169E-5</v>
      </c>
      <c r="CJ30" s="160">
        <f>Hourly_kWh!BK30</f>
        <v>5.5364999999998332E-3</v>
      </c>
      <c r="CK30" s="160">
        <f>Hourly_kWh!BL30</f>
        <v>0</v>
      </c>
      <c r="CL30" s="160">
        <f>Hourly_kWh!BM30</f>
        <v>0.11043200000000297</v>
      </c>
      <c r="CM30" s="160">
        <f>Hourly_kWh!BN30</f>
        <v>0</v>
      </c>
      <c r="CN30" s="160">
        <f>Hourly_kWh!BO30</f>
        <v>4.7532000000000352E-2</v>
      </c>
      <c r="CO30" s="160">
        <f>Hourly_kWh!BP30</f>
        <v>0</v>
      </c>
      <c r="CP30" s="160">
        <f>Hourly_kWh!BQ30</f>
        <v>0</v>
      </c>
      <c r="CQ30" s="160">
        <f>Hourly_kWh!BR30</f>
        <v>0</v>
      </c>
      <c r="CR30" s="160">
        <f>Hourly_kWh!BS30</f>
        <v>0</v>
      </c>
      <c r="CS30" s="160">
        <f>Hourly_kWh!BT30</f>
        <v>1.1431999999999221E-2</v>
      </c>
      <c r="CT30" s="160">
        <f>Hourly_kWh!BU30</f>
        <v>0</v>
      </c>
      <c r="CU30" s="160">
        <f>Hourly_kWh!BV30</f>
        <v>0</v>
      </c>
      <c r="CV30" s="160">
        <f>Hourly_kWh!BW30</f>
        <v>0</v>
      </c>
      <c r="CW30" s="160">
        <f>Hourly_kWh!BX30</f>
        <v>0</v>
      </c>
      <c r="CX30" s="160">
        <f>Hourly_kWh!BY30</f>
        <v>0</v>
      </c>
      <c r="CY30" s="160">
        <f>Hourly_kWh!BZ30</f>
        <v>3.003200000000561E-2</v>
      </c>
      <c r="CZ30" s="160">
        <f>Hourly_kWh!CA30</f>
        <v>1.8173687500000035E-2</v>
      </c>
      <c r="DA30" s="160">
        <f>Hourly_kWh!CB30</f>
        <v>0</v>
      </c>
      <c r="DB30" s="160">
        <f>Hourly_kWh!CC30</f>
        <v>0</v>
      </c>
      <c r="DC30" s="160">
        <f>Hourly_kWh!CD30</f>
        <v>0</v>
      </c>
      <c r="DD30" s="160">
        <f>Hourly_kWh!CE30</f>
        <v>0</v>
      </c>
      <c r="DE30" s="160">
        <f>Hourly_kWh!CF30</f>
        <v>8.1400000000009243E-4</v>
      </c>
      <c r="DF30" s="160">
        <f>Hourly_kWh!CG30</f>
        <v>0</v>
      </c>
      <c r="DG30" s="160">
        <f>Hourly_kWh!CH30</f>
        <v>6.3775000000010351E-4</v>
      </c>
      <c r="DH30" s="160">
        <f>Hourly_kWh!CI30</f>
        <v>0</v>
      </c>
      <c r="DI30" s="160">
        <f>Hourly_kWh!CJ30</f>
        <v>0</v>
      </c>
      <c r="DJ30" s="160">
        <f>Hourly_kWh!CK30</f>
        <v>0</v>
      </c>
      <c r="DK30" s="160">
        <f>Hourly_kWh!CL30</f>
        <v>1.1659999999977799E-3</v>
      </c>
      <c r="DL30" s="160">
        <f>Hourly_kWh!CM30</f>
        <v>0.17382399999996778</v>
      </c>
      <c r="DM30" s="160">
        <f>Hourly_kWh!CN30</f>
        <v>2.1520000000005979E-3</v>
      </c>
      <c r="DN30" s="160">
        <f>Hourly_kWh!CO30</f>
        <v>1.6952000000003409E-2</v>
      </c>
      <c r="DO30" s="160">
        <f>Hourly_kWh!CP30</f>
        <v>0</v>
      </c>
      <c r="DP30" s="160">
        <f>Hourly_kWh!CQ30</f>
        <v>0</v>
      </c>
      <c r="DQ30" s="160">
        <f>Hourly_kWh!CR30</f>
        <v>5.964999999999776E-3</v>
      </c>
      <c r="DR30" s="160">
        <f>Hourly_kWh!CS30</f>
        <v>0</v>
      </c>
      <c r="DS30" s="160">
        <f>Hourly_kWh!CT30</f>
        <v>1.7399999999994975E-2</v>
      </c>
      <c r="DT30" s="160">
        <f>Hourly_kWh!CU30</f>
        <v>0</v>
      </c>
      <c r="DU30" s="160">
        <f>Hourly_kWh!CV30</f>
        <v>7.8025000000003786E-4</v>
      </c>
      <c r="DV30" s="160">
        <f>Hourly_kWh!CW30</f>
        <v>7.6559999999972206E-3</v>
      </c>
      <c r="DW30" s="160">
        <f>Hourly_kWh!CX30</f>
        <v>0</v>
      </c>
      <c r="DX30" s="160">
        <f>Hourly_kWh!CY30</f>
        <v>3.4299999999976016E-4</v>
      </c>
      <c r="DY30" s="160">
        <f>Hourly_kWh!CZ30</f>
        <v>1.2285000000002988E-3</v>
      </c>
      <c r="DZ30" s="160">
        <f>Hourly_kWh!DA30</f>
        <v>1.1496000000001061E-2</v>
      </c>
      <c r="EA30" s="160">
        <f>Hourly_kWh!DB30</f>
        <v>4.5650000000012625E-3</v>
      </c>
      <c r="EB30" s="160">
        <f>Hourly_kWh!DC30</f>
        <v>4.0127500000000094E-3</v>
      </c>
      <c r="EC30" s="160">
        <f>Hourly_kWh!DD30</f>
        <v>1.1894999999999545E-3</v>
      </c>
      <c r="ED30" s="160">
        <f>Hourly_kWh!DE30</f>
        <v>0</v>
      </c>
      <c r="EE30" s="160">
        <f>Hourly_kWh!DF30</f>
        <v>0</v>
      </c>
      <c r="EF30" s="160">
        <f>Hourly_kWh!DG30</f>
        <v>1.6119999999997248E-3</v>
      </c>
      <c r="EG30" s="160">
        <f>Hourly_kWh!DH30</f>
        <v>7.8999999999940229E-4</v>
      </c>
      <c r="EH30" s="160">
        <f>Hourly_kWh!DI30</f>
        <v>0.22233600000004117</v>
      </c>
      <c r="EI30" s="160">
        <f>Hourly_kWh!DJ30</f>
        <v>0</v>
      </c>
      <c r="EJ30" s="160">
        <f>Hourly_kWh!DK30</f>
        <v>2.8140000000007603E-3</v>
      </c>
      <c r="EK30" s="160">
        <f>Hourly_kWh!DL30</f>
        <v>1.1157031249999783E-3</v>
      </c>
      <c r="EL30" s="160">
        <f>Hourly_kWh!DM30</f>
        <v>1.4870000000009043E-3</v>
      </c>
      <c r="EM30" s="160">
        <f>Hourly_kWh!DN30</f>
        <v>0</v>
      </c>
      <c r="EN30" s="160">
        <f>Hourly_kWh!DO30</f>
        <v>1.1136000000021795E-2</v>
      </c>
      <c r="EO30" s="160">
        <f>Hourly_kWh!DP30</f>
        <v>2.1865000000005352E-3</v>
      </c>
      <c r="EP30" s="160">
        <f>Hourly_kWh!DQ30</f>
        <v>0</v>
      </c>
      <c r="EQ30" s="160">
        <f>Hourly_kWh!DR30</f>
        <v>0</v>
      </c>
      <c r="ER30" s="160">
        <f>Hourly_kWh!DS30</f>
        <v>7.4048000000004777E-2</v>
      </c>
      <c r="ES30" s="160">
        <f>Hourly_kWh!DT30</f>
        <v>1.7226999999999215E-2</v>
      </c>
      <c r="ET30" s="160">
        <f>Hourly_kWh!DU30</f>
        <v>3.8600000000066359E-4</v>
      </c>
      <c r="EU30" s="160">
        <f>Hourly_kWh!DV30</f>
        <v>5.8374999999966093E-4</v>
      </c>
      <c r="EV30" s="160">
        <f>Hourly_kWh!DW30</f>
        <v>0</v>
      </c>
      <c r="EW30" s="160">
        <f>Hourly_kWh!DX30</f>
        <v>3.5439999999997696E-3</v>
      </c>
      <c r="EX30" s="160">
        <f>Hourly_kWh!DY30</f>
        <v>1.5940625000000486E-3</v>
      </c>
      <c r="EY30" s="160">
        <f>Hourly_kWh!DZ30</f>
        <v>3.209999999999269E-3</v>
      </c>
      <c r="EZ30" s="160">
        <f>Hourly_kWh!EA30</f>
        <v>0</v>
      </c>
      <c r="FA30" s="160">
        <f>Hourly_kWh!EB30</f>
        <v>5.8719999999993888E-2</v>
      </c>
      <c r="FB30" s="160">
        <f>Hourly_kWh!EC30</f>
        <v>3.6560000000008586E-2</v>
      </c>
      <c r="FC30" s="160">
        <f>Hourly_kWh!ED30</f>
        <v>4.2310000000003178E-3</v>
      </c>
      <c r="FD30" s="160">
        <f>Hourly_kWh!EE30</f>
        <v>5.5645000000001943E-3</v>
      </c>
      <c r="FE30" s="160">
        <f>Hourly_kWh!EF30</f>
        <v>0.30170600000019476</v>
      </c>
      <c r="FF30" s="160">
        <f>Hourly_kWh!EG30</f>
        <v>0</v>
      </c>
      <c r="FG30" s="160">
        <f>Hourly_kWh!EH30</f>
        <v>1.100799999994706E-2</v>
      </c>
      <c r="FH30" s="160">
        <f>Hourly_kWh!EI30</f>
        <v>1.4783999999963271E-2</v>
      </c>
      <c r="FI30" s="160">
        <f>Hourly_kWh!EJ30</f>
        <v>1.8239999999991596E-3</v>
      </c>
      <c r="FJ30" s="160">
        <f>Hourly_kWh!EK30</f>
        <v>0</v>
      </c>
      <c r="FK30" s="160">
        <f>Hourly_kWh!EL30</f>
        <v>0.12851200000000063</v>
      </c>
      <c r="FL30" s="160">
        <f>Hourly_kWh!EM30</f>
        <v>3.763200000003053E-2</v>
      </c>
      <c r="FM30" s="160">
        <f>Hourly_kWh!EN30</f>
        <v>0</v>
      </c>
      <c r="FN30" s="160">
        <f>Hourly_kWh!EO30</f>
        <v>7.0400000004156027E-4</v>
      </c>
      <c r="FO30" s="160">
        <f>Hourly_kWh!EP30</f>
        <v>0</v>
      </c>
      <c r="FP30" s="160">
        <f>Hourly_kWh!ER30</f>
        <v>0.10264500000000965</v>
      </c>
      <c r="FQ30" s="160">
        <f>Hourly_kWh!EQ30</f>
        <v>0</v>
      </c>
      <c r="FR30" s="160">
        <f>Hourly_kWh!M30</f>
        <v>0</v>
      </c>
      <c r="FS30" s="160">
        <f>Hourly_kWh!G30</f>
        <v>0</v>
      </c>
      <c r="FT30" s="160">
        <f>Hourly_kWh!C30</f>
        <v>0</v>
      </c>
      <c r="FU30" s="160">
        <f>Hourly_kWh!D30</f>
        <v>0.35331899999994221</v>
      </c>
      <c r="FV30" s="160">
        <f>Hourly_kWh!E30</f>
        <v>0.30475300000000516</v>
      </c>
      <c r="FW30" s="160">
        <f>Hourly_kWh!F30</f>
        <v>0.33557999999993626</v>
      </c>
      <c r="FX30" s="160">
        <f>Hourly_kWh!Q30</f>
        <v>0</v>
      </c>
      <c r="FY30" s="160">
        <f>Hourly_kWh!R30</f>
        <v>0.3522560000019439</v>
      </c>
      <c r="FZ30" s="160">
        <f>Hourly_kWh!S30</f>
        <v>0.29644800000005489</v>
      </c>
      <c r="GA30" s="160">
        <f>Hourly_kWh!T30</f>
        <v>0.33587199999965378</v>
      </c>
      <c r="GB30" s="160">
        <f t="shared" si="0"/>
        <v>1.1039420000001372</v>
      </c>
      <c r="GC30" s="160">
        <f t="shared" si="1"/>
        <v>1.0161060000002067</v>
      </c>
      <c r="GD30" s="160">
        <f t="shared" si="2"/>
        <v>8.7835999999930525E-2</v>
      </c>
      <c r="GE30" s="159">
        <f t="shared" si="3"/>
        <v>7.95657742887938E-2</v>
      </c>
    </row>
  </sheetData>
  <mergeCells count="37">
    <mergeCell ref="F2:GE2"/>
    <mergeCell ref="GB3:GB6"/>
    <mergeCell ref="GC3:GC6"/>
    <mergeCell ref="GD3:GD6"/>
    <mergeCell ref="GE3:GE6"/>
    <mergeCell ref="M3:Q3"/>
    <mergeCell ref="R3:AS3"/>
    <mergeCell ref="AT3:BP3"/>
    <mergeCell ref="BQ3:FQ3"/>
    <mergeCell ref="AS4:AS5"/>
    <mergeCell ref="AT4:BF5"/>
    <mergeCell ref="BG4:BP5"/>
    <mergeCell ref="BQ4:CK5"/>
    <mergeCell ref="CL4:DK5"/>
    <mergeCell ref="DL4:EG5"/>
    <mergeCell ref="C3:L3"/>
    <mergeCell ref="B2:D2"/>
    <mergeCell ref="FR3:GA3"/>
    <mergeCell ref="FS4:FS5"/>
    <mergeCell ref="FT4:FW5"/>
    <mergeCell ref="EH4:FD5"/>
    <mergeCell ref="AF4:AK5"/>
    <mergeCell ref="AL4:AN5"/>
    <mergeCell ref="AO4:AP5"/>
    <mergeCell ref="AQ4:AR5"/>
    <mergeCell ref="M4:Q5"/>
    <mergeCell ref="R4:V5"/>
    <mergeCell ref="W4:AC5"/>
    <mergeCell ref="FE4:FQ5"/>
    <mergeCell ref="FR4:FR5"/>
    <mergeCell ref="AD4:AE5"/>
    <mergeCell ref="B3:B5"/>
    <mergeCell ref="C4:G5"/>
    <mergeCell ref="H4:H5"/>
    <mergeCell ref="I4:K5"/>
    <mergeCell ref="L4:L5"/>
    <mergeCell ref="FX4:GA5"/>
  </mergeCells>
  <phoneticPr fontId="47" type="noConversion"/>
  <pageMargins left="0.7" right="0.7" top="0.75" bottom="0.75" header="0.3" footer="0.3"/>
  <pageSetup orientation="portrait" r:id="rId1"/>
  <headerFooter>
    <oddFooter>&amp;C&amp;1#&amp;"Arial"&amp;6&amp;K626469Internal</oddFooter>
  </headerFooter>
  <ignoredErrors>
    <ignoredError sqref="AO7:AP7" formulaRange="1"/>
  </ignoredError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0ED8-0D3E-498B-B666-0E427CBE0071}">
  <sheetPr codeName="Sheet30"/>
  <dimension ref="A1:S190"/>
  <sheetViews>
    <sheetView zoomScale="60" zoomScaleNormal="60" workbookViewId="0">
      <pane xSplit="5" ySplit="5" topLeftCell="F6" activePane="bottomRight" state="frozen"/>
      <selection pane="topRight" activeCell="F1" sqref="F1"/>
      <selection pane="bottomLeft" activeCell="A6" sqref="A6"/>
      <selection pane="bottomRight" activeCell="F1" sqref="F1:I1"/>
    </sheetView>
  </sheetViews>
  <sheetFormatPr defaultColWidth="9.1796875" defaultRowHeight="14.5" x14ac:dyDescent="0.35"/>
  <cols>
    <col min="1" max="1" width="3.1796875" style="95" customWidth="1"/>
    <col min="2" max="2" width="9.453125" style="95" customWidth="1"/>
    <col min="3" max="3" width="9.1796875" style="95"/>
    <col min="4" max="4" width="13" style="95" customWidth="1"/>
    <col min="5" max="5" width="14.81640625" style="95" customWidth="1"/>
    <col min="6" max="6" width="39.81640625" style="95" customWidth="1"/>
    <col min="7" max="7" width="23.453125" style="95" hidden="1" customWidth="1"/>
    <col min="8" max="8" width="39.81640625" style="95" customWidth="1"/>
    <col min="9" max="9" width="14.1796875" style="95" customWidth="1"/>
    <col min="10" max="10" width="12.81640625" style="95" customWidth="1"/>
    <col min="11" max="11" width="14.1796875" style="96" customWidth="1"/>
    <col min="12" max="12" width="13.1796875" style="95" customWidth="1"/>
    <col min="13" max="13" width="9.1796875" style="95"/>
    <col min="14" max="14" width="12.453125" style="95" bestFit="1" customWidth="1"/>
    <col min="15" max="15" width="14" style="95" bestFit="1" customWidth="1"/>
    <col min="16" max="16" width="11.81640625" style="95" bestFit="1" customWidth="1"/>
    <col min="17" max="17" width="9.1796875" style="95"/>
    <col min="18" max="18" width="24.453125" style="95" customWidth="1"/>
    <col min="19" max="16384" width="9.1796875" style="95"/>
  </cols>
  <sheetData>
    <row r="1" spans="1:19" ht="23.5" x14ac:dyDescent="0.55000000000000004">
      <c r="B1" s="112"/>
      <c r="F1" s="286"/>
      <c r="G1" s="286"/>
      <c r="H1" s="286"/>
      <c r="I1" s="287"/>
      <c r="J1" s="277">
        <f>DAILY_ENERGY!B2</f>
        <v>45838.291666666664</v>
      </c>
      <c r="K1" s="278"/>
      <c r="L1" s="279"/>
    </row>
    <row r="2" spans="1:19" s="110" customFormat="1" ht="15" customHeight="1" x14ac:dyDescent="1">
      <c r="B2" s="288" t="s">
        <v>723</v>
      </c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111"/>
      <c r="N2" s="111"/>
    </row>
    <row r="3" spans="1:19" s="110" customFormat="1" ht="15" customHeight="1" x14ac:dyDescent="1">
      <c r="B3" s="288"/>
      <c r="C3" s="288"/>
      <c r="D3" s="288"/>
      <c r="E3" s="288"/>
      <c r="F3" s="288"/>
      <c r="G3" s="288"/>
      <c r="H3" s="288"/>
      <c r="I3" s="288"/>
      <c r="J3" s="288"/>
      <c r="K3" s="288"/>
      <c r="L3" s="288"/>
      <c r="M3" s="111"/>
      <c r="N3" s="111"/>
    </row>
    <row r="4" spans="1:19" s="110" customFormat="1" ht="15" customHeight="1" x14ac:dyDescent="1">
      <c r="B4" s="288"/>
      <c r="C4" s="288"/>
      <c r="D4" s="288"/>
      <c r="E4" s="288"/>
      <c r="F4" s="288"/>
      <c r="G4" s="288"/>
      <c r="H4" s="288"/>
      <c r="I4" s="288"/>
      <c r="J4" s="288"/>
      <c r="K4" s="288"/>
      <c r="L4" s="288"/>
      <c r="M4" s="111"/>
      <c r="N4" s="111"/>
    </row>
    <row r="5" spans="1:19" ht="28" x14ac:dyDescent="0.35">
      <c r="A5" s="98"/>
      <c r="B5" s="109" t="s">
        <v>491</v>
      </c>
      <c r="C5" s="252" t="s">
        <v>490</v>
      </c>
      <c r="D5" s="252"/>
      <c r="E5" s="107" t="s">
        <v>489</v>
      </c>
      <c r="F5" s="107" t="s">
        <v>488</v>
      </c>
      <c r="G5" s="107"/>
      <c r="H5" s="101" t="s">
        <v>497</v>
      </c>
      <c r="I5" s="108" t="s">
        <v>487</v>
      </c>
      <c r="J5" s="107" t="s">
        <v>486</v>
      </c>
      <c r="K5" s="280" t="s">
        <v>485</v>
      </c>
      <c r="L5" s="281"/>
    </row>
    <row r="6" spans="1:19" ht="30.25" customHeight="1" x14ac:dyDescent="0.35">
      <c r="A6" s="98"/>
      <c r="B6" s="253" t="s">
        <v>484</v>
      </c>
      <c r="C6" s="260" t="s">
        <v>483</v>
      </c>
      <c r="D6" s="261"/>
      <c r="E6" s="101">
        <v>1</v>
      </c>
      <c r="F6" s="100" t="s">
        <v>482</v>
      </c>
      <c r="G6" s="99" t="s">
        <v>481</v>
      </c>
      <c r="H6" s="115">
        <f>Monthly_Consumption!C39</f>
        <v>4.0273710000000005</v>
      </c>
      <c r="I6" s="275">
        <f>SUM(H6:H10)</f>
        <v>14.249565999999998</v>
      </c>
      <c r="J6" s="249">
        <f>SUM(H6:H15)</f>
        <v>801.05357300000014</v>
      </c>
      <c r="K6" s="242">
        <f>I6/J6</f>
        <v>1.7788530605555387E-2</v>
      </c>
      <c r="L6" s="243"/>
      <c r="S6" s="106"/>
    </row>
    <row r="7" spans="1:19" ht="30.25" customHeight="1" x14ac:dyDescent="0.35">
      <c r="A7" s="98"/>
      <c r="B7" s="253"/>
      <c r="C7" s="262"/>
      <c r="D7" s="263"/>
      <c r="E7" s="101">
        <v>2</v>
      </c>
      <c r="F7" s="100" t="s">
        <v>480</v>
      </c>
      <c r="G7" s="99" t="s">
        <v>479</v>
      </c>
      <c r="H7" s="115">
        <f>Monthly_Consumption!D39</f>
        <v>4.7435829999999983</v>
      </c>
      <c r="I7" s="276"/>
      <c r="J7" s="250"/>
      <c r="K7" s="244"/>
      <c r="L7" s="245"/>
    </row>
    <row r="8" spans="1:19" ht="30.25" customHeight="1" x14ac:dyDescent="0.35">
      <c r="A8" s="98"/>
      <c r="B8" s="253"/>
      <c r="C8" s="262"/>
      <c r="D8" s="263"/>
      <c r="E8" s="101">
        <v>3</v>
      </c>
      <c r="F8" s="100" t="s">
        <v>478</v>
      </c>
      <c r="G8" s="99"/>
      <c r="H8" s="115">
        <f>Monthly_Consumption!E39</f>
        <v>1.3901389999999996</v>
      </c>
      <c r="I8" s="276"/>
      <c r="J8" s="250"/>
      <c r="K8" s="244"/>
      <c r="L8" s="245"/>
    </row>
    <row r="9" spans="1:19" ht="30.25" customHeight="1" x14ac:dyDescent="0.35">
      <c r="A9" s="98"/>
      <c r="B9" s="253"/>
      <c r="C9" s="262"/>
      <c r="D9" s="263"/>
      <c r="E9" s="101">
        <v>4</v>
      </c>
      <c r="F9" s="100" t="s">
        <v>477</v>
      </c>
      <c r="G9" s="99"/>
      <c r="H9" s="115">
        <f>Monthly_Consumption!F39</f>
        <v>0.97925899999999988</v>
      </c>
      <c r="I9" s="276"/>
      <c r="J9" s="250"/>
      <c r="K9" s="244"/>
      <c r="L9" s="245"/>
    </row>
    <row r="10" spans="1:19" ht="30.25" customHeight="1" x14ac:dyDescent="0.35">
      <c r="A10" s="98"/>
      <c r="B10" s="253"/>
      <c r="C10" s="262"/>
      <c r="D10" s="263"/>
      <c r="E10" s="101">
        <v>5</v>
      </c>
      <c r="F10" s="100" t="s">
        <v>96</v>
      </c>
      <c r="G10" s="99"/>
      <c r="H10" s="115">
        <f>Monthly_Consumption!G39</f>
        <v>3.1092139999999988</v>
      </c>
      <c r="I10" s="276"/>
      <c r="J10" s="250"/>
      <c r="K10" s="244"/>
      <c r="L10" s="245"/>
    </row>
    <row r="11" spans="1:19" ht="30.25" customHeight="1" x14ac:dyDescent="0.35">
      <c r="A11" s="98"/>
      <c r="B11" s="253"/>
      <c r="C11" s="260" t="s">
        <v>476</v>
      </c>
      <c r="D11" s="261"/>
      <c r="E11" s="101">
        <v>6</v>
      </c>
      <c r="F11" s="100" t="s">
        <v>475</v>
      </c>
      <c r="G11" s="99"/>
      <c r="H11" s="115">
        <f>Monthly_Consumption!H39</f>
        <v>13.141824</v>
      </c>
      <c r="I11" s="116">
        <f>H11</f>
        <v>13.141824</v>
      </c>
      <c r="J11" s="250"/>
      <c r="K11" s="242">
        <f>I11/J6</f>
        <v>1.6405674280663869E-2</v>
      </c>
      <c r="L11" s="243"/>
    </row>
    <row r="12" spans="1:19" ht="30.25" customHeight="1" x14ac:dyDescent="0.35">
      <c r="A12" s="98"/>
      <c r="B12" s="253"/>
      <c r="C12" s="260" t="s">
        <v>474</v>
      </c>
      <c r="D12" s="261"/>
      <c r="E12" s="101">
        <v>7</v>
      </c>
      <c r="F12" s="100" t="s">
        <v>473</v>
      </c>
      <c r="G12" s="99" t="s">
        <v>426</v>
      </c>
      <c r="H12" s="115">
        <f>Monthly_Consumption!I39</f>
        <v>7.6628319999999963</v>
      </c>
      <c r="I12" s="249">
        <f>H12+H13+H14</f>
        <v>229.22930800000017</v>
      </c>
      <c r="J12" s="250"/>
      <c r="K12" s="242">
        <f>I12/J6</f>
        <v>0.28615977223785521</v>
      </c>
      <c r="L12" s="243"/>
    </row>
    <row r="13" spans="1:19" ht="30.25" customHeight="1" x14ac:dyDescent="0.35">
      <c r="A13" s="98"/>
      <c r="B13" s="253"/>
      <c r="C13" s="262"/>
      <c r="D13" s="263"/>
      <c r="E13" s="101">
        <v>8</v>
      </c>
      <c r="F13" s="100" t="s">
        <v>472</v>
      </c>
      <c r="G13" s="99"/>
      <c r="H13" s="115">
        <f>Monthly_Consumption!J39</f>
        <v>110.47305100000005</v>
      </c>
      <c r="I13" s="250"/>
      <c r="J13" s="250"/>
      <c r="K13" s="244"/>
      <c r="L13" s="245"/>
    </row>
    <row r="14" spans="1:19" ht="30.25" customHeight="1" x14ac:dyDescent="0.35">
      <c r="A14" s="98"/>
      <c r="B14" s="253"/>
      <c r="C14" s="262"/>
      <c r="D14" s="263"/>
      <c r="E14" s="101">
        <v>9</v>
      </c>
      <c r="F14" s="100" t="s">
        <v>471</v>
      </c>
      <c r="G14" s="99"/>
      <c r="H14" s="115">
        <f>Monthly_Consumption!K39</f>
        <v>111.09342500000014</v>
      </c>
      <c r="I14" s="250"/>
      <c r="J14" s="250"/>
      <c r="K14" s="244"/>
      <c r="L14" s="245"/>
    </row>
    <row r="15" spans="1:19" ht="30.25" customHeight="1" x14ac:dyDescent="0.35">
      <c r="A15" s="98"/>
      <c r="B15" s="253"/>
      <c r="C15" s="252" t="s">
        <v>470</v>
      </c>
      <c r="D15" s="252"/>
      <c r="E15" s="101">
        <v>10</v>
      </c>
      <c r="F15" s="100" t="s">
        <v>469</v>
      </c>
      <c r="G15" s="99" t="s">
        <v>468</v>
      </c>
      <c r="H15" s="115">
        <f>Monthly_Consumption!L39</f>
        <v>544.43287499999997</v>
      </c>
      <c r="I15" s="116">
        <f>H15</f>
        <v>544.43287499999997</v>
      </c>
      <c r="J15" s="251"/>
      <c r="K15" s="233">
        <f>I15/J6</f>
        <v>0.67964602287592557</v>
      </c>
      <c r="L15" s="234"/>
    </row>
    <row r="16" spans="1:19" ht="30.25" customHeight="1" x14ac:dyDescent="0.35">
      <c r="A16" s="98"/>
      <c r="B16" s="285" t="s">
        <v>467</v>
      </c>
      <c r="C16" s="260" t="s">
        <v>466</v>
      </c>
      <c r="D16" s="261"/>
      <c r="E16" s="101">
        <v>11</v>
      </c>
      <c r="F16" s="100" t="s">
        <v>122</v>
      </c>
      <c r="G16" s="99"/>
      <c r="H16" s="117">
        <f>Monthly_Consumption!M39</f>
        <v>135.83024</v>
      </c>
      <c r="I16" s="118">
        <f>H16</f>
        <v>135.83024</v>
      </c>
      <c r="J16" s="266">
        <f>SUM(I16:I20)</f>
        <v>738.15070400000013</v>
      </c>
      <c r="K16" s="233">
        <f>I16/J6</f>
        <v>0.16956448929040602</v>
      </c>
      <c r="L16" s="234"/>
    </row>
    <row r="17" spans="1:12" ht="30.25" customHeight="1" x14ac:dyDescent="0.35">
      <c r="A17" s="98"/>
      <c r="B17" s="285"/>
      <c r="C17" s="262"/>
      <c r="D17" s="263"/>
      <c r="E17" s="101">
        <v>12</v>
      </c>
      <c r="F17" s="100" t="s">
        <v>123</v>
      </c>
      <c r="G17" s="99"/>
      <c r="H17" s="117">
        <f>Monthly_Consumption!N39</f>
        <v>44.662335999999982</v>
      </c>
      <c r="I17" s="118">
        <f t="shared" ref="I17:I20" si="0">H17</f>
        <v>44.662335999999982</v>
      </c>
      <c r="J17" s="267"/>
      <c r="K17" s="233">
        <f>I17/J6</f>
        <v>5.5754493214151074E-2</v>
      </c>
      <c r="L17" s="234"/>
    </row>
    <row r="18" spans="1:12" ht="30.25" customHeight="1" x14ac:dyDescent="0.35">
      <c r="A18" s="98"/>
      <c r="B18" s="285"/>
      <c r="C18" s="262"/>
      <c r="D18" s="263"/>
      <c r="E18" s="101">
        <v>13</v>
      </c>
      <c r="F18" s="100" t="s">
        <v>124</v>
      </c>
      <c r="G18" s="99"/>
      <c r="H18" s="117">
        <f>Monthly_Consumption!O39</f>
        <v>126.3993599999999</v>
      </c>
      <c r="I18" s="118">
        <f t="shared" si="0"/>
        <v>126.3993599999999</v>
      </c>
      <c r="J18" s="267"/>
      <c r="K18" s="233">
        <f>I18/J6</f>
        <v>0.15779139405948306</v>
      </c>
      <c r="L18" s="234"/>
    </row>
    <row r="19" spans="1:12" ht="30.25" customHeight="1" x14ac:dyDescent="0.35">
      <c r="A19" s="98"/>
      <c r="B19" s="285"/>
      <c r="C19" s="262"/>
      <c r="D19" s="263"/>
      <c r="E19" s="101">
        <v>14</v>
      </c>
      <c r="F19" s="100" t="s">
        <v>125</v>
      </c>
      <c r="G19" s="99"/>
      <c r="H19" s="117">
        <f>Monthly_Consumption!P39</f>
        <v>110.19871999999999</v>
      </c>
      <c r="I19" s="118">
        <f t="shared" si="0"/>
        <v>110.19871999999999</v>
      </c>
      <c r="J19" s="267"/>
      <c r="K19" s="233">
        <f>I19/J6</f>
        <v>0.13756722860282403</v>
      </c>
      <c r="L19" s="234"/>
    </row>
    <row r="20" spans="1:12" ht="30.25" customHeight="1" x14ac:dyDescent="0.35">
      <c r="A20" s="98"/>
      <c r="B20" s="285"/>
      <c r="C20" s="262"/>
      <c r="D20" s="263"/>
      <c r="E20" s="101">
        <v>15</v>
      </c>
      <c r="F20" s="100" t="s">
        <v>126</v>
      </c>
      <c r="G20" s="99"/>
      <c r="H20" s="117">
        <f>Monthly_Consumption!Q39</f>
        <v>321.06004800000034</v>
      </c>
      <c r="I20" s="118">
        <f t="shared" si="0"/>
        <v>321.06004800000034</v>
      </c>
      <c r="J20" s="268"/>
      <c r="K20" s="233">
        <f>I20/J6</f>
        <v>0.40079722358344727</v>
      </c>
      <c r="L20" s="234"/>
    </row>
    <row r="21" spans="1:12" ht="30.25" customHeight="1" x14ac:dyDescent="0.35">
      <c r="A21" s="98"/>
      <c r="B21" s="235" t="s">
        <v>465</v>
      </c>
      <c r="C21" s="253" t="s">
        <v>464</v>
      </c>
      <c r="D21" s="253"/>
      <c r="E21" s="101">
        <v>16</v>
      </c>
      <c r="F21" s="100" t="s">
        <v>498</v>
      </c>
      <c r="G21" s="99" t="s">
        <v>463</v>
      </c>
      <c r="H21" s="119">
        <f>Monthly_Consumption!R39</f>
        <v>38.963102937499997</v>
      </c>
      <c r="I21" s="250">
        <f>SUM(H21:H25)</f>
        <v>536.09452373437523</v>
      </c>
      <c r="J21" s="249">
        <f>SUM(H21:H32)</f>
        <v>666.94330405804465</v>
      </c>
      <c r="K21" s="269">
        <v>0</v>
      </c>
      <c r="L21" s="270"/>
    </row>
    <row r="22" spans="1:12" ht="30.25" customHeight="1" x14ac:dyDescent="0.35">
      <c r="A22" s="98"/>
      <c r="B22" s="236"/>
      <c r="C22" s="253"/>
      <c r="D22" s="253"/>
      <c r="E22" s="101">
        <v>17</v>
      </c>
      <c r="F22" s="100" t="s">
        <v>462</v>
      </c>
      <c r="G22" s="99"/>
      <c r="H22" s="115">
        <f>Monthly_Consumption!S39</f>
        <v>65.594030796875003</v>
      </c>
      <c r="I22" s="250"/>
      <c r="J22" s="250"/>
      <c r="K22" s="271"/>
      <c r="L22" s="272"/>
    </row>
    <row r="23" spans="1:12" ht="30.25" customHeight="1" x14ac:dyDescent="0.35">
      <c r="A23" s="98"/>
      <c r="B23" s="236"/>
      <c r="C23" s="253"/>
      <c r="D23" s="253"/>
      <c r="E23" s="101">
        <v>18</v>
      </c>
      <c r="F23" s="100" t="s">
        <v>461</v>
      </c>
      <c r="G23" s="99"/>
      <c r="H23" s="115">
        <f>Monthly_Consumption!T39</f>
        <v>35.355133999999929</v>
      </c>
      <c r="I23" s="250"/>
      <c r="J23" s="250"/>
      <c r="K23" s="271"/>
      <c r="L23" s="272"/>
    </row>
    <row r="24" spans="1:12" ht="30.25" customHeight="1" x14ac:dyDescent="0.35">
      <c r="A24" s="98"/>
      <c r="B24" s="236"/>
      <c r="C24" s="253"/>
      <c r="D24" s="253"/>
      <c r="E24" s="101">
        <v>19</v>
      </c>
      <c r="F24" s="100" t="s">
        <v>460</v>
      </c>
      <c r="H24" s="115">
        <f>Monthly_Consumption!U39</f>
        <v>78.822944000000078</v>
      </c>
      <c r="I24" s="250"/>
      <c r="J24" s="250"/>
      <c r="K24" s="271"/>
      <c r="L24" s="272"/>
    </row>
    <row r="25" spans="1:12" ht="30.25" customHeight="1" x14ac:dyDescent="0.35">
      <c r="A25" s="98"/>
      <c r="B25" s="236"/>
      <c r="C25" s="253"/>
      <c r="D25" s="253"/>
      <c r="E25" s="101">
        <v>20</v>
      </c>
      <c r="F25" s="100" t="s">
        <v>459</v>
      </c>
      <c r="G25" s="99"/>
      <c r="H25" s="115">
        <f>Monthly_Consumption!V39</f>
        <v>317.35931200000022</v>
      </c>
      <c r="I25" s="251"/>
      <c r="J25" s="250"/>
      <c r="K25" s="273"/>
      <c r="L25" s="274"/>
    </row>
    <row r="26" spans="1:12" ht="30.25" customHeight="1" x14ac:dyDescent="0.35">
      <c r="A26" s="98"/>
      <c r="B26" s="236"/>
      <c r="C26" s="254" t="s">
        <v>458</v>
      </c>
      <c r="D26" s="255"/>
      <c r="E26" s="101">
        <v>21</v>
      </c>
      <c r="F26" s="100" t="s">
        <v>457</v>
      </c>
      <c r="G26" s="99"/>
      <c r="H26" s="115">
        <f>Monthly_Consumption!W39</f>
        <v>10.444049500000002</v>
      </c>
      <c r="I26" s="249">
        <f>SUM(H26:H32)</f>
        <v>130.84878032366944</v>
      </c>
      <c r="J26" s="250"/>
      <c r="K26" s="269">
        <f>I26/J6</f>
        <v>0.16334585442722871</v>
      </c>
      <c r="L26" s="270"/>
    </row>
    <row r="27" spans="1:12" ht="30.25" customHeight="1" x14ac:dyDescent="0.35">
      <c r="A27" s="98"/>
      <c r="B27" s="236"/>
      <c r="C27" s="254"/>
      <c r="D27" s="255"/>
      <c r="E27" s="101">
        <v>22</v>
      </c>
      <c r="F27" s="100" t="s">
        <v>236</v>
      </c>
      <c r="G27" s="99"/>
      <c r="H27" s="115">
        <f>Monthly_Consumption!X39</f>
        <v>0.61429412500000014</v>
      </c>
      <c r="I27" s="250"/>
      <c r="J27" s="250"/>
      <c r="K27" s="271"/>
      <c r="L27" s="272"/>
    </row>
    <row r="28" spans="1:12" ht="30.25" customHeight="1" x14ac:dyDescent="0.35">
      <c r="A28" s="98"/>
      <c r="B28" s="236"/>
      <c r="C28" s="254"/>
      <c r="D28" s="255"/>
      <c r="E28" s="101">
        <v>23</v>
      </c>
      <c r="F28" s="100" t="s">
        <v>456</v>
      </c>
      <c r="G28" s="99" t="s">
        <v>426</v>
      </c>
      <c r="H28" s="115">
        <f>Monthly_Consumption!Y39</f>
        <v>41.275032968750011</v>
      </c>
      <c r="I28" s="250"/>
      <c r="J28" s="250"/>
      <c r="K28" s="271"/>
      <c r="L28" s="272"/>
    </row>
    <row r="29" spans="1:12" ht="30.25" customHeight="1" x14ac:dyDescent="0.35">
      <c r="A29" s="98"/>
      <c r="B29" s="236"/>
      <c r="C29" s="254"/>
      <c r="D29" s="255"/>
      <c r="E29" s="101">
        <v>24</v>
      </c>
      <c r="F29" s="100" t="s">
        <v>455</v>
      </c>
      <c r="G29" s="99"/>
      <c r="H29" s="115">
        <f>Monthly_Consumption!Z39</f>
        <v>42.865167999999983</v>
      </c>
      <c r="I29" s="250"/>
      <c r="J29" s="250"/>
      <c r="K29" s="271"/>
      <c r="L29" s="272"/>
    </row>
    <row r="30" spans="1:12" ht="30.25" customHeight="1" x14ac:dyDescent="0.35">
      <c r="A30" s="98"/>
      <c r="B30" s="236"/>
      <c r="C30" s="254"/>
      <c r="D30" s="255"/>
      <c r="E30" s="101">
        <v>25</v>
      </c>
      <c r="F30" s="100" t="s">
        <v>454</v>
      </c>
      <c r="G30" s="99"/>
      <c r="H30" s="115">
        <f>Monthly_Consumption!AA39</f>
        <v>29.026636937500008</v>
      </c>
      <c r="I30" s="250"/>
      <c r="J30" s="250"/>
      <c r="K30" s="271"/>
      <c r="L30" s="272"/>
    </row>
    <row r="31" spans="1:12" ht="30.25" customHeight="1" x14ac:dyDescent="0.35">
      <c r="A31" s="98"/>
      <c r="B31" s="236"/>
      <c r="C31" s="254"/>
      <c r="D31" s="255"/>
      <c r="E31" s="101">
        <v>26</v>
      </c>
      <c r="F31" s="100" t="s">
        <v>656</v>
      </c>
      <c r="G31" s="99"/>
      <c r="H31" s="115">
        <f>Monthly_Consumption!AB39</f>
        <v>6.6235987924194353</v>
      </c>
      <c r="I31" s="250"/>
      <c r="J31" s="250"/>
      <c r="K31" s="271"/>
      <c r="L31" s="272"/>
    </row>
    <row r="32" spans="1:12" ht="30.25" customHeight="1" x14ac:dyDescent="0.35">
      <c r="A32" s="98"/>
      <c r="B32" s="236"/>
      <c r="C32" s="256"/>
      <c r="D32" s="257"/>
      <c r="E32" s="101">
        <v>27</v>
      </c>
      <c r="F32" s="100" t="s">
        <v>505</v>
      </c>
      <c r="H32" s="115">
        <f>Monthly_Consumption!AC39</f>
        <v>0</v>
      </c>
      <c r="I32" s="251"/>
      <c r="J32" s="250"/>
      <c r="K32" s="273"/>
      <c r="L32" s="274"/>
    </row>
    <row r="33" spans="1:12" ht="30.25" customHeight="1" x14ac:dyDescent="0.35">
      <c r="A33" s="98"/>
      <c r="B33" s="236"/>
      <c r="C33" s="252" t="s">
        <v>496</v>
      </c>
      <c r="D33" s="252"/>
      <c r="E33" s="101">
        <v>28</v>
      </c>
      <c r="F33" s="100" t="s">
        <v>453</v>
      </c>
      <c r="G33" s="99" t="s">
        <v>452</v>
      </c>
      <c r="H33" s="115">
        <f>Monthly_Consumption!AD39</f>
        <v>48.029248000000045</v>
      </c>
      <c r="I33" s="249">
        <f>H33+H34</f>
        <v>78.822944000000064</v>
      </c>
      <c r="J33" s="249"/>
      <c r="K33" s="242">
        <f>I33/J6</f>
        <v>9.8399091717177881E-2</v>
      </c>
      <c r="L33" s="243"/>
    </row>
    <row r="34" spans="1:12" ht="30.25" customHeight="1" x14ac:dyDescent="0.35">
      <c r="A34" s="98"/>
      <c r="B34" s="236"/>
      <c r="C34" s="252"/>
      <c r="D34" s="252"/>
      <c r="E34" s="101">
        <v>29</v>
      </c>
      <c r="F34" s="100" t="s">
        <v>451</v>
      </c>
      <c r="G34" s="99" t="s">
        <v>450</v>
      </c>
      <c r="H34" s="115">
        <f>Monthly_Consumption!AE39</f>
        <v>30.793696000000015</v>
      </c>
      <c r="I34" s="250"/>
      <c r="J34" s="250"/>
      <c r="K34" s="246"/>
      <c r="L34" s="247"/>
    </row>
    <row r="35" spans="1:12" ht="30.25" customHeight="1" x14ac:dyDescent="0.35">
      <c r="A35" s="98"/>
      <c r="B35" s="236"/>
      <c r="C35" s="252" t="s">
        <v>449</v>
      </c>
      <c r="D35" s="252"/>
      <c r="E35" s="101">
        <v>30</v>
      </c>
      <c r="F35" s="100" t="s">
        <v>448</v>
      </c>
      <c r="G35" s="99" t="s">
        <v>405</v>
      </c>
      <c r="H35" s="115">
        <f>Monthly_Consumption!AF39</f>
        <v>48.869375999999882</v>
      </c>
      <c r="I35" s="249">
        <f>SUM(H35:H39)</f>
        <v>215.37952000000018</v>
      </c>
      <c r="J35" s="241"/>
      <c r="K35" s="242">
        <f>I35/J6</f>
        <v>0.2688703068802118</v>
      </c>
      <c r="L35" s="243"/>
    </row>
    <row r="36" spans="1:12" ht="30.25" customHeight="1" x14ac:dyDescent="0.35">
      <c r="A36" s="98"/>
      <c r="B36" s="236"/>
      <c r="C36" s="252"/>
      <c r="D36" s="252"/>
      <c r="E36" s="101">
        <v>31</v>
      </c>
      <c r="F36" s="100" t="s">
        <v>447</v>
      </c>
      <c r="G36" s="99" t="s">
        <v>404</v>
      </c>
      <c r="H36" s="115">
        <f>Monthly_Consumption!AG39</f>
        <v>0</v>
      </c>
      <c r="I36" s="250"/>
      <c r="J36" s="241"/>
      <c r="K36" s="244"/>
      <c r="L36" s="245"/>
    </row>
    <row r="37" spans="1:12" ht="30.25" customHeight="1" x14ac:dyDescent="0.35">
      <c r="A37" s="98"/>
      <c r="B37" s="236"/>
      <c r="C37" s="252"/>
      <c r="D37" s="252"/>
      <c r="E37" s="101">
        <v>32</v>
      </c>
      <c r="F37" s="100" t="s">
        <v>446</v>
      </c>
      <c r="G37" s="99" t="s">
        <v>403</v>
      </c>
      <c r="H37" s="115">
        <f>Monthly_Consumption!AH39</f>
        <v>56.579584000000075</v>
      </c>
      <c r="I37" s="250"/>
      <c r="J37" s="241"/>
      <c r="K37" s="244"/>
      <c r="L37" s="245"/>
    </row>
    <row r="38" spans="1:12" ht="30.25" customHeight="1" x14ac:dyDescent="0.35">
      <c r="A38" s="98"/>
      <c r="B38" s="236"/>
      <c r="C38" s="252"/>
      <c r="D38" s="252"/>
      <c r="E38" s="101">
        <v>33</v>
      </c>
      <c r="F38" s="100" t="s">
        <v>445</v>
      </c>
      <c r="G38" s="99" t="s">
        <v>402</v>
      </c>
      <c r="H38" s="115">
        <f>Monthly_Consumption!AI39</f>
        <v>18.202432000000037</v>
      </c>
      <c r="I38" s="250"/>
      <c r="J38" s="241"/>
      <c r="K38" s="244"/>
      <c r="L38" s="245"/>
    </row>
    <row r="39" spans="1:12" ht="30.25" customHeight="1" x14ac:dyDescent="0.35">
      <c r="A39" s="98"/>
      <c r="B39" s="236"/>
      <c r="C39" s="252"/>
      <c r="D39" s="252"/>
      <c r="E39" s="101">
        <v>34</v>
      </c>
      <c r="F39" s="100" t="s">
        <v>444</v>
      </c>
      <c r="G39" s="99" t="s">
        <v>443</v>
      </c>
      <c r="H39" s="115">
        <f>Monthly_Consumption!AK39</f>
        <v>91.728128000000211</v>
      </c>
      <c r="I39" s="250"/>
      <c r="J39" s="241"/>
      <c r="K39" s="244"/>
      <c r="L39" s="245"/>
    </row>
    <row r="40" spans="1:12" ht="30.25" customHeight="1" x14ac:dyDescent="0.35">
      <c r="A40" s="98"/>
      <c r="B40" s="236"/>
      <c r="C40" s="252"/>
      <c r="D40" s="252"/>
      <c r="E40" s="101">
        <v>35</v>
      </c>
      <c r="F40" s="100" t="s">
        <v>654</v>
      </c>
      <c r="H40" s="115">
        <f>Monthly_Consumption!FP39</f>
        <v>72.327777999999995</v>
      </c>
      <c r="I40" s="251"/>
      <c r="J40" s="241"/>
      <c r="K40" s="246"/>
      <c r="L40" s="247"/>
    </row>
    <row r="41" spans="1:12" ht="30.25" customHeight="1" x14ac:dyDescent="0.35">
      <c r="A41" s="98"/>
      <c r="B41" s="236"/>
      <c r="C41" s="252" t="s">
        <v>442</v>
      </c>
      <c r="D41" s="252"/>
      <c r="E41" s="101">
        <v>36</v>
      </c>
      <c r="F41" s="100" t="s">
        <v>441</v>
      </c>
      <c r="G41" s="99"/>
      <c r="H41" s="115">
        <f>Monthly_Consumption!AL39</f>
        <v>18.896384000000015</v>
      </c>
      <c r="I41" s="241">
        <f>SUM(H41:H43)</f>
        <v>26.233856000000017</v>
      </c>
      <c r="J41" s="241"/>
      <c r="K41" s="248">
        <f>I41/J6</f>
        <v>3.2749190421500075E-2</v>
      </c>
      <c r="L41" s="248"/>
    </row>
    <row r="42" spans="1:12" ht="30.25" customHeight="1" x14ac:dyDescent="0.35">
      <c r="A42" s="98"/>
      <c r="B42" s="236"/>
      <c r="C42" s="252"/>
      <c r="D42" s="252"/>
      <c r="E42" s="101">
        <v>37</v>
      </c>
      <c r="F42" s="100" t="s">
        <v>440</v>
      </c>
      <c r="G42" s="99"/>
      <c r="H42" s="115">
        <f>Monthly_Consumption!AM39</f>
        <v>1.3357310000000011</v>
      </c>
      <c r="I42" s="241"/>
      <c r="J42" s="241"/>
      <c r="K42" s="248"/>
      <c r="L42" s="248"/>
    </row>
    <row r="43" spans="1:12" ht="30.25" customHeight="1" x14ac:dyDescent="0.35">
      <c r="A43" s="98"/>
      <c r="B43" s="236"/>
      <c r="C43" s="252"/>
      <c r="D43" s="252"/>
      <c r="E43" s="101">
        <v>38</v>
      </c>
      <c r="F43" s="100" t="s">
        <v>439</v>
      </c>
      <c r="G43" s="99"/>
      <c r="H43" s="115">
        <f>Monthly_Consumption!AN39</f>
        <v>6.0017410000000009</v>
      </c>
      <c r="I43" s="241"/>
      <c r="J43" s="241"/>
      <c r="K43" s="248"/>
      <c r="L43" s="248"/>
    </row>
    <row r="44" spans="1:12" ht="45.75" customHeight="1" x14ac:dyDescent="0.35">
      <c r="A44" s="98"/>
      <c r="B44" s="236"/>
      <c r="C44" s="252" t="s">
        <v>438</v>
      </c>
      <c r="D44" s="252"/>
      <c r="E44" s="101">
        <v>39</v>
      </c>
      <c r="F44" s="100" t="s">
        <v>425</v>
      </c>
      <c r="G44" s="99"/>
      <c r="H44" s="119">
        <f>Monthly_Consumption!AO39</f>
        <v>1.7731433906249914</v>
      </c>
      <c r="I44" s="250">
        <f>H44+H45</f>
        <v>2.6389573906249897</v>
      </c>
      <c r="J44" s="241"/>
      <c r="K44" s="242">
        <f>I44/J6</f>
        <v>3.2943581797431035E-3</v>
      </c>
      <c r="L44" s="243"/>
    </row>
    <row r="45" spans="1:12" ht="30.25" customHeight="1" x14ac:dyDescent="0.35">
      <c r="A45" s="98"/>
      <c r="B45" s="236"/>
      <c r="C45" s="252"/>
      <c r="D45" s="252"/>
      <c r="E45" s="101">
        <v>40</v>
      </c>
      <c r="F45" s="100" t="s">
        <v>437</v>
      </c>
      <c r="G45" s="99"/>
      <c r="H45" s="119">
        <f>Monthly_Consumption!AP39</f>
        <v>0.86581399999999853</v>
      </c>
      <c r="I45" s="251"/>
      <c r="J45" s="241"/>
      <c r="K45" s="246"/>
      <c r="L45" s="247"/>
    </row>
    <row r="46" spans="1:12" ht="30.25" customHeight="1" x14ac:dyDescent="0.35">
      <c r="A46" s="98"/>
      <c r="B46" s="236"/>
      <c r="C46" s="252" t="s">
        <v>436</v>
      </c>
      <c r="D46" s="252"/>
      <c r="E46" s="101">
        <v>41</v>
      </c>
      <c r="F46" s="105" t="s">
        <v>435</v>
      </c>
      <c r="G46" s="99" t="s">
        <v>434</v>
      </c>
      <c r="H46" s="115">
        <f>Monthly_Consumption!AQ39</f>
        <v>3.1897740000000003</v>
      </c>
      <c r="I46" s="250">
        <f>H46+H47</f>
        <v>22.050221999999998</v>
      </c>
      <c r="J46" s="241"/>
      <c r="K46" s="242">
        <f>I46/J6</f>
        <v>2.7526525994285771E-2</v>
      </c>
      <c r="L46" s="243"/>
    </row>
    <row r="47" spans="1:12" ht="30.25" customHeight="1" x14ac:dyDescent="0.35">
      <c r="A47" s="98"/>
      <c r="B47" s="236"/>
      <c r="C47" s="252"/>
      <c r="D47" s="252"/>
      <c r="E47" s="101">
        <v>42</v>
      </c>
      <c r="F47" s="100" t="s">
        <v>433</v>
      </c>
      <c r="G47" s="99" t="s">
        <v>432</v>
      </c>
      <c r="H47" s="115">
        <f>Monthly_Consumption!AR39</f>
        <v>18.860447999999998</v>
      </c>
      <c r="I47" s="251"/>
      <c r="J47" s="241"/>
      <c r="K47" s="246"/>
      <c r="L47" s="247"/>
    </row>
    <row r="48" spans="1:12" ht="30.25" customHeight="1" x14ac:dyDescent="0.35">
      <c r="A48" s="98"/>
      <c r="B48" s="237"/>
      <c r="C48" s="252" t="s">
        <v>431</v>
      </c>
      <c r="D48" s="252"/>
      <c r="E48" s="101">
        <v>43</v>
      </c>
      <c r="F48" s="100" t="s">
        <v>431</v>
      </c>
      <c r="G48" s="99" t="s">
        <v>430</v>
      </c>
      <c r="H48" s="115">
        <f>Monthly_Consumption!AS39</f>
        <v>5.8973999999999187E-2</v>
      </c>
      <c r="I48" s="118">
        <f>H48</f>
        <v>5.8973999999999187E-2</v>
      </c>
      <c r="J48" s="118"/>
      <c r="K48" s="233">
        <f>I48/J6</f>
        <v>7.362054422794414E-5</v>
      </c>
      <c r="L48" s="234"/>
    </row>
    <row r="49" spans="1:12" ht="30.25" customHeight="1" x14ac:dyDescent="0.35">
      <c r="A49" s="98"/>
      <c r="B49" s="238" t="s">
        <v>462</v>
      </c>
      <c r="C49" s="252" t="s">
        <v>429</v>
      </c>
      <c r="D49" s="252"/>
      <c r="E49" s="101">
        <v>44</v>
      </c>
      <c r="F49" s="100" t="s">
        <v>97</v>
      </c>
      <c r="G49" s="99" t="s">
        <v>428</v>
      </c>
      <c r="H49" s="115">
        <f>Monthly_Consumption!AT39</f>
        <v>13.141824</v>
      </c>
      <c r="I49" s="249">
        <f>SUM(H50:H61)</f>
        <v>25.148255249999998</v>
      </c>
      <c r="J49" s="241"/>
      <c r="K49" s="248">
        <f>I49/J6</f>
        <v>3.1393974257948903E-2</v>
      </c>
      <c r="L49" s="248"/>
    </row>
    <row r="50" spans="1:12" ht="30.25" customHeight="1" x14ac:dyDescent="0.35">
      <c r="A50" s="98"/>
      <c r="B50" s="239"/>
      <c r="C50" s="252"/>
      <c r="D50" s="252"/>
      <c r="E50" s="101">
        <v>45</v>
      </c>
      <c r="F50" s="100" t="s">
        <v>157</v>
      </c>
      <c r="G50" s="99" t="s">
        <v>427</v>
      </c>
      <c r="H50" s="115">
        <f>Monthly_Consumption!AU39</f>
        <v>3.774054</v>
      </c>
      <c r="I50" s="250"/>
      <c r="J50" s="241"/>
      <c r="K50" s="248"/>
      <c r="L50" s="248"/>
    </row>
    <row r="51" spans="1:12" ht="30.25" customHeight="1" x14ac:dyDescent="0.35">
      <c r="A51" s="98"/>
      <c r="B51" s="239"/>
      <c r="C51" s="252"/>
      <c r="D51" s="252"/>
      <c r="E51" s="101">
        <v>46</v>
      </c>
      <c r="F51" s="100" t="s">
        <v>158</v>
      </c>
      <c r="G51" s="99"/>
      <c r="H51" s="115">
        <f>Monthly_Consumption!AV39</f>
        <v>1.6838770000000007</v>
      </c>
      <c r="I51" s="250"/>
      <c r="J51" s="241"/>
      <c r="K51" s="248"/>
      <c r="L51" s="248"/>
    </row>
    <row r="52" spans="1:12" ht="30.25" customHeight="1" x14ac:dyDescent="0.35">
      <c r="A52" s="98"/>
      <c r="B52" s="239"/>
      <c r="C52" s="252"/>
      <c r="D52" s="252"/>
      <c r="E52" s="101">
        <v>47</v>
      </c>
      <c r="F52" s="100" t="s">
        <v>159</v>
      </c>
      <c r="G52" s="99"/>
      <c r="H52" s="115">
        <f>Monthly_Consumption!AW39</f>
        <v>1.9131800000000005</v>
      </c>
      <c r="I52" s="250"/>
      <c r="J52" s="241"/>
      <c r="K52" s="248"/>
      <c r="L52" s="248"/>
    </row>
    <row r="53" spans="1:12" ht="30.25" customHeight="1" x14ac:dyDescent="0.35">
      <c r="A53" s="98"/>
      <c r="B53" s="239"/>
      <c r="C53" s="252"/>
      <c r="D53" s="252"/>
      <c r="E53" s="101">
        <v>48</v>
      </c>
      <c r="F53" s="100" t="s">
        <v>160</v>
      </c>
      <c r="G53" s="99" t="s">
        <v>426</v>
      </c>
      <c r="H53" s="115">
        <f>Monthly_Consumption!AX39</f>
        <v>0</v>
      </c>
      <c r="I53" s="250"/>
      <c r="J53" s="241"/>
      <c r="K53" s="248"/>
      <c r="L53" s="248"/>
    </row>
    <row r="54" spans="1:12" ht="30.25" customHeight="1" x14ac:dyDescent="0.35">
      <c r="A54" s="98"/>
      <c r="B54" s="239"/>
      <c r="C54" s="252"/>
      <c r="D54" s="252"/>
      <c r="E54" s="101">
        <v>49</v>
      </c>
      <c r="F54" s="100" t="s">
        <v>161</v>
      </c>
      <c r="G54" s="99"/>
      <c r="H54" s="115">
        <f>Monthly_Consumption!AY39</f>
        <v>1.3473400000000009</v>
      </c>
      <c r="I54" s="250"/>
      <c r="J54" s="241"/>
      <c r="K54" s="248"/>
      <c r="L54" s="248"/>
    </row>
    <row r="55" spans="1:12" ht="30.25" customHeight="1" x14ac:dyDescent="0.35">
      <c r="A55" s="98"/>
      <c r="B55" s="239"/>
      <c r="C55" s="252"/>
      <c r="D55" s="252"/>
      <c r="E55" s="101">
        <v>50</v>
      </c>
      <c r="F55" s="100" t="s">
        <v>162</v>
      </c>
      <c r="G55" s="99"/>
      <c r="H55" s="115">
        <f>Monthly_Consumption!AZ39</f>
        <v>3.0588079999999991</v>
      </c>
      <c r="I55" s="250"/>
      <c r="J55" s="241"/>
      <c r="K55" s="248"/>
      <c r="L55" s="248"/>
    </row>
    <row r="56" spans="1:12" ht="30.25" customHeight="1" x14ac:dyDescent="0.35">
      <c r="A56" s="98"/>
      <c r="B56" s="239"/>
      <c r="C56" s="252"/>
      <c r="D56" s="252"/>
      <c r="E56" s="101">
        <v>51</v>
      </c>
      <c r="F56" s="100" t="s">
        <v>163</v>
      </c>
      <c r="G56" s="99"/>
      <c r="H56" s="115">
        <f>Monthly_Consumption!BA39</f>
        <v>4.7117499999999968</v>
      </c>
      <c r="I56" s="250"/>
      <c r="J56" s="241"/>
      <c r="K56" s="248"/>
      <c r="L56" s="248"/>
    </row>
    <row r="57" spans="1:12" ht="30.25" customHeight="1" x14ac:dyDescent="0.35">
      <c r="A57" s="98"/>
      <c r="B57" s="239"/>
      <c r="C57" s="252"/>
      <c r="D57" s="252"/>
      <c r="E57" s="101">
        <v>52</v>
      </c>
      <c r="F57" s="100" t="s">
        <v>164</v>
      </c>
      <c r="G57" s="99"/>
      <c r="H57" s="115">
        <f>Monthly_Consumption!BB39</f>
        <v>3.5413060000000041</v>
      </c>
      <c r="I57" s="250"/>
      <c r="J57" s="241"/>
      <c r="K57" s="248"/>
      <c r="L57" s="248"/>
    </row>
    <row r="58" spans="1:12" ht="30.25" customHeight="1" x14ac:dyDescent="0.35">
      <c r="A58" s="98"/>
      <c r="B58" s="239"/>
      <c r="C58" s="252"/>
      <c r="D58" s="252"/>
      <c r="E58" s="101">
        <v>53</v>
      </c>
      <c r="F58" s="100" t="s">
        <v>165</v>
      </c>
      <c r="G58" s="99"/>
      <c r="H58" s="115">
        <f>Monthly_Consumption!BC39</f>
        <v>1.6591389999999999</v>
      </c>
      <c r="I58" s="250"/>
      <c r="J58" s="241"/>
      <c r="K58" s="248"/>
      <c r="L58" s="248"/>
    </row>
    <row r="59" spans="1:12" ht="30.25" customHeight="1" x14ac:dyDescent="0.35">
      <c r="A59" s="98"/>
      <c r="B59" s="239"/>
      <c r="C59" s="252"/>
      <c r="D59" s="252"/>
      <c r="E59" s="101">
        <v>54</v>
      </c>
      <c r="F59" s="100" t="s">
        <v>166</v>
      </c>
      <c r="G59" s="99"/>
      <c r="H59" s="115">
        <f>Monthly_Consumption!BD39</f>
        <v>2.9231884999999989</v>
      </c>
      <c r="I59" s="250"/>
      <c r="J59" s="241"/>
      <c r="K59" s="248"/>
      <c r="L59" s="248"/>
    </row>
    <row r="60" spans="1:12" ht="30.25" customHeight="1" x14ac:dyDescent="0.35">
      <c r="A60" s="98"/>
      <c r="B60" s="239"/>
      <c r="C60" s="252"/>
      <c r="D60" s="252"/>
      <c r="E60" s="101">
        <v>55</v>
      </c>
      <c r="F60" s="100" t="s">
        <v>167</v>
      </c>
      <c r="G60" s="99"/>
      <c r="H60" s="115">
        <f>Monthly_Consumption!BE39</f>
        <v>0</v>
      </c>
      <c r="I60" s="250"/>
      <c r="J60" s="241"/>
      <c r="K60" s="248"/>
      <c r="L60" s="248"/>
    </row>
    <row r="61" spans="1:12" ht="30.25" customHeight="1" x14ac:dyDescent="0.35">
      <c r="A61" s="98"/>
      <c r="B61" s="239"/>
      <c r="C61" s="252"/>
      <c r="D61" s="252"/>
      <c r="E61" s="101">
        <v>56</v>
      </c>
      <c r="F61" s="104" t="s">
        <v>168</v>
      </c>
      <c r="G61" s="99"/>
      <c r="H61" s="115">
        <f>Monthly_Consumption!BF39</f>
        <v>0.53561274999999975</v>
      </c>
      <c r="I61" s="250"/>
      <c r="J61" s="241"/>
      <c r="K61" s="248"/>
      <c r="L61" s="248"/>
    </row>
    <row r="62" spans="1:12" ht="30.25" customHeight="1" x14ac:dyDescent="0.35">
      <c r="A62" s="98"/>
      <c r="B62" s="239"/>
      <c r="C62" s="252" t="s">
        <v>425</v>
      </c>
      <c r="D62" s="252"/>
      <c r="E62" s="101">
        <v>57</v>
      </c>
      <c r="F62" s="100" t="s">
        <v>97</v>
      </c>
      <c r="G62" s="99"/>
      <c r="H62" s="115">
        <f>Monthly_Consumption!BG39</f>
        <v>51.397759999999998</v>
      </c>
      <c r="I62" s="241">
        <f>SUM(H63:H71)</f>
        <v>47.097595796874984</v>
      </c>
      <c r="J62" s="241"/>
      <c r="K62" s="242">
        <f>I62/J6</f>
        <v>5.8794564289241333E-2</v>
      </c>
      <c r="L62" s="243"/>
    </row>
    <row r="63" spans="1:12" ht="30.25" customHeight="1" x14ac:dyDescent="0.35">
      <c r="A63" s="98"/>
      <c r="B63" s="239"/>
      <c r="C63" s="252"/>
      <c r="D63" s="252"/>
      <c r="E63" s="101">
        <v>58</v>
      </c>
      <c r="F63" s="100" t="s">
        <v>493</v>
      </c>
      <c r="G63" s="99"/>
      <c r="H63" s="115">
        <f>Monthly_Consumption!BH39</f>
        <v>0</v>
      </c>
      <c r="I63" s="241"/>
      <c r="J63" s="241"/>
      <c r="K63" s="244"/>
      <c r="L63" s="245"/>
    </row>
    <row r="64" spans="1:12" ht="30.25" customHeight="1" x14ac:dyDescent="0.35">
      <c r="A64" s="98"/>
      <c r="B64" s="239"/>
      <c r="C64" s="252"/>
      <c r="D64" s="252"/>
      <c r="E64" s="101">
        <v>59</v>
      </c>
      <c r="F64" s="100" t="s">
        <v>151</v>
      </c>
      <c r="G64" s="99"/>
      <c r="H64" s="115">
        <f>Monthly_Consumption!BI39</f>
        <v>1.0602035000000001</v>
      </c>
      <c r="I64" s="241"/>
      <c r="J64" s="241"/>
      <c r="K64" s="244"/>
      <c r="L64" s="245"/>
    </row>
    <row r="65" spans="1:12" ht="30.25" customHeight="1" x14ac:dyDescent="0.35">
      <c r="A65" s="98"/>
      <c r="B65" s="239"/>
      <c r="C65" s="252"/>
      <c r="D65" s="252"/>
      <c r="E65" s="101">
        <v>60</v>
      </c>
      <c r="F65" s="100" t="s">
        <v>24</v>
      </c>
      <c r="G65" s="99"/>
      <c r="H65" s="115">
        <f>Monthly_Consumption!BJ39</f>
        <v>0</v>
      </c>
      <c r="I65" s="241"/>
      <c r="J65" s="241"/>
      <c r="K65" s="244"/>
      <c r="L65" s="245"/>
    </row>
    <row r="66" spans="1:12" ht="30.25" customHeight="1" x14ac:dyDescent="0.35">
      <c r="A66" s="98"/>
      <c r="B66" s="239"/>
      <c r="C66" s="252"/>
      <c r="D66" s="252"/>
      <c r="E66" s="101">
        <v>61</v>
      </c>
      <c r="F66" s="100" t="s">
        <v>152</v>
      </c>
      <c r="G66" s="99"/>
      <c r="H66" s="115">
        <f>Monthly_Consumption!BK39</f>
        <v>8.6217362968750013</v>
      </c>
      <c r="I66" s="241"/>
      <c r="J66" s="241"/>
      <c r="K66" s="244"/>
      <c r="L66" s="245"/>
    </row>
    <row r="67" spans="1:12" ht="30.25" customHeight="1" x14ac:dyDescent="0.35">
      <c r="A67" s="98"/>
      <c r="B67" s="239"/>
      <c r="C67" s="252"/>
      <c r="D67" s="252"/>
      <c r="E67" s="101">
        <v>62</v>
      </c>
      <c r="F67" s="100" t="s">
        <v>153</v>
      </c>
      <c r="G67" s="99"/>
      <c r="H67" s="115">
        <f>Monthly_Consumption!BL39</f>
        <v>12.536623999999989</v>
      </c>
      <c r="I67" s="241"/>
      <c r="J67" s="241"/>
      <c r="K67" s="244"/>
      <c r="L67" s="245"/>
    </row>
    <row r="68" spans="1:12" ht="30.25" customHeight="1" x14ac:dyDescent="0.35">
      <c r="A68" s="98"/>
      <c r="B68" s="239"/>
      <c r="C68" s="252"/>
      <c r="D68" s="252"/>
      <c r="E68" s="101">
        <v>63</v>
      </c>
      <c r="F68" s="100" t="s">
        <v>154</v>
      </c>
      <c r="G68" s="99"/>
      <c r="H68" s="115">
        <f>Monthly_Consumption!BM39</f>
        <v>10.019431999999995</v>
      </c>
      <c r="I68" s="241"/>
      <c r="J68" s="241"/>
      <c r="K68" s="244"/>
      <c r="L68" s="245"/>
    </row>
    <row r="69" spans="1:12" ht="30.25" customHeight="1" x14ac:dyDescent="0.35">
      <c r="A69" s="98"/>
      <c r="B69" s="239"/>
      <c r="C69" s="252"/>
      <c r="D69" s="252"/>
      <c r="E69" s="101">
        <v>64</v>
      </c>
      <c r="F69" s="100" t="s">
        <v>155</v>
      </c>
      <c r="G69" s="99"/>
      <c r="H69" s="115">
        <f>Monthly_Consumption!BN39</f>
        <v>4.0864899999999995</v>
      </c>
      <c r="I69" s="241"/>
      <c r="J69" s="241"/>
      <c r="K69" s="244"/>
      <c r="L69" s="245"/>
    </row>
    <row r="70" spans="1:12" ht="30.25" customHeight="1" x14ac:dyDescent="0.35">
      <c r="A70" s="98"/>
      <c r="B70" s="239"/>
      <c r="C70" s="252"/>
      <c r="D70" s="252"/>
      <c r="E70" s="101">
        <v>65</v>
      </c>
      <c r="F70" s="100" t="s">
        <v>494</v>
      </c>
      <c r="G70" s="99"/>
      <c r="H70" s="115">
        <f>Monthly_Consumption!BO39</f>
        <v>2.4404579999999996</v>
      </c>
      <c r="I70" s="241"/>
      <c r="J70" s="241"/>
      <c r="K70" s="244"/>
      <c r="L70" s="245"/>
    </row>
    <row r="71" spans="1:12" ht="30.25" customHeight="1" x14ac:dyDescent="0.35">
      <c r="A71" s="98"/>
      <c r="B71" s="240"/>
      <c r="C71" s="252"/>
      <c r="D71" s="252"/>
      <c r="E71" s="101">
        <v>66</v>
      </c>
      <c r="F71" s="100" t="s">
        <v>156</v>
      </c>
      <c r="G71" s="99"/>
      <c r="H71" s="115">
        <f>Monthly_Consumption!BP39</f>
        <v>8.3326520000000048</v>
      </c>
      <c r="I71" s="241"/>
      <c r="J71" s="241"/>
      <c r="K71" s="246"/>
      <c r="L71" s="247"/>
    </row>
    <row r="72" spans="1:12" ht="30.25" customHeight="1" x14ac:dyDescent="0.35">
      <c r="A72" s="98"/>
      <c r="B72" s="238" t="s">
        <v>495</v>
      </c>
      <c r="C72" s="252" t="s">
        <v>122</v>
      </c>
      <c r="D72" s="252"/>
      <c r="E72" s="101">
        <v>67</v>
      </c>
      <c r="F72" s="100" t="s">
        <v>169</v>
      </c>
      <c r="G72" s="99"/>
      <c r="H72" s="115">
        <f>Monthly_Consumption!BQ39</f>
        <v>135.83024</v>
      </c>
      <c r="I72" s="249">
        <f>SUM(H73:H92)</f>
        <v>129.3757763920288</v>
      </c>
      <c r="J72" s="241"/>
      <c r="K72" s="242">
        <f>I72/J6</f>
        <v>0.16150702119398547</v>
      </c>
      <c r="L72" s="243"/>
    </row>
    <row r="73" spans="1:12" ht="30.25" customHeight="1" x14ac:dyDescent="0.35">
      <c r="A73" s="98"/>
      <c r="B73" s="239"/>
      <c r="C73" s="252"/>
      <c r="D73" s="252"/>
      <c r="E73" s="101">
        <v>68</v>
      </c>
      <c r="F73" s="100" t="s">
        <v>170</v>
      </c>
      <c r="G73" s="99"/>
      <c r="H73" s="115">
        <f>Monthly_Consumption!BR39</f>
        <v>1.7098859999999994</v>
      </c>
      <c r="I73" s="250"/>
      <c r="J73" s="241"/>
      <c r="K73" s="244"/>
      <c r="L73" s="245"/>
    </row>
    <row r="74" spans="1:12" ht="30.25" customHeight="1" x14ac:dyDescent="0.35">
      <c r="A74" s="98"/>
      <c r="B74" s="239"/>
      <c r="C74" s="252"/>
      <c r="D74" s="252"/>
      <c r="E74" s="101">
        <v>69</v>
      </c>
      <c r="F74" s="100" t="s">
        <v>24</v>
      </c>
      <c r="G74" s="99"/>
      <c r="H74" s="115">
        <f>Monthly_Consumption!BS39</f>
        <v>0</v>
      </c>
      <c r="I74" s="250"/>
      <c r="J74" s="241"/>
      <c r="K74" s="244"/>
      <c r="L74" s="245"/>
    </row>
    <row r="75" spans="1:12" ht="30.25" customHeight="1" x14ac:dyDescent="0.35">
      <c r="A75" s="98"/>
      <c r="B75" s="239"/>
      <c r="C75" s="252"/>
      <c r="D75" s="252"/>
      <c r="E75" s="101">
        <v>70</v>
      </c>
      <c r="F75" s="100" t="s">
        <v>171</v>
      </c>
      <c r="G75" s="99"/>
      <c r="H75" s="115">
        <f>Monthly_Consumption!BT39</f>
        <v>1.400092000000001</v>
      </c>
      <c r="I75" s="250"/>
      <c r="J75" s="241"/>
      <c r="K75" s="244"/>
      <c r="L75" s="245"/>
    </row>
    <row r="76" spans="1:12" ht="30.25" customHeight="1" x14ac:dyDescent="0.35">
      <c r="A76" s="98"/>
      <c r="B76" s="239"/>
      <c r="C76" s="252"/>
      <c r="D76" s="252"/>
      <c r="E76" s="101">
        <v>71</v>
      </c>
      <c r="F76" s="100" t="s">
        <v>172</v>
      </c>
      <c r="G76" s="99"/>
      <c r="H76" s="115">
        <f>Monthly_Consumption!BU39</f>
        <v>0.86065799999999992</v>
      </c>
      <c r="I76" s="250"/>
      <c r="J76" s="241"/>
      <c r="K76" s="244"/>
      <c r="L76" s="245"/>
    </row>
    <row r="77" spans="1:12" ht="30.25" customHeight="1" x14ac:dyDescent="0.35">
      <c r="A77" s="98"/>
      <c r="B77" s="239"/>
      <c r="C77" s="252"/>
      <c r="D77" s="252"/>
      <c r="E77" s="101">
        <v>72</v>
      </c>
      <c r="F77" s="100" t="s">
        <v>173</v>
      </c>
      <c r="G77" s="99"/>
      <c r="H77" s="115">
        <f>Monthly_Consumption!BV39</f>
        <v>48.029248000000045</v>
      </c>
      <c r="I77" s="250"/>
      <c r="J77" s="241"/>
      <c r="K77" s="244"/>
      <c r="L77" s="245"/>
    </row>
    <row r="78" spans="1:12" ht="30.25" customHeight="1" x14ac:dyDescent="0.35">
      <c r="A78" s="98"/>
      <c r="B78" s="239"/>
      <c r="C78" s="252"/>
      <c r="D78" s="252"/>
      <c r="E78" s="101">
        <v>73</v>
      </c>
      <c r="F78" s="100" t="s">
        <v>24</v>
      </c>
      <c r="G78" s="99"/>
      <c r="H78" s="115">
        <f>Monthly_Consumption!BW39</f>
        <v>0</v>
      </c>
      <c r="I78" s="250"/>
      <c r="J78" s="241"/>
      <c r="K78" s="244"/>
      <c r="L78" s="245"/>
    </row>
    <row r="79" spans="1:12" ht="30.25" customHeight="1" x14ac:dyDescent="0.35">
      <c r="A79" s="98"/>
      <c r="B79" s="239"/>
      <c r="C79" s="252"/>
      <c r="D79" s="252"/>
      <c r="E79" s="101">
        <v>74</v>
      </c>
      <c r="F79" s="100" t="s">
        <v>174</v>
      </c>
      <c r="G79" s="99" t="s">
        <v>424</v>
      </c>
      <c r="H79" s="115">
        <f>Monthly_Consumption!BX39</f>
        <v>2.3367729999999995</v>
      </c>
      <c r="I79" s="250"/>
      <c r="J79" s="241"/>
      <c r="K79" s="244"/>
      <c r="L79" s="245"/>
    </row>
    <row r="80" spans="1:12" ht="30.25" customHeight="1" x14ac:dyDescent="0.35">
      <c r="A80" s="98"/>
      <c r="B80" s="239"/>
      <c r="C80" s="252"/>
      <c r="D80" s="252"/>
      <c r="E80" s="101">
        <v>75</v>
      </c>
      <c r="F80" s="100" t="s">
        <v>175</v>
      </c>
      <c r="G80" s="99" t="s">
        <v>423</v>
      </c>
      <c r="H80" s="115">
        <f>Monthly_Consumption!BY39</f>
        <v>1.2849999999975381E-4</v>
      </c>
      <c r="I80" s="250"/>
      <c r="J80" s="241"/>
      <c r="K80" s="244"/>
      <c r="L80" s="245"/>
    </row>
    <row r="81" spans="1:12" ht="30.25" customHeight="1" x14ac:dyDescent="0.35">
      <c r="A81" s="98"/>
      <c r="B81" s="239"/>
      <c r="C81" s="252"/>
      <c r="D81" s="252"/>
      <c r="E81" s="101">
        <v>76</v>
      </c>
      <c r="F81" s="100" t="s">
        <v>24</v>
      </c>
      <c r="G81" s="99" t="s">
        <v>422</v>
      </c>
      <c r="H81" s="115">
        <f>Monthly_Consumption!BZ39</f>
        <v>0</v>
      </c>
      <c r="I81" s="250"/>
      <c r="J81" s="241"/>
      <c r="K81" s="244"/>
      <c r="L81" s="245"/>
    </row>
    <row r="82" spans="1:12" ht="30.25" customHeight="1" x14ac:dyDescent="0.35">
      <c r="A82" s="98"/>
      <c r="B82" s="239"/>
      <c r="C82" s="252"/>
      <c r="D82" s="252"/>
      <c r="E82" s="101">
        <v>77</v>
      </c>
      <c r="F82" s="100" t="s">
        <v>24</v>
      </c>
      <c r="G82" s="99" t="s">
        <v>421</v>
      </c>
      <c r="H82" s="115">
        <f>Monthly_Consumption!CA39</f>
        <v>0</v>
      </c>
      <c r="I82" s="250"/>
      <c r="J82" s="241"/>
      <c r="K82" s="244"/>
      <c r="L82" s="245"/>
    </row>
    <row r="83" spans="1:12" ht="30.25" customHeight="1" x14ac:dyDescent="0.35">
      <c r="A83" s="98"/>
      <c r="B83" s="239"/>
      <c r="C83" s="252"/>
      <c r="D83" s="252"/>
      <c r="E83" s="101">
        <v>78</v>
      </c>
      <c r="F83" s="100" t="s">
        <v>24</v>
      </c>
      <c r="G83" s="99" t="s">
        <v>420</v>
      </c>
      <c r="H83" s="115">
        <f>Monthly_Consumption!CB39</f>
        <v>0</v>
      </c>
      <c r="I83" s="250"/>
      <c r="J83" s="241"/>
      <c r="K83" s="244"/>
      <c r="L83" s="245"/>
    </row>
    <row r="84" spans="1:12" ht="30.25" customHeight="1" x14ac:dyDescent="0.35">
      <c r="A84" s="98"/>
      <c r="B84" s="239"/>
      <c r="C84" s="252"/>
      <c r="D84" s="252"/>
      <c r="E84" s="101">
        <v>79</v>
      </c>
      <c r="F84" s="100" t="s">
        <v>176</v>
      </c>
      <c r="G84" s="99"/>
      <c r="H84" s="115">
        <f>Monthly_Consumption!CC39</f>
        <v>0.1036623920288087</v>
      </c>
      <c r="I84" s="250"/>
      <c r="J84" s="241"/>
      <c r="K84" s="244"/>
      <c r="L84" s="245"/>
    </row>
    <row r="85" spans="1:12" ht="30.25" customHeight="1" x14ac:dyDescent="0.35">
      <c r="A85" s="98"/>
      <c r="B85" s="239"/>
      <c r="C85" s="252"/>
      <c r="D85" s="252"/>
      <c r="E85" s="101">
        <v>80</v>
      </c>
      <c r="F85" s="100" t="s">
        <v>167</v>
      </c>
      <c r="G85" s="99"/>
      <c r="H85" s="115">
        <f>Monthly_Consumption!CD39</f>
        <v>4.5285519999999959</v>
      </c>
      <c r="I85" s="250"/>
      <c r="J85" s="241"/>
      <c r="K85" s="244"/>
      <c r="L85" s="245"/>
    </row>
    <row r="86" spans="1:12" ht="30.25" customHeight="1" x14ac:dyDescent="0.35">
      <c r="A86" s="98"/>
      <c r="B86" s="239"/>
      <c r="C86" s="252"/>
      <c r="D86" s="252"/>
      <c r="E86" s="101">
        <v>81</v>
      </c>
      <c r="F86" s="100" t="s">
        <v>24</v>
      </c>
      <c r="G86" s="99"/>
      <c r="H86" s="115">
        <f>Monthly_Consumption!CE39</f>
        <v>0</v>
      </c>
      <c r="I86" s="250"/>
      <c r="J86" s="241"/>
      <c r="K86" s="244"/>
      <c r="L86" s="245"/>
    </row>
    <row r="87" spans="1:12" ht="30.25" customHeight="1" x14ac:dyDescent="0.35">
      <c r="A87" s="98"/>
      <c r="B87" s="239"/>
      <c r="C87" s="252"/>
      <c r="D87" s="252"/>
      <c r="E87" s="101">
        <v>82</v>
      </c>
      <c r="F87" s="100" t="s">
        <v>177</v>
      </c>
      <c r="G87" s="99"/>
      <c r="H87" s="115">
        <f>Monthly_Consumption!CF39</f>
        <v>0.47568799999999983</v>
      </c>
      <c r="I87" s="250"/>
      <c r="J87" s="241"/>
      <c r="K87" s="244"/>
      <c r="L87" s="245"/>
    </row>
    <row r="88" spans="1:12" ht="30.25" customHeight="1" x14ac:dyDescent="0.35">
      <c r="A88" s="98"/>
      <c r="B88" s="239"/>
      <c r="C88" s="252"/>
      <c r="D88" s="252"/>
      <c r="E88" s="101">
        <v>83</v>
      </c>
      <c r="F88" s="100" t="s">
        <v>178</v>
      </c>
      <c r="G88" s="99" t="s">
        <v>419</v>
      </c>
      <c r="H88" s="115">
        <f>Monthly_Consumption!CG39</f>
        <v>0.54119400000000084</v>
      </c>
      <c r="I88" s="250"/>
      <c r="J88" s="241"/>
      <c r="K88" s="244"/>
      <c r="L88" s="245"/>
    </row>
    <row r="89" spans="1:12" ht="30.25" customHeight="1" x14ac:dyDescent="0.35">
      <c r="A89" s="98"/>
      <c r="B89" s="239"/>
      <c r="C89" s="252"/>
      <c r="D89" s="252"/>
      <c r="E89" s="101">
        <v>84</v>
      </c>
      <c r="F89" s="100" t="s">
        <v>179</v>
      </c>
      <c r="G89" s="99"/>
      <c r="H89" s="115">
        <f>Monthly_Consumption!CH39</f>
        <v>67.333167999999944</v>
      </c>
      <c r="I89" s="250"/>
      <c r="J89" s="241"/>
      <c r="K89" s="244"/>
      <c r="L89" s="245"/>
    </row>
    <row r="90" spans="1:12" ht="30.25" customHeight="1" x14ac:dyDescent="0.35">
      <c r="A90" s="98"/>
      <c r="B90" s="239"/>
      <c r="C90" s="252"/>
      <c r="D90" s="252"/>
      <c r="E90" s="101">
        <v>85</v>
      </c>
      <c r="F90" s="100" t="s">
        <v>180</v>
      </c>
      <c r="G90" s="99" t="s">
        <v>418</v>
      </c>
      <c r="H90" s="115">
        <f>Monthly_Consumption!CI39</f>
        <v>5.8973999999999187E-2</v>
      </c>
      <c r="I90" s="250"/>
      <c r="J90" s="241"/>
      <c r="K90" s="244"/>
      <c r="L90" s="245"/>
    </row>
    <row r="91" spans="1:12" ht="30.25" customHeight="1" x14ac:dyDescent="0.35">
      <c r="A91" s="98"/>
      <c r="B91" s="239"/>
      <c r="C91" s="252"/>
      <c r="D91" s="252"/>
      <c r="E91" s="101">
        <v>86</v>
      </c>
      <c r="F91" s="100" t="s">
        <v>181</v>
      </c>
      <c r="G91" s="99"/>
      <c r="H91" s="115">
        <f>Monthly_Consumption!CJ39</f>
        <v>1.9954485000000002</v>
      </c>
      <c r="I91" s="250"/>
      <c r="J91" s="241"/>
      <c r="K91" s="244"/>
      <c r="L91" s="245"/>
    </row>
    <row r="92" spans="1:12" ht="30.25" customHeight="1" x14ac:dyDescent="0.35">
      <c r="A92" s="98"/>
      <c r="B92" s="239"/>
      <c r="C92" s="252"/>
      <c r="D92" s="252"/>
      <c r="E92" s="101">
        <v>87</v>
      </c>
      <c r="F92" s="100" t="s">
        <v>182</v>
      </c>
      <c r="G92" s="99" t="s">
        <v>417</v>
      </c>
      <c r="H92" s="115">
        <f>Monthly_Consumption!CK39</f>
        <v>2.3040000000023064E-3</v>
      </c>
      <c r="I92" s="251"/>
      <c r="J92" s="241"/>
      <c r="K92" s="246"/>
      <c r="L92" s="247"/>
    </row>
    <row r="93" spans="1:12" ht="30.25" customHeight="1" x14ac:dyDescent="0.35">
      <c r="A93" s="98"/>
      <c r="B93" s="239"/>
      <c r="C93" s="252" t="s">
        <v>123</v>
      </c>
      <c r="D93" s="252"/>
      <c r="E93" s="101">
        <v>88</v>
      </c>
      <c r="F93" s="100" t="s">
        <v>98</v>
      </c>
      <c r="G93" s="99" t="s">
        <v>416</v>
      </c>
      <c r="H93" s="115">
        <f>Monthly_Consumption!CL39</f>
        <v>44.662335999999982</v>
      </c>
      <c r="I93" s="249">
        <f>SUM(H94:H118)</f>
        <v>43.840300937500018</v>
      </c>
      <c r="J93" s="241"/>
      <c r="K93" s="248">
        <f>I93/J6</f>
        <v>5.4728300846740012E-2</v>
      </c>
      <c r="L93" s="248"/>
    </row>
    <row r="94" spans="1:12" ht="30.25" customHeight="1" x14ac:dyDescent="0.35">
      <c r="A94" s="98"/>
      <c r="B94" s="239"/>
      <c r="C94" s="252"/>
      <c r="D94" s="252"/>
      <c r="E94" s="101">
        <v>89</v>
      </c>
      <c r="F94" s="100" t="s">
        <v>24</v>
      </c>
      <c r="G94" s="99" t="s">
        <v>415</v>
      </c>
      <c r="H94" s="115">
        <f>Monthly_Consumption!CM39</f>
        <v>0</v>
      </c>
      <c r="I94" s="250"/>
      <c r="J94" s="241"/>
      <c r="K94" s="248"/>
      <c r="L94" s="248"/>
    </row>
    <row r="95" spans="1:12" ht="30.25" customHeight="1" x14ac:dyDescent="0.35">
      <c r="A95" s="98"/>
      <c r="B95" s="239"/>
      <c r="C95" s="252"/>
      <c r="D95" s="252"/>
      <c r="E95" s="101">
        <v>90</v>
      </c>
      <c r="F95" s="100" t="s">
        <v>99</v>
      </c>
      <c r="G95" s="99" t="s">
        <v>414</v>
      </c>
      <c r="H95" s="115">
        <f>Monthly_Consumption!CN39</f>
        <v>8.3317330000000016</v>
      </c>
      <c r="I95" s="250"/>
      <c r="J95" s="241"/>
      <c r="K95" s="248"/>
      <c r="L95" s="248"/>
    </row>
    <row r="96" spans="1:12" ht="30.25" customHeight="1" x14ac:dyDescent="0.35">
      <c r="A96" s="98"/>
      <c r="B96" s="239"/>
      <c r="C96" s="252"/>
      <c r="D96" s="252"/>
      <c r="E96" s="101">
        <v>91</v>
      </c>
      <c r="F96" s="100" t="s">
        <v>183</v>
      </c>
      <c r="G96" s="99" t="s">
        <v>413</v>
      </c>
      <c r="H96" s="115">
        <f>Monthly_Consumption!CO39</f>
        <v>0</v>
      </c>
      <c r="I96" s="250"/>
      <c r="J96" s="241"/>
      <c r="K96" s="248"/>
      <c r="L96" s="248"/>
    </row>
    <row r="97" spans="1:12" ht="30.25" customHeight="1" x14ac:dyDescent="0.35">
      <c r="A97" s="98"/>
      <c r="B97" s="239"/>
      <c r="C97" s="252"/>
      <c r="D97" s="252"/>
      <c r="E97" s="101">
        <v>92</v>
      </c>
      <c r="F97" s="100" t="s">
        <v>100</v>
      </c>
      <c r="G97" s="99" t="s">
        <v>412</v>
      </c>
      <c r="H97" s="115">
        <f>Monthly_Consumption!CP39</f>
        <v>0</v>
      </c>
      <c r="I97" s="250"/>
      <c r="J97" s="241"/>
      <c r="K97" s="248"/>
      <c r="L97" s="248"/>
    </row>
    <row r="98" spans="1:12" ht="30.25" customHeight="1" x14ac:dyDescent="0.35">
      <c r="A98" s="98"/>
      <c r="B98" s="239"/>
      <c r="C98" s="252"/>
      <c r="D98" s="252"/>
      <c r="E98" s="101">
        <v>93</v>
      </c>
      <c r="F98" s="100" t="s">
        <v>184</v>
      </c>
      <c r="G98" s="99" t="s">
        <v>411</v>
      </c>
      <c r="H98" s="115">
        <f>Monthly_Consumption!CQ39</f>
        <v>0</v>
      </c>
      <c r="I98" s="250"/>
      <c r="J98" s="241"/>
      <c r="K98" s="248"/>
      <c r="L98" s="248"/>
    </row>
    <row r="99" spans="1:12" ht="30.25" customHeight="1" x14ac:dyDescent="0.35">
      <c r="A99" s="98"/>
      <c r="B99" s="239"/>
      <c r="C99" s="252"/>
      <c r="D99" s="252"/>
      <c r="E99" s="101">
        <v>94</v>
      </c>
      <c r="F99" s="100" t="s">
        <v>185</v>
      </c>
      <c r="G99" s="99"/>
      <c r="H99" s="115">
        <f>Monthly_Consumption!CR39</f>
        <v>0</v>
      </c>
      <c r="I99" s="250"/>
      <c r="J99" s="241"/>
      <c r="K99" s="248"/>
      <c r="L99" s="248"/>
    </row>
    <row r="100" spans="1:12" ht="30.25" customHeight="1" x14ac:dyDescent="0.35">
      <c r="A100" s="98"/>
      <c r="B100" s="239"/>
      <c r="C100" s="252"/>
      <c r="D100" s="252"/>
      <c r="E100" s="101">
        <v>95</v>
      </c>
      <c r="F100" s="100" t="s">
        <v>101</v>
      </c>
      <c r="G100" s="99"/>
      <c r="H100" s="115">
        <f>Monthly_Consumption!CS39</f>
        <v>5.2186679999999983</v>
      </c>
      <c r="I100" s="250"/>
      <c r="J100" s="241"/>
      <c r="K100" s="248"/>
      <c r="L100" s="248"/>
    </row>
    <row r="101" spans="1:12" ht="30.25" customHeight="1" x14ac:dyDescent="0.35">
      <c r="A101" s="98"/>
      <c r="B101" s="239"/>
      <c r="C101" s="252"/>
      <c r="D101" s="252"/>
      <c r="E101" s="101">
        <v>96</v>
      </c>
      <c r="F101" s="100" t="s">
        <v>186</v>
      </c>
      <c r="G101" s="99"/>
      <c r="H101" s="115">
        <f>Monthly_Consumption!CT39</f>
        <v>0</v>
      </c>
      <c r="I101" s="250"/>
      <c r="J101" s="241"/>
      <c r="K101" s="248"/>
      <c r="L101" s="248"/>
    </row>
    <row r="102" spans="1:12" ht="30.25" customHeight="1" x14ac:dyDescent="0.35">
      <c r="A102" s="98"/>
      <c r="B102" s="239"/>
      <c r="C102" s="252"/>
      <c r="D102" s="252"/>
      <c r="E102" s="101">
        <v>97</v>
      </c>
      <c r="F102" s="100" t="s">
        <v>187</v>
      </c>
      <c r="G102" s="99"/>
      <c r="H102" s="115">
        <f>Monthly_Consumption!CU39</f>
        <v>0</v>
      </c>
      <c r="I102" s="250"/>
      <c r="J102" s="241"/>
      <c r="K102" s="248"/>
      <c r="L102" s="248"/>
    </row>
    <row r="103" spans="1:12" ht="30.25" customHeight="1" x14ac:dyDescent="0.35">
      <c r="A103" s="98"/>
      <c r="B103" s="239"/>
      <c r="C103" s="252"/>
      <c r="D103" s="252"/>
      <c r="E103" s="101">
        <v>98</v>
      </c>
      <c r="F103" s="100" t="s">
        <v>188</v>
      </c>
      <c r="G103" s="99"/>
      <c r="H103" s="115">
        <f>Monthly_Consumption!CV39</f>
        <v>0</v>
      </c>
      <c r="I103" s="250"/>
      <c r="J103" s="241"/>
      <c r="K103" s="248"/>
      <c r="L103" s="248"/>
    </row>
    <row r="104" spans="1:12" ht="30.25" customHeight="1" x14ac:dyDescent="0.35">
      <c r="A104" s="98"/>
      <c r="B104" s="239"/>
      <c r="C104" s="252"/>
      <c r="D104" s="252"/>
      <c r="E104" s="101">
        <v>99</v>
      </c>
      <c r="F104" s="100" t="s">
        <v>189</v>
      </c>
      <c r="G104" s="99"/>
      <c r="H104" s="115">
        <f>Monthly_Consumption!CW39</f>
        <v>0</v>
      </c>
      <c r="I104" s="250"/>
      <c r="J104" s="241"/>
      <c r="K104" s="248"/>
      <c r="L104" s="248"/>
    </row>
    <row r="105" spans="1:12" ht="30.25" customHeight="1" x14ac:dyDescent="0.35">
      <c r="A105" s="98"/>
      <c r="B105" s="239"/>
      <c r="C105" s="252"/>
      <c r="D105" s="252"/>
      <c r="E105" s="101">
        <v>100</v>
      </c>
      <c r="F105" s="100" t="s">
        <v>190</v>
      </c>
      <c r="G105" s="99"/>
      <c r="H105" s="115">
        <f>Monthly_Consumption!CX39</f>
        <v>6.8399999999990701E-4</v>
      </c>
      <c r="I105" s="250"/>
      <c r="J105" s="241"/>
      <c r="K105" s="248"/>
      <c r="L105" s="248"/>
    </row>
    <row r="106" spans="1:12" ht="30.25" customHeight="1" x14ac:dyDescent="0.35">
      <c r="A106" s="98"/>
      <c r="B106" s="239"/>
      <c r="C106" s="252"/>
      <c r="D106" s="252"/>
      <c r="E106" s="101">
        <v>101</v>
      </c>
      <c r="F106" s="100" t="s">
        <v>102</v>
      </c>
      <c r="G106" s="99"/>
      <c r="H106" s="115">
        <f>Monthly_Consumption!CY39</f>
        <v>20.076736000000022</v>
      </c>
      <c r="I106" s="250"/>
      <c r="J106" s="241"/>
      <c r="K106" s="248"/>
      <c r="L106" s="248"/>
    </row>
    <row r="107" spans="1:12" ht="30.25" customHeight="1" x14ac:dyDescent="0.35">
      <c r="A107" s="98"/>
      <c r="B107" s="239"/>
      <c r="C107" s="252"/>
      <c r="D107" s="252"/>
      <c r="E107" s="101">
        <v>102</v>
      </c>
      <c r="F107" s="100" t="s">
        <v>103</v>
      </c>
      <c r="G107" s="99" t="s">
        <v>410</v>
      </c>
      <c r="H107" s="115">
        <f>Monthly_Consumption!CZ39</f>
        <v>6.7434576874999967</v>
      </c>
      <c r="I107" s="250"/>
      <c r="J107" s="241"/>
      <c r="K107" s="248"/>
      <c r="L107" s="248"/>
    </row>
    <row r="108" spans="1:12" ht="30.25" customHeight="1" x14ac:dyDescent="0.35">
      <c r="A108" s="98"/>
      <c r="B108" s="239"/>
      <c r="C108" s="252"/>
      <c r="D108" s="252"/>
      <c r="E108" s="101">
        <v>103</v>
      </c>
      <c r="F108" s="100" t="s">
        <v>191</v>
      </c>
      <c r="G108" s="99" t="s">
        <v>409</v>
      </c>
      <c r="H108" s="115">
        <f>Monthly_Consumption!DA39</f>
        <v>0</v>
      </c>
      <c r="I108" s="250"/>
      <c r="J108" s="241"/>
      <c r="K108" s="248"/>
      <c r="L108" s="248"/>
    </row>
    <row r="109" spans="1:12" ht="30.25" customHeight="1" x14ac:dyDescent="0.35">
      <c r="A109" s="98"/>
      <c r="B109" s="239"/>
      <c r="C109" s="252"/>
      <c r="D109" s="252"/>
      <c r="E109" s="101">
        <v>104</v>
      </c>
      <c r="F109" s="100" t="s">
        <v>192</v>
      </c>
      <c r="G109" s="99"/>
      <c r="H109" s="115">
        <f>Monthly_Consumption!DB39</f>
        <v>0</v>
      </c>
      <c r="I109" s="250"/>
      <c r="J109" s="241"/>
      <c r="K109" s="248"/>
      <c r="L109" s="248"/>
    </row>
    <row r="110" spans="1:12" ht="30.25" customHeight="1" x14ac:dyDescent="0.35">
      <c r="A110" s="98"/>
      <c r="B110" s="239"/>
      <c r="C110" s="252"/>
      <c r="D110" s="252"/>
      <c r="E110" s="101">
        <v>105</v>
      </c>
      <c r="F110" s="100" t="s">
        <v>24</v>
      </c>
      <c r="G110" s="99"/>
      <c r="H110" s="115">
        <f>Monthly_Consumption!DC39</f>
        <v>0</v>
      </c>
      <c r="I110" s="250"/>
      <c r="J110" s="241"/>
      <c r="K110" s="248"/>
      <c r="L110" s="248"/>
    </row>
    <row r="111" spans="1:12" ht="30.25" customHeight="1" x14ac:dyDescent="0.35">
      <c r="A111" s="98"/>
      <c r="B111" s="239"/>
      <c r="C111" s="252"/>
      <c r="D111" s="252"/>
      <c r="E111" s="101">
        <v>106</v>
      </c>
      <c r="F111" s="100" t="s">
        <v>24</v>
      </c>
      <c r="G111" s="99"/>
      <c r="H111" s="115">
        <f>Monthly_Consumption!DD39</f>
        <v>0</v>
      </c>
      <c r="I111" s="250"/>
      <c r="J111" s="241"/>
      <c r="K111" s="248"/>
      <c r="L111" s="248"/>
    </row>
    <row r="112" spans="1:12" ht="30.25" customHeight="1" x14ac:dyDescent="0.35">
      <c r="A112" s="98"/>
      <c r="B112" s="239"/>
      <c r="C112" s="252"/>
      <c r="D112" s="252"/>
      <c r="E112" s="101">
        <v>107</v>
      </c>
      <c r="F112" s="100" t="s">
        <v>104</v>
      </c>
      <c r="G112" s="99"/>
      <c r="H112" s="115">
        <f>Monthly_Consumption!DE39</f>
        <v>1.0956500000000009</v>
      </c>
      <c r="I112" s="250"/>
      <c r="J112" s="241"/>
      <c r="K112" s="248"/>
      <c r="L112" s="248"/>
    </row>
    <row r="113" spans="1:12" ht="30.25" customHeight="1" x14ac:dyDescent="0.35">
      <c r="A113" s="98"/>
      <c r="B113" s="239"/>
      <c r="C113" s="252"/>
      <c r="D113" s="252"/>
      <c r="E113" s="101">
        <v>108</v>
      </c>
      <c r="F113" s="100" t="s">
        <v>193</v>
      </c>
      <c r="G113" s="99"/>
      <c r="H113" s="115">
        <f>Monthly_Consumption!DF39</f>
        <v>0</v>
      </c>
      <c r="I113" s="250"/>
      <c r="J113" s="241"/>
      <c r="K113" s="248"/>
      <c r="L113" s="248"/>
    </row>
    <row r="114" spans="1:12" ht="30.25" customHeight="1" x14ac:dyDescent="0.35">
      <c r="A114" s="98"/>
      <c r="B114" s="239"/>
      <c r="C114" s="252"/>
      <c r="D114" s="252"/>
      <c r="E114" s="101">
        <v>109</v>
      </c>
      <c r="F114" s="100" t="s">
        <v>105</v>
      </c>
      <c r="G114" s="99" t="s">
        <v>408</v>
      </c>
      <c r="H114" s="115">
        <f>Monthly_Consumption!DG39</f>
        <v>0.19730624999999979</v>
      </c>
      <c r="I114" s="250"/>
      <c r="J114" s="241"/>
      <c r="K114" s="248"/>
      <c r="L114" s="248"/>
    </row>
    <row r="115" spans="1:12" ht="30.25" customHeight="1" x14ac:dyDescent="0.35">
      <c r="A115" s="98"/>
      <c r="B115" s="239"/>
      <c r="C115" s="252"/>
      <c r="D115" s="252"/>
      <c r="E115" s="101">
        <v>110</v>
      </c>
      <c r="F115" s="100" t="s">
        <v>194</v>
      </c>
      <c r="G115" s="99" t="s">
        <v>407</v>
      </c>
      <c r="H115" s="115">
        <f>Monthly_Consumption!DH39</f>
        <v>0</v>
      </c>
      <c r="I115" s="250"/>
      <c r="J115" s="241"/>
      <c r="K115" s="248"/>
      <c r="L115" s="248"/>
    </row>
    <row r="116" spans="1:12" ht="30.25" customHeight="1" x14ac:dyDescent="0.35">
      <c r="A116" s="98"/>
      <c r="B116" s="239"/>
      <c r="C116" s="252"/>
      <c r="D116" s="252"/>
      <c r="E116" s="101">
        <v>111</v>
      </c>
      <c r="F116" s="100" t="s">
        <v>24</v>
      </c>
      <c r="G116" s="99" t="s">
        <v>406</v>
      </c>
      <c r="H116" s="115">
        <f>Monthly_Consumption!DI39</f>
        <v>0</v>
      </c>
      <c r="I116" s="250"/>
      <c r="J116" s="241"/>
      <c r="K116" s="248"/>
      <c r="L116" s="248"/>
    </row>
    <row r="117" spans="1:12" ht="30.25" customHeight="1" x14ac:dyDescent="0.35">
      <c r="A117" s="98"/>
      <c r="B117" s="239"/>
      <c r="C117" s="252"/>
      <c r="D117" s="252"/>
      <c r="E117" s="101">
        <v>112</v>
      </c>
      <c r="F117" s="100" t="s">
        <v>106</v>
      </c>
      <c r="G117" s="99"/>
      <c r="H117" s="115">
        <f>Monthly_Consumption!DJ39</f>
        <v>0</v>
      </c>
      <c r="I117" s="250"/>
      <c r="J117" s="241"/>
      <c r="K117" s="248"/>
      <c r="L117" s="248"/>
    </row>
    <row r="118" spans="1:12" ht="30.25" customHeight="1" x14ac:dyDescent="0.35">
      <c r="A118" s="98"/>
      <c r="B118" s="239"/>
      <c r="C118" s="252"/>
      <c r="D118" s="252"/>
      <c r="E118" s="101">
        <v>113</v>
      </c>
      <c r="F118" s="100" t="s">
        <v>182</v>
      </c>
      <c r="G118" s="99"/>
      <c r="H118" s="115">
        <f>Monthly_Consumption!DK39</f>
        <v>2.1760660000000001</v>
      </c>
      <c r="I118" s="250"/>
      <c r="J118" s="241"/>
      <c r="K118" s="248"/>
      <c r="L118" s="248"/>
    </row>
    <row r="119" spans="1:12" ht="30.25" customHeight="1" x14ac:dyDescent="0.35">
      <c r="A119" s="98"/>
      <c r="B119" s="239"/>
      <c r="C119" s="252" t="s">
        <v>124</v>
      </c>
      <c r="D119" s="252"/>
      <c r="E119" s="101">
        <v>114</v>
      </c>
      <c r="F119" s="100" t="s">
        <v>107</v>
      </c>
      <c r="G119" s="99"/>
      <c r="H119" s="115">
        <f>Monthly_Consumption!DL39</f>
        <v>126.3993599999999</v>
      </c>
      <c r="I119" s="241">
        <f>SUM(H120:H140)</f>
        <v>54.026853062499988</v>
      </c>
      <c r="J119" s="249"/>
      <c r="K119" s="242">
        <f>I119/J6</f>
        <v>6.7444743876699464E-2</v>
      </c>
      <c r="L119" s="243"/>
    </row>
    <row r="120" spans="1:12" ht="30.25" customHeight="1" x14ac:dyDescent="0.35">
      <c r="A120" s="98"/>
      <c r="B120" s="239"/>
      <c r="C120" s="252"/>
      <c r="D120" s="252"/>
      <c r="E120" s="101">
        <v>115</v>
      </c>
      <c r="F120" s="100" t="s">
        <v>195</v>
      </c>
      <c r="G120" s="99"/>
      <c r="H120" s="115">
        <f>Monthly_Consumption!DM39</f>
        <v>1.373051</v>
      </c>
      <c r="I120" s="241"/>
      <c r="J120" s="250"/>
      <c r="K120" s="244"/>
      <c r="L120" s="245"/>
    </row>
    <row r="121" spans="1:12" ht="30.25" customHeight="1" x14ac:dyDescent="0.35">
      <c r="A121" s="98"/>
      <c r="B121" s="239"/>
      <c r="C121" s="252"/>
      <c r="D121" s="252"/>
      <c r="E121" s="101">
        <v>116</v>
      </c>
      <c r="F121" s="100" t="s">
        <v>196</v>
      </c>
      <c r="G121" s="99"/>
      <c r="H121" s="115">
        <f>Monthly_Consumption!DN39</f>
        <v>18.860447999999998</v>
      </c>
      <c r="I121" s="241"/>
      <c r="J121" s="250"/>
      <c r="K121" s="244"/>
      <c r="L121" s="245"/>
    </row>
    <row r="122" spans="1:12" ht="30.25" customHeight="1" x14ac:dyDescent="0.35">
      <c r="A122" s="98"/>
      <c r="B122" s="239"/>
      <c r="C122" s="252"/>
      <c r="D122" s="252"/>
      <c r="E122" s="101">
        <v>117</v>
      </c>
      <c r="F122" s="100" t="s">
        <v>24</v>
      </c>
      <c r="G122" s="99"/>
      <c r="H122" s="115">
        <f>Monthly_Consumption!DO39</f>
        <v>0</v>
      </c>
      <c r="I122" s="241"/>
      <c r="J122" s="250"/>
      <c r="K122" s="244"/>
      <c r="L122" s="245"/>
    </row>
    <row r="123" spans="1:12" ht="30.25" customHeight="1" x14ac:dyDescent="0.35">
      <c r="A123" s="98"/>
      <c r="B123" s="239"/>
      <c r="C123" s="252"/>
      <c r="D123" s="252"/>
      <c r="E123" s="101">
        <v>118</v>
      </c>
      <c r="F123" s="100" t="s">
        <v>197</v>
      </c>
      <c r="G123" s="99"/>
      <c r="H123" s="115">
        <f>Monthly_Consumption!DP39</f>
        <v>0</v>
      </c>
      <c r="I123" s="241"/>
      <c r="J123" s="250"/>
      <c r="K123" s="244"/>
      <c r="L123" s="245"/>
    </row>
    <row r="124" spans="1:12" ht="30.25" customHeight="1" x14ac:dyDescent="0.35">
      <c r="A124" s="98"/>
      <c r="B124" s="239"/>
      <c r="C124" s="252"/>
      <c r="D124" s="252"/>
      <c r="E124" s="101">
        <v>119</v>
      </c>
      <c r="F124" s="100" t="s">
        <v>198</v>
      </c>
      <c r="G124" s="99"/>
      <c r="H124" s="115">
        <f>Monthly_Consumption!DQ39</f>
        <v>3.9197340000000005</v>
      </c>
      <c r="I124" s="241"/>
      <c r="J124" s="250"/>
      <c r="K124" s="244"/>
      <c r="L124" s="245"/>
    </row>
    <row r="125" spans="1:12" ht="30.25" customHeight="1" x14ac:dyDescent="0.35">
      <c r="A125" s="98"/>
      <c r="B125" s="239"/>
      <c r="C125" s="252"/>
      <c r="D125" s="252"/>
      <c r="E125" s="101">
        <v>120</v>
      </c>
      <c r="F125" s="100" t="s">
        <v>24</v>
      </c>
      <c r="G125" s="99"/>
      <c r="H125" s="115">
        <f>Monthly_Consumption!DR39</f>
        <v>0</v>
      </c>
      <c r="I125" s="241"/>
      <c r="J125" s="250"/>
      <c r="K125" s="244"/>
      <c r="L125" s="245"/>
    </row>
    <row r="126" spans="1:12" ht="30.25" customHeight="1" x14ac:dyDescent="0.35">
      <c r="A126" s="98"/>
      <c r="B126" s="239"/>
      <c r="C126" s="252"/>
      <c r="D126" s="252"/>
      <c r="E126" s="101">
        <v>121</v>
      </c>
      <c r="F126" s="100" t="s">
        <v>199</v>
      </c>
      <c r="G126" s="99"/>
      <c r="H126" s="115">
        <f>Monthly_Consumption!DS39</f>
        <v>3.9594960000000015</v>
      </c>
      <c r="I126" s="241"/>
      <c r="J126" s="250"/>
      <c r="K126" s="244"/>
      <c r="L126" s="245"/>
    </row>
    <row r="127" spans="1:12" ht="30.25" customHeight="1" x14ac:dyDescent="0.35">
      <c r="A127" s="98"/>
      <c r="B127" s="239"/>
      <c r="C127" s="252"/>
      <c r="D127" s="252"/>
      <c r="E127" s="101">
        <v>122</v>
      </c>
      <c r="F127" s="100" t="s">
        <v>24</v>
      </c>
      <c r="G127" s="99" t="s">
        <v>405</v>
      </c>
      <c r="H127" s="115">
        <f>Monthly_Consumption!DT39</f>
        <v>0</v>
      </c>
      <c r="I127" s="241"/>
      <c r="J127" s="250"/>
      <c r="K127" s="244"/>
      <c r="L127" s="245"/>
    </row>
    <row r="128" spans="1:12" ht="30.25" customHeight="1" x14ac:dyDescent="0.35">
      <c r="A128" s="98"/>
      <c r="B128" s="239"/>
      <c r="C128" s="252"/>
      <c r="D128" s="252"/>
      <c r="E128" s="101">
        <v>123</v>
      </c>
      <c r="F128" s="100" t="s">
        <v>200</v>
      </c>
      <c r="G128" s="99" t="s">
        <v>404</v>
      </c>
      <c r="H128" s="115">
        <f>Monthly_Consumption!DU39</f>
        <v>0.41698787500000012</v>
      </c>
      <c r="I128" s="241"/>
      <c r="J128" s="250"/>
      <c r="K128" s="244"/>
      <c r="L128" s="245"/>
    </row>
    <row r="129" spans="1:12" ht="30.25" customHeight="1" x14ac:dyDescent="0.35">
      <c r="A129" s="98"/>
      <c r="B129" s="239"/>
      <c r="C129" s="252"/>
      <c r="D129" s="252"/>
      <c r="E129" s="101">
        <v>124</v>
      </c>
      <c r="F129" s="100" t="s">
        <v>108</v>
      </c>
      <c r="G129" s="99" t="s">
        <v>403</v>
      </c>
      <c r="H129" s="115">
        <f>Monthly_Consumption!DV39</f>
        <v>1.0892920000000004</v>
      </c>
      <c r="I129" s="241"/>
      <c r="J129" s="250"/>
      <c r="K129" s="244"/>
      <c r="L129" s="245"/>
    </row>
    <row r="130" spans="1:12" ht="30.25" customHeight="1" x14ac:dyDescent="0.35">
      <c r="A130" s="98"/>
      <c r="B130" s="239"/>
      <c r="C130" s="252"/>
      <c r="D130" s="252"/>
      <c r="E130" s="101">
        <v>125</v>
      </c>
      <c r="F130" s="100" t="s">
        <v>201</v>
      </c>
      <c r="G130" s="99" t="s">
        <v>402</v>
      </c>
      <c r="H130" s="115">
        <f>Monthly_Consumption!DW39</f>
        <v>5.8000919999999994</v>
      </c>
      <c r="I130" s="241"/>
      <c r="J130" s="250"/>
      <c r="K130" s="244"/>
      <c r="L130" s="245"/>
    </row>
    <row r="131" spans="1:12" ht="30.25" customHeight="1" x14ac:dyDescent="0.35">
      <c r="A131" s="98"/>
      <c r="B131" s="239"/>
      <c r="C131" s="252"/>
      <c r="D131" s="252"/>
      <c r="E131" s="101">
        <v>126</v>
      </c>
      <c r="F131" s="100" t="s">
        <v>202</v>
      </c>
      <c r="G131" s="99"/>
      <c r="H131" s="115">
        <f>Monthly_Consumption!DX39</f>
        <v>0.43904499999999946</v>
      </c>
      <c r="I131" s="241"/>
      <c r="J131" s="250"/>
      <c r="K131" s="244"/>
      <c r="L131" s="245"/>
    </row>
    <row r="132" spans="1:12" ht="30.25" customHeight="1" x14ac:dyDescent="0.35">
      <c r="A132" s="98"/>
      <c r="B132" s="239"/>
      <c r="C132" s="252"/>
      <c r="D132" s="252"/>
      <c r="E132" s="101">
        <v>127</v>
      </c>
      <c r="F132" s="100" t="s">
        <v>109</v>
      </c>
      <c r="G132" s="99"/>
      <c r="H132" s="115">
        <f>Monthly_Consumption!DY39</f>
        <v>0.59332200000000024</v>
      </c>
      <c r="I132" s="241"/>
      <c r="J132" s="250"/>
      <c r="K132" s="244"/>
      <c r="L132" s="245"/>
    </row>
    <row r="133" spans="1:12" ht="30.25" customHeight="1" x14ac:dyDescent="0.35">
      <c r="A133" s="98"/>
      <c r="B133" s="239"/>
      <c r="C133" s="252"/>
      <c r="D133" s="252"/>
      <c r="E133" s="101">
        <v>128</v>
      </c>
      <c r="F133" s="100" t="s">
        <v>203</v>
      </c>
      <c r="G133" s="99"/>
      <c r="H133" s="115">
        <f>Monthly_Consumption!DZ39</f>
        <v>7.6017919999999961</v>
      </c>
      <c r="I133" s="241"/>
      <c r="J133" s="250"/>
      <c r="K133" s="244"/>
      <c r="L133" s="245"/>
    </row>
    <row r="134" spans="1:12" ht="30.25" customHeight="1" x14ac:dyDescent="0.35">
      <c r="A134" s="98"/>
      <c r="B134" s="239"/>
      <c r="C134" s="252"/>
      <c r="D134" s="252"/>
      <c r="E134" s="101">
        <v>129</v>
      </c>
      <c r="F134" s="100" t="s">
        <v>204</v>
      </c>
      <c r="G134" s="99"/>
      <c r="H134" s="115">
        <f>Monthly_Consumption!EA39</f>
        <v>3.1897740000000003</v>
      </c>
      <c r="I134" s="241"/>
      <c r="J134" s="250"/>
      <c r="K134" s="244"/>
      <c r="L134" s="245"/>
    </row>
    <row r="135" spans="1:12" ht="30.25" customHeight="1" x14ac:dyDescent="0.35">
      <c r="A135" s="98"/>
      <c r="B135" s="239"/>
      <c r="C135" s="252"/>
      <c r="D135" s="252"/>
      <c r="E135" s="101">
        <v>130</v>
      </c>
      <c r="F135" s="100" t="s">
        <v>205</v>
      </c>
      <c r="G135" s="99" t="s">
        <v>401</v>
      </c>
      <c r="H135" s="115">
        <f>Monthly_Consumption!EB39</f>
        <v>5.0983332499999943</v>
      </c>
      <c r="I135" s="241"/>
      <c r="J135" s="250"/>
      <c r="K135" s="244"/>
      <c r="L135" s="245"/>
    </row>
    <row r="136" spans="1:12" ht="30.25" customHeight="1" x14ac:dyDescent="0.35">
      <c r="A136" s="98"/>
      <c r="B136" s="239"/>
      <c r="C136" s="252"/>
      <c r="D136" s="252"/>
      <c r="E136" s="101">
        <v>131</v>
      </c>
      <c r="F136" s="100" t="s">
        <v>206</v>
      </c>
      <c r="G136" s="99" t="s">
        <v>400</v>
      </c>
      <c r="H136" s="115">
        <f>Monthly_Consumption!EC39</f>
        <v>0.83668543750000002</v>
      </c>
      <c r="I136" s="241"/>
      <c r="J136" s="250"/>
      <c r="K136" s="244"/>
      <c r="L136" s="245"/>
    </row>
    <row r="137" spans="1:12" ht="30.25" customHeight="1" x14ac:dyDescent="0.35">
      <c r="A137" s="98"/>
      <c r="B137" s="239"/>
      <c r="C137" s="252"/>
      <c r="D137" s="252"/>
      <c r="E137" s="101">
        <v>132</v>
      </c>
      <c r="F137" s="100" t="s">
        <v>207</v>
      </c>
      <c r="G137" s="99" t="s">
        <v>399</v>
      </c>
      <c r="H137" s="115">
        <f>Monthly_Consumption!ED39</f>
        <v>0</v>
      </c>
      <c r="I137" s="241"/>
      <c r="J137" s="250"/>
      <c r="K137" s="244"/>
      <c r="L137" s="245"/>
    </row>
    <row r="138" spans="1:12" ht="30.25" customHeight="1" x14ac:dyDescent="0.35">
      <c r="A138" s="98"/>
      <c r="B138" s="239"/>
      <c r="C138" s="252"/>
      <c r="D138" s="252"/>
      <c r="E138" s="101">
        <v>133</v>
      </c>
      <c r="F138" s="100" t="s">
        <v>208</v>
      </c>
      <c r="G138" s="99" t="s">
        <v>398</v>
      </c>
      <c r="H138" s="115">
        <f>Monthly_Consumption!EE39</f>
        <v>0</v>
      </c>
      <c r="I138" s="241"/>
      <c r="J138" s="250"/>
      <c r="K138" s="244"/>
      <c r="L138" s="245"/>
    </row>
    <row r="139" spans="1:12" ht="30.25" customHeight="1" x14ac:dyDescent="0.35">
      <c r="A139" s="98"/>
      <c r="B139" s="239"/>
      <c r="C139" s="252"/>
      <c r="D139" s="252"/>
      <c r="E139" s="101">
        <v>134</v>
      </c>
      <c r="F139" s="100" t="s">
        <v>110</v>
      </c>
      <c r="G139" s="99" t="s">
        <v>397</v>
      </c>
      <c r="H139" s="115">
        <f>Monthly_Consumption!EF39</f>
        <v>0.42970249999999949</v>
      </c>
      <c r="I139" s="241"/>
      <c r="J139" s="250"/>
      <c r="K139" s="244"/>
      <c r="L139" s="245"/>
    </row>
    <row r="140" spans="1:12" ht="30.25" customHeight="1" x14ac:dyDescent="0.35">
      <c r="A140" s="98"/>
      <c r="B140" s="239"/>
      <c r="C140" s="252"/>
      <c r="D140" s="252"/>
      <c r="E140" s="101">
        <v>135</v>
      </c>
      <c r="F140" s="100" t="s">
        <v>182</v>
      </c>
      <c r="G140" s="99"/>
      <c r="H140" s="115">
        <f>Monthly_Consumption!EG39</f>
        <v>0.41909800000000019</v>
      </c>
      <c r="I140" s="241"/>
      <c r="J140" s="251"/>
      <c r="K140" s="246"/>
      <c r="L140" s="247"/>
    </row>
    <row r="141" spans="1:12" ht="30.25" customHeight="1" x14ac:dyDescent="0.35">
      <c r="A141" s="98"/>
      <c r="B141" s="239"/>
      <c r="C141" s="252" t="s">
        <v>125</v>
      </c>
      <c r="D141" s="252"/>
      <c r="E141" s="101">
        <v>136</v>
      </c>
      <c r="F141" s="100" t="s">
        <v>111</v>
      </c>
      <c r="G141" s="99"/>
      <c r="H141" s="115">
        <f>Monthly_Consumption!EH39</f>
        <v>110.19871999999999</v>
      </c>
      <c r="I141" s="249">
        <f>SUM(H142:H163)</f>
        <v>113.43514461914063</v>
      </c>
      <c r="J141" s="249"/>
      <c r="K141" s="242">
        <f>I141/J6</f>
        <v>0.14160743855659777</v>
      </c>
      <c r="L141" s="243"/>
    </row>
    <row r="142" spans="1:12" ht="30.25" customHeight="1" x14ac:dyDescent="0.35">
      <c r="A142" s="98"/>
      <c r="B142" s="239"/>
      <c r="C142" s="252"/>
      <c r="D142" s="252"/>
      <c r="E142" s="101">
        <v>137</v>
      </c>
      <c r="F142" s="100" t="s">
        <v>209</v>
      </c>
      <c r="G142" s="99" t="s">
        <v>396</v>
      </c>
      <c r="H142" s="115">
        <f>Monthly_Consumption!EI39</f>
        <v>0</v>
      </c>
      <c r="I142" s="250"/>
      <c r="J142" s="250"/>
      <c r="K142" s="244"/>
      <c r="L142" s="245"/>
    </row>
    <row r="143" spans="1:12" ht="30.25" customHeight="1" x14ac:dyDescent="0.35">
      <c r="A143" s="98"/>
      <c r="B143" s="239"/>
      <c r="C143" s="252"/>
      <c r="D143" s="252"/>
      <c r="E143" s="101">
        <v>138</v>
      </c>
      <c r="F143" s="100" t="s">
        <v>210</v>
      </c>
      <c r="G143" s="99" t="s">
        <v>395</v>
      </c>
      <c r="H143" s="115">
        <f>Monthly_Consumption!EJ39</f>
        <v>1.7865940000000009</v>
      </c>
      <c r="I143" s="250"/>
      <c r="J143" s="250"/>
      <c r="K143" s="244"/>
      <c r="L143" s="245"/>
    </row>
    <row r="144" spans="1:12" ht="30.25" customHeight="1" x14ac:dyDescent="0.35">
      <c r="A144" s="98"/>
      <c r="B144" s="239"/>
      <c r="C144" s="252"/>
      <c r="D144" s="252"/>
      <c r="E144" s="101">
        <v>139</v>
      </c>
      <c r="F144" s="100" t="s">
        <v>211</v>
      </c>
      <c r="G144" s="99" t="s">
        <v>394</v>
      </c>
      <c r="H144" s="115">
        <f>Monthly_Consumption!EK39</f>
        <v>0.49615290039062465</v>
      </c>
      <c r="I144" s="250"/>
      <c r="J144" s="250"/>
      <c r="K144" s="244"/>
      <c r="L144" s="245"/>
    </row>
    <row r="145" spans="1:18" ht="30.25" customHeight="1" x14ac:dyDescent="0.35">
      <c r="A145" s="98"/>
      <c r="B145" s="239"/>
      <c r="C145" s="252"/>
      <c r="D145" s="252"/>
      <c r="E145" s="101">
        <v>140</v>
      </c>
      <c r="F145" s="100" t="s">
        <v>212</v>
      </c>
      <c r="G145" s="99"/>
      <c r="H145" s="115">
        <f>Monthly_Consumption!EL39</f>
        <v>0.9594290000000002</v>
      </c>
      <c r="I145" s="250"/>
      <c r="J145" s="250"/>
      <c r="K145" s="244"/>
      <c r="L145" s="245"/>
    </row>
    <row r="146" spans="1:18" ht="30.25" customHeight="1" x14ac:dyDescent="0.35">
      <c r="A146" s="98"/>
      <c r="B146" s="239"/>
      <c r="C146" s="252"/>
      <c r="D146" s="252"/>
      <c r="E146" s="101">
        <v>141</v>
      </c>
      <c r="F146" s="100" t="s">
        <v>112</v>
      </c>
      <c r="G146" s="99"/>
      <c r="H146" s="115">
        <f>Monthly_Consumption!EM39</f>
        <v>3.6614624999999998E-2</v>
      </c>
      <c r="I146" s="250"/>
      <c r="J146" s="250"/>
      <c r="K146" s="244"/>
      <c r="L146" s="245"/>
    </row>
    <row r="147" spans="1:18" ht="30.25" customHeight="1" x14ac:dyDescent="0.35">
      <c r="A147" s="98"/>
      <c r="B147" s="239"/>
      <c r="C147" s="252"/>
      <c r="D147" s="252"/>
      <c r="E147" s="101">
        <v>142</v>
      </c>
      <c r="F147" s="100" t="s">
        <v>213</v>
      </c>
      <c r="G147" s="99" t="s">
        <v>393</v>
      </c>
      <c r="H147" s="115">
        <f>Monthly_Consumption!EN39</f>
        <v>15.749728000000006</v>
      </c>
      <c r="I147" s="250"/>
      <c r="J147" s="250"/>
      <c r="K147" s="244"/>
      <c r="L147" s="245"/>
    </row>
    <row r="148" spans="1:18" ht="30.25" customHeight="1" x14ac:dyDescent="0.35">
      <c r="A148" s="98"/>
      <c r="B148" s="239"/>
      <c r="C148" s="252"/>
      <c r="D148" s="252"/>
      <c r="E148" s="101">
        <v>143</v>
      </c>
      <c r="F148" s="100" t="s">
        <v>214</v>
      </c>
      <c r="G148" s="99" t="s">
        <v>392</v>
      </c>
      <c r="H148" s="115">
        <f>Monthly_Consumption!EO39</f>
        <v>1.0302495000000007</v>
      </c>
      <c r="I148" s="250"/>
      <c r="J148" s="250"/>
      <c r="K148" s="244"/>
      <c r="L148" s="245"/>
    </row>
    <row r="149" spans="1:18" ht="30.25" customHeight="1" x14ac:dyDescent="0.35">
      <c r="A149" s="98"/>
      <c r="B149" s="239"/>
      <c r="C149" s="252"/>
      <c r="D149" s="252"/>
      <c r="E149" s="101">
        <v>144</v>
      </c>
      <c r="F149" s="100" t="s">
        <v>215</v>
      </c>
      <c r="G149" s="99" t="s">
        <v>391</v>
      </c>
      <c r="H149" s="115">
        <f>Monthly_Consumption!EP39</f>
        <v>0</v>
      </c>
      <c r="I149" s="250"/>
      <c r="J149" s="250"/>
      <c r="K149" s="244"/>
      <c r="L149" s="245"/>
    </row>
    <row r="150" spans="1:18" ht="30.25" customHeight="1" x14ac:dyDescent="0.35">
      <c r="A150" s="98"/>
      <c r="B150" s="239"/>
      <c r="C150" s="252"/>
      <c r="D150" s="252"/>
      <c r="E150" s="101">
        <v>145</v>
      </c>
      <c r="F150" s="100" t="s">
        <v>216</v>
      </c>
      <c r="G150" s="99"/>
      <c r="H150" s="115">
        <f>Monthly_Consumption!EQ39</f>
        <v>0</v>
      </c>
      <c r="I150" s="250"/>
      <c r="J150" s="250"/>
      <c r="K150" s="244"/>
      <c r="L150" s="245"/>
      <c r="R150" s="102"/>
    </row>
    <row r="151" spans="1:18" ht="30.25" customHeight="1" x14ac:dyDescent="0.35">
      <c r="A151" s="98"/>
      <c r="B151" s="239"/>
      <c r="C151" s="252"/>
      <c r="D151" s="252"/>
      <c r="E151" s="101">
        <v>146</v>
      </c>
      <c r="F151" s="100" t="s">
        <v>217</v>
      </c>
      <c r="G151" s="99" t="s">
        <v>390</v>
      </c>
      <c r="H151" s="115">
        <f>Monthly_Consumption!ER39</f>
        <v>30.793696000000015</v>
      </c>
      <c r="I151" s="250"/>
      <c r="J151" s="250"/>
      <c r="K151" s="244"/>
      <c r="L151" s="245"/>
      <c r="N151" s="103"/>
      <c r="O151" s="103"/>
      <c r="P151" s="103"/>
      <c r="Q151" s="103"/>
      <c r="R151" s="102"/>
    </row>
    <row r="152" spans="1:18" ht="30.25" customHeight="1" x14ac:dyDescent="0.35">
      <c r="A152" s="98"/>
      <c r="B152" s="239"/>
      <c r="C152" s="252"/>
      <c r="D152" s="252"/>
      <c r="E152" s="101">
        <v>147</v>
      </c>
      <c r="F152" s="100" t="s">
        <v>218</v>
      </c>
      <c r="G152" s="99" t="s">
        <v>389</v>
      </c>
      <c r="H152" s="115">
        <f>Monthly_Consumption!ES39</f>
        <v>8.1405212812500007</v>
      </c>
      <c r="I152" s="250"/>
      <c r="J152" s="250"/>
      <c r="K152" s="244"/>
      <c r="L152" s="245"/>
      <c r="N152" s="103"/>
      <c r="O152" s="103"/>
      <c r="P152" s="103"/>
      <c r="Q152" s="103"/>
      <c r="R152" s="102"/>
    </row>
    <row r="153" spans="1:18" ht="30.25" customHeight="1" x14ac:dyDescent="0.35">
      <c r="A153" s="98"/>
      <c r="B153" s="239"/>
      <c r="C153" s="252"/>
      <c r="D153" s="252"/>
      <c r="E153" s="101">
        <v>148</v>
      </c>
      <c r="F153" s="100" t="s">
        <v>219</v>
      </c>
      <c r="G153" s="99"/>
      <c r="H153" s="115">
        <f>Monthly_Consumption!ET39</f>
        <v>0.33624500000000013</v>
      </c>
      <c r="I153" s="250"/>
      <c r="J153" s="250"/>
      <c r="K153" s="244"/>
      <c r="L153" s="245"/>
      <c r="N153" s="103"/>
      <c r="O153" s="103"/>
      <c r="P153" s="103"/>
      <c r="Q153" s="103"/>
      <c r="R153" s="102"/>
    </row>
    <row r="154" spans="1:18" ht="30.25" customHeight="1" x14ac:dyDescent="0.35">
      <c r="A154" s="98"/>
      <c r="B154" s="239"/>
      <c r="C154" s="252"/>
      <c r="D154" s="252"/>
      <c r="E154" s="101">
        <v>149</v>
      </c>
      <c r="F154" s="100" t="s">
        <v>220</v>
      </c>
      <c r="G154" s="99"/>
      <c r="H154" s="115">
        <f>Monthly_Consumption!EU39</f>
        <v>0.26302624999999985</v>
      </c>
      <c r="I154" s="250"/>
      <c r="J154" s="250"/>
      <c r="K154" s="244"/>
      <c r="L154" s="245"/>
      <c r="N154" s="103"/>
      <c r="O154" s="103"/>
      <c r="P154" s="103"/>
      <c r="Q154" s="103"/>
      <c r="R154" s="102"/>
    </row>
    <row r="155" spans="1:18" ht="30.25" customHeight="1" x14ac:dyDescent="0.35">
      <c r="A155" s="98"/>
      <c r="B155" s="239"/>
      <c r="C155" s="252"/>
      <c r="D155" s="252"/>
      <c r="E155" s="101">
        <v>150</v>
      </c>
      <c r="F155" s="100" t="s">
        <v>221</v>
      </c>
      <c r="G155" s="99"/>
      <c r="H155" s="115">
        <f>Monthly_Consumption!EV39</f>
        <v>0</v>
      </c>
      <c r="I155" s="250"/>
      <c r="J155" s="250"/>
      <c r="K155" s="244"/>
      <c r="L155" s="245"/>
      <c r="N155" s="103"/>
      <c r="O155" s="103"/>
      <c r="P155" s="103"/>
      <c r="Q155" s="103"/>
      <c r="R155" s="102"/>
    </row>
    <row r="156" spans="1:18" ht="30.25" customHeight="1" x14ac:dyDescent="0.35">
      <c r="A156" s="98"/>
      <c r="B156" s="239"/>
      <c r="C156" s="252"/>
      <c r="D156" s="252"/>
      <c r="E156" s="101">
        <v>151</v>
      </c>
      <c r="F156" s="100" t="s">
        <v>113</v>
      </c>
      <c r="G156" s="99"/>
      <c r="H156" s="115">
        <f>Monthly_Consumption!EW39</f>
        <v>4.1505515000000015</v>
      </c>
      <c r="I156" s="250"/>
      <c r="J156" s="250"/>
      <c r="K156" s="244"/>
      <c r="L156" s="245"/>
      <c r="N156" s="103"/>
      <c r="O156" s="103"/>
      <c r="P156" s="103"/>
      <c r="Q156" s="103"/>
    </row>
    <row r="157" spans="1:18" ht="30.25" customHeight="1" x14ac:dyDescent="0.35">
      <c r="A157" s="98"/>
      <c r="B157" s="239"/>
      <c r="C157" s="252"/>
      <c r="D157" s="252"/>
      <c r="E157" s="101">
        <v>152</v>
      </c>
      <c r="F157" s="100" t="s">
        <v>114</v>
      </c>
      <c r="G157" s="99" t="s">
        <v>388</v>
      </c>
      <c r="H157" s="115">
        <f>Monthly_Consumption!EX39</f>
        <v>0.17340406250000004</v>
      </c>
      <c r="I157" s="250"/>
      <c r="J157" s="250"/>
      <c r="K157" s="244"/>
      <c r="L157" s="245"/>
      <c r="R157" s="102"/>
    </row>
    <row r="158" spans="1:18" ht="30.25" customHeight="1" x14ac:dyDescent="0.35">
      <c r="A158" s="98"/>
      <c r="B158" s="239"/>
      <c r="C158" s="252"/>
      <c r="D158" s="252"/>
      <c r="E158" s="101">
        <v>153</v>
      </c>
      <c r="F158" s="100" t="s">
        <v>222</v>
      </c>
      <c r="G158" s="99" t="s">
        <v>387</v>
      </c>
      <c r="H158" s="115">
        <f>Monthly_Consumption!EY39</f>
        <v>2.6648439999999982</v>
      </c>
      <c r="I158" s="250"/>
      <c r="J158" s="250"/>
      <c r="K158" s="244"/>
      <c r="L158" s="245"/>
    </row>
    <row r="159" spans="1:18" ht="30.25" customHeight="1" x14ac:dyDescent="0.35">
      <c r="A159" s="98"/>
      <c r="B159" s="239"/>
      <c r="C159" s="252"/>
      <c r="D159" s="252"/>
      <c r="E159" s="101">
        <v>154</v>
      </c>
      <c r="F159" s="100" t="s">
        <v>223</v>
      </c>
      <c r="G159" s="99"/>
      <c r="H159" s="115">
        <f>Monthly_Consumption!EZ39</f>
        <v>0</v>
      </c>
      <c r="I159" s="250"/>
      <c r="J159" s="250"/>
      <c r="K159" s="244"/>
      <c r="L159" s="245"/>
    </row>
    <row r="160" spans="1:18" ht="30.25" customHeight="1" x14ac:dyDescent="0.35">
      <c r="A160" s="98"/>
      <c r="B160" s="239"/>
      <c r="C160" s="252"/>
      <c r="D160" s="252"/>
      <c r="E160" s="101">
        <v>155</v>
      </c>
      <c r="F160" s="100" t="s">
        <v>224</v>
      </c>
      <c r="G160" s="99"/>
      <c r="H160" s="115">
        <f>Monthly_Consumption!FA39</f>
        <v>28.787967999999982</v>
      </c>
      <c r="I160" s="250"/>
      <c r="J160" s="250"/>
      <c r="K160" s="244"/>
      <c r="L160" s="245"/>
    </row>
    <row r="161" spans="1:12" ht="30.25" customHeight="1" x14ac:dyDescent="0.35">
      <c r="A161" s="98"/>
      <c r="B161" s="239"/>
      <c r="C161" s="252"/>
      <c r="D161" s="252"/>
      <c r="E161" s="101">
        <v>156</v>
      </c>
      <c r="F161" s="100" t="s">
        <v>225</v>
      </c>
      <c r="G161" s="99"/>
      <c r="H161" s="115">
        <f>Monthly_Consumption!FB39</f>
        <v>14.077200000000005</v>
      </c>
      <c r="I161" s="250"/>
      <c r="J161" s="250"/>
      <c r="K161" s="244"/>
      <c r="L161" s="245"/>
    </row>
    <row r="162" spans="1:12" ht="30.25" customHeight="1" x14ac:dyDescent="0.35">
      <c r="A162" s="98"/>
      <c r="B162" s="239"/>
      <c r="C162" s="252"/>
      <c r="D162" s="252"/>
      <c r="E162" s="101">
        <v>157</v>
      </c>
      <c r="F162" s="100" t="s">
        <v>115</v>
      </c>
      <c r="G162" s="99"/>
      <c r="H162" s="115">
        <f>Monthly_Consumption!FC39</f>
        <v>0.6617940000000001</v>
      </c>
      <c r="I162" s="250"/>
      <c r="J162" s="250"/>
      <c r="K162" s="244"/>
      <c r="L162" s="245"/>
    </row>
    <row r="163" spans="1:12" ht="30.25" customHeight="1" x14ac:dyDescent="0.35">
      <c r="A163" s="98"/>
      <c r="B163" s="239"/>
      <c r="C163" s="252"/>
      <c r="D163" s="252"/>
      <c r="E163" s="101">
        <v>158</v>
      </c>
      <c r="F163" s="100" t="s">
        <v>182</v>
      </c>
      <c r="G163" s="99" t="s">
        <v>386</v>
      </c>
      <c r="H163" s="115">
        <f>Monthly_Consumption!FD39</f>
        <v>3.327126499999999</v>
      </c>
      <c r="I163" s="251"/>
      <c r="J163" s="251"/>
      <c r="K163" s="246"/>
      <c r="L163" s="247"/>
    </row>
    <row r="164" spans="1:12" ht="30.25" customHeight="1" x14ac:dyDescent="0.35">
      <c r="A164" s="98"/>
      <c r="B164" s="239"/>
      <c r="C164" s="252" t="s">
        <v>126</v>
      </c>
      <c r="D164" s="252"/>
      <c r="E164" s="101">
        <v>159</v>
      </c>
      <c r="F164" s="100" t="s">
        <v>97</v>
      </c>
      <c r="G164" s="99"/>
      <c r="H164" s="115">
        <f>Monthly_Consumption!FE39</f>
        <v>321.06004800000034</v>
      </c>
      <c r="I164" s="249">
        <f>SUM(H165:H176)</f>
        <v>321.35254600000007</v>
      </c>
      <c r="J164" s="249"/>
      <c r="K164" s="248">
        <f>I164/J6</f>
        <v>0.40116236520425586</v>
      </c>
      <c r="L164" s="248"/>
    </row>
    <row r="165" spans="1:12" ht="30.25" customHeight="1" x14ac:dyDescent="0.35">
      <c r="A165" s="98"/>
      <c r="B165" s="239"/>
      <c r="C165" s="252"/>
      <c r="D165" s="252"/>
      <c r="E165" s="101">
        <v>160</v>
      </c>
      <c r="F165" s="100" t="s">
        <v>116</v>
      </c>
      <c r="G165" s="99"/>
      <c r="H165" s="115">
        <f>Monthly_Consumption!FF39</f>
        <v>0</v>
      </c>
      <c r="I165" s="250"/>
      <c r="J165" s="250"/>
      <c r="K165" s="248"/>
      <c r="L165" s="248"/>
    </row>
    <row r="166" spans="1:12" ht="30.25" customHeight="1" x14ac:dyDescent="0.35">
      <c r="A166" s="98"/>
      <c r="B166" s="239"/>
      <c r="C166" s="252"/>
      <c r="D166" s="252"/>
      <c r="E166" s="101">
        <v>161</v>
      </c>
      <c r="F166" s="100" t="s">
        <v>226</v>
      </c>
      <c r="G166" s="99"/>
      <c r="H166" s="115">
        <f>Monthly_Consumption!FG39</f>
        <v>13.465407999999909</v>
      </c>
      <c r="I166" s="250"/>
      <c r="J166" s="250"/>
      <c r="K166" s="248"/>
      <c r="L166" s="248"/>
    </row>
    <row r="167" spans="1:12" ht="30.25" customHeight="1" x14ac:dyDescent="0.35">
      <c r="A167" s="98"/>
      <c r="B167" s="239"/>
      <c r="C167" s="252"/>
      <c r="D167" s="252"/>
      <c r="E167" s="101">
        <v>162</v>
      </c>
      <c r="F167" s="100" t="s">
        <v>227</v>
      </c>
      <c r="G167" s="99"/>
      <c r="H167" s="115">
        <f>Monthly_Consumption!FH39</f>
        <v>18.896384000000015</v>
      </c>
      <c r="I167" s="250"/>
      <c r="J167" s="250"/>
      <c r="K167" s="248"/>
      <c r="L167" s="248"/>
    </row>
    <row r="168" spans="1:12" ht="30.25" customHeight="1" x14ac:dyDescent="0.35">
      <c r="A168" s="98"/>
      <c r="B168" s="239"/>
      <c r="C168" s="252"/>
      <c r="D168" s="252"/>
      <c r="E168" s="101">
        <v>163</v>
      </c>
      <c r="F168" s="100" t="s">
        <v>228</v>
      </c>
      <c r="G168" s="99"/>
      <c r="H168" s="115">
        <f>Monthly_Consumption!FI39</f>
        <v>1.283456000000001</v>
      </c>
      <c r="I168" s="250"/>
      <c r="J168" s="250"/>
      <c r="K168" s="248"/>
      <c r="L168" s="248"/>
    </row>
    <row r="169" spans="1:12" ht="30.25" customHeight="1" x14ac:dyDescent="0.35">
      <c r="A169" s="98"/>
      <c r="B169" s="239"/>
      <c r="C169" s="252"/>
      <c r="D169" s="252"/>
      <c r="E169" s="101">
        <v>164</v>
      </c>
      <c r="F169" s="100" t="s">
        <v>117</v>
      </c>
      <c r="G169" s="99"/>
      <c r="H169" s="115">
        <f>Monthly_Consumption!FJ39</f>
        <v>0</v>
      </c>
      <c r="I169" s="250"/>
      <c r="J169" s="250"/>
      <c r="K169" s="248"/>
      <c r="L169" s="248"/>
    </row>
    <row r="170" spans="1:12" ht="30.25" customHeight="1" x14ac:dyDescent="0.35">
      <c r="A170" s="98"/>
      <c r="B170" s="239"/>
      <c r="C170" s="252"/>
      <c r="D170" s="252"/>
      <c r="E170" s="101">
        <v>165</v>
      </c>
      <c r="F170" s="100" t="s">
        <v>118</v>
      </c>
      <c r="G170" s="99"/>
      <c r="H170" s="115">
        <f>Monthly_Consumption!FK39</f>
        <v>48.869375999999882</v>
      </c>
      <c r="I170" s="250"/>
      <c r="J170" s="250"/>
      <c r="K170" s="248"/>
      <c r="L170" s="248"/>
    </row>
    <row r="171" spans="1:12" ht="30.25" customHeight="1" x14ac:dyDescent="0.35">
      <c r="A171" s="98"/>
      <c r="B171" s="239"/>
      <c r="C171" s="252"/>
      <c r="D171" s="252"/>
      <c r="E171" s="101">
        <v>166</v>
      </c>
      <c r="F171" s="100" t="s">
        <v>119</v>
      </c>
      <c r="G171" s="99"/>
      <c r="H171" s="115">
        <f>Monthly_Consumption!FL39</f>
        <v>91.728128000000211</v>
      </c>
      <c r="I171" s="250"/>
      <c r="J171" s="250"/>
      <c r="K171" s="248"/>
      <c r="L171" s="248"/>
    </row>
    <row r="172" spans="1:12" ht="30.25" customHeight="1" x14ac:dyDescent="0.35">
      <c r="A172" s="98"/>
      <c r="B172" s="239"/>
      <c r="C172" s="252"/>
      <c r="D172" s="252"/>
      <c r="E172" s="101">
        <v>167</v>
      </c>
      <c r="F172" s="100" t="s">
        <v>120</v>
      </c>
      <c r="G172" s="99"/>
      <c r="H172" s="115">
        <f>Monthly_Consumption!FM39</f>
        <v>56.579584000000075</v>
      </c>
      <c r="I172" s="250"/>
      <c r="J172" s="250"/>
      <c r="K172" s="248"/>
      <c r="L172" s="248"/>
    </row>
    <row r="173" spans="1:12" ht="30.25" customHeight="1" x14ac:dyDescent="0.35">
      <c r="A173" s="98"/>
      <c r="B173" s="239"/>
      <c r="C173" s="252"/>
      <c r="D173" s="252"/>
      <c r="E173" s="101">
        <v>168</v>
      </c>
      <c r="F173" s="100" t="s">
        <v>121</v>
      </c>
      <c r="G173" s="99"/>
      <c r="H173" s="115">
        <f>Monthly_Consumption!FN39</f>
        <v>18.202432000000037</v>
      </c>
      <c r="I173" s="250"/>
      <c r="J173" s="250"/>
      <c r="K173" s="248"/>
      <c r="L173" s="248"/>
    </row>
    <row r="174" spans="1:12" ht="30.25" customHeight="1" x14ac:dyDescent="0.35">
      <c r="A174" s="98"/>
      <c r="B174" s="239"/>
      <c r="C174" s="252"/>
      <c r="D174" s="252"/>
      <c r="E174" s="101">
        <v>169</v>
      </c>
      <c r="F174" s="100" t="s">
        <v>229</v>
      </c>
      <c r="G174" s="99"/>
      <c r="H174" s="115">
        <f>Monthly_Consumption!FO39</f>
        <v>0</v>
      </c>
      <c r="I174" s="250"/>
      <c r="J174" s="250"/>
      <c r="K174" s="248"/>
      <c r="L174" s="248"/>
    </row>
    <row r="175" spans="1:12" ht="30.25" customHeight="1" x14ac:dyDescent="0.35">
      <c r="A175" s="98"/>
      <c r="B175" s="239"/>
      <c r="C175" s="252"/>
      <c r="D175" s="252"/>
      <c r="E175" s="101">
        <v>170</v>
      </c>
      <c r="F175" s="100" t="s">
        <v>654</v>
      </c>
      <c r="G175" s="99"/>
      <c r="H175" s="115">
        <f>Monthly_Consumption!FP39</f>
        <v>72.327777999999995</v>
      </c>
      <c r="I175" s="250"/>
      <c r="J175" s="250"/>
      <c r="K175" s="248"/>
      <c r="L175" s="248"/>
    </row>
    <row r="176" spans="1:12" ht="30.25" customHeight="1" x14ac:dyDescent="0.35">
      <c r="A176" s="98"/>
      <c r="B176" s="240"/>
      <c r="C176" s="252"/>
      <c r="D176" s="252"/>
      <c r="E176" s="101">
        <v>171</v>
      </c>
      <c r="F176" s="100" t="s">
        <v>127</v>
      </c>
      <c r="G176" s="99"/>
      <c r="H176" s="115">
        <f>Monthly_Consumption!FQ39</f>
        <v>0</v>
      </c>
      <c r="I176" s="251"/>
      <c r="J176" s="251"/>
      <c r="K176" s="248"/>
      <c r="L176" s="248"/>
    </row>
    <row r="177" spans="1:12" ht="30.25" customHeight="1" x14ac:dyDescent="0.35">
      <c r="A177" s="98"/>
      <c r="B177" s="238" t="s">
        <v>385</v>
      </c>
      <c r="C177" s="258" t="s">
        <v>384</v>
      </c>
      <c r="D177" s="259"/>
      <c r="E177" s="101">
        <v>172</v>
      </c>
      <c r="F177" s="100" t="s">
        <v>384</v>
      </c>
      <c r="G177" s="99"/>
      <c r="H177" s="115">
        <f>Monthly_Consumption!FR39</f>
        <v>17.151282999999982</v>
      </c>
      <c r="I177" s="120">
        <f>H177</f>
        <v>17.151282999999982</v>
      </c>
      <c r="J177" s="121"/>
      <c r="K177" s="248">
        <f>I177/J6</f>
        <v>2.1410906309009096E-2</v>
      </c>
      <c r="L177" s="248"/>
    </row>
    <row r="178" spans="1:12" ht="30.25" customHeight="1" x14ac:dyDescent="0.35">
      <c r="A178" s="98"/>
      <c r="B178" s="239"/>
      <c r="C178" s="258" t="s">
        <v>383</v>
      </c>
      <c r="D178" s="259"/>
      <c r="E178" s="101">
        <v>173</v>
      </c>
      <c r="F178" s="100" t="s">
        <v>383</v>
      </c>
      <c r="G178" s="99"/>
      <c r="H178" s="115">
        <f>Monthly_Consumption!FS39</f>
        <v>17.17399799999999</v>
      </c>
      <c r="I178" s="120">
        <f t="shared" ref="I178:I186" si="1">H178</f>
        <v>17.17399799999999</v>
      </c>
      <c r="J178" s="121"/>
      <c r="K178" s="233">
        <f>I178/J6</f>
        <v>2.143926271458E-2</v>
      </c>
      <c r="L178" s="234"/>
    </row>
    <row r="179" spans="1:12" ht="30.25" customHeight="1" x14ac:dyDescent="0.35">
      <c r="A179" s="98"/>
      <c r="B179" s="239"/>
      <c r="C179" s="260" t="s">
        <v>382</v>
      </c>
      <c r="D179" s="261"/>
      <c r="E179" s="101">
        <v>174</v>
      </c>
      <c r="F179" s="100" t="s">
        <v>381</v>
      </c>
      <c r="G179" s="99"/>
      <c r="H179" s="115">
        <f>Monthly_Consumption!FT39</f>
        <v>155.41705000000005</v>
      </c>
      <c r="I179" s="120">
        <f t="shared" si="1"/>
        <v>155.41705000000005</v>
      </c>
      <c r="J179" s="249">
        <f>SUM(I179:I182)</f>
        <v>562.28685300000018</v>
      </c>
      <c r="K179" s="242">
        <f>J179/J6</f>
        <v>0.70193414267437526</v>
      </c>
      <c r="L179" s="243"/>
    </row>
    <row r="180" spans="1:12" ht="30.25" customHeight="1" x14ac:dyDescent="0.35">
      <c r="A180" s="98"/>
      <c r="B180" s="239"/>
      <c r="C180" s="262"/>
      <c r="D180" s="263"/>
      <c r="E180" s="101">
        <v>175</v>
      </c>
      <c r="F180" s="100" t="s">
        <v>380</v>
      </c>
      <c r="G180" s="99"/>
      <c r="H180" s="115">
        <f>Monthly_Consumption!FU39</f>
        <v>199.33437600000013</v>
      </c>
      <c r="I180" s="120">
        <f t="shared" si="1"/>
        <v>199.33437600000013</v>
      </c>
      <c r="J180" s="250"/>
      <c r="K180" s="244"/>
      <c r="L180" s="245"/>
    </row>
    <row r="181" spans="1:12" ht="30.25" customHeight="1" x14ac:dyDescent="0.35">
      <c r="A181" s="98"/>
      <c r="B181" s="239"/>
      <c r="C181" s="262"/>
      <c r="D181" s="263"/>
      <c r="E181" s="101">
        <v>176</v>
      </c>
      <c r="F181" s="100" t="s">
        <v>379</v>
      </c>
      <c r="G181" s="99"/>
      <c r="H181" s="115">
        <f>Monthly_Consumption!FV39</f>
        <v>129.22055499999999</v>
      </c>
      <c r="I181" s="120">
        <f t="shared" si="1"/>
        <v>129.22055499999999</v>
      </c>
      <c r="J181" s="250"/>
      <c r="K181" s="244"/>
      <c r="L181" s="245"/>
    </row>
    <row r="182" spans="1:12" ht="30.25" customHeight="1" x14ac:dyDescent="0.35">
      <c r="A182" s="98"/>
      <c r="B182" s="239"/>
      <c r="C182" s="264"/>
      <c r="D182" s="265"/>
      <c r="E182" s="101">
        <v>177</v>
      </c>
      <c r="F182" s="100" t="s">
        <v>378</v>
      </c>
      <c r="G182" s="99"/>
      <c r="H182" s="115">
        <f>Monthly_Consumption!FW39</f>
        <v>78.314871999999994</v>
      </c>
      <c r="I182" s="120">
        <f t="shared" si="1"/>
        <v>78.314871999999994</v>
      </c>
      <c r="J182" s="251"/>
      <c r="K182" s="246"/>
      <c r="L182" s="247"/>
    </row>
    <row r="183" spans="1:12" ht="30.25" customHeight="1" x14ac:dyDescent="0.35">
      <c r="A183" s="98"/>
      <c r="B183" s="239"/>
      <c r="C183" s="260" t="s">
        <v>377</v>
      </c>
      <c r="D183" s="261"/>
      <c r="E183" s="101">
        <v>178</v>
      </c>
      <c r="F183" s="100" t="s">
        <v>376</v>
      </c>
      <c r="G183" s="99"/>
      <c r="H183" s="115">
        <f>Monthly_Consumption!FX39</f>
        <v>151.39635199999975</v>
      </c>
      <c r="I183" s="120">
        <f t="shared" si="1"/>
        <v>151.39635199999975</v>
      </c>
      <c r="J183" s="249">
        <f>SUM(I183:I186)</f>
        <v>547.83948800000053</v>
      </c>
      <c r="K183" s="242">
        <f>J183/J6</f>
        <v>0.68389868850881519</v>
      </c>
      <c r="L183" s="243"/>
    </row>
    <row r="184" spans="1:12" ht="30.25" customHeight="1" x14ac:dyDescent="0.35">
      <c r="A184" s="98"/>
      <c r="B184" s="239"/>
      <c r="C184" s="262"/>
      <c r="D184" s="263"/>
      <c r="E184" s="101">
        <v>179</v>
      </c>
      <c r="F184" s="100" t="s">
        <v>375</v>
      </c>
      <c r="G184" s="99"/>
      <c r="H184" s="115">
        <f>Monthly_Consumption!FY39</f>
        <v>194.7381759999989</v>
      </c>
      <c r="I184" s="120">
        <f t="shared" si="1"/>
        <v>194.7381759999989</v>
      </c>
      <c r="J184" s="250"/>
      <c r="K184" s="244"/>
      <c r="L184" s="245"/>
    </row>
    <row r="185" spans="1:12" ht="30.25" customHeight="1" x14ac:dyDescent="0.35">
      <c r="A185" s="98"/>
      <c r="B185" s="239"/>
      <c r="C185" s="262"/>
      <c r="D185" s="263"/>
      <c r="E185" s="101">
        <v>180</v>
      </c>
      <c r="F185" s="100" t="s">
        <v>374</v>
      </c>
      <c r="G185" s="99"/>
      <c r="H185" s="115">
        <f>Monthly_Consumption!FZ39</f>
        <v>125.67705599999954</v>
      </c>
      <c r="I185" s="120">
        <f>H185</f>
        <v>125.67705599999954</v>
      </c>
      <c r="J185" s="250"/>
      <c r="K185" s="244"/>
      <c r="L185" s="245"/>
    </row>
    <row r="186" spans="1:12" ht="30.25" customHeight="1" x14ac:dyDescent="0.35">
      <c r="A186" s="98"/>
      <c r="B186" s="240"/>
      <c r="C186" s="264"/>
      <c r="D186" s="265"/>
      <c r="E186" s="101">
        <v>181</v>
      </c>
      <c r="F186" s="100" t="s">
        <v>373</v>
      </c>
      <c r="G186" s="99"/>
      <c r="H186" s="115">
        <f>Monthly_Consumption!GA39</f>
        <v>76.027904000002309</v>
      </c>
      <c r="I186" s="120">
        <f t="shared" si="1"/>
        <v>76.027904000002309</v>
      </c>
      <c r="J186" s="251"/>
      <c r="K186" s="246"/>
      <c r="L186" s="247"/>
    </row>
    <row r="187" spans="1:12" ht="30.25" customHeight="1" x14ac:dyDescent="0.35">
      <c r="A187" s="98"/>
      <c r="B187" s="282" t="s">
        <v>372</v>
      </c>
      <c r="C187" s="283"/>
      <c r="D187" s="283"/>
      <c r="E187" s="283"/>
      <c r="F187" s="284"/>
      <c r="G187" s="97"/>
      <c r="H187" s="301">
        <f>J6</f>
        <v>801.05357300000014</v>
      </c>
      <c r="I187" s="302"/>
      <c r="J187" s="302"/>
      <c r="K187" s="302"/>
      <c r="L187" s="303"/>
    </row>
    <row r="188" spans="1:12" ht="30.25" customHeight="1" x14ac:dyDescent="0.35">
      <c r="A188" s="98"/>
      <c r="B188" s="282" t="s">
        <v>371</v>
      </c>
      <c r="C188" s="283"/>
      <c r="D188" s="283"/>
      <c r="E188" s="283"/>
      <c r="F188" s="284"/>
      <c r="G188" s="97"/>
      <c r="H188" s="301">
        <f>J16</f>
        <v>738.15070400000013</v>
      </c>
      <c r="I188" s="302"/>
      <c r="J188" s="302"/>
      <c r="K188" s="302"/>
      <c r="L188" s="303"/>
    </row>
    <row r="189" spans="1:12" ht="30.25" customHeight="1" x14ac:dyDescent="0.35">
      <c r="A189" s="98"/>
      <c r="B189" s="282" t="s">
        <v>370</v>
      </c>
      <c r="C189" s="283"/>
      <c r="D189" s="283"/>
      <c r="E189" s="283"/>
      <c r="F189" s="284"/>
      <c r="G189" s="97"/>
      <c r="H189" s="301">
        <f>H187-H188</f>
        <v>62.90286900000001</v>
      </c>
      <c r="I189" s="302"/>
      <c r="J189" s="302"/>
      <c r="K189" s="302"/>
      <c r="L189" s="303"/>
    </row>
    <row r="190" spans="1:12" ht="30.25" customHeight="1" x14ac:dyDescent="0.35">
      <c r="A190" s="98"/>
      <c r="B190" s="282" t="s">
        <v>369</v>
      </c>
      <c r="C190" s="283"/>
      <c r="D190" s="283"/>
      <c r="E190" s="283"/>
      <c r="F190" s="284"/>
      <c r="G190" s="97"/>
      <c r="H190" s="298">
        <f>H189/H187</f>
        <v>7.8525171249688691E-2</v>
      </c>
      <c r="I190" s="299"/>
      <c r="J190" s="299"/>
      <c r="K190" s="299"/>
      <c r="L190" s="300"/>
    </row>
  </sheetData>
  <mergeCells count="104">
    <mergeCell ref="F1:I1"/>
    <mergeCell ref="J1:L1"/>
    <mergeCell ref="B2:L4"/>
    <mergeCell ref="C5:D5"/>
    <mergeCell ref="K5:L5"/>
    <mergeCell ref="B6:B15"/>
    <mergeCell ref="C6:D10"/>
    <mergeCell ref="I6:I10"/>
    <mergeCell ref="J6:J15"/>
    <mergeCell ref="K6:L10"/>
    <mergeCell ref="B16:B20"/>
    <mergeCell ref="C16:D20"/>
    <mergeCell ref="J16:J20"/>
    <mergeCell ref="K16:L16"/>
    <mergeCell ref="K17:L17"/>
    <mergeCell ref="K18:L18"/>
    <mergeCell ref="K19:L19"/>
    <mergeCell ref="K20:L20"/>
    <mergeCell ref="C11:D11"/>
    <mergeCell ref="K11:L11"/>
    <mergeCell ref="C12:D14"/>
    <mergeCell ref="I12:I14"/>
    <mergeCell ref="K12:L14"/>
    <mergeCell ref="C15:D15"/>
    <mergeCell ref="K15:L15"/>
    <mergeCell ref="J33:J34"/>
    <mergeCell ref="K33:L34"/>
    <mergeCell ref="C35:D40"/>
    <mergeCell ref="I35:I40"/>
    <mergeCell ref="J35:J40"/>
    <mergeCell ref="K35:L40"/>
    <mergeCell ref="B21:B48"/>
    <mergeCell ref="C21:D25"/>
    <mergeCell ref="I21:I25"/>
    <mergeCell ref="J21:J32"/>
    <mergeCell ref="K21:L25"/>
    <mergeCell ref="C26:D32"/>
    <mergeCell ref="I26:I32"/>
    <mergeCell ref="K26:L32"/>
    <mergeCell ref="C33:D34"/>
    <mergeCell ref="I33:I34"/>
    <mergeCell ref="C46:D47"/>
    <mergeCell ref="I46:I47"/>
    <mergeCell ref="J46:J47"/>
    <mergeCell ref="K46:L47"/>
    <mergeCell ref="C48:D48"/>
    <mergeCell ref="K48:L48"/>
    <mergeCell ref="C41:D43"/>
    <mergeCell ref="I41:I43"/>
    <mergeCell ref="J41:J43"/>
    <mergeCell ref="K41:L43"/>
    <mergeCell ref="C44:D45"/>
    <mergeCell ref="I44:I45"/>
    <mergeCell ref="J44:J45"/>
    <mergeCell ref="K44:L45"/>
    <mergeCell ref="B49:B71"/>
    <mergeCell ref="C49:D61"/>
    <mergeCell ref="I49:I61"/>
    <mergeCell ref="J49:J61"/>
    <mergeCell ref="K49:L61"/>
    <mergeCell ref="C62:D71"/>
    <mergeCell ref="I62:I71"/>
    <mergeCell ref="J62:J71"/>
    <mergeCell ref="K62:L71"/>
    <mergeCell ref="I119:I140"/>
    <mergeCell ref="J119:J140"/>
    <mergeCell ref="K119:L140"/>
    <mergeCell ref="C141:D163"/>
    <mergeCell ref="I141:I163"/>
    <mergeCell ref="J141:J163"/>
    <mergeCell ref="K141:L163"/>
    <mergeCell ref="B72:B176"/>
    <mergeCell ref="C72:D92"/>
    <mergeCell ref="I72:I92"/>
    <mergeCell ref="J72:J92"/>
    <mergeCell ref="K72:L92"/>
    <mergeCell ref="C93:D118"/>
    <mergeCell ref="I93:I118"/>
    <mergeCell ref="J93:J118"/>
    <mergeCell ref="K93:L118"/>
    <mergeCell ref="C119:D140"/>
    <mergeCell ref="C164:D176"/>
    <mergeCell ref="I164:I176"/>
    <mergeCell ref="J164:J176"/>
    <mergeCell ref="K164:L176"/>
    <mergeCell ref="B190:F190"/>
    <mergeCell ref="H190:L190"/>
    <mergeCell ref="J179:J182"/>
    <mergeCell ref="K179:L182"/>
    <mergeCell ref="C183:D186"/>
    <mergeCell ref="J183:J186"/>
    <mergeCell ref="K183:L186"/>
    <mergeCell ref="B187:F187"/>
    <mergeCell ref="H187:L187"/>
    <mergeCell ref="B177:B186"/>
    <mergeCell ref="C177:D177"/>
    <mergeCell ref="K177:L177"/>
    <mergeCell ref="C178:D178"/>
    <mergeCell ref="K178:L178"/>
    <mergeCell ref="C179:D182"/>
    <mergeCell ref="B188:F188"/>
    <mergeCell ref="H188:L188"/>
    <mergeCell ref="B189:F189"/>
    <mergeCell ref="H189:L189"/>
  </mergeCells>
  <pageMargins left="0.7" right="0.7" top="0.75" bottom="0.75" header="0.3" footer="0.3"/>
  <pageSetup orientation="portrait" r:id="rId1"/>
  <headerFooter>
    <oddFooter>&amp;C&amp;1#&amp;"Arial"&amp;6&amp;K626469Internal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7"/>
  <dimension ref="A1:GS40"/>
  <sheetViews>
    <sheetView zoomScale="6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defaultColWidth="17.54296875" defaultRowHeight="12.5" x14ac:dyDescent="0.25"/>
  <cols>
    <col min="1" max="1" width="29.1796875" style="83" customWidth="1"/>
    <col min="2" max="2" width="17.54296875" customWidth="1"/>
    <col min="147" max="147" width="15.7265625" bestFit="1" customWidth="1"/>
    <col min="148" max="148" width="5.54296875" bestFit="1" customWidth="1"/>
    <col min="149" max="151" width="5.54296875" hidden="1" customWidth="1"/>
  </cols>
  <sheetData>
    <row r="1" spans="1:201" x14ac:dyDescent="0.25">
      <c r="A1" s="307"/>
    </row>
    <row r="2" spans="1:201" ht="8.15" customHeight="1" x14ac:dyDescent="0.25">
      <c r="A2" s="307"/>
    </row>
    <row r="3" spans="1:201" hidden="1" x14ac:dyDescent="0.25">
      <c r="A3" s="307"/>
    </row>
    <row r="4" spans="1:201" ht="0.65" hidden="1" customHeight="1" x14ac:dyDescent="0.25">
      <c r="A4" s="307"/>
    </row>
    <row r="5" spans="1:201" ht="31" hidden="1" customHeight="1" x14ac:dyDescent="0.25">
      <c r="A5" s="308"/>
      <c r="B5" s="305" t="str">
        <f>'Feeder Names'!D1&amp; " - " &amp;"Monthly Consumption Report"</f>
        <v xml:space="preserve"> - Monthly Consumption Report</v>
      </c>
      <c r="C5" s="306"/>
      <c r="D5" s="306"/>
      <c r="E5" s="306"/>
      <c r="F5" s="306"/>
      <c r="G5" s="306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  <c r="AF5" s="92"/>
      <c r="AG5" s="92"/>
      <c r="AH5" s="92"/>
      <c r="AI5" s="92"/>
      <c r="AJ5" s="92"/>
      <c r="AK5" s="92"/>
      <c r="AL5" s="92"/>
      <c r="AM5" s="92"/>
      <c r="AN5" s="92"/>
      <c r="AO5" s="92"/>
      <c r="AP5" s="92"/>
      <c r="AQ5" s="92"/>
      <c r="AR5" s="92"/>
      <c r="AS5" s="92"/>
      <c r="AT5" s="92"/>
      <c r="AU5" s="92"/>
      <c r="AV5" s="92"/>
      <c r="AW5" s="92"/>
      <c r="AX5" s="92"/>
      <c r="AY5" s="92"/>
      <c r="AZ5" s="92"/>
      <c r="BA5" s="92"/>
      <c r="BB5" s="92"/>
      <c r="BC5" s="92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92"/>
      <c r="BQ5" s="92"/>
      <c r="BR5" s="92"/>
      <c r="BS5" s="92"/>
      <c r="BT5" s="92"/>
      <c r="BU5" s="92"/>
      <c r="BV5" s="92"/>
      <c r="BW5" s="92"/>
      <c r="BX5" s="92"/>
      <c r="BY5" s="92"/>
      <c r="BZ5" s="92"/>
      <c r="CA5" s="92"/>
      <c r="CB5" s="92"/>
      <c r="CC5" s="92"/>
      <c r="CD5" s="92"/>
      <c r="CE5" s="92"/>
      <c r="CF5" s="92"/>
      <c r="CG5" s="92"/>
      <c r="CH5" s="92"/>
      <c r="CI5" s="92"/>
      <c r="CJ5" s="92"/>
      <c r="CK5" s="92"/>
      <c r="CL5" s="92"/>
      <c r="CM5" s="92"/>
      <c r="CN5" s="92"/>
      <c r="CO5" s="92"/>
      <c r="CP5" s="92"/>
      <c r="CQ5" s="92"/>
      <c r="CR5" s="304"/>
      <c r="CS5" s="304"/>
      <c r="CT5" s="304"/>
      <c r="CU5" s="304"/>
      <c r="CV5" s="304"/>
    </row>
    <row r="6" spans="1:201" s="86" customFormat="1" ht="30.65" customHeight="1" x14ac:dyDescent="0.3">
      <c r="A6" s="85">
        <v>45715.333333333336</v>
      </c>
      <c r="B6" s="33" t="s">
        <v>238</v>
      </c>
      <c r="C6" s="33" t="s">
        <v>239</v>
      </c>
      <c r="D6" s="33" t="s">
        <v>240</v>
      </c>
      <c r="E6" s="33" t="s">
        <v>241</v>
      </c>
      <c r="F6" s="33" t="s">
        <v>242</v>
      </c>
      <c r="G6" s="33" t="s">
        <v>243</v>
      </c>
      <c r="H6" s="33" t="s">
        <v>248</v>
      </c>
      <c r="I6" s="33" t="s">
        <v>247</v>
      </c>
      <c r="J6" s="33" t="s">
        <v>246</v>
      </c>
      <c r="K6" s="33" t="s">
        <v>245</v>
      </c>
      <c r="L6" s="33" t="s">
        <v>244</v>
      </c>
      <c r="M6" s="33" t="s">
        <v>249</v>
      </c>
      <c r="N6" s="33" t="s">
        <v>250</v>
      </c>
      <c r="O6" s="33" t="s">
        <v>251</v>
      </c>
      <c r="P6" s="33" t="s">
        <v>252</v>
      </c>
      <c r="Q6" s="33" t="s">
        <v>253</v>
      </c>
      <c r="R6" s="33" t="s">
        <v>254</v>
      </c>
      <c r="S6" s="33" t="s">
        <v>255</v>
      </c>
      <c r="T6" s="33" t="s">
        <v>256</v>
      </c>
      <c r="U6" s="33" t="s">
        <v>138</v>
      </c>
      <c r="V6" s="33" t="s">
        <v>139</v>
      </c>
      <c r="W6" s="33" t="s">
        <v>140</v>
      </c>
      <c r="X6" s="33" t="s">
        <v>141</v>
      </c>
      <c r="Y6" s="33" t="s">
        <v>142</v>
      </c>
      <c r="Z6" s="33" t="s">
        <v>143</v>
      </c>
      <c r="AA6" s="33" t="s">
        <v>144</v>
      </c>
      <c r="AB6" s="33" t="s">
        <v>145</v>
      </c>
      <c r="AC6" s="33" t="s">
        <v>146</v>
      </c>
      <c r="AD6" s="33" t="s">
        <v>147</v>
      </c>
      <c r="AE6" s="33" t="s">
        <v>148</v>
      </c>
      <c r="AF6" s="33" t="s">
        <v>149</v>
      </c>
      <c r="AG6" s="33" t="s">
        <v>150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257</v>
      </c>
      <c r="AS6" s="33" t="s">
        <v>258</v>
      </c>
      <c r="AT6" s="33" t="s">
        <v>259</v>
      </c>
      <c r="AU6" s="33" t="s">
        <v>260</v>
      </c>
      <c r="AV6" s="33" t="s">
        <v>261</v>
      </c>
      <c r="AW6" s="33" t="s">
        <v>262</v>
      </c>
      <c r="AX6" s="33" t="s">
        <v>263</v>
      </c>
      <c r="AY6" s="33" t="s">
        <v>264</v>
      </c>
      <c r="AZ6" s="33" t="s">
        <v>265</v>
      </c>
      <c r="BA6" s="33" t="s">
        <v>266</v>
      </c>
      <c r="BB6" s="33" t="s">
        <v>267</v>
      </c>
      <c r="BC6" s="33" t="s">
        <v>268</v>
      </c>
      <c r="BD6" s="33" t="s">
        <v>269</v>
      </c>
      <c r="BE6" s="33" t="s">
        <v>270</v>
      </c>
      <c r="BF6" s="33" t="s">
        <v>271</v>
      </c>
      <c r="BG6" s="33" t="s">
        <v>272</v>
      </c>
      <c r="BH6" s="33" t="s">
        <v>273</v>
      </c>
      <c r="BI6" s="33" t="s">
        <v>274</v>
      </c>
      <c r="BJ6" s="33" t="s">
        <v>275</v>
      </c>
      <c r="BK6" s="33" t="s">
        <v>276</v>
      </c>
      <c r="BL6" s="33" t="s">
        <v>277</v>
      </c>
      <c r="BM6" s="33" t="s">
        <v>278</v>
      </c>
      <c r="BN6" s="33" t="s">
        <v>279</v>
      </c>
      <c r="BO6" s="33" t="s">
        <v>280</v>
      </c>
      <c r="BP6" s="33" t="s">
        <v>281</v>
      </c>
      <c r="BQ6" s="33" t="s">
        <v>282</v>
      </c>
      <c r="BR6" s="33" t="s">
        <v>283</v>
      </c>
      <c r="BS6" s="33" t="s">
        <v>284</v>
      </c>
      <c r="BT6" s="33" t="s">
        <v>285</v>
      </c>
      <c r="BU6" s="33" t="s">
        <v>286</v>
      </c>
      <c r="BV6" s="33" t="s">
        <v>287</v>
      </c>
      <c r="BW6" s="33" t="s">
        <v>288</v>
      </c>
      <c r="BX6" s="33" t="s">
        <v>289</v>
      </c>
      <c r="BY6" s="33" t="s">
        <v>290</v>
      </c>
      <c r="BZ6" s="33" t="s">
        <v>291</v>
      </c>
      <c r="CA6" s="33" t="s">
        <v>292</v>
      </c>
      <c r="CB6" s="33" t="s">
        <v>293</v>
      </c>
      <c r="CC6" s="33" t="s">
        <v>294</v>
      </c>
      <c r="CD6" s="33" t="s">
        <v>295</v>
      </c>
      <c r="CE6" s="33" t="s">
        <v>296</v>
      </c>
      <c r="CF6" s="33" t="s">
        <v>297</v>
      </c>
      <c r="CG6" s="33" t="s">
        <v>298</v>
      </c>
      <c r="CH6" s="33" t="s">
        <v>299</v>
      </c>
      <c r="CI6" s="33" t="s">
        <v>300</v>
      </c>
      <c r="CJ6" s="33" t="s">
        <v>301</v>
      </c>
      <c r="CK6" s="33" t="s">
        <v>302</v>
      </c>
      <c r="CL6" s="33" t="s">
        <v>303</v>
      </c>
      <c r="CM6" s="33" t="s">
        <v>304</v>
      </c>
      <c r="CN6" s="33" t="s">
        <v>305</v>
      </c>
      <c r="CO6" s="33" t="s">
        <v>306</v>
      </c>
      <c r="CP6" s="33" t="s">
        <v>307</v>
      </c>
      <c r="CQ6" s="33" t="s">
        <v>308</v>
      </c>
      <c r="CR6" s="33" t="s">
        <v>309</v>
      </c>
      <c r="CS6" s="33" t="s">
        <v>310</v>
      </c>
      <c r="CT6" s="33" t="s">
        <v>311</v>
      </c>
      <c r="CU6" s="33" t="s">
        <v>312</v>
      </c>
      <c r="CV6" s="33" t="s">
        <v>313</v>
      </c>
      <c r="CW6" s="33" t="s">
        <v>314</v>
      </c>
      <c r="CX6" s="33" t="s">
        <v>315</v>
      </c>
      <c r="CY6" s="33" t="s">
        <v>316</v>
      </c>
      <c r="CZ6" s="33" t="s">
        <v>317</v>
      </c>
      <c r="DA6" s="33" t="s">
        <v>318</v>
      </c>
      <c r="DB6" s="33" t="s">
        <v>319</v>
      </c>
      <c r="DC6" s="33" t="s">
        <v>320</v>
      </c>
      <c r="DD6" s="33" t="s">
        <v>321</v>
      </c>
      <c r="DE6" s="33" t="s">
        <v>322</v>
      </c>
      <c r="DF6" s="33" t="s">
        <v>323</v>
      </c>
      <c r="DG6" s="33" t="s">
        <v>324</v>
      </c>
      <c r="DH6" s="33" t="s">
        <v>325</v>
      </c>
      <c r="DI6" s="33" t="s">
        <v>326</v>
      </c>
      <c r="DJ6" s="33" t="s">
        <v>327</v>
      </c>
      <c r="DK6" s="33" t="s">
        <v>328</v>
      </c>
      <c r="DL6" s="33" t="s">
        <v>329</v>
      </c>
      <c r="DM6" s="33" t="s">
        <v>330</v>
      </c>
      <c r="DN6" s="33" t="s">
        <v>331</v>
      </c>
      <c r="DO6" s="33" t="s">
        <v>332</v>
      </c>
      <c r="DP6" s="33" t="s">
        <v>333</v>
      </c>
      <c r="DQ6" s="33" t="s">
        <v>334</v>
      </c>
      <c r="DR6" s="33" t="s">
        <v>335</v>
      </c>
      <c r="DS6" s="33" t="s">
        <v>336</v>
      </c>
      <c r="DT6" s="33" t="s">
        <v>337</v>
      </c>
      <c r="DU6" s="33" t="s">
        <v>338</v>
      </c>
      <c r="DV6" s="33" t="s">
        <v>339</v>
      </c>
      <c r="DW6" s="33" t="s">
        <v>340</v>
      </c>
      <c r="DX6" s="33" t="s">
        <v>341</v>
      </c>
      <c r="DY6" s="33" t="s">
        <v>342</v>
      </c>
      <c r="DZ6" s="33" t="s">
        <v>343</v>
      </c>
      <c r="EA6" s="33" t="s">
        <v>344</v>
      </c>
      <c r="EB6" s="33" t="s">
        <v>345</v>
      </c>
      <c r="EC6" s="33" t="s">
        <v>346</v>
      </c>
      <c r="ED6" s="33" t="s">
        <v>347</v>
      </c>
      <c r="EE6" s="33" t="s">
        <v>348</v>
      </c>
      <c r="EF6" s="33" t="s">
        <v>349</v>
      </c>
      <c r="EG6" s="33" t="s">
        <v>350</v>
      </c>
      <c r="EH6" s="33" t="s">
        <v>351</v>
      </c>
      <c r="EI6" s="33" t="s">
        <v>352</v>
      </c>
      <c r="EJ6" s="33" t="s">
        <v>353</v>
      </c>
      <c r="EK6" s="33" t="s">
        <v>354</v>
      </c>
      <c r="EL6" s="33" t="s">
        <v>355</v>
      </c>
      <c r="EM6" s="33" t="s">
        <v>356</v>
      </c>
      <c r="EN6" s="33" t="s">
        <v>357</v>
      </c>
      <c r="EO6" s="33" t="s">
        <v>358</v>
      </c>
      <c r="EP6" s="33" t="s">
        <v>359</v>
      </c>
      <c r="EQ6" s="33" t="str">
        <f>'Feeder Names'!ET3</f>
        <v>MLTP5.SPARE-6</v>
      </c>
      <c r="ER6" s="33" t="str">
        <f>'Feeder Names'!EU3</f>
        <v>MLTP5.WAREHOUSE_AC_PANEL</v>
      </c>
      <c r="ES6" s="33" t="str">
        <f>'Feeder Names'!EV3</f>
        <v>SPARE</v>
      </c>
      <c r="ET6" s="33" t="str">
        <f>'Feeder Names'!EW3</f>
        <v>SPARE</v>
      </c>
      <c r="EU6" s="33" t="str">
        <f>'Feeder Names'!EX3</f>
        <v>SPARE</v>
      </c>
      <c r="EV6" s="33">
        <f>'Feeder Names'!EY3</f>
        <v>0</v>
      </c>
      <c r="EW6" s="33">
        <f>'Feeder Names'!EZ3</f>
        <v>0</v>
      </c>
    </row>
    <row r="7" spans="1:201" s="30" customFormat="1" ht="13" x14ac:dyDescent="0.25">
      <c r="A7" s="87">
        <v>1</v>
      </c>
      <c r="B7" s="128">
        <v>8.1270000000000007</v>
      </c>
      <c r="C7" s="128">
        <v>2.6685540000000301</v>
      </c>
      <c r="D7" s="128">
        <v>2.8501509999999799</v>
      </c>
      <c r="E7" s="128">
        <v>0</v>
      </c>
      <c r="F7" s="128">
        <v>2.7357490000000602</v>
      </c>
      <c r="G7" s="128">
        <v>0.111412000000001</v>
      </c>
      <c r="H7" s="128">
        <v>1.69679999999994E-2</v>
      </c>
      <c r="I7" s="128">
        <v>4.4686999999999699E-2</v>
      </c>
      <c r="J7" s="128">
        <v>1.4229E-2</v>
      </c>
      <c r="K7" s="128">
        <v>0</v>
      </c>
      <c r="L7" s="128">
        <v>6.2569999999997402E-3</v>
      </c>
      <c r="M7" s="128">
        <v>0.111024999999998</v>
      </c>
      <c r="N7" s="128">
        <v>3.2858700000000498</v>
      </c>
      <c r="O7" s="128">
        <v>3.3985670000000701</v>
      </c>
      <c r="P7" s="128">
        <v>0.24823199999999401</v>
      </c>
      <c r="Q7" s="128">
        <v>2.5538559999986301</v>
      </c>
      <c r="R7" s="128">
        <v>2.7934719999975601</v>
      </c>
      <c r="S7" s="128">
        <v>0</v>
      </c>
      <c r="T7" s="128">
        <v>2.65420799999993</v>
      </c>
      <c r="U7" s="128">
        <v>0.30527200000000199</v>
      </c>
      <c r="V7" s="128">
        <v>0.114522000000001</v>
      </c>
      <c r="W7" s="128">
        <v>1.04810000000004E-2</v>
      </c>
      <c r="X7" s="128">
        <v>4.2380000000001403E-2</v>
      </c>
      <c r="Y7" s="128">
        <v>0</v>
      </c>
      <c r="Z7" s="128">
        <v>3.8918999999999898E-2</v>
      </c>
      <c r="AA7" s="128">
        <v>8.0300000000001107E-2</v>
      </c>
      <c r="AB7" s="128">
        <v>0.14646200000000001</v>
      </c>
      <c r="AC7" s="128">
        <v>9.56800000000015E-2</v>
      </c>
      <c r="AD7" s="128">
        <v>3.7385000000000397E-2</v>
      </c>
      <c r="AE7" s="128">
        <v>5.4767499999999601E-2</v>
      </c>
      <c r="AF7" s="128">
        <v>0</v>
      </c>
      <c r="AG7" s="128">
        <v>1.45735E-2</v>
      </c>
      <c r="AH7" s="128">
        <v>1.2503359999999999</v>
      </c>
      <c r="AI7" s="128">
        <v>0</v>
      </c>
      <c r="AJ7" s="128">
        <v>2.44085000000007E-2</v>
      </c>
      <c r="AK7" s="128">
        <v>0</v>
      </c>
      <c r="AL7" s="128">
        <v>0.18668000000001</v>
      </c>
      <c r="AM7" s="128">
        <v>0.35727199999999498</v>
      </c>
      <c r="AN7" s="128">
        <v>0.26430399999999599</v>
      </c>
      <c r="AO7" s="128">
        <v>9.4808000000000406E-2</v>
      </c>
      <c r="AP7" s="128">
        <v>6.6261999999998294E-2</v>
      </c>
      <c r="AQ7" s="128">
        <v>0.169072</v>
      </c>
      <c r="AR7" s="128">
        <v>3.0881919999999901</v>
      </c>
      <c r="AS7" s="128">
        <v>7.46749999999974E-3</v>
      </c>
      <c r="AT7" s="128">
        <v>0</v>
      </c>
      <c r="AU7" s="128">
        <v>3.8304000000003703E-2</v>
      </c>
      <c r="AV7" s="128">
        <v>1.6184500000000501E-2</v>
      </c>
      <c r="AW7" s="128">
        <v>0.89523200000007797</v>
      </c>
      <c r="AX7" s="128">
        <v>0</v>
      </c>
      <c r="AY7" s="128">
        <v>5.9878999999999599E-2</v>
      </c>
      <c r="AZ7" s="128">
        <v>4.9999999998107097E-6</v>
      </c>
      <c r="BA7" s="128">
        <v>0</v>
      </c>
      <c r="BB7" s="128">
        <v>0</v>
      </c>
      <c r="BC7" s="128">
        <v>0</v>
      </c>
      <c r="BD7" s="128">
        <v>2.4871250000000301E-3</v>
      </c>
      <c r="BE7" s="128">
        <v>0.136405999999999</v>
      </c>
      <c r="BF7" s="128">
        <v>0</v>
      </c>
      <c r="BG7" s="128">
        <v>1.04260000000007E-2</v>
      </c>
      <c r="BH7" s="128">
        <v>1.85040000000001E-2</v>
      </c>
      <c r="BI7" s="128">
        <v>1.59055999999998</v>
      </c>
      <c r="BJ7" s="128">
        <v>4.2000000000541597E-5</v>
      </c>
      <c r="BK7" s="128">
        <v>0.17084750000000001</v>
      </c>
      <c r="BL7" s="128">
        <v>1.2800000000012801E-4</v>
      </c>
      <c r="BM7" s="128">
        <v>0.56424000000001195</v>
      </c>
      <c r="BN7" s="128">
        <v>0</v>
      </c>
      <c r="BO7" s="128">
        <v>2.8964000000000201E-2</v>
      </c>
      <c r="BP7" s="128">
        <v>0</v>
      </c>
      <c r="BQ7" s="128">
        <v>0</v>
      </c>
      <c r="BR7" s="128">
        <v>0</v>
      </c>
      <c r="BS7" s="128">
        <v>0</v>
      </c>
      <c r="BT7" s="128">
        <v>3.1399999999997902E-2</v>
      </c>
      <c r="BU7" s="128">
        <v>0</v>
      </c>
      <c r="BV7" s="128">
        <v>0</v>
      </c>
      <c r="BW7" s="128">
        <v>0</v>
      </c>
      <c r="BX7" s="128">
        <v>0</v>
      </c>
      <c r="BY7" s="128">
        <v>0</v>
      </c>
      <c r="BZ7" s="128">
        <v>0.319280000000006</v>
      </c>
      <c r="CA7" s="128">
        <v>7.5999999999993406E-2</v>
      </c>
      <c r="CB7" s="128">
        <v>0</v>
      </c>
      <c r="CC7" s="128">
        <v>0</v>
      </c>
      <c r="CD7" s="128">
        <v>0</v>
      </c>
      <c r="CE7" s="128">
        <v>0</v>
      </c>
      <c r="CF7" s="128">
        <v>3.9685000000000401E-2</v>
      </c>
      <c r="CG7" s="128">
        <v>0</v>
      </c>
      <c r="CH7" s="128">
        <v>1.03927499999998E-2</v>
      </c>
      <c r="CI7" s="128">
        <v>0</v>
      </c>
      <c r="CJ7" s="128">
        <v>0</v>
      </c>
      <c r="CK7" s="128">
        <v>0</v>
      </c>
      <c r="CL7" s="128">
        <v>0.110074000000001</v>
      </c>
      <c r="CM7" s="128">
        <v>2.7351039999998599</v>
      </c>
      <c r="CN7" s="128">
        <v>3.37984999999996E-2</v>
      </c>
      <c r="CO7" s="128">
        <v>0.24037599999999801</v>
      </c>
      <c r="CP7" s="128">
        <v>0</v>
      </c>
      <c r="CQ7" s="128">
        <v>0</v>
      </c>
      <c r="CR7" s="128">
        <v>9.6103000000001201E-2</v>
      </c>
      <c r="CS7" s="128">
        <v>0</v>
      </c>
      <c r="CT7" s="128">
        <v>8.6327999999994603E-2</v>
      </c>
      <c r="CU7" s="128">
        <v>0</v>
      </c>
      <c r="CV7" s="128">
        <v>1.4817499999999499E-3</v>
      </c>
      <c r="CW7" s="128">
        <v>0</v>
      </c>
      <c r="CX7" s="128">
        <v>0.18693600000000299</v>
      </c>
      <c r="CY7" s="128">
        <v>1.19359999999999E-2</v>
      </c>
      <c r="CZ7" s="128">
        <v>1.12317499999999E-2</v>
      </c>
      <c r="DA7" s="128">
        <v>0.22833199999999501</v>
      </c>
      <c r="DB7" s="128">
        <v>7.5267999999999405E-2</v>
      </c>
      <c r="DC7" s="128">
        <v>0.146615999999995</v>
      </c>
      <c r="DD7" s="128">
        <v>1.5064375E-2</v>
      </c>
      <c r="DE7" s="128">
        <v>0</v>
      </c>
      <c r="DF7" s="128">
        <v>0</v>
      </c>
      <c r="DG7" s="128">
        <v>0</v>
      </c>
      <c r="DH7" s="128">
        <v>6.8770000000002397E-3</v>
      </c>
      <c r="DI7" s="128">
        <v>1.7400319999999301</v>
      </c>
      <c r="DJ7" s="128">
        <v>0</v>
      </c>
      <c r="DK7" s="128">
        <v>6.56259999999982E-2</v>
      </c>
      <c r="DL7" s="128">
        <v>1.14669999999997E-2</v>
      </c>
      <c r="DM7" s="128">
        <v>3.0420999999998699E-2</v>
      </c>
      <c r="DN7" s="128">
        <v>0</v>
      </c>
      <c r="DO7" s="128">
        <v>0.40976000000000601</v>
      </c>
      <c r="DP7" s="128">
        <v>1.47634999999999E-2</v>
      </c>
      <c r="DQ7" s="128">
        <v>0</v>
      </c>
      <c r="DR7" s="128">
        <v>0</v>
      </c>
      <c r="DS7" s="128">
        <v>0.40092799999996498</v>
      </c>
      <c r="DT7" s="128">
        <v>0.12710400000000299</v>
      </c>
      <c r="DU7" s="128">
        <v>9.7399999999936405E-4</v>
      </c>
      <c r="DV7" s="128">
        <v>7.1330000000000603E-3</v>
      </c>
      <c r="DW7" s="128">
        <v>0</v>
      </c>
      <c r="DX7" s="128">
        <v>0.155694</v>
      </c>
      <c r="DY7" s="128">
        <v>3.2530625000000099E-3</v>
      </c>
      <c r="DZ7" s="128">
        <v>5.3401999999998402E-2</v>
      </c>
      <c r="EA7" s="128">
        <v>0</v>
      </c>
      <c r="EB7" s="128">
        <v>0.26878399999998198</v>
      </c>
      <c r="EC7" s="128">
        <v>0.19534400000000601</v>
      </c>
      <c r="ED7" s="128">
        <v>2.1078999999999799E-2</v>
      </c>
      <c r="EE7" s="128">
        <v>2.74495000000003E-2</v>
      </c>
      <c r="EF7" s="128">
        <v>5.74812999999995</v>
      </c>
      <c r="EG7" s="128">
        <v>0</v>
      </c>
      <c r="EH7" s="128">
        <v>0.23462399999993999</v>
      </c>
      <c r="EI7" s="128">
        <v>0.43910400000004302</v>
      </c>
      <c r="EJ7" s="128">
        <v>2.1792000000004901E-2</v>
      </c>
      <c r="EK7" s="128">
        <v>0</v>
      </c>
      <c r="EL7" s="128">
        <v>1.5103999999837499E-2</v>
      </c>
      <c r="EM7" s="128">
        <v>1.8321920000003</v>
      </c>
      <c r="EN7" s="128">
        <v>1.9765760000000201</v>
      </c>
      <c r="EO7" s="128">
        <v>0</v>
      </c>
      <c r="EP7" s="128">
        <v>0</v>
      </c>
      <c r="EQ7" s="128">
        <v>0</v>
      </c>
      <c r="ER7" s="129">
        <v>1.2230350000000001</v>
      </c>
      <c r="ES7" s="129">
        <v>0</v>
      </c>
      <c r="ET7" s="129">
        <v>0</v>
      </c>
      <c r="EU7" s="129">
        <v>0</v>
      </c>
      <c r="EV7" s="30">
        <v>0</v>
      </c>
      <c r="EW7" s="30">
        <v>0</v>
      </c>
      <c r="EX7" s="30">
        <v>0</v>
      </c>
      <c r="EY7" s="30">
        <v>0</v>
      </c>
      <c r="EZ7" s="30">
        <v>0</v>
      </c>
      <c r="FA7" s="30">
        <v>0</v>
      </c>
      <c r="FB7" s="30">
        <v>0</v>
      </c>
      <c r="FC7" s="30">
        <v>0</v>
      </c>
      <c r="FD7" s="30">
        <v>0</v>
      </c>
      <c r="FE7" s="30">
        <v>0</v>
      </c>
      <c r="FF7" s="30">
        <v>0</v>
      </c>
      <c r="FG7" s="30">
        <v>0</v>
      </c>
      <c r="FH7" s="30">
        <v>0</v>
      </c>
      <c r="FI7" s="30">
        <v>0</v>
      </c>
      <c r="FJ7" s="30">
        <v>0</v>
      </c>
      <c r="FK7" s="30">
        <v>0</v>
      </c>
      <c r="FL7" s="30">
        <v>0</v>
      </c>
      <c r="FM7" s="30">
        <v>0</v>
      </c>
      <c r="FN7" s="30">
        <v>0</v>
      </c>
      <c r="FO7" s="30">
        <v>0</v>
      </c>
      <c r="FP7" s="30">
        <v>0</v>
      </c>
      <c r="FQ7" s="30">
        <v>0</v>
      </c>
      <c r="FR7" s="30">
        <v>0</v>
      </c>
      <c r="FS7" s="30">
        <v>0</v>
      </c>
      <c r="FT7" s="30">
        <v>0</v>
      </c>
      <c r="FU7" s="30">
        <v>0</v>
      </c>
      <c r="FV7" s="30">
        <v>0</v>
      </c>
      <c r="FW7" s="30">
        <v>0</v>
      </c>
      <c r="FX7" s="30">
        <v>0</v>
      </c>
      <c r="FY7" s="30">
        <v>0</v>
      </c>
      <c r="FZ7" s="30">
        <v>0</v>
      </c>
      <c r="GA7" s="30">
        <v>0</v>
      </c>
      <c r="GB7" s="30">
        <v>0</v>
      </c>
      <c r="GC7" s="30">
        <v>0</v>
      </c>
      <c r="GD7" s="30">
        <v>0</v>
      </c>
      <c r="GE7" s="30">
        <v>0</v>
      </c>
      <c r="GF7" s="30">
        <v>0</v>
      </c>
      <c r="GG7" s="30">
        <v>0</v>
      </c>
      <c r="GH7" s="30">
        <v>0</v>
      </c>
      <c r="GI7" s="30">
        <v>0</v>
      </c>
      <c r="GJ7" s="30">
        <v>0</v>
      </c>
      <c r="GK7" s="30">
        <v>0</v>
      </c>
      <c r="GL7" s="30">
        <v>0</v>
      </c>
      <c r="GM7" s="30">
        <v>0</v>
      </c>
      <c r="GN7" s="30">
        <v>0</v>
      </c>
      <c r="GO7" s="30">
        <v>0</v>
      </c>
      <c r="GP7" s="30">
        <v>0</v>
      </c>
      <c r="GQ7" s="30">
        <v>0</v>
      </c>
      <c r="GR7" s="30">
        <v>0</v>
      </c>
      <c r="GS7" s="30">
        <v>0</v>
      </c>
    </row>
    <row r="8" spans="1:201" s="30" customFormat="1" ht="13" x14ac:dyDescent="0.25">
      <c r="A8" s="87">
        <v>2</v>
      </c>
      <c r="B8" s="128">
        <v>18.16825</v>
      </c>
      <c r="C8" s="128">
        <v>6.0225899999999797</v>
      </c>
      <c r="D8" s="128">
        <v>6.30659400000002</v>
      </c>
      <c r="E8" s="128">
        <v>0</v>
      </c>
      <c r="F8" s="128">
        <v>5.9779099999999499</v>
      </c>
      <c r="G8" s="128">
        <v>0.15056699999999901</v>
      </c>
      <c r="H8" s="128">
        <v>4.6145000000000103E-2</v>
      </c>
      <c r="I8" s="128">
        <v>4.7158000000000498E-2</v>
      </c>
      <c r="J8" s="128">
        <v>1.5078999999999799E-2</v>
      </c>
      <c r="K8" s="128">
        <v>0</v>
      </c>
      <c r="L8" s="128">
        <v>1.0900000000000401E-2</v>
      </c>
      <c r="M8" s="128">
        <v>0.15008400000000299</v>
      </c>
      <c r="N8" s="128">
        <v>4.0656310000000504</v>
      </c>
      <c r="O8" s="128">
        <v>4.1215130000000499</v>
      </c>
      <c r="P8" s="128">
        <v>0.28270900000000398</v>
      </c>
      <c r="Q8" s="128">
        <v>5.8490880000026699</v>
      </c>
      <c r="R8" s="128">
        <v>6.1480960000008098</v>
      </c>
      <c r="S8" s="128">
        <v>0</v>
      </c>
      <c r="T8" s="128">
        <v>5.8142719999996197</v>
      </c>
      <c r="U8" s="128">
        <v>0.49056799999999601</v>
      </c>
      <c r="V8" s="128">
        <v>0.128056000000001</v>
      </c>
      <c r="W8" s="128">
        <v>6.2398000000000002E-2</v>
      </c>
      <c r="X8" s="128">
        <v>6.6516999999999299E-2</v>
      </c>
      <c r="Y8" s="128">
        <v>0</v>
      </c>
      <c r="Z8" s="128">
        <v>4.6475000000000898E-2</v>
      </c>
      <c r="AA8" s="128">
        <v>0.110659999999999</v>
      </c>
      <c r="AB8" s="128">
        <v>0.14740399999999801</v>
      </c>
      <c r="AC8" s="128">
        <v>9.1338000000000405E-2</v>
      </c>
      <c r="AD8" s="128">
        <v>4.8367499999999501E-2</v>
      </c>
      <c r="AE8" s="128">
        <v>8.4655500000000203E-2</v>
      </c>
      <c r="AF8" s="128">
        <v>0</v>
      </c>
      <c r="AG8" s="128">
        <v>1.56200000000002E-2</v>
      </c>
      <c r="AH8" s="128">
        <v>1.8999680000000001</v>
      </c>
      <c r="AI8" s="128">
        <v>0</v>
      </c>
      <c r="AJ8" s="128">
        <v>3.1619999999999301E-2</v>
      </c>
      <c r="AK8" s="128">
        <v>0</v>
      </c>
      <c r="AL8" s="128">
        <v>0.326048</v>
      </c>
      <c r="AM8" s="128">
        <v>0.45799999999999802</v>
      </c>
      <c r="AN8" s="128">
        <v>0.41523200000000299</v>
      </c>
      <c r="AO8" s="128">
        <v>0.113332</v>
      </c>
      <c r="AP8" s="128">
        <v>8.1760000000002706E-2</v>
      </c>
      <c r="AQ8" s="128">
        <v>0.32807600000000298</v>
      </c>
      <c r="AR8" s="128">
        <v>4.7484799999999696</v>
      </c>
      <c r="AS8" s="128">
        <v>5.1539000000000001E-2</v>
      </c>
      <c r="AT8" s="128">
        <v>0</v>
      </c>
      <c r="AU8" s="128">
        <v>4.3607999999999002E-2</v>
      </c>
      <c r="AV8" s="128">
        <v>1.8547499999999498E-2</v>
      </c>
      <c r="AW8" s="128">
        <v>1.7534719999999899</v>
      </c>
      <c r="AX8" s="128">
        <v>0</v>
      </c>
      <c r="AY8" s="128">
        <v>5.8442500000000001E-2</v>
      </c>
      <c r="AZ8" s="128">
        <v>1.5499999999946099E-5</v>
      </c>
      <c r="BA8" s="128">
        <v>0</v>
      </c>
      <c r="BB8" s="128">
        <v>0</v>
      </c>
      <c r="BC8" s="128">
        <v>0</v>
      </c>
      <c r="BD8" s="128">
        <v>3.8876249999999501E-3</v>
      </c>
      <c r="BE8" s="128">
        <v>0.139321000000001</v>
      </c>
      <c r="BF8" s="128">
        <v>0</v>
      </c>
      <c r="BG8" s="128">
        <v>1.08629999999987E-2</v>
      </c>
      <c r="BH8" s="128">
        <v>4.3896000000000199E-2</v>
      </c>
      <c r="BI8" s="128">
        <v>2.36095999999998</v>
      </c>
      <c r="BJ8" s="128">
        <v>2.7249999999980901E-3</v>
      </c>
      <c r="BK8" s="128">
        <v>5.0178499999999501E-2</v>
      </c>
      <c r="BL8" s="128">
        <v>3.7800000000132199E-4</v>
      </c>
      <c r="BM8" s="128">
        <v>1.840352</v>
      </c>
      <c r="BN8" s="128">
        <v>0</v>
      </c>
      <c r="BO8" s="128">
        <v>4.1329000000001101E-2</v>
      </c>
      <c r="BP8" s="128">
        <v>0</v>
      </c>
      <c r="BQ8" s="128">
        <v>0</v>
      </c>
      <c r="BR8" s="128">
        <v>0</v>
      </c>
      <c r="BS8" s="128">
        <v>0</v>
      </c>
      <c r="BT8" s="128">
        <v>0.27624400000000499</v>
      </c>
      <c r="BU8" s="128">
        <v>0</v>
      </c>
      <c r="BV8" s="128">
        <v>0</v>
      </c>
      <c r="BW8" s="128">
        <v>0</v>
      </c>
      <c r="BX8" s="128">
        <v>0</v>
      </c>
      <c r="BY8" s="128">
        <v>0</v>
      </c>
      <c r="BZ8" s="128">
        <v>0.98352800000000695</v>
      </c>
      <c r="CA8" s="128">
        <v>0.30792800000000398</v>
      </c>
      <c r="CB8" s="128">
        <v>0</v>
      </c>
      <c r="CC8" s="128">
        <v>0</v>
      </c>
      <c r="CD8" s="128">
        <v>0</v>
      </c>
      <c r="CE8" s="128">
        <v>0</v>
      </c>
      <c r="CF8" s="128">
        <v>4.8180999999999599E-2</v>
      </c>
      <c r="CG8" s="128">
        <v>0</v>
      </c>
      <c r="CH8" s="128">
        <v>2.2502000000000199E-2</v>
      </c>
      <c r="CI8" s="128">
        <v>0</v>
      </c>
      <c r="CJ8" s="128">
        <v>0</v>
      </c>
      <c r="CK8" s="128">
        <v>0</v>
      </c>
      <c r="CL8" s="128">
        <v>0.20181199999999999</v>
      </c>
      <c r="CM8" s="128">
        <v>4.0661760000000404</v>
      </c>
      <c r="CN8" s="128">
        <v>4.5381999999999999E-2</v>
      </c>
      <c r="CO8" s="128">
        <v>0.58706800000000203</v>
      </c>
      <c r="CP8" s="128">
        <v>0</v>
      </c>
      <c r="CQ8" s="128">
        <v>0</v>
      </c>
      <c r="CR8" s="128">
        <v>0.107775</v>
      </c>
      <c r="CS8" s="128">
        <v>0</v>
      </c>
      <c r="CT8" s="128">
        <v>0.20339200000000801</v>
      </c>
      <c r="CU8" s="128">
        <v>0</v>
      </c>
      <c r="CV8" s="128">
        <v>1.86253750000001E-2</v>
      </c>
      <c r="CW8" s="128">
        <v>0</v>
      </c>
      <c r="CX8" s="128">
        <v>0.24176399999999601</v>
      </c>
      <c r="CY8" s="128">
        <v>1.4921999999999901E-2</v>
      </c>
      <c r="CZ8" s="128">
        <v>1.1968250000000199E-2</v>
      </c>
      <c r="DA8" s="128">
        <v>0.282640000000001</v>
      </c>
      <c r="DB8" s="128">
        <v>0.12628900000000201</v>
      </c>
      <c r="DC8" s="128">
        <v>9.1120000000017905E-3</v>
      </c>
      <c r="DD8" s="128">
        <v>2.1709812499999901E-2</v>
      </c>
      <c r="DE8" s="128">
        <v>0</v>
      </c>
      <c r="DF8" s="128">
        <v>0</v>
      </c>
      <c r="DG8" s="128">
        <v>0</v>
      </c>
      <c r="DH8" s="128">
        <v>7.1564999999997898E-3</v>
      </c>
      <c r="DI8" s="128">
        <v>5.3246720000000796</v>
      </c>
      <c r="DJ8" s="128">
        <v>0</v>
      </c>
      <c r="DK8" s="128">
        <v>6.5272000000000205E-2</v>
      </c>
      <c r="DL8" s="128">
        <v>1.9265999999999998E-2</v>
      </c>
      <c r="DM8" s="128">
        <v>4.4378000000000001E-2</v>
      </c>
      <c r="DN8" s="128">
        <v>1.93999999999916E-4</v>
      </c>
      <c r="DO8" s="128">
        <v>0.74768000000000301</v>
      </c>
      <c r="DP8" s="128">
        <v>3.5984500000000502E-2</v>
      </c>
      <c r="DQ8" s="128">
        <v>0</v>
      </c>
      <c r="DR8" s="128">
        <v>0</v>
      </c>
      <c r="DS8" s="128">
        <v>1.7312320000000301</v>
      </c>
      <c r="DT8" s="128">
        <v>0.40438399999999303</v>
      </c>
      <c r="DU8" s="128">
        <v>2.30309999999996E-2</v>
      </c>
      <c r="DV8" s="128">
        <v>7.0967500000001004E-3</v>
      </c>
      <c r="DW8" s="128">
        <v>0</v>
      </c>
      <c r="DX8" s="128">
        <v>0.15559049999999999</v>
      </c>
      <c r="DY8" s="128">
        <v>3.9664375000000298E-3</v>
      </c>
      <c r="DZ8" s="128">
        <v>0.10527800000000199</v>
      </c>
      <c r="EA8" s="128">
        <v>0</v>
      </c>
      <c r="EB8" s="128">
        <v>1.37750400000002</v>
      </c>
      <c r="EC8" s="128">
        <v>0.62014400000001002</v>
      </c>
      <c r="ED8" s="128">
        <v>3.9490250000000102E-2</v>
      </c>
      <c r="EE8" s="128">
        <v>2.1848499999999899E-2</v>
      </c>
      <c r="EF8" s="128">
        <v>8.9479659999997203</v>
      </c>
      <c r="EG8" s="128">
        <v>0</v>
      </c>
      <c r="EH8" s="128">
        <v>0.40287999999998197</v>
      </c>
      <c r="EI8" s="128">
        <v>0.52262400000006404</v>
      </c>
      <c r="EJ8" s="128">
        <v>3.61599999999953E-2</v>
      </c>
      <c r="EK8" s="128">
        <v>0</v>
      </c>
      <c r="EL8" s="128">
        <v>1.23904000000016</v>
      </c>
      <c r="EM8" s="128">
        <v>3.5013119999998699</v>
      </c>
      <c r="EN8" s="128">
        <v>1.27436799999987</v>
      </c>
      <c r="EO8" s="128">
        <v>0</v>
      </c>
      <c r="EP8" s="128">
        <v>0</v>
      </c>
      <c r="EQ8" s="128">
        <v>0</v>
      </c>
      <c r="ER8" s="129">
        <v>1.994629</v>
      </c>
      <c r="ES8" s="129">
        <v>0</v>
      </c>
      <c r="ET8" s="129">
        <v>0</v>
      </c>
      <c r="EU8" s="129">
        <v>0</v>
      </c>
      <c r="EV8" s="30">
        <v>0</v>
      </c>
      <c r="EW8" s="30">
        <v>0</v>
      </c>
      <c r="EX8" s="30">
        <v>0</v>
      </c>
      <c r="EY8" s="30">
        <v>0</v>
      </c>
      <c r="EZ8" s="30">
        <v>0</v>
      </c>
      <c r="FA8" s="30">
        <v>0</v>
      </c>
      <c r="FB8" s="30">
        <v>0</v>
      </c>
      <c r="FC8" s="30">
        <v>0</v>
      </c>
      <c r="FD8" s="30">
        <v>0</v>
      </c>
      <c r="FE8" s="30">
        <v>0</v>
      </c>
      <c r="FF8" s="30">
        <v>0</v>
      </c>
      <c r="FG8" s="30">
        <v>0</v>
      </c>
      <c r="FH8" s="30">
        <v>0</v>
      </c>
      <c r="FI8" s="30">
        <v>0</v>
      </c>
      <c r="FJ8" s="30">
        <v>0</v>
      </c>
      <c r="FK8" s="30">
        <v>0</v>
      </c>
      <c r="FL8" s="30">
        <v>0</v>
      </c>
      <c r="FM8" s="30">
        <v>0</v>
      </c>
      <c r="FN8" s="30">
        <v>0</v>
      </c>
      <c r="FO8" s="30">
        <v>0</v>
      </c>
      <c r="FP8" s="30">
        <v>0</v>
      </c>
      <c r="FQ8" s="30">
        <v>0</v>
      </c>
      <c r="FR8" s="30">
        <v>0</v>
      </c>
      <c r="FS8" s="30">
        <v>0</v>
      </c>
      <c r="FT8" s="30">
        <v>0</v>
      </c>
      <c r="FU8" s="30">
        <v>0</v>
      </c>
      <c r="FV8" s="30">
        <v>0</v>
      </c>
      <c r="FW8" s="30">
        <v>0</v>
      </c>
      <c r="FX8" s="30">
        <v>0</v>
      </c>
      <c r="FY8" s="30">
        <v>0</v>
      </c>
      <c r="FZ8" s="30">
        <v>0</v>
      </c>
      <c r="GA8" s="30">
        <v>0</v>
      </c>
      <c r="GB8" s="30">
        <v>0</v>
      </c>
      <c r="GC8" s="30">
        <v>0</v>
      </c>
      <c r="GD8" s="30">
        <v>0</v>
      </c>
      <c r="GE8" s="30">
        <v>0</v>
      </c>
      <c r="GF8" s="30">
        <v>0</v>
      </c>
      <c r="GG8" s="30">
        <v>0</v>
      </c>
      <c r="GH8" s="30">
        <v>0</v>
      </c>
      <c r="GI8" s="30">
        <v>0</v>
      </c>
      <c r="GJ8" s="30">
        <v>0</v>
      </c>
      <c r="GK8" s="30">
        <v>0</v>
      </c>
      <c r="GL8" s="30">
        <v>0</v>
      </c>
      <c r="GM8" s="30">
        <v>0</v>
      </c>
      <c r="GN8" s="30">
        <v>0</v>
      </c>
      <c r="GO8" s="30">
        <v>0</v>
      </c>
      <c r="GP8" s="30">
        <v>0</v>
      </c>
      <c r="GQ8" s="30">
        <v>0</v>
      </c>
      <c r="GR8" s="30">
        <v>0</v>
      </c>
      <c r="GS8" s="30">
        <v>0</v>
      </c>
    </row>
    <row r="9" spans="1:201" s="30" customFormat="1" ht="13" x14ac:dyDescent="0.25">
      <c r="A9" s="87">
        <v>3</v>
      </c>
      <c r="B9" s="128">
        <v>17.604749999999999</v>
      </c>
      <c r="C9" s="128">
        <v>6.3520390000000502</v>
      </c>
      <c r="D9" s="128">
        <v>6.6411210000000596</v>
      </c>
      <c r="E9" s="128">
        <v>0</v>
      </c>
      <c r="F9" s="128">
        <v>6.3104160000000302</v>
      </c>
      <c r="G9" s="128">
        <v>1.7058949999999999</v>
      </c>
      <c r="H9" s="128">
        <v>0.37467499999999998</v>
      </c>
      <c r="I9" s="128">
        <v>0.64582700000000004</v>
      </c>
      <c r="J9" s="128">
        <v>0.20646700000000001</v>
      </c>
      <c r="K9" s="128">
        <v>0</v>
      </c>
      <c r="L9" s="128">
        <v>4.8598000000000099E-2</v>
      </c>
      <c r="M9" s="128">
        <v>1.70316499999999</v>
      </c>
      <c r="N9" s="128">
        <v>2.9752869999999798</v>
      </c>
      <c r="O9" s="128">
        <v>2.97051199999999</v>
      </c>
      <c r="P9" s="128">
        <v>0.21279900000000401</v>
      </c>
      <c r="Q9" s="128">
        <v>6.1890559999992503</v>
      </c>
      <c r="R9" s="128">
        <v>6.5146879999992997</v>
      </c>
      <c r="S9" s="128">
        <v>0</v>
      </c>
      <c r="T9" s="128">
        <v>6.1337600000006196</v>
      </c>
      <c r="U9" s="128">
        <v>0.50228800000000695</v>
      </c>
      <c r="V9" s="128">
        <v>0.12228800000000099</v>
      </c>
      <c r="W9" s="128">
        <v>5.8008000000000899E-2</v>
      </c>
      <c r="X9" s="128">
        <v>7.4849999999999597E-2</v>
      </c>
      <c r="Y9" s="128">
        <v>0</v>
      </c>
      <c r="Z9" s="128">
        <v>4.9728000000000001E-2</v>
      </c>
      <c r="AA9" s="128">
        <v>0.11204599999999899</v>
      </c>
      <c r="AB9" s="128">
        <v>0.14488200000000301</v>
      </c>
      <c r="AC9" s="128">
        <v>9.5897999999998304E-2</v>
      </c>
      <c r="AD9" s="128">
        <v>4.8812500000000397E-2</v>
      </c>
      <c r="AE9" s="128">
        <v>6.0660999999999597E-2</v>
      </c>
      <c r="AF9" s="128">
        <v>0</v>
      </c>
      <c r="AG9" s="128">
        <v>1.13309999999998E-2</v>
      </c>
      <c r="AH9" s="128">
        <v>1.8739840000000101</v>
      </c>
      <c r="AI9" s="128">
        <v>0</v>
      </c>
      <c r="AJ9" s="128">
        <v>3.9760500000000802E-2</v>
      </c>
      <c r="AK9" s="128">
        <v>0</v>
      </c>
      <c r="AL9" s="128">
        <v>0.31319999999999498</v>
      </c>
      <c r="AM9" s="128">
        <v>0.44940800000000503</v>
      </c>
      <c r="AN9" s="128">
        <v>0.412351999999999</v>
      </c>
      <c r="AO9" s="128">
        <v>0.10613</v>
      </c>
      <c r="AP9" s="128">
        <v>8.0499999999997102E-2</v>
      </c>
      <c r="AQ9" s="128">
        <v>0.33355199999999702</v>
      </c>
      <c r="AR9" s="128">
        <v>4.9978560000000103</v>
      </c>
      <c r="AS9" s="128">
        <v>4.3688999999999603E-2</v>
      </c>
      <c r="AT9" s="128">
        <v>0</v>
      </c>
      <c r="AU9" s="128">
        <v>4.4083999999998E-2</v>
      </c>
      <c r="AV9" s="128">
        <v>2.8443499999999799E-2</v>
      </c>
      <c r="AW9" s="128">
        <v>1.88390400000003</v>
      </c>
      <c r="AX9" s="128">
        <v>0</v>
      </c>
      <c r="AY9" s="128">
        <v>5.13380000000003E-2</v>
      </c>
      <c r="AZ9" s="128">
        <v>0</v>
      </c>
      <c r="BA9" s="128">
        <v>0</v>
      </c>
      <c r="BB9" s="128">
        <v>0</v>
      </c>
      <c r="BC9" s="128">
        <v>0</v>
      </c>
      <c r="BD9" s="128">
        <v>2.6852500000000799E-3</v>
      </c>
      <c r="BE9" s="128">
        <v>0.27191199999999899</v>
      </c>
      <c r="BF9" s="128">
        <v>0</v>
      </c>
      <c r="BG9" s="128">
        <v>1.12670000000001E-2</v>
      </c>
      <c r="BH9" s="128">
        <v>1.7820000000000401E-2</v>
      </c>
      <c r="BI9" s="128">
        <v>2.3859679999999899</v>
      </c>
      <c r="BJ9" s="128">
        <v>1.4399999999881199E-4</v>
      </c>
      <c r="BK9" s="128">
        <v>4.5702000000000402E-2</v>
      </c>
      <c r="BL9" s="128">
        <v>8.8000000001642307E-5</v>
      </c>
      <c r="BM9" s="128">
        <v>1.72667200000001</v>
      </c>
      <c r="BN9" s="128">
        <v>0</v>
      </c>
      <c r="BO9" s="128">
        <v>4.2339000000000099E-2</v>
      </c>
      <c r="BP9" s="128">
        <v>0</v>
      </c>
      <c r="BQ9" s="128">
        <v>0</v>
      </c>
      <c r="BR9" s="128">
        <v>0</v>
      </c>
      <c r="BS9" s="128">
        <v>0</v>
      </c>
      <c r="BT9" s="128">
        <v>0.27489599999999798</v>
      </c>
      <c r="BU9" s="128">
        <v>0</v>
      </c>
      <c r="BV9" s="128">
        <v>0</v>
      </c>
      <c r="BW9" s="128">
        <v>0</v>
      </c>
      <c r="BX9" s="128">
        <v>0</v>
      </c>
      <c r="BY9" s="128">
        <v>0</v>
      </c>
      <c r="BZ9" s="128">
        <v>0.92685599999998702</v>
      </c>
      <c r="CA9" s="128">
        <v>0.286192</v>
      </c>
      <c r="CB9" s="128">
        <v>0</v>
      </c>
      <c r="CC9" s="128">
        <v>0</v>
      </c>
      <c r="CD9" s="128">
        <v>0</v>
      </c>
      <c r="CE9" s="128">
        <v>0</v>
      </c>
      <c r="CF9" s="128">
        <v>4.4890000000000499E-2</v>
      </c>
      <c r="CG9" s="128">
        <v>0</v>
      </c>
      <c r="CH9" s="128">
        <v>1.91262499999998E-2</v>
      </c>
      <c r="CI9" s="128">
        <v>0</v>
      </c>
      <c r="CJ9" s="128">
        <v>0</v>
      </c>
      <c r="CK9" s="128">
        <v>0</v>
      </c>
      <c r="CL9" s="128">
        <v>0.17868799999999799</v>
      </c>
      <c r="CM9" s="128">
        <v>3.8279680000000602</v>
      </c>
      <c r="CN9" s="128">
        <v>4.4058500000000202E-2</v>
      </c>
      <c r="CO9" s="128">
        <v>0.44995600000000002</v>
      </c>
      <c r="CP9" s="128">
        <v>0</v>
      </c>
      <c r="CQ9" s="128">
        <v>0</v>
      </c>
      <c r="CR9" s="128">
        <v>9.1118999999999103E-2</v>
      </c>
      <c r="CS9" s="128">
        <v>0</v>
      </c>
      <c r="CT9" s="128">
        <v>0.201515999999998</v>
      </c>
      <c r="CU9" s="128">
        <v>0</v>
      </c>
      <c r="CV9" s="128">
        <v>2.0615999999999999E-2</v>
      </c>
      <c r="CW9" s="128">
        <v>0</v>
      </c>
      <c r="CX9" s="128">
        <v>0.221972000000001</v>
      </c>
      <c r="CY9" s="128">
        <v>1.34890000000001E-2</v>
      </c>
      <c r="CZ9" s="128">
        <v>1.19482499999997E-2</v>
      </c>
      <c r="DA9" s="128">
        <v>0.29192800000000602</v>
      </c>
      <c r="DB9" s="128">
        <v>0.12020599999999999</v>
      </c>
      <c r="DC9" s="128">
        <v>1.1947999999996701E-2</v>
      </c>
      <c r="DD9" s="128">
        <v>2.1543375E-2</v>
      </c>
      <c r="DE9" s="128">
        <v>0</v>
      </c>
      <c r="DF9" s="128">
        <v>0</v>
      </c>
      <c r="DG9" s="128">
        <v>0</v>
      </c>
      <c r="DH9" s="128">
        <v>8.0075000000006096E-3</v>
      </c>
      <c r="DI9" s="128">
        <v>5.1778560000000198</v>
      </c>
      <c r="DJ9" s="128">
        <v>0</v>
      </c>
      <c r="DK9" s="128">
        <v>6.5044000000000296E-2</v>
      </c>
      <c r="DL9" s="128">
        <v>1.8892000000000998E-2</v>
      </c>
      <c r="DM9" s="128">
        <v>4.3361000000000899E-2</v>
      </c>
      <c r="DN9" s="128">
        <v>1.8750000000400399E-6</v>
      </c>
      <c r="DO9" s="128">
        <v>0.76158399999999904</v>
      </c>
      <c r="DP9" s="128">
        <v>4.2244499999999803E-2</v>
      </c>
      <c r="DQ9" s="128">
        <v>0</v>
      </c>
      <c r="DR9" s="128">
        <v>0</v>
      </c>
      <c r="DS9" s="128">
        <v>1.5808639999999601</v>
      </c>
      <c r="DT9" s="128">
        <v>0.40534400000001403</v>
      </c>
      <c r="DU9" s="128">
        <v>2.3330000000001402E-2</v>
      </c>
      <c r="DV9" s="128">
        <v>8.0132499999998608E-3</v>
      </c>
      <c r="DW9" s="128">
        <v>0</v>
      </c>
      <c r="DX9" s="128">
        <v>0.183674</v>
      </c>
      <c r="DY9" s="128">
        <v>3.3179687499999598E-3</v>
      </c>
      <c r="DZ9" s="128">
        <v>0.11866399999999901</v>
      </c>
      <c r="EA9" s="128">
        <v>0</v>
      </c>
      <c r="EB9" s="128">
        <v>1.377488</v>
      </c>
      <c r="EC9" s="128">
        <v>0.56094400000000599</v>
      </c>
      <c r="ED9" s="128">
        <v>3.9919750000000101E-2</v>
      </c>
      <c r="EE9" s="128">
        <v>1.9777000000000398E-2</v>
      </c>
      <c r="EF9" s="128">
        <v>7.9478920000001398</v>
      </c>
      <c r="EG9" s="128">
        <v>0</v>
      </c>
      <c r="EH9" s="128">
        <v>0.382207999999991</v>
      </c>
      <c r="EI9" s="128">
        <v>0.44940799999994901</v>
      </c>
      <c r="EJ9" s="128">
        <v>2.3680000000013E-2</v>
      </c>
      <c r="EK9" s="128">
        <v>0</v>
      </c>
      <c r="EL9" s="128">
        <v>7.1679999998650601E-3</v>
      </c>
      <c r="EM9" s="128">
        <v>3.2819199999999</v>
      </c>
      <c r="EN9" s="128">
        <v>1.6816640000001799</v>
      </c>
      <c r="EO9" s="128">
        <v>0</v>
      </c>
      <c r="EP9" s="128">
        <v>0</v>
      </c>
      <c r="EQ9" s="128">
        <v>0</v>
      </c>
      <c r="ER9" s="129">
        <v>2.1242020000000101</v>
      </c>
      <c r="ES9" s="129">
        <v>0</v>
      </c>
      <c r="ET9" s="129">
        <v>0</v>
      </c>
      <c r="EU9" s="129">
        <v>0</v>
      </c>
      <c r="EV9" s="30">
        <v>0</v>
      </c>
      <c r="EW9" s="30">
        <v>0</v>
      </c>
      <c r="EX9" s="30">
        <v>0</v>
      </c>
      <c r="EY9" s="30">
        <v>0</v>
      </c>
      <c r="EZ9" s="30">
        <v>0</v>
      </c>
      <c r="FA9" s="30">
        <v>0</v>
      </c>
      <c r="FB9" s="30">
        <v>0</v>
      </c>
      <c r="FC9" s="30">
        <v>0</v>
      </c>
      <c r="FD9" s="30">
        <v>0</v>
      </c>
      <c r="FE9" s="30">
        <v>0</v>
      </c>
      <c r="FF9" s="30">
        <v>0</v>
      </c>
      <c r="FG9" s="30">
        <v>0</v>
      </c>
      <c r="FH9" s="30">
        <v>0</v>
      </c>
      <c r="FI9" s="30">
        <v>0</v>
      </c>
      <c r="FJ9" s="30">
        <v>0</v>
      </c>
      <c r="FK9" s="30">
        <v>0</v>
      </c>
      <c r="FL9" s="30">
        <v>0</v>
      </c>
      <c r="FM9" s="30">
        <v>0</v>
      </c>
      <c r="FN9" s="30">
        <v>0</v>
      </c>
      <c r="FO9" s="30">
        <v>0</v>
      </c>
      <c r="FP9" s="30">
        <v>0</v>
      </c>
      <c r="FQ9" s="30">
        <v>0</v>
      </c>
      <c r="FR9" s="30">
        <v>0</v>
      </c>
      <c r="FS9" s="30">
        <v>0</v>
      </c>
      <c r="FT9" s="30">
        <v>0</v>
      </c>
      <c r="FU9" s="30">
        <v>0</v>
      </c>
      <c r="FV9" s="30">
        <v>0</v>
      </c>
      <c r="FW9" s="30">
        <v>0</v>
      </c>
      <c r="FX9" s="30">
        <v>0</v>
      </c>
      <c r="FY9" s="30">
        <v>0</v>
      </c>
      <c r="FZ9" s="30">
        <v>0</v>
      </c>
      <c r="GA9" s="30">
        <v>0</v>
      </c>
      <c r="GB9" s="30">
        <v>0</v>
      </c>
      <c r="GC9" s="30">
        <v>0</v>
      </c>
      <c r="GD9" s="30">
        <v>0</v>
      </c>
      <c r="GE9" s="30">
        <v>0</v>
      </c>
      <c r="GF9" s="30">
        <v>0</v>
      </c>
      <c r="GG9" s="30">
        <v>0</v>
      </c>
      <c r="GH9" s="30">
        <v>0</v>
      </c>
      <c r="GI9" s="30">
        <v>0</v>
      </c>
      <c r="GJ9" s="30">
        <v>0</v>
      </c>
      <c r="GK9" s="30">
        <v>0</v>
      </c>
      <c r="GL9" s="30">
        <v>0</v>
      </c>
      <c r="GM9" s="30">
        <v>0</v>
      </c>
      <c r="GN9" s="30">
        <v>0</v>
      </c>
      <c r="GO9" s="30">
        <v>0</v>
      </c>
      <c r="GP9" s="30">
        <v>0</v>
      </c>
      <c r="GQ9" s="30">
        <v>0</v>
      </c>
      <c r="GR9" s="30">
        <v>0</v>
      </c>
      <c r="GS9" s="30">
        <v>0</v>
      </c>
    </row>
    <row r="10" spans="1:201" s="30" customFormat="1" ht="13" x14ac:dyDescent="0.25">
      <c r="A10" s="87">
        <v>4</v>
      </c>
      <c r="B10" s="128">
        <v>17.876000000000001</v>
      </c>
      <c r="C10" s="128">
        <v>5.9006209999999397</v>
      </c>
      <c r="D10" s="128">
        <v>6.1726489999999803</v>
      </c>
      <c r="E10" s="128">
        <v>0</v>
      </c>
      <c r="F10" s="128">
        <v>5.8627520000000004</v>
      </c>
      <c r="G10" s="128">
        <v>0</v>
      </c>
      <c r="H10" s="128">
        <v>0</v>
      </c>
      <c r="I10" s="128">
        <v>0</v>
      </c>
      <c r="J10" s="128">
        <v>0</v>
      </c>
      <c r="K10" s="128">
        <v>0</v>
      </c>
      <c r="L10" s="128">
        <v>0</v>
      </c>
      <c r="M10" s="128">
        <v>0</v>
      </c>
      <c r="N10" s="128">
        <v>3.5916350000000001</v>
      </c>
      <c r="O10" s="128">
        <v>4.1061239999999097</v>
      </c>
      <c r="P10" s="128">
        <v>0.29871199999999498</v>
      </c>
      <c r="Q10" s="128">
        <v>5.7180159999989</v>
      </c>
      <c r="R10" s="128">
        <v>6.0088319999995301</v>
      </c>
      <c r="S10" s="128">
        <v>0</v>
      </c>
      <c r="T10" s="128">
        <v>5.6872960000000603</v>
      </c>
      <c r="U10" s="128">
        <v>0.49175199999999097</v>
      </c>
      <c r="V10" s="128">
        <v>0.123801999999998</v>
      </c>
      <c r="W10" s="128">
        <v>6.6499999999999601E-2</v>
      </c>
      <c r="X10" s="128">
        <v>8.0547000000001007E-2</v>
      </c>
      <c r="Y10" s="128">
        <v>0</v>
      </c>
      <c r="Z10" s="128">
        <v>5.0720999999999399E-2</v>
      </c>
      <c r="AA10" s="128">
        <v>0.11218399999999901</v>
      </c>
      <c r="AB10" s="128">
        <v>0.14723</v>
      </c>
      <c r="AC10" s="128">
        <v>9.7616000000002104E-2</v>
      </c>
      <c r="AD10" s="128">
        <v>5.2209499999999999E-2</v>
      </c>
      <c r="AE10" s="128">
        <v>6.3676000000000094E-2</v>
      </c>
      <c r="AF10" s="128">
        <v>0</v>
      </c>
      <c r="AG10" s="128">
        <v>1.45427499999999E-2</v>
      </c>
      <c r="AH10" s="128">
        <v>1.91430400000002</v>
      </c>
      <c r="AI10" s="128">
        <v>0</v>
      </c>
      <c r="AJ10" s="128">
        <v>4.5447999999999503E-2</v>
      </c>
      <c r="AK10" s="128">
        <v>0</v>
      </c>
      <c r="AL10" s="128">
        <v>0.32583999999999902</v>
      </c>
      <c r="AM10" s="128">
        <v>0.45747199999999599</v>
      </c>
      <c r="AN10" s="128">
        <v>0.41071999999999798</v>
      </c>
      <c r="AO10" s="128">
        <v>0.109127999999998</v>
      </c>
      <c r="AP10" s="128">
        <v>8.2252000000000394E-2</v>
      </c>
      <c r="AQ10" s="128">
        <v>0.33482800000000201</v>
      </c>
      <c r="AR10" s="128">
        <v>4.8586879999999697</v>
      </c>
      <c r="AS10" s="128">
        <v>3.6905E-2</v>
      </c>
      <c r="AT10" s="128">
        <v>0</v>
      </c>
      <c r="AU10" s="128">
        <v>4.3227999999999198E-2</v>
      </c>
      <c r="AV10" s="128">
        <v>2.8489500000000102E-2</v>
      </c>
      <c r="AW10" s="128">
        <v>1.91884799999991</v>
      </c>
      <c r="AX10" s="128">
        <v>0</v>
      </c>
      <c r="AY10" s="128">
        <v>5.6489499999999603E-2</v>
      </c>
      <c r="AZ10" s="128">
        <v>5.5000000003246896E-6</v>
      </c>
      <c r="BA10" s="128">
        <v>0</v>
      </c>
      <c r="BB10" s="128">
        <v>0</v>
      </c>
      <c r="BC10" s="128">
        <v>0</v>
      </c>
      <c r="BD10" s="128">
        <v>3.2986249999999999E-3</v>
      </c>
      <c r="BE10" s="128">
        <v>0.12595300000000101</v>
      </c>
      <c r="BF10" s="128">
        <v>0</v>
      </c>
      <c r="BG10" s="128">
        <v>1.0127999999999899E-2</v>
      </c>
      <c r="BH10" s="128">
        <v>1.0654000000002399E-2</v>
      </c>
      <c r="BI10" s="128">
        <v>2.3655520000000401</v>
      </c>
      <c r="BJ10" s="128">
        <v>2.0010000000034701E-3</v>
      </c>
      <c r="BK10" s="128">
        <v>5.3650499999999803E-2</v>
      </c>
      <c r="BL10" s="128">
        <v>3.1999999997367501E-5</v>
      </c>
      <c r="BM10" s="128">
        <v>1.83256</v>
      </c>
      <c r="BN10" s="128">
        <v>0</v>
      </c>
      <c r="BO10" s="128">
        <v>4.22769999999986E-2</v>
      </c>
      <c r="BP10" s="128">
        <v>0</v>
      </c>
      <c r="BQ10" s="128">
        <v>0</v>
      </c>
      <c r="BR10" s="128">
        <v>0</v>
      </c>
      <c r="BS10" s="128">
        <v>0</v>
      </c>
      <c r="BT10" s="128">
        <v>0.27310800000000102</v>
      </c>
      <c r="BU10" s="128">
        <v>0</v>
      </c>
      <c r="BV10" s="128">
        <v>0</v>
      </c>
      <c r="BW10" s="128">
        <v>0</v>
      </c>
      <c r="BX10" s="128">
        <v>0</v>
      </c>
      <c r="BY10" s="128">
        <v>0</v>
      </c>
      <c r="BZ10" s="128">
        <v>0.99520800000000498</v>
      </c>
      <c r="CA10" s="128">
        <v>0.316056000000003</v>
      </c>
      <c r="CB10" s="128">
        <v>0</v>
      </c>
      <c r="CC10" s="128">
        <v>0</v>
      </c>
      <c r="CD10" s="128">
        <v>0</v>
      </c>
      <c r="CE10" s="128">
        <v>0</v>
      </c>
      <c r="CF10" s="128">
        <v>3.7629000000000801E-2</v>
      </c>
      <c r="CG10" s="128">
        <v>0</v>
      </c>
      <c r="CH10" s="128">
        <v>3.1294250000000197E-2</v>
      </c>
      <c r="CI10" s="128">
        <v>0</v>
      </c>
      <c r="CJ10" s="128">
        <v>0</v>
      </c>
      <c r="CK10" s="128">
        <v>0</v>
      </c>
      <c r="CL10" s="128">
        <v>0.20203000000000099</v>
      </c>
      <c r="CM10" s="128">
        <v>3.9700479999999101</v>
      </c>
      <c r="CN10" s="128">
        <v>4.5799500000000201E-2</v>
      </c>
      <c r="CO10" s="128">
        <v>0.55444400000000404</v>
      </c>
      <c r="CP10" s="128">
        <v>0</v>
      </c>
      <c r="CQ10" s="128">
        <v>0</v>
      </c>
      <c r="CR10" s="128">
        <v>0.11056100000000101</v>
      </c>
      <c r="CS10" s="128">
        <v>0</v>
      </c>
      <c r="CT10" s="128">
        <v>0.20188399999999301</v>
      </c>
      <c r="CU10" s="128">
        <v>0</v>
      </c>
      <c r="CV10" s="128">
        <v>2.2150125E-2</v>
      </c>
      <c r="CW10" s="128">
        <v>0</v>
      </c>
      <c r="CX10" s="128">
        <v>0.217752000000004</v>
      </c>
      <c r="CY10" s="128">
        <v>9.1759999999998492E-3</v>
      </c>
      <c r="CZ10" s="128">
        <v>1.18947500000002E-2</v>
      </c>
      <c r="DA10" s="128">
        <v>0.28745199999999499</v>
      </c>
      <c r="DB10" s="128">
        <v>0.124323</v>
      </c>
      <c r="DC10" s="128">
        <v>0.113656000000006</v>
      </c>
      <c r="DD10" s="128">
        <v>1.65198750000001E-2</v>
      </c>
      <c r="DE10" s="128">
        <v>0</v>
      </c>
      <c r="DF10" s="128">
        <v>0</v>
      </c>
      <c r="DG10" s="128">
        <v>0</v>
      </c>
      <c r="DH10" s="128">
        <v>1.0394999999999901E-2</v>
      </c>
      <c r="DI10" s="128">
        <v>5.3452799999998897</v>
      </c>
      <c r="DJ10" s="128">
        <v>0</v>
      </c>
      <c r="DK10" s="128">
        <v>6.4270000000000493E-2</v>
      </c>
      <c r="DL10" s="128">
        <v>1.91169999999996E-2</v>
      </c>
      <c r="DM10" s="128">
        <v>4.7820999999999003E-2</v>
      </c>
      <c r="DN10" s="128">
        <v>0</v>
      </c>
      <c r="DO10" s="128">
        <v>0.80571199999999998</v>
      </c>
      <c r="DP10" s="128">
        <v>4.0714999999999599E-2</v>
      </c>
      <c r="DQ10" s="128">
        <v>0</v>
      </c>
      <c r="DR10" s="128">
        <v>0</v>
      </c>
      <c r="DS10" s="128">
        <v>1.63769600000001</v>
      </c>
      <c r="DT10" s="128">
        <v>0.40613600000000399</v>
      </c>
      <c r="DU10" s="128">
        <v>2.0111E-2</v>
      </c>
      <c r="DV10" s="128">
        <v>6.9712499999998699E-3</v>
      </c>
      <c r="DW10" s="128">
        <v>0</v>
      </c>
      <c r="DX10" s="128">
        <v>0.185289500000001</v>
      </c>
      <c r="DY10" s="128">
        <v>3.6475312500000002E-3</v>
      </c>
      <c r="DZ10" s="128">
        <v>0.101672000000001</v>
      </c>
      <c r="EA10" s="128">
        <v>0</v>
      </c>
      <c r="EB10" s="128">
        <v>1.44136</v>
      </c>
      <c r="EC10" s="128">
        <v>0.60204799999999603</v>
      </c>
      <c r="ED10" s="128">
        <v>3.14884999999996E-2</v>
      </c>
      <c r="EE10" s="128">
        <v>1.9370499999999999E-2</v>
      </c>
      <c r="EF10" s="128">
        <v>7.9501080000000002</v>
      </c>
      <c r="EG10" s="128">
        <v>0</v>
      </c>
      <c r="EH10" s="128">
        <v>0.41132800000002601</v>
      </c>
      <c r="EI10" s="128">
        <v>0.48063999999999402</v>
      </c>
      <c r="EJ10" s="128">
        <v>3.2703999999967003E-2</v>
      </c>
      <c r="EK10" s="128">
        <v>0</v>
      </c>
      <c r="EL10" s="128">
        <v>0.120959999999968</v>
      </c>
      <c r="EM10" s="128">
        <v>3.3886720000000401</v>
      </c>
      <c r="EN10" s="128">
        <v>1.66886400000021</v>
      </c>
      <c r="EO10" s="128">
        <v>0</v>
      </c>
      <c r="EP10" s="128">
        <v>0</v>
      </c>
      <c r="EQ10" s="128">
        <v>0</v>
      </c>
      <c r="ER10" s="129">
        <v>1.85330999999999</v>
      </c>
      <c r="ES10" s="129">
        <v>0</v>
      </c>
      <c r="ET10" s="129">
        <v>0</v>
      </c>
      <c r="EU10" s="129">
        <v>0</v>
      </c>
      <c r="EV10" s="30">
        <v>0</v>
      </c>
      <c r="EW10" s="30">
        <v>0</v>
      </c>
      <c r="EX10" s="30">
        <v>0</v>
      </c>
      <c r="EY10" s="30">
        <v>0</v>
      </c>
      <c r="EZ10" s="30">
        <v>0</v>
      </c>
      <c r="FA10" s="30">
        <v>0</v>
      </c>
      <c r="FB10" s="30">
        <v>0</v>
      </c>
      <c r="FC10" s="30">
        <v>0</v>
      </c>
      <c r="FD10" s="30">
        <v>0</v>
      </c>
      <c r="FE10" s="30">
        <v>0</v>
      </c>
      <c r="FF10" s="30">
        <v>0</v>
      </c>
      <c r="FG10" s="30">
        <v>0</v>
      </c>
      <c r="FH10" s="30">
        <v>0</v>
      </c>
      <c r="FI10" s="30">
        <v>0</v>
      </c>
      <c r="FJ10" s="30">
        <v>0</v>
      </c>
      <c r="FK10" s="30">
        <v>0</v>
      </c>
      <c r="FL10" s="30">
        <v>0</v>
      </c>
      <c r="FM10" s="30">
        <v>0</v>
      </c>
      <c r="FN10" s="30">
        <v>0</v>
      </c>
      <c r="FO10" s="30">
        <v>0</v>
      </c>
      <c r="FP10" s="30">
        <v>0</v>
      </c>
      <c r="FQ10" s="30">
        <v>0</v>
      </c>
      <c r="FR10" s="30">
        <v>0</v>
      </c>
      <c r="FS10" s="30">
        <v>0</v>
      </c>
      <c r="FT10" s="30">
        <v>0</v>
      </c>
      <c r="FU10" s="30">
        <v>0</v>
      </c>
      <c r="FV10" s="30">
        <v>0</v>
      </c>
      <c r="FW10" s="30">
        <v>0</v>
      </c>
      <c r="FX10" s="30">
        <v>0</v>
      </c>
      <c r="FY10" s="30">
        <v>0</v>
      </c>
      <c r="FZ10" s="30">
        <v>0</v>
      </c>
      <c r="GA10" s="30">
        <v>0</v>
      </c>
      <c r="GB10" s="30">
        <v>0</v>
      </c>
      <c r="GC10" s="30">
        <v>0</v>
      </c>
      <c r="GD10" s="30">
        <v>0</v>
      </c>
      <c r="GE10" s="30">
        <v>0</v>
      </c>
      <c r="GF10" s="30">
        <v>0</v>
      </c>
      <c r="GG10" s="30">
        <v>0</v>
      </c>
      <c r="GH10" s="30">
        <v>0</v>
      </c>
      <c r="GI10" s="30">
        <v>0</v>
      </c>
      <c r="GJ10" s="30">
        <v>0</v>
      </c>
      <c r="GK10" s="30">
        <v>0</v>
      </c>
      <c r="GL10" s="30">
        <v>0</v>
      </c>
      <c r="GM10" s="30">
        <v>0</v>
      </c>
      <c r="GN10" s="30">
        <v>0</v>
      </c>
      <c r="GO10" s="30">
        <v>0</v>
      </c>
      <c r="GP10" s="30">
        <v>0</v>
      </c>
      <c r="GQ10" s="30">
        <v>0</v>
      </c>
      <c r="GR10" s="30">
        <v>0</v>
      </c>
      <c r="GS10" s="30">
        <v>0</v>
      </c>
    </row>
    <row r="11" spans="1:201" s="30" customFormat="1" ht="13" x14ac:dyDescent="0.25">
      <c r="A11" s="87">
        <v>5</v>
      </c>
      <c r="B11" s="128">
        <v>17.007375</v>
      </c>
      <c r="C11" s="128">
        <v>5.5877660000000402</v>
      </c>
      <c r="D11" s="128">
        <v>5.8483269999999798</v>
      </c>
      <c r="E11" s="128">
        <v>0</v>
      </c>
      <c r="F11" s="128">
        <v>5.5612729999999697</v>
      </c>
      <c r="G11" s="128">
        <v>0</v>
      </c>
      <c r="H11" s="128">
        <v>0</v>
      </c>
      <c r="I11" s="128">
        <v>0</v>
      </c>
      <c r="J11" s="128">
        <v>0</v>
      </c>
      <c r="K11" s="128">
        <v>0</v>
      </c>
      <c r="L11" s="128">
        <v>0</v>
      </c>
      <c r="M11" s="128">
        <v>0</v>
      </c>
      <c r="N11" s="128">
        <v>5.1853289999999097</v>
      </c>
      <c r="O11" s="128">
        <v>5.0786840000000701</v>
      </c>
      <c r="P11" s="128">
        <v>0.35817000000000099</v>
      </c>
      <c r="Q11" s="128">
        <v>5.44153600000209</v>
      </c>
      <c r="R11" s="128">
        <v>5.71596800000043</v>
      </c>
      <c r="S11" s="128">
        <v>0</v>
      </c>
      <c r="T11" s="128">
        <v>5.4169600000022902</v>
      </c>
      <c r="U11" s="128">
        <v>0.45230400000001197</v>
      </c>
      <c r="V11" s="128">
        <v>0.120260000000002</v>
      </c>
      <c r="W11" s="128">
        <v>7.1260999999999797E-2</v>
      </c>
      <c r="X11" s="128">
        <v>7.9757999999999996E-2</v>
      </c>
      <c r="Y11" s="128">
        <v>0</v>
      </c>
      <c r="Z11" s="128">
        <v>4.0611999999999399E-2</v>
      </c>
      <c r="AA11" s="128">
        <v>0.110950000000003</v>
      </c>
      <c r="AB11" s="128">
        <v>0.150527999999998</v>
      </c>
      <c r="AC11" s="128">
        <v>0.110948</v>
      </c>
      <c r="AD11" s="128">
        <v>5.07849999999994E-2</v>
      </c>
      <c r="AE11" s="128">
        <v>9.0038500000000396E-2</v>
      </c>
      <c r="AF11" s="128">
        <v>0</v>
      </c>
      <c r="AG11" s="128">
        <v>1.35175000000003E-2</v>
      </c>
      <c r="AH11" s="128">
        <v>1.8588479999999701</v>
      </c>
      <c r="AI11" s="128">
        <v>0</v>
      </c>
      <c r="AJ11" s="128">
        <v>4.16559999999997E-2</v>
      </c>
      <c r="AK11" s="128">
        <v>0</v>
      </c>
      <c r="AL11" s="128">
        <v>0.31445599999999302</v>
      </c>
      <c r="AM11" s="128">
        <v>0.45679200000000703</v>
      </c>
      <c r="AN11" s="128">
        <v>0.38635200000000203</v>
      </c>
      <c r="AO11" s="128">
        <v>0.101863999999999</v>
      </c>
      <c r="AP11" s="128">
        <v>8.4683999999999302E-2</v>
      </c>
      <c r="AQ11" s="128">
        <v>0.33294800000000202</v>
      </c>
      <c r="AR11" s="128">
        <v>5.1368320000000303</v>
      </c>
      <c r="AS11" s="128">
        <v>4.3492500000000198E-2</v>
      </c>
      <c r="AT11" s="128">
        <v>0</v>
      </c>
      <c r="AU11" s="128">
        <v>4.40560000000048E-2</v>
      </c>
      <c r="AV11" s="128">
        <v>2.20560000000001E-2</v>
      </c>
      <c r="AW11" s="128">
        <v>2.2730240000000799</v>
      </c>
      <c r="AX11" s="128">
        <v>0</v>
      </c>
      <c r="AY11" s="128">
        <v>6.3349000000000502E-2</v>
      </c>
      <c r="AZ11" s="128">
        <v>0</v>
      </c>
      <c r="BA11" s="128">
        <v>0</v>
      </c>
      <c r="BB11" s="128">
        <v>0</v>
      </c>
      <c r="BC11" s="128">
        <v>0</v>
      </c>
      <c r="BD11" s="128">
        <v>3.8736249999999899E-3</v>
      </c>
      <c r="BE11" s="128">
        <v>0.122389999999999</v>
      </c>
      <c r="BF11" s="128">
        <v>0</v>
      </c>
      <c r="BG11" s="128">
        <v>1.01800000000001E-2</v>
      </c>
      <c r="BH11" s="128">
        <v>1.9477999999999399E-2</v>
      </c>
      <c r="BI11" s="128">
        <v>2.2839679999999598</v>
      </c>
      <c r="BJ11" s="128">
        <v>9.1099999999855197E-4</v>
      </c>
      <c r="BK11" s="128">
        <v>4.9101000000000297E-2</v>
      </c>
      <c r="BL11" s="128">
        <v>1.5800000000254499E-4</v>
      </c>
      <c r="BM11" s="128">
        <v>1.6988479999999999</v>
      </c>
      <c r="BN11" s="128">
        <v>0</v>
      </c>
      <c r="BO11" s="128">
        <v>4.2193000000001001E-2</v>
      </c>
      <c r="BP11" s="128">
        <v>0</v>
      </c>
      <c r="BQ11" s="128">
        <v>0</v>
      </c>
      <c r="BR11" s="128">
        <v>0</v>
      </c>
      <c r="BS11" s="128">
        <v>0</v>
      </c>
      <c r="BT11" s="128">
        <v>0.22426800000000199</v>
      </c>
      <c r="BU11" s="128">
        <v>0</v>
      </c>
      <c r="BV11" s="128">
        <v>0</v>
      </c>
      <c r="BW11" s="128">
        <v>0</v>
      </c>
      <c r="BX11" s="128">
        <v>0</v>
      </c>
      <c r="BY11" s="128">
        <v>0</v>
      </c>
      <c r="BZ11" s="128">
        <v>0.98096800000000395</v>
      </c>
      <c r="CA11" s="128">
        <v>0.29116799999999898</v>
      </c>
      <c r="CB11" s="128">
        <v>0</v>
      </c>
      <c r="CC11" s="128">
        <v>0</v>
      </c>
      <c r="CD11" s="128">
        <v>0</v>
      </c>
      <c r="CE11" s="128">
        <v>0</v>
      </c>
      <c r="CF11" s="128">
        <v>3.8691999999999303E-2</v>
      </c>
      <c r="CG11" s="128">
        <v>0</v>
      </c>
      <c r="CH11" s="128">
        <v>2.5607499999997802E-3</v>
      </c>
      <c r="CI11" s="128">
        <v>0</v>
      </c>
      <c r="CJ11" s="128">
        <v>0</v>
      </c>
      <c r="CK11" s="128">
        <v>0</v>
      </c>
      <c r="CL11" s="128">
        <v>0.16237600000000199</v>
      </c>
      <c r="CM11" s="128">
        <v>4.28287999999998</v>
      </c>
      <c r="CN11" s="128">
        <v>4.14334999999992E-2</v>
      </c>
      <c r="CO11" s="128">
        <v>0.63020799999999599</v>
      </c>
      <c r="CP11" s="128">
        <v>0</v>
      </c>
      <c r="CQ11" s="128">
        <v>0</v>
      </c>
      <c r="CR11" s="128">
        <v>0.119266</v>
      </c>
      <c r="CS11" s="128">
        <v>0</v>
      </c>
      <c r="CT11" s="128">
        <v>0.181148000000007</v>
      </c>
      <c r="CU11" s="128">
        <v>0</v>
      </c>
      <c r="CV11" s="128">
        <v>2.2287250000000002E-2</v>
      </c>
      <c r="CW11" s="128">
        <v>0</v>
      </c>
      <c r="CX11" s="128">
        <v>0.230123999999996</v>
      </c>
      <c r="CY11" s="128">
        <v>1.39469999999999E-2</v>
      </c>
      <c r="CZ11" s="128">
        <v>1.19807500000002E-2</v>
      </c>
      <c r="DA11" s="128">
        <v>0.2515</v>
      </c>
      <c r="DB11" s="128">
        <v>0.129574999999999</v>
      </c>
      <c r="DC11" s="128">
        <v>0.15444000000000099</v>
      </c>
      <c r="DD11" s="128">
        <v>2.1360312499999898E-2</v>
      </c>
      <c r="DE11" s="128">
        <v>0</v>
      </c>
      <c r="DF11" s="128">
        <v>0</v>
      </c>
      <c r="DG11" s="128">
        <v>0</v>
      </c>
      <c r="DH11" s="128">
        <v>1.1283499999999299E-2</v>
      </c>
      <c r="DI11" s="128">
        <v>5.3171200000000498</v>
      </c>
      <c r="DJ11" s="128">
        <v>0</v>
      </c>
      <c r="DK11" s="128">
        <v>6.3748000000000402E-2</v>
      </c>
      <c r="DL11" s="128">
        <v>1.8157000000000399E-2</v>
      </c>
      <c r="DM11" s="128">
        <v>4.5391000000000403E-2</v>
      </c>
      <c r="DN11" s="128">
        <v>2.9550000000000398E-4</v>
      </c>
      <c r="DO11" s="128">
        <v>0.81380799999999498</v>
      </c>
      <c r="DP11" s="128">
        <v>4.0376000000000203E-2</v>
      </c>
      <c r="DQ11" s="128">
        <v>0</v>
      </c>
      <c r="DR11" s="128">
        <v>0</v>
      </c>
      <c r="DS11" s="128">
        <v>1.5929600000000099</v>
      </c>
      <c r="DT11" s="128">
        <v>0.40033599999998198</v>
      </c>
      <c r="DU11" s="128">
        <v>1.2910999999999E-2</v>
      </c>
      <c r="DV11" s="128">
        <v>8.1832500000000898E-3</v>
      </c>
      <c r="DW11" s="128">
        <v>0</v>
      </c>
      <c r="DX11" s="128">
        <v>0.18015900000000001</v>
      </c>
      <c r="DY11" s="128">
        <v>3.60537500000002E-3</v>
      </c>
      <c r="DZ11" s="128">
        <v>0.10370599999999899</v>
      </c>
      <c r="EA11" s="128">
        <v>0</v>
      </c>
      <c r="EB11" s="128">
        <v>1.434944</v>
      </c>
      <c r="EC11" s="128">
        <v>0.62281600000000004</v>
      </c>
      <c r="ED11" s="128">
        <v>3.7994250000000097E-2</v>
      </c>
      <c r="EE11" s="128">
        <v>2.0474499999999701E-2</v>
      </c>
      <c r="EF11" s="128">
        <v>9.2183190000005197</v>
      </c>
      <c r="EG11" s="128">
        <v>0</v>
      </c>
      <c r="EH11" s="128">
        <v>0.41222400000003701</v>
      </c>
      <c r="EI11" s="128">
        <v>0.61996799999997199</v>
      </c>
      <c r="EJ11" s="128">
        <v>3.9904000000035501E-2</v>
      </c>
      <c r="EK11" s="128">
        <v>0</v>
      </c>
      <c r="EL11" s="128">
        <v>5.1200000000335404E-3</v>
      </c>
      <c r="EM11" s="128">
        <v>3.6451839999999698</v>
      </c>
      <c r="EN11" s="128">
        <v>1.8370559999998499</v>
      </c>
      <c r="EO11" s="128">
        <v>0.62566400000002897</v>
      </c>
      <c r="EP11" s="128">
        <v>0</v>
      </c>
      <c r="EQ11" s="128">
        <v>0</v>
      </c>
      <c r="ER11" s="129">
        <v>2.0414530000000002</v>
      </c>
      <c r="ES11" s="129">
        <v>0</v>
      </c>
      <c r="ET11" s="129">
        <v>0</v>
      </c>
      <c r="EU11" s="129">
        <v>0</v>
      </c>
      <c r="EV11" s="30">
        <v>0</v>
      </c>
      <c r="EW11" s="30">
        <v>0</v>
      </c>
      <c r="EX11" s="30">
        <v>0</v>
      </c>
      <c r="EY11" s="30">
        <v>0</v>
      </c>
      <c r="EZ11" s="30">
        <v>0</v>
      </c>
      <c r="FA11" s="30">
        <v>0</v>
      </c>
      <c r="FB11" s="30">
        <v>0</v>
      </c>
      <c r="FC11" s="30">
        <v>0</v>
      </c>
      <c r="FD11" s="30">
        <v>0</v>
      </c>
      <c r="FE11" s="30">
        <v>0</v>
      </c>
      <c r="FF11" s="30">
        <v>0</v>
      </c>
      <c r="FG11" s="30">
        <v>0</v>
      </c>
      <c r="FH11" s="30">
        <v>0</v>
      </c>
      <c r="FI11" s="30">
        <v>0</v>
      </c>
      <c r="FJ11" s="30">
        <v>0</v>
      </c>
      <c r="FK11" s="30">
        <v>0</v>
      </c>
      <c r="FL11" s="30">
        <v>0</v>
      </c>
      <c r="FM11" s="30">
        <v>0</v>
      </c>
      <c r="FN11" s="30">
        <v>0</v>
      </c>
      <c r="FO11" s="30">
        <v>0</v>
      </c>
      <c r="FP11" s="30">
        <v>0</v>
      </c>
      <c r="FQ11" s="30">
        <v>0</v>
      </c>
      <c r="FR11" s="30">
        <v>0</v>
      </c>
      <c r="FS11" s="30">
        <v>0</v>
      </c>
      <c r="FT11" s="30">
        <v>0</v>
      </c>
      <c r="FU11" s="30">
        <v>0</v>
      </c>
      <c r="FV11" s="30">
        <v>0</v>
      </c>
      <c r="FW11" s="30">
        <v>0</v>
      </c>
      <c r="FX11" s="30">
        <v>0</v>
      </c>
      <c r="FY11" s="30">
        <v>0</v>
      </c>
      <c r="FZ11" s="30">
        <v>0</v>
      </c>
      <c r="GA11" s="30">
        <v>0</v>
      </c>
      <c r="GB11" s="30">
        <v>0</v>
      </c>
      <c r="GC11" s="30">
        <v>0</v>
      </c>
      <c r="GD11" s="30">
        <v>0</v>
      </c>
      <c r="GE11" s="30">
        <v>0</v>
      </c>
      <c r="GF11" s="30">
        <v>0</v>
      </c>
      <c r="GG11" s="30">
        <v>0</v>
      </c>
      <c r="GH11" s="30">
        <v>0</v>
      </c>
      <c r="GI11" s="30">
        <v>0</v>
      </c>
      <c r="GJ11" s="30">
        <v>0</v>
      </c>
      <c r="GK11" s="30">
        <v>0</v>
      </c>
      <c r="GL11" s="30">
        <v>0</v>
      </c>
      <c r="GM11" s="30">
        <v>0</v>
      </c>
      <c r="GN11" s="30">
        <v>0</v>
      </c>
      <c r="GO11" s="30">
        <v>0</v>
      </c>
      <c r="GP11" s="30">
        <v>0</v>
      </c>
      <c r="GQ11" s="30">
        <v>0</v>
      </c>
      <c r="GR11" s="30">
        <v>0</v>
      </c>
      <c r="GS11" s="30">
        <v>0</v>
      </c>
    </row>
    <row r="12" spans="1:201" s="30" customFormat="1" ht="13" x14ac:dyDescent="0.25">
      <c r="A12" s="87">
        <v>6</v>
      </c>
      <c r="B12" s="128">
        <v>21.329499999999999</v>
      </c>
      <c r="C12" s="128">
        <v>7.0232219999999801</v>
      </c>
      <c r="D12" s="128">
        <v>7.3347600000000197</v>
      </c>
      <c r="E12" s="128">
        <v>0</v>
      </c>
      <c r="F12" s="128">
        <v>6.9555290000000101</v>
      </c>
      <c r="G12" s="128">
        <v>0</v>
      </c>
      <c r="H12" s="128">
        <v>0</v>
      </c>
      <c r="I12" s="128">
        <v>0</v>
      </c>
      <c r="J12" s="128">
        <v>0</v>
      </c>
      <c r="K12" s="128">
        <v>0</v>
      </c>
      <c r="L12" s="128">
        <v>0</v>
      </c>
      <c r="M12" s="128">
        <v>0</v>
      </c>
      <c r="N12" s="128">
        <v>3.9998209999999998</v>
      </c>
      <c r="O12" s="128">
        <v>4.9926990000000204</v>
      </c>
      <c r="P12" s="128">
        <v>0.34160599999999902</v>
      </c>
      <c r="Q12" s="128">
        <v>6.8505599999989499</v>
      </c>
      <c r="R12" s="128">
        <v>7.1598080000003401</v>
      </c>
      <c r="S12" s="128">
        <v>0</v>
      </c>
      <c r="T12" s="128">
        <v>6.7809279999964902</v>
      </c>
      <c r="U12" s="128">
        <v>0.47173599999999299</v>
      </c>
      <c r="V12" s="128">
        <v>0.121753999999999</v>
      </c>
      <c r="W12" s="128">
        <v>6.2485999999999799E-2</v>
      </c>
      <c r="X12" s="128">
        <v>7.7233999999998901E-2</v>
      </c>
      <c r="Y12" s="128">
        <v>0</v>
      </c>
      <c r="Z12" s="128">
        <v>4.7367000000001297E-2</v>
      </c>
      <c r="AA12" s="128">
        <v>0.113028</v>
      </c>
      <c r="AB12" s="128">
        <v>0.15610400000000299</v>
      </c>
      <c r="AC12" s="128">
        <v>0.116228</v>
      </c>
      <c r="AD12" s="128">
        <v>5.0034000000000099E-2</v>
      </c>
      <c r="AE12" s="128">
        <v>0.1153435</v>
      </c>
      <c r="AF12" s="128">
        <v>0</v>
      </c>
      <c r="AG12" s="128">
        <v>1.4107249999999899E-2</v>
      </c>
      <c r="AH12" s="128">
        <v>1.903008</v>
      </c>
      <c r="AI12" s="128">
        <v>0</v>
      </c>
      <c r="AJ12" s="128">
        <v>4.5196500000000299E-2</v>
      </c>
      <c r="AK12" s="128">
        <v>0</v>
      </c>
      <c r="AL12" s="128">
        <v>0.32163200000000802</v>
      </c>
      <c r="AM12" s="128">
        <v>0.482399999999998</v>
      </c>
      <c r="AN12" s="128">
        <v>0.38578400000000101</v>
      </c>
      <c r="AO12" s="128">
        <v>0.108913999999999</v>
      </c>
      <c r="AP12" s="128">
        <v>8.3899999999999905E-2</v>
      </c>
      <c r="AQ12" s="128">
        <v>0.33371600000000301</v>
      </c>
      <c r="AR12" s="128">
        <v>5.2995839999999799</v>
      </c>
      <c r="AS12" s="128">
        <v>5.9079999999999799E-2</v>
      </c>
      <c r="AT12" s="128">
        <v>0</v>
      </c>
      <c r="AU12" s="128">
        <v>4.31319999999999E-2</v>
      </c>
      <c r="AV12" s="128">
        <v>4.4909500000000199E-2</v>
      </c>
      <c r="AW12" s="128">
        <v>2.3000319999999901</v>
      </c>
      <c r="AX12" s="128">
        <v>0</v>
      </c>
      <c r="AY12" s="128">
        <v>6.4871000000000095E-2</v>
      </c>
      <c r="AZ12" s="128">
        <v>6.49999999957629E-6</v>
      </c>
      <c r="BA12" s="128">
        <v>0</v>
      </c>
      <c r="BB12" s="128">
        <v>0</v>
      </c>
      <c r="BC12" s="128">
        <v>0</v>
      </c>
      <c r="BD12" s="128">
        <v>3.8343749999998301E-3</v>
      </c>
      <c r="BE12" s="128">
        <v>0.118732000000001</v>
      </c>
      <c r="BF12" s="128">
        <v>0</v>
      </c>
      <c r="BG12" s="128">
        <v>1.13730000000007E-2</v>
      </c>
      <c r="BH12" s="128">
        <v>1.8867999999997699E-2</v>
      </c>
      <c r="BI12" s="128">
        <v>2.3779360000000298</v>
      </c>
      <c r="BJ12" s="128">
        <v>3.3039999999999702E-3</v>
      </c>
      <c r="BK12" s="128">
        <v>4.2657000000000202E-2</v>
      </c>
      <c r="BL12" s="128">
        <v>1.3999999999825301E-4</v>
      </c>
      <c r="BM12" s="128">
        <v>1.81753599999999</v>
      </c>
      <c r="BN12" s="128">
        <v>0</v>
      </c>
      <c r="BO12" s="128">
        <v>4.1916000000000501E-2</v>
      </c>
      <c r="BP12" s="128">
        <v>0</v>
      </c>
      <c r="BQ12" s="128">
        <v>0</v>
      </c>
      <c r="BR12" s="128">
        <v>0</v>
      </c>
      <c r="BS12" s="128">
        <v>0</v>
      </c>
      <c r="BT12" s="128">
        <v>0.26191599999999898</v>
      </c>
      <c r="BU12" s="128">
        <v>0</v>
      </c>
      <c r="BV12" s="128">
        <v>0</v>
      </c>
      <c r="BW12" s="128">
        <v>0</v>
      </c>
      <c r="BX12" s="128">
        <v>0</v>
      </c>
      <c r="BY12" s="128">
        <v>0</v>
      </c>
      <c r="BZ12" s="128">
        <v>0.97492799999999102</v>
      </c>
      <c r="CA12" s="128">
        <v>0.32083199999999601</v>
      </c>
      <c r="CB12" s="128">
        <v>0</v>
      </c>
      <c r="CC12" s="128">
        <v>0</v>
      </c>
      <c r="CD12" s="128">
        <v>0</v>
      </c>
      <c r="CE12" s="128">
        <v>0</v>
      </c>
      <c r="CF12" s="128">
        <v>6.9919999999999802E-2</v>
      </c>
      <c r="CG12" s="128">
        <v>0</v>
      </c>
      <c r="CH12" s="128">
        <v>2.10325000000022E-3</v>
      </c>
      <c r="CI12" s="128">
        <v>0</v>
      </c>
      <c r="CJ12" s="128">
        <v>0</v>
      </c>
      <c r="CK12" s="128">
        <v>0</v>
      </c>
      <c r="CL12" s="128">
        <v>0.15827999999999801</v>
      </c>
      <c r="CM12" s="128">
        <v>4.5890560000000296</v>
      </c>
      <c r="CN12" s="128">
        <v>4.3082500000000599E-2</v>
      </c>
      <c r="CO12" s="128">
        <v>0.65812799999999805</v>
      </c>
      <c r="CP12" s="128">
        <v>0</v>
      </c>
      <c r="CQ12" s="128">
        <v>0</v>
      </c>
      <c r="CR12" s="128">
        <v>0.13753899999999999</v>
      </c>
      <c r="CS12" s="128">
        <v>0</v>
      </c>
      <c r="CT12" s="128">
        <v>0.117872000000006</v>
      </c>
      <c r="CU12" s="128">
        <v>0</v>
      </c>
      <c r="CV12" s="128">
        <v>2.1482750000000099E-2</v>
      </c>
      <c r="CW12" s="128">
        <v>0</v>
      </c>
      <c r="CX12" s="128">
        <v>0.258720000000004</v>
      </c>
      <c r="CY12" s="128">
        <v>1.6941999999999999E-2</v>
      </c>
      <c r="CZ12" s="128">
        <v>1.2067E-2</v>
      </c>
      <c r="DA12" s="128">
        <v>0.278635999999999</v>
      </c>
      <c r="DB12" s="128">
        <v>0.131135</v>
      </c>
      <c r="DC12" s="128">
        <v>0.19176399999999899</v>
      </c>
      <c r="DD12" s="128">
        <v>2.54934375E-2</v>
      </c>
      <c r="DE12" s="128">
        <v>0</v>
      </c>
      <c r="DF12" s="128">
        <v>0</v>
      </c>
      <c r="DG12" s="128">
        <v>0</v>
      </c>
      <c r="DH12" s="128">
        <v>1.1339500000000099E-2</v>
      </c>
      <c r="DI12" s="128">
        <v>5.0567039999999697</v>
      </c>
      <c r="DJ12" s="128">
        <v>0</v>
      </c>
      <c r="DK12" s="128">
        <v>6.4025999999998404E-2</v>
      </c>
      <c r="DL12" s="128">
        <v>1.93709999999996E-2</v>
      </c>
      <c r="DM12" s="128">
        <v>4.2628000000000603E-2</v>
      </c>
      <c r="DN12" s="128">
        <v>0</v>
      </c>
      <c r="DO12" s="128">
        <v>0.78995199999999999</v>
      </c>
      <c r="DP12" s="128">
        <v>4.3953000000000103E-2</v>
      </c>
      <c r="DQ12" s="128">
        <v>0</v>
      </c>
      <c r="DR12" s="128">
        <v>0</v>
      </c>
      <c r="DS12" s="128">
        <v>1.4734720000000201</v>
      </c>
      <c r="DT12" s="128">
        <v>0.40072800000001502</v>
      </c>
      <c r="DU12" s="128">
        <v>2.0995000000000999E-2</v>
      </c>
      <c r="DV12" s="128">
        <v>9.1487500000000405E-3</v>
      </c>
      <c r="DW12" s="128">
        <v>0</v>
      </c>
      <c r="DX12" s="128">
        <v>0.1881275</v>
      </c>
      <c r="DY12" s="128">
        <v>4.8679062499999998E-3</v>
      </c>
      <c r="DZ12" s="128">
        <v>0.106929999999998</v>
      </c>
      <c r="EA12" s="128">
        <v>0</v>
      </c>
      <c r="EB12" s="128">
        <v>1.28177599999998</v>
      </c>
      <c r="EC12" s="128">
        <v>0.63319999999998799</v>
      </c>
      <c r="ED12" s="128">
        <v>2.9804500000000001E-2</v>
      </c>
      <c r="EE12" s="128">
        <v>2.17675000000002E-2</v>
      </c>
      <c r="EF12" s="128">
        <v>11.867503000000401</v>
      </c>
      <c r="EG12" s="128">
        <v>0</v>
      </c>
      <c r="EH12" s="128">
        <v>0.50886400000001697</v>
      </c>
      <c r="EI12" s="128">
        <v>0.72550400000000104</v>
      </c>
      <c r="EJ12" s="128">
        <v>4.1183999999987002E-2</v>
      </c>
      <c r="EK12" s="128">
        <v>0</v>
      </c>
      <c r="EL12" s="128">
        <v>2.6224640000000399</v>
      </c>
      <c r="EM12" s="128">
        <v>2.36416000000008</v>
      </c>
      <c r="EN12" s="128">
        <v>2.0441599999999198</v>
      </c>
      <c r="EO12" s="128">
        <v>1.1607679999999601</v>
      </c>
      <c r="EP12" s="128">
        <v>0</v>
      </c>
      <c r="EQ12" s="128">
        <v>0</v>
      </c>
      <c r="ER12" s="129">
        <v>2.4303349999999999</v>
      </c>
      <c r="ES12" s="129">
        <v>0</v>
      </c>
      <c r="ET12" s="129">
        <v>0</v>
      </c>
      <c r="EU12" s="129">
        <v>0</v>
      </c>
      <c r="EV12" s="30">
        <v>0</v>
      </c>
      <c r="EW12" s="30">
        <v>0</v>
      </c>
      <c r="EX12" s="30">
        <v>0</v>
      </c>
      <c r="EY12" s="30">
        <v>0</v>
      </c>
      <c r="EZ12" s="30">
        <v>0</v>
      </c>
      <c r="FA12" s="30">
        <v>0</v>
      </c>
      <c r="FB12" s="30">
        <v>0</v>
      </c>
      <c r="FC12" s="30">
        <v>0</v>
      </c>
      <c r="FD12" s="30">
        <v>0</v>
      </c>
      <c r="FE12" s="30">
        <v>0</v>
      </c>
      <c r="FF12" s="30">
        <v>0</v>
      </c>
      <c r="FG12" s="30">
        <v>0</v>
      </c>
      <c r="FH12" s="30">
        <v>0</v>
      </c>
      <c r="FI12" s="30">
        <v>0</v>
      </c>
      <c r="FJ12" s="30">
        <v>0</v>
      </c>
      <c r="FK12" s="30">
        <v>0</v>
      </c>
      <c r="FL12" s="30">
        <v>0</v>
      </c>
      <c r="FM12" s="30">
        <v>0</v>
      </c>
      <c r="FN12" s="30">
        <v>0</v>
      </c>
      <c r="FO12" s="30">
        <v>0</v>
      </c>
      <c r="FP12" s="30">
        <v>0</v>
      </c>
      <c r="FQ12" s="30">
        <v>0</v>
      </c>
      <c r="FR12" s="30">
        <v>0</v>
      </c>
      <c r="FS12" s="30">
        <v>0</v>
      </c>
      <c r="FT12" s="30">
        <v>0</v>
      </c>
      <c r="FU12" s="30">
        <v>0</v>
      </c>
      <c r="FV12" s="30">
        <v>0</v>
      </c>
      <c r="FW12" s="30">
        <v>0</v>
      </c>
      <c r="FX12" s="30">
        <v>0</v>
      </c>
      <c r="FY12" s="30">
        <v>0</v>
      </c>
      <c r="FZ12" s="30">
        <v>0</v>
      </c>
      <c r="GA12" s="30">
        <v>0</v>
      </c>
      <c r="GB12" s="30">
        <v>0</v>
      </c>
      <c r="GC12" s="30">
        <v>0</v>
      </c>
      <c r="GD12" s="30">
        <v>0</v>
      </c>
      <c r="GE12" s="30">
        <v>0</v>
      </c>
      <c r="GF12" s="30">
        <v>0</v>
      </c>
      <c r="GG12" s="30">
        <v>0</v>
      </c>
      <c r="GH12" s="30">
        <v>0</v>
      </c>
      <c r="GI12" s="30">
        <v>0</v>
      </c>
      <c r="GJ12" s="30">
        <v>0</v>
      </c>
      <c r="GK12" s="30">
        <v>0</v>
      </c>
      <c r="GL12" s="30">
        <v>0</v>
      </c>
      <c r="GM12" s="30">
        <v>0</v>
      </c>
      <c r="GN12" s="30">
        <v>0</v>
      </c>
      <c r="GO12" s="30">
        <v>0</v>
      </c>
      <c r="GP12" s="30">
        <v>0</v>
      </c>
      <c r="GQ12" s="30">
        <v>0</v>
      </c>
      <c r="GR12" s="30">
        <v>0</v>
      </c>
      <c r="GS12" s="30">
        <v>0</v>
      </c>
    </row>
    <row r="13" spans="1:201" s="30" customFormat="1" ht="13" x14ac:dyDescent="0.25">
      <c r="A13" s="87">
        <v>7</v>
      </c>
      <c r="B13" s="128">
        <v>19.872375000000002</v>
      </c>
      <c r="C13" s="128">
        <v>7.57841099999996</v>
      </c>
      <c r="D13" s="128">
        <v>7.9145850000000504</v>
      </c>
      <c r="E13" s="128">
        <v>0</v>
      </c>
      <c r="F13" s="128">
        <v>7.5073449999999902</v>
      </c>
      <c r="G13" s="128">
        <v>3.0890240000000002</v>
      </c>
      <c r="H13" s="128">
        <v>7.9410000000006403E-3</v>
      </c>
      <c r="I13" s="128">
        <v>0.17169999999999999</v>
      </c>
      <c r="J13" s="128">
        <v>0.46612599999999998</v>
      </c>
      <c r="K13" s="128">
        <v>0</v>
      </c>
      <c r="L13" s="128">
        <v>1.4827779999999999</v>
      </c>
      <c r="M13" s="128">
        <v>3.0906150000000001</v>
      </c>
      <c r="N13" s="128">
        <v>3.96171700000014</v>
      </c>
      <c r="O13" s="128">
        <v>2.9670690000000399</v>
      </c>
      <c r="P13" s="128">
        <v>0.29591500000000098</v>
      </c>
      <c r="Q13" s="128">
        <v>7.3953279999986998</v>
      </c>
      <c r="R13" s="128">
        <v>7.7107199999991298</v>
      </c>
      <c r="S13" s="128">
        <v>0</v>
      </c>
      <c r="T13" s="128">
        <v>7.2888320000020004</v>
      </c>
      <c r="U13" s="128">
        <v>0.47504000000000701</v>
      </c>
      <c r="V13" s="128">
        <v>0.123457999999999</v>
      </c>
      <c r="W13" s="128">
        <v>5.53419999999996E-2</v>
      </c>
      <c r="X13" s="128">
        <v>6.2813999999999495E-2</v>
      </c>
      <c r="Y13" s="128">
        <v>0</v>
      </c>
      <c r="Z13" s="128">
        <v>4.6637999999999701E-2</v>
      </c>
      <c r="AA13" s="128">
        <v>0.107067999999998</v>
      </c>
      <c r="AB13" s="128">
        <v>0.15859999999999999</v>
      </c>
      <c r="AC13" s="128">
        <v>0.121388</v>
      </c>
      <c r="AD13" s="128">
        <v>5.0415000000000099E-2</v>
      </c>
      <c r="AE13" s="128">
        <v>0.1073585</v>
      </c>
      <c r="AF13" s="128">
        <v>0</v>
      </c>
      <c r="AG13" s="128">
        <v>1.1829999999999801E-2</v>
      </c>
      <c r="AH13" s="128">
        <v>1.88838400000003</v>
      </c>
      <c r="AI13" s="128">
        <v>0</v>
      </c>
      <c r="AJ13" s="128">
        <v>4.1970000000000098E-2</v>
      </c>
      <c r="AK13" s="128">
        <v>0</v>
      </c>
      <c r="AL13" s="128">
        <v>0.323703999999992</v>
      </c>
      <c r="AM13" s="128">
        <v>0.472687999999991</v>
      </c>
      <c r="AN13" s="128">
        <v>0.38627199999999101</v>
      </c>
      <c r="AO13" s="128">
        <v>0.111670000000004</v>
      </c>
      <c r="AP13" s="128">
        <v>8.2026000000002597E-2</v>
      </c>
      <c r="AQ13" s="128">
        <v>0.32657599999999598</v>
      </c>
      <c r="AR13" s="128">
        <v>5.4921600000000099</v>
      </c>
      <c r="AS13" s="128">
        <v>6.2776000000000401E-2</v>
      </c>
      <c r="AT13" s="128">
        <v>0</v>
      </c>
      <c r="AU13" s="128">
        <v>4.1615999999997703E-2</v>
      </c>
      <c r="AV13" s="128">
        <v>3.5477000000000203E-2</v>
      </c>
      <c r="AW13" s="128">
        <v>2.2790400000000099</v>
      </c>
      <c r="AX13" s="128">
        <v>0</v>
      </c>
      <c r="AY13" s="128">
        <v>7.6892000000000002E-2</v>
      </c>
      <c r="AZ13" s="128">
        <v>1.1500000000275199E-5</v>
      </c>
      <c r="BA13" s="128">
        <v>0</v>
      </c>
      <c r="BB13" s="128">
        <v>0</v>
      </c>
      <c r="BC13" s="128">
        <v>0</v>
      </c>
      <c r="BD13" s="128">
        <v>3.1007500000002101E-3</v>
      </c>
      <c r="BE13" s="128">
        <v>0.31612099999999899</v>
      </c>
      <c r="BF13" s="128">
        <v>0</v>
      </c>
      <c r="BG13" s="128">
        <v>1.0863999999999799E-2</v>
      </c>
      <c r="BH13" s="128">
        <v>1.1624000000001199E-2</v>
      </c>
      <c r="BI13" s="128">
        <v>2.3880320000000101</v>
      </c>
      <c r="BJ13" s="128">
        <v>2.4699999999988598E-3</v>
      </c>
      <c r="BK13" s="128">
        <v>4.4574499999999503E-2</v>
      </c>
      <c r="BL13" s="128">
        <v>6.1999999999784504E-5</v>
      </c>
      <c r="BM13" s="128">
        <v>1.5324960000000101</v>
      </c>
      <c r="BN13" s="128">
        <v>0</v>
      </c>
      <c r="BO13" s="128">
        <v>4.1555999999999899E-2</v>
      </c>
      <c r="BP13" s="128">
        <v>0</v>
      </c>
      <c r="BQ13" s="128">
        <v>0</v>
      </c>
      <c r="BR13" s="128">
        <v>0</v>
      </c>
      <c r="BS13" s="128">
        <v>0</v>
      </c>
      <c r="BT13" s="128">
        <v>0.24157999999999899</v>
      </c>
      <c r="BU13" s="128">
        <v>0</v>
      </c>
      <c r="BV13" s="128">
        <v>0</v>
      </c>
      <c r="BW13" s="128">
        <v>0</v>
      </c>
      <c r="BX13" s="128">
        <v>0</v>
      </c>
      <c r="BY13" s="128">
        <v>0</v>
      </c>
      <c r="BZ13" s="128">
        <v>0.81473600000001101</v>
      </c>
      <c r="CA13" s="128">
        <v>0.296520000000001</v>
      </c>
      <c r="CB13" s="128">
        <v>0</v>
      </c>
      <c r="CC13" s="128">
        <v>0</v>
      </c>
      <c r="CD13" s="128">
        <v>0</v>
      </c>
      <c r="CE13" s="128">
        <v>0</v>
      </c>
      <c r="CF13" s="128">
        <v>3.5474999999999902E-2</v>
      </c>
      <c r="CG13" s="128">
        <v>0</v>
      </c>
      <c r="CH13" s="128">
        <v>6.90500000000149E-4</v>
      </c>
      <c r="CI13" s="128">
        <v>0</v>
      </c>
      <c r="CJ13" s="128">
        <v>0</v>
      </c>
      <c r="CK13" s="128">
        <v>0</v>
      </c>
      <c r="CL13" s="128">
        <v>0.144372000000001</v>
      </c>
      <c r="CM13" s="128">
        <v>4.7941120000000401</v>
      </c>
      <c r="CN13" s="128">
        <v>4.6980999999999697E-2</v>
      </c>
      <c r="CO13" s="128">
        <v>0.83169600000000099</v>
      </c>
      <c r="CP13" s="128">
        <v>0</v>
      </c>
      <c r="CQ13" s="128">
        <v>0</v>
      </c>
      <c r="CR13" s="128">
        <v>0.141346</v>
      </c>
      <c r="CS13" s="128">
        <v>0</v>
      </c>
      <c r="CT13" s="128">
        <v>9.7199999999020303E-4</v>
      </c>
      <c r="CU13" s="128">
        <v>0</v>
      </c>
      <c r="CV13" s="128">
        <v>2.0850250000000101E-2</v>
      </c>
      <c r="CW13" s="128">
        <v>0</v>
      </c>
      <c r="CX13" s="128">
        <v>0.268096</v>
      </c>
      <c r="CY13" s="128">
        <v>1.83290000000003E-2</v>
      </c>
      <c r="CZ13" s="128">
        <v>1.20834999999997E-2</v>
      </c>
      <c r="DA13" s="128">
        <v>0.25926000000000499</v>
      </c>
      <c r="DB13" s="128">
        <v>0.13204300000000099</v>
      </c>
      <c r="DC13" s="128">
        <v>0.210755999999996</v>
      </c>
      <c r="DD13" s="128">
        <v>3.1672312500000001E-2</v>
      </c>
      <c r="DE13" s="128">
        <v>0</v>
      </c>
      <c r="DF13" s="128">
        <v>0</v>
      </c>
      <c r="DG13" s="128">
        <v>0</v>
      </c>
      <c r="DH13" s="128">
        <v>8.9730000000001198E-3</v>
      </c>
      <c r="DI13" s="128">
        <v>4.8672000000000297</v>
      </c>
      <c r="DJ13" s="128">
        <v>0</v>
      </c>
      <c r="DK13" s="128">
        <v>6.3850000000002197E-2</v>
      </c>
      <c r="DL13" s="128">
        <v>1.8648999999999898E-2</v>
      </c>
      <c r="DM13" s="128">
        <v>4.26330000000004E-2</v>
      </c>
      <c r="DN13" s="128">
        <v>1.6050000000000799E-4</v>
      </c>
      <c r="DO13" s="128">
        <v>0.77291199999999105</v>
      </c>
      <c r="DP13" s="128">
        <v>3.8003500000000301E-2</v>
      </c>
      <c r="DQ13" s="128">
        <v>0</v>
      </c>
      <c r="DR13" s="128">
        <v>0</v>
      </c>
      <c r="DS13" s="128">
        <v>1.34352000000001</v>
      </c>
      <c r="DT13" s="128">
        <v>0.38017600000000601</v>
      </c>
      <c r="DU13" s="128">
        <v>1.8964999999999701E-2</v>
      </c>
      <c r="DV13" s="128">
        <v>9.1387499999999698E-3</v>
      </c>
      <c r="DW13" s="128">
        <v>0</v>
      </c>
      <c r="DX13" s="128">
        <v>0.14285999999999999</v>
      </c>
      <c r="DY13" s="128">
        <v>4.7909687500000096E-3</v>
      </c>
      <c r="DZ13" s="128">
        <v>0.10183399999999999</v>
      </c>
      <c r="EA13" s="128">
        <v>0</v>
      </c>
      <c r="EB13" s="128">
        <v>1.3728959999999999</v>
      </c>
      <c r="EC13" s="128">
        <v>0.57611199999999496</v>
      </c>
      <c r="ED13" s="128">
        <v>2.9395500000000099E-2</v>
      </c>
      <c r="EE13" s="128">
        <v>2.0487499999999801E-2</v>
      </c>
      <c r="EF13" s="128">
        <v>11.5212189999993</v>
      </c>
      <c r="EG13" s="128">
        <v>0</v>
      </c>
      <c r="EH13" s="128">
        <v>0.44601599999998598</v>
      </c>
      <c r="EI13" s="128">
        <v>0.58688000000006502</v>
      </c>
      <c r="EJ13" s="128">
        <v>4.6047999999984802E-2</v>
      </c>
      <c r="EK13" s="128">
        <v>0</v>
      </c>
      <c r="EL13" s="128">
        <v>2.9112319999999299</v>
      </c>
      <c r="EM13" s="128">
        <v>3.7542400000002099</v>
      </c>
      <c r="EN13" s="128">
        <v>0</v>
      </c>
      <c r="EO13" s="128">
        <v>1.291968</v>
      </c>
      <c r="EP13" s="128">
        <v>0</v>
      </c>
      <c r="EQ13" s="128">
        <v>0</v>
      </c>
      <c r="ER13" s="129">
        <v>2.50198399999999</v>
      </c>
      <c r="ES13" s="129">
        <v>0</v>
      </c>
      <c r="ET13" s="129">
        <v>0</v>
      </c>
      <c r="EU13" s="129">
        <v>0</v>
      </c>
      <c r="EV13" s="30">
        <v>0</v>
      </c>
      <c r="EW13" s="30">
        <v>0</v>
      </c>
      <c r="EX13" s="30">
        <v>0</v>
      </c>
      <c r="EY13" s="30">
        <v>0</v>
      </c>
      <c r="EZ13" s="30">
        <v>0</v>
      </c>
      <c r="FA13" s="30">
        <v>0</v>
      </c>
      <c r="FB13" s="30">
        <v>0</v>
      </c>
      <c r="FC13" s="30">
        <v>0</v>
      </c>
      <c r="FD13" s="30">
        <v>0</v>
      </c>
      <c r="FE13" s="30">
        <v>0</v>
      </c>
      <c r="FF13" s="30">
        <v>0</v>
      </c>
      <c r="FG13" s="30">
        <v>0</v>
      </c>
      <c r="FH13" s="30">
        <v>0</v>
      </c>
      <c r="FI13" s="30">
        <v>0</v>
      </c>
      <c r="FJ13" s="30">
        <v>0</v>
      </c>
      <c r="FK13" s="30">
        <v>0</v>
      </c>
      <c r="FL13" s="30">
        <v>0</v>
      </c>
      <c r="FM13" s="30">
        <v>0</v>
      </c>
      <c r="FN13" s="30">
        <v>0</v>
      </c>
      <c r="FO13" s="30">
        <v>0</v>
      </c>
      <c r="FP13" s="30">
        <v>0</v>
      </c>
      <c r="FQ13" s="30">
        <v>0</v>
      </c>
      <c r="FR13" s="30">
        <v>0</v>
      </c>
      <c r="FS13" s="30">
        <v>0</v>
      </c>
      <c r="FT13" s="30">
        <v>0</v>
      </c>
      <c r="FU13" s="30">
        <v>0</v>
      </c>
      <c r="FV13" s="30">
        <v>0</v>
      </c>
      <c r="FW13" s="30">
        <v>0</v>
      </c>
      <c r="FX13" s="30">
        <v>0</v>
      </c>
      <c r="FY13" s="30">
        <v>0</v>
      </c>
      <c r="FZ13" s="30">
        <v>0</v>
      </c>
      <c r="GA13" s="30">
        <v>0</v>
      </c>
      <c r="GB13" s="30">
        <v>0</v>
      </c>
      <c r="GC13" s="30">
        <v>0</v>
      </c>
      <c r="GD13" s="30">
        <v>0</v>
      </c>
      <c r="GE13" s="30">
        <v>0</v>
      </c>
      <c r="GF13" s="30">
        <v>0</v>
      </c>
      <c r="GG13" s="30">
        <v>0</v>
      </c>
      <c r="GH13" s="30">
        <v>0</v>
      </c>
      <c r="GI13" s="30">
        <v>0</v>
      </c>
      <c r="GJ13" s="30">
        <v>0</v>
      </c>
      <c r="GK13" s="30">
        <v>0</v>
      </c>
      <c r="GL13" s="30">
        <v>0</v>
      </c>
      <c r="GM13" s="30">
        <v>0</v>
      </c>
      <c r="GN13" s="30">
        <v>0</v>
      </c>
      <c r="GO13" s="30">
        <v>0</v>
      </c>
      <c r="GP13" s="30">
        <v>0</v>
      </c>
      <c r="GQ13" s="30">
        <v>0</v>
      </c>
      <c r="GR13" s="30">
        <v>0</v>
      </c>
      <c r="GS13" s="30">
        <v>0</v>
      </c>
    </row>
    <row r="14" spans="1:201" s="30" customFormat="1" ht="13" x14ac:dyDescent="0.25">
      <c r="A14" s="87">
        <v>8</v>
      </c>
      <c r="B14" s="128">
        <v>8.0449999999999999</v>
      </c>
      <c r="C14" s="128">
        <v>3.7862610000000201</v>
      </c>
      <c r="D14" s="128">
        <v>4.0142799999998697</v>
      </c>
      <c r="E14" s="128">
        <v>1.1348770000000199</v>
      </c>
      <c r="F14" s="128">
        <v>2.5508030000000299</v>
      </c>
      <c r="G14" s="128">
        <v>3.450691</v>
      </c>
      <c r="H14" s="128">
        <v>8.3078999999999695E-2</v>
      </c>
      <c r="I14" s="128">
        <v>1.6953339999999999</v>
      </c>
      <c r="J14" s="128">
        <v>0.54139599999999999</v>
      </c>
      <c r="K14" s="128">
        <v>0</v>
      </c>
      <c r="L14" s="128">
        <v>7.1799999999990803E-3</v>
      </c>
      <c r="M14" s="128">
        <v>3.4441790000000001</v>
      </c>
      <c r="N14" s="128">
        <v>3.4989769999998499</v>
      </c>
      <c r="O14" s="128">
        <v>2.9859669999999601</v>
      </c>
      <c r="P14" s="128">
        <v>0.323904999999996</v>
      </c>
      <c r="Q14" s="128">
        <v>3.69459199999983</v>
      </c>
      <c r="R14" s="128">
        <v>3.9321600000002901</v>
      </c>
      <c r="S14" s="128">
        <v>1.10233599999992</v>
      </c>
      <c r="T14" s="128">
        <v>2.4637440000005899</v>
      </c>
      <c r="U14" s="128">
        <v>0.27674399999999399</v>
      </c>
      <c r="V14" s="128">
        <v>0.123822000000001</v>
      </c>
      <c r="W14" s="128">
        <v>1.9763000000001099E-2</v>
      </c>
      <c r="X14" s="128">
        <v>1.9728000000000599E-2</v>
      </c>
      <c r="Y14" s="128">
        <v>0</v>
      </c>
      <c r="Z14" s="128">
        <v>4.3725999999999501E-2</v>
      </c>
      <c r="AA14" s="128">
        <v>8.0657999999999702E-2</v>
      </c>
      <c r="AB14" s="128">
        <v>0.16543999999999701</v>
      </c>
      <c r="AC14" s="128">
        <v>0.124327999999998</v>
      </c>
      <c r="AD14" s="128">
        <v>4.19365000000003E-2</v>
      </c>
      <c r="AE14" s="128">
        <v>0.102492499999999</v>
      </c>
      <c r="AF14" s="128">
        <v>0</v>
      </c>
      <c r="AG14" s="128">
        <v>7.0472500000002799E-3</v>
      </c>
      <c r="AH14" s="128">
        <v>1.2358719999999701</v>
      </c>
      <c r="AI14" s="128">
        <v>0</v>
      </c>
      <c r="AJ14" s="128">
        <v>3.06344999999997E-2</v>
      </c>
      <c r="AK14" s="128">
        <v>0</v>
      </c>
      <c r="AL14" s="128">
        <v>0.206680000000006</v>
      </c>
      <c r="AM14" s="128">
        <v>0.32784800000000303</v>
      </c>
      <c r="AN14" s="128">
        <v>0.19658400000000101</v>
      </c>
      <c r="AO14" s="128">
        <v>0.120821999999997</v>
      </c>
      <c r="AP14" s="128">
        <v>8.8159999999998503E-2</v>
      </c>
      <c r="AQ14" s="128">
        <v>0.16741199999999901</v>
      </c>
      <c r="AR14" s="128">
        <v>3.4043199999999798</v>
      </c>
      <c r="AS14" s="128">
        <v>1.6154000000000199E-2</v>
      </c>
      <c r="AT14" s="128">
        <v>0</v>
      </c>
      <c r="AU14" s="128">
        <v>3.8295999999995403E-2</v>
      </c>
      <c r="AV14" s="128">
        <v>1.8949000000000101E-2</v>
      </c>
      <c r="AW14" s="128">
        <v>1.09299199999998</v>
      </c>
      <c r="AX14" s="128">
        <v>0</v>
      </c>
      <c r="AY14" s="128">
        <v>9.1435999999999906E-2</v>
      </c>
      <c r="AZ14" s="128">
        <v>0</v>
      </c>
      <c r="BA14" s="128">
        <v>0</v>
      </c>
      <c r="BB14" s="128">
        <v>0</v>
      </c>
      <c r="BC14" s="128">
        <v>0</v>
      </c>
      <c r="BD14" s="128">
        <v>0</v>
      </c>
      <c r="BE14" s="128">
        <v>0.31537300000000101</v>
      </c>
      <c r="BF14" s="128">
        <v>0</v>
      </c>
      <c r="BG14" s="128">
        <v>1.0707E-2</v>
      </c>
      <c r="BH14" s="128">
        <v>7.1720000000006197E-3</v>
      </c>
      <c r="BI14" s="128">
        <v>1.6073280000000001</v>
      </c>
      <c r="BJ14" s="128">
        <v>1.5560000000007801E-3</v>
      </c>
      <c r="BK14" s="128">
        <v>4.0468000000000601E-2</v>
      </c>
      <c r="BL14" s="128">
        <v>3.3999999999423401E-5</v>
      </c>
      <c r="BM14" s="128">
        <v>0.36311999999998101</v>
      </c>
      <c r="BN14" s="128">
        <v>0</v>
      </c>
      <c r="BO14" s="128">
        <v>7.5628000000000001E-2</v>
      </c>
      <c r="BP14" s="128">
        <v>0</v>
      </c>
      <c r="BQ14" s="128">
        <v>0</v>
      </c>
      <c r="BR14" s="128">
        <v>0</v>
      </c>
      <c r="BS14" s="128">
        <v>0</v>
      </c>
      <c r="BT14" s="128">
        <v>1.4983999999998301E-2</v>
      </c>
      <c r="BU14" s="128">
        <v>0</v>
      </c>
      <c r="BV14" s="128">
        <v>0</v>
      </c>
      <c r="BW14" s="128">
        <v>0</v>
      </c>
      <c r="BX14" s="128">
        <v>0</v>
      </c>
      <c r="BY14" s="128">
        <v>0</v>
      </c>
      <c r="BZ14" s="128">
        <v>0.20690399999999401</v>
      </c>
      <c r="CA14" s="128">
        <v>2.19120000000004E-2</v>
      </c>
      <c r="CB14" s="128">
        <v>0</v>
      </c>
      <c r="CC14" s="128">
        <v>0</v>
      </c>
      <c r="CD14" s="128">
        <v>0</v>
      </c>
      <c r="CE14" s="128">
        <v>0</v>
      </c>
      <c r="CF14" s="128">
        <v>2.2304000000000102E-2</v>
      </c>
      <c r="CG14" s="128">
        <v>0</v>
      </c>
      <c r="CH14" s="128">
        <v>1.70849999999989E-3</v>
      </c>
      <c r="CI14" s="128">
        <v>0</v>
      </c>
      <c r="CJ14" s="128">
        <v>0</v>
      </c>
      <c r="CK14" s="128">
        <v>0</v>
      </c>
      <c r="CL14" s="128">
        <v>5.52659999999996E-2</v>
      </c>
      <c r="CM14" s="128">
        <v>3.8865920000000602</v>
      </c>
      <c r="CN14" s="128">
        <v>2.3765000000000001E-2</v>
      </c>
      <c r="CO14" s="128">
        <v>0.44747999999999899</v>
      </c>
      <c r="CP14" s="128">
        <v>0</v>
      </c>
      <c r="CQ14" s="128">
        <v>0</v>
      </c>
      <c r="CR14" s="128">
        <v>0.15013699999999899</v>
      </c>
      <c r="CS14" s="128">
        <v>0</v>
      </c>
      <c r="CT14" s="128">
        <v>8.5692000000008803E-2</v>
      </c>
      <c r="CU14" s="128">
        <v>0</v>
      </c>
      <c r="CV14" s="128">
        <v>1.02049999999987E-3</v>
      </c>
      <c r="CW14" s="128">
        <v>3.7000000000020402E-3</v>
      </c>
      <c r="CX14" s="128">
        <v>0.26763199999999898</v>
      </c>
      <c r="CY14" s="128">
        <v>1.8155999999999801E-2</v>
      </c>
      <c r="CZ14" s="128">
        <v>1.5412E-2</v>
      </c>
      <c r="DA14" s="128">
        <v>0.18339599999999501</v>
      </c>
      <c r="DB14" s="128">
        <v>0.11576299999999901</v>
      </c>
      <c r="DC14" s="128">
        <v>0.19911200000000001</v>
      </c>
      <c r="DD14" s="128">
        <v>3.0714250000000099E-2</v>
      </c>
      <c r="DE14" s="128">
        <v>0</v>
      </c>
      <c r="DF14" s="128">
        <v>0</v>
      </c>
      <c r="DG14" s="128">
        <v>1.2645000000004499E-3</v>
      </c>
      <c r="DH14" s="128">
        <v>5.74750000000002E-3</v>
      </c>
      <c r="DI14" s="128">
        <v>1.97420799999998</v>
      </c>
      <c r="DJ14" s="128">
        <v>0</v>
      </c>
      <c r="DK14" s="128">
        <v>6.4099999999999796E-2</v>
      </c>
      <c r="DL14" s="128">
        <v>1.26179999999998E-2</v>
      </c>
      <c r="DM14" s="128">
        <v>3.3317999999999501E-2</v>
      </c>
      <c r="DN14" s="128">
        <v>8.3749999999938E-5</v>
      </c>
      <c r="DO14" s="128">
        <v>0.45438400000000501</v>
      </c>
      <c r="DP14" s="128">
        <v>1.25024999999992E-2</v>
      </c>
      <c r="DQ14" s="128">
        <v>0</v>
      </c>
      <c r="DR14" s="128">
        <v>0</v>
      </c>
      <c r="DS14" s="128">
        <v>0.66678400000000704</v>
      </c>
      <c r="DT14" s="128">
        <v>7.0063999999973703E-2</v>
      </c>
      <c r="DU14" s="128">
        <v>4.1299999999999697E-4</v>
      </c>
      <c r="DV14" s="128">
        <v>5.6727499999999998E-3</v>
      </c>
      <c r="DW14" s="128">
        <v>0</v>
      </c>
      <c r="DX14" s="128">
        <v>0.11147749999999999</v>
      </c>
      <c r="DY14" s="128">
        <v>4.4440625000000096E-3</v>
      </c>
      <c r="DZ14" s="128">
        <v>5.49700000000009E-2</v>
      </c>
      <c r="EA14" s="128">
        <v>0</v>
      </c>
      <c r="EB14" s="128">
        <v>0.34390400000000898</v>
      </c>
      <c r="EC14" s="128">
        <v>0.146895999999998</v>
      </c>
      <c r="ED14" s="128">
        <v>7.10849999999974E-3</v>
      </c>
      <c r="EE14" s="128">
        <v>2.52865E-2</v>
      </c>
      <c r="EF14" s="128">
        <v>7.2317580000008101</v>
      </c>
      <c r="EG14" s="128">
        <v>0</v>
      </c>
      <c r="EH14" s="128">
        <v>0.16230399999994899</v>
      </c>
      <c r="EI14" s="128">
        <v>0.63897599999995702</v>
      </c>
      <c r="EJ14" s="128">
        <v>4.0608000000020197E-2</v>
      </c>
      <c r="EK14" s="128">
        <v>0</v>
      </c>
      <c r="EL14" s="128">
        <v>1.46713600000021</v>
      </c>
      <c r="EM14" s="128">
        <v>2.36236800000006</v>
      </c>
      <c r="EN14" s="128">
        <v>0.172288000000208</v>
      </c>
      <c r="EO14" s="128">
        <v>0.72070399999995505</v>
      </c>
      <c r="EP14" s="128">
        <v>0</v>
      </c>
      <c r="EQ14" s="128">
        <v>0</v>
      </c>
      <c r="ER14" s="129">
        <v>1.65754</v>
      </c>
      <c r="ES14" s="129">
        <v>0</v>
      </c>
      <c r="ET14" s="129">
        <v>0</v>
      </c>
      <c r="EU14" s="129">
        <v>0</v>
      </c>
      <c r="EV14" s="30">
        <v>0</v>
      </c>
      <c r="EW14" s="30">
        <v>0</v>
      </c>
      <c r="EX14" s="30">
        <v>0</v>
      </c>
      <c r="EY14" s="30">
        <v>0</v>
      </c>
      <c r="EZ14" s="30">
        <v>0</v>
      </c>
      <c r="FA14" s="30">
        <v>0</v>
      </c>
      <c r="FB14" s="30">
        <v>0</v>
      </c>
      <c r="FC14" s="30">
        <v>0</v>
      </c>
      <c r="FD14" s="30">
        <v>0</v>
      </c>
      <c r="FE14" s="30">
        <v>0</v>
      </c>
      <c r="FF14" s="30">
        <v>0</v>
      </c>
      <c r="FG14" s="30">
        <v>0</v>
      </c>
      <c r="FH14" s="30">
        <v>0</v>
      </c>
      <c r="FI14" s="30">
        <v>0</v>
      </c>
      <c r="FJ14" s="30">
        <v>0</v>
      </c>
      <c r="FK14" s="30">
        <v>0</v>
      </c>
      <c r="FL14" s="30">
        <v>0</v>
      </c>
      <c r="FM14" s="30">
        <v>0</v>
      </c>
      <c r="FN14" s="30">
        <v>0</v>
      </c>
      <c r="FO14" s="30">
        <v>0</v>
      </c>
      <c r="FP14" s="30">
        <v>0</v>
      </c>
      <c r="FQ14" s="30">
        <v>0</v>
      </c>
      <c r="FR14" s="30">
        <v>0</v>
      </c>
      <c r="FS14" s="30">
        <v>0</v>
      </c>
      <c r="FT14" s="30">
        <v>0</v>
      </c>
      <c r="FU14" s="30">
        <v>0</v>
      </c>
      <c r="FV14" s="30">
        <v>0</v>
      </c>
      <c r="FW14" s="30">
        <v>0</v>
      </c>
      <c r="FX14" s="30">
        <v>0</v>
      </c>
      <c r="FY14" s="30">
        <v>0</v>
      </c>
      <c r="FZ14" s="30">
        <v>0</v>
      </c>
      <c r="GA14" s="30">
        <v>0</v>
      </c>
      <c r="GB14" s="30">
        <v>0</v>
      </c>
      <c r="GC14" s="30">
        <v>0</v>
      </c>
      <c r="GD14" s="30">
        <v>0</v>
      </c>
      <c r="GE14" s="30">
        <v>0</v>
      </c>
      <c r="GF14" s="30">
        <v>0</v>
      </c>
      <c r="GG14" s="30">
        <v>0</v>
      </c>
      <c r="GH14" s="30">
        <v>0</v>
      </c>
      <c r="GI14" s="30">
        <v>0</v>
      </c>
      <c r="GJ14" s="30">
        <v>0</v>
      </c>
      <c r="GK14" s="30">
        <v>0</v>
      </c>
      <c r="GL14" s="30">
        <v>0</v>
      </c>
      <c r="GM14" s="30">
        <v>0</v>
      </c>
      <c r="GN14" s="30">
        <v>0</v>
      </c>
      <c r="GO14" s="30">
        <v>0</v>
      </c>
      <c r="GP14" s="30">
        <v>0</v>
      </c>
      <c r="GQ14" s="30">
        <v>0</v>
      </c>
      <c r="GR14" s="30">
        <v>0</v>
      </c>
      <c r="GS14" s="30">
        <v>0</v>
      </c>
    </row>
    <row r="15" spans="1:201" s="30" customFormat="1" ht="13" x14ac:dyDescent="0.25">
      <c r="A15" s="87">
        <v>9</v>
      </c>
      <c r="B15" s="128">
        <v>23.287875</v>
      </c>
      <c r="C15" s="128">
        <v>7.9684829999999902</v>
      </c>
      <c r="D15" s="128">
        <v>8.3464380000000293</v>
      </c>
      <c r="E15" s="128">
        <v>7.0034150000000199</v>
      </c>
      <c r="F15" s="128">
        <v>0</v>
      </c>
      <c r="G15" s="128">
        <v>0</v>
      </c>
      <c r="H15" s="128">
        <v>0</v>
      </c>
      <c r="I15" s="128">
        <v>0</v>
      </c>
      <c r="J15" s="128">
        <v>0</v>
      </c>
      <c r="K15" s="128">
        <v>0</v>
      </c>
      <c r="L15" s="128">
        <v>0</v>
      </c>
      <c r="M15" s="128">
        <v>0</v>
      </c>
      <c r="N15" s="128">
        <v>5.2878340000000899</v>
      </c>
      <c r="O15" s="128">
        <v>5.0684340000000203</v>
      </c>
      <c r="P15" s="128">
        <v>0.34177700000000799</v>
      </c>
      <c r="Q15" s="128">
        <v>7.7701120000019701</v>
      </c>
      <c r="R15" s="128">
        <v>8.1530880000027501</v>
      </c>
      <c r="S15" s="128">
        <v>6.8177919999998302</v>
      </c>
      <c r="T15" s="128">
        <v>0</v>
      </c>
      <c r="U15" s="128">
        <v>0.49419199999999802</v>
      </c>
      <c r="V15" s="128">
        <v>0.123093999999998</v>
      </c>
      <c r="W15" s="128">
        <v>6.2538999999999206E-2</v>
      </c>
      <c r="X15" s="128">
        <v>4.7748000000000297E-2</v>
      </c>
      <c r="Y15" s="128">
        <v>0</v>
      </c>
      <c r="Z15" s="128">
        <v>4.6020000000000401E-2</v>
      </c>
      <c r="AA15" s="128">
        <v>0.114812000000001</v>
      </c>
      <c r="AB15" s="128">
        <v>0.166822000000003</v>
      </c>
      <c r="AC15" s="128">
        <v>0.129222000000002</v>
      </c>
      <c r="AD15" s="128">
        <v>5.1626499999999402E-2</v>
      </c>
      <c r="AE15" s="128">
        <v>0.13682449999999999</v>
      </c>
      <c r="AF15" s="128">
        <v>0</v>
      </c>
      <c r="AG15" s="128">
        <v>1.22295000000001E-2</v>
      </c>
      <c r="AH15" s="128">
        <v>1.9502080000000299</v>
      </c>
      <c r="AI15" s="128">
        <v>0</v>
      </c>
      <c r="AJ15" s="128">
        <v>4.4162E-2</v>
      </c>
      <c r="AK15" s="128">
        <v>0</v>
      </c>
      <c r="AL15" s="128">
        <v>0.33092000000000599</v>
      </c>
      <c r="AM15" s="128">
        <v>0.49392799999999698</v>
      </c>
      <c r="AN15" s="128">
        <v>0.36893600000000498</v>
      </c>
      <c r="AO15" s="128">
        <v>0.14574000000000401</v>
      </c>
      <c r="AP15" s="128">
        <v>8.4880000000001801E-2</v>
      </c>
      <c r="AQ15" s="128">
        <v>0.32978800000000102</v>
      </c>
      <c r="AR15" s="128">
        <v>5.2915199999999896</v>
      </c>
      <c r="AS15" s="128">
        <v>8.68395E-2</v>
      </c>
      <c r="AT15" s="128">
        <v>0</v>
      </c>
      <c r="AU15" s="128">
        <v>4.3068000000005199E-2</v>
      </c>
      <c r="AV15" s="128">
        <v>4.5586999999999399E-2</v>
      </c>
      <c r="AW15" s="128">
        <v>2.09542399999998</v>
      </c>
      <c r="AX15" s="128">
        <v>0</v>
      </c>
      <c r="AY15" s="128">
        <v>0.10236149999999999</v>
      </c>
      <c r="AZ15" s="128">
        <v>0</v>
      </c>
      <c r="BA15" s="128">
        <v>0</v>
      </c>
      <c r="BB15" s="128">
        <v>0</v>
      </c>
      <c r="BC15" s="128">
        <v>0</v>
      </c>
      <c r="BD15" s="128">
        <v>3.9381068725585899E-3</v>
      </c>
      <c r="BE15" s="128">
        <v>0.11603999999999801</v>
      </c>
      <c r="BF15" s="128">
        <v>0</v>
      </c>
      <c r="BG15" s="128">
        <v>1.98970000000003E-2</v>
      </c>
      <c r="BH15" s="128">
        <v>3.7572000000000799E-2</v>
      </c>
      <c r="BI15" s="128">
        <v>2.4481599999999699</v>
      </c>
      <c r="BJ15" s="128">
        <v>6.2810000000013098E-3</v>
      </c>
      <c r="BK15" s="128">
        <v>5.8876499999999297E-2</v>
      </c>
      <c r="BL15" s="128">
        <v>6.1999999999784504E-5</v>
      </c>
      <c r="BM15" s="128">
        <v>2.1555360000000099</v>
      </c>
      <c r="BN15" s="128">
        <v>0</v>
      </c>
      <c r="BO15" s="128">
        <v>0.26692499999999902</v>
      </c>
      <c r="BP15" s="128">
        <v>0</v>
      </c>
      <c r="BQ15" s="128">
        <v>0</v>
      </c>
      <c r="BR15" s="128">
        <v>0</v>
      </c>
      <c r="BS15" s="128">
        <v>0</v>
      </c>
      <c r="BT15" s="128">
        <v>0.243423999999997</v>
      </c>
      <c r="BU15" s="128">
        <v>0</v>
      </c>
      <c r="BV15" s="128">
        <v>0</v>
      </c>
      <c r="BW15" s="128">
        <v>0</v>
      </c>
      <c r="BX15" s="128">
        <v>0</v>
      </c>
      <c r="BY15" s="128">
        <v>0</v>
      </c>
      <c r="BZ15" s="128">
        <v>1.018224</v>
      </c>
      <c r="CA15" s="128">
        <v>0.43967200000000201</v>
      </c>
      <c r="CB15" s="128">
        <v>0</v>
      </c>
      <c r="CC15" s="128">
        <v>0</v>
      </c>
      <c r="CD15" s="128">
        <v>0</v>
      </c>
      <c r="CE15" s="128">
        <v>0</v>
      </c>
      <c r="CF15" s="128">
        <v>3.46170000000008E-2</v>
      </c>
      <c r="CG15" s="128">
        <v>0</v>
      </c>
      <c r="CH15" s="128">
        <v>5.3925000000010204E-4</v>
      </c>
      <c r="CI15" s="128">
        <v>0</v>
      </c>
      <c r="CJ15" s="128">
        <v>0</v>
      </c>
      <c r="CK15" s="128">
        <v>0</v>
      </c>
      <c r="CL15" s="128">
        <v>5.7432000000002099E-2</v>
      </c>
      <c r="CM15" s="128">
        <v>5.23507199999995</v>
      </c>
      <c r="CN15" s="128">
        <v>3.4144000000000403E-2</v>
      </c>
      <c r="CO15" s="128">
        <v>0.88087600000000099</v>
      </c>
      <c r="CP15" s="128">
        <v>0</v>
      </c>
      <c r="CQ15" s="128">
        <v>0</v>
      </c>
      <c r="CR15" s="128">
        <v>0.14551</v>
      </c>
      <c r="CS15" s="128">
        <v>0</v>
      </c>
      <c r="CT15" s="128">
        <v>0.19976399999998801</v>
      </c>
      <c r="CU15" s="128">
        <v>0</v>
      </c>
      <c r="CV15" s="128">
        <v>2.1958249999999999E-2</v>
      </c>
      <c r="CW15" s="128">
        <v>3.9151999999994302E-2</v>
      </c>
      <c r="CX15" s="128">
        <v>0.27050800000000003</v>
      </c>
      <c r="CY15" s="128">
        <v>1.8265E-2</v>
      </c>
      <c r="CZ15" s="128">
        <v>2.40452499999999E-2</v>
      </c>
      <c r="DA15" s="128">
        <v>0.28480000000000399</v>
      </c>
      <c r="DB15" s="128">
        <v>0.132076000000001</v>
      </c>
      <c r="DC15" s="128">
        <v>0.201875999999999</v>
      </c>
      <c r="DD15" s="128">
        <v>2.7759812499999901E-2</v>
      </c>
      <c r="DE15" s="128">
        <v>0</v>
      </c>
      <c r="DF15" s="128">
        <v>0</v>
      </c>
      <c r="DG15" s="128">
        <v>1.7136999999999999E-2</v>
      </c>
      <c r="DH15" s="128">
        <v>1.0435000000000199E-2</v>
      </c>
      <c r="DI15" s="128">
        <v>5.10169600000006</v>
      </c>
      <c r="DJ15" s="128">
        <v>0</v>
      </c>
      <c r="DK15" s="128">
        <v>6.5020000000000494E-2</v>
      </c>
      <c r="DL15" s="128">
        <v>1.9256999999999601E-2</v>
      </c>
      <c r="DM15" s="128">
        <v>4.8997999999999202E-2</v>
      </c>
      <c r="DN15" s="128">
        <v>3.4518750000000998E-4</v>
      </c>
      <c r="DO15" s="128">
        <v>0.73395199999998795</v>
      </c>
      <c r="DP15" s="128">
        <v>4.0913000000000602E-2</v>
      </c>
      <c r="DQ15" s="128">
        <v>0</v>
      </c>
      <c r="DR15" s="128">
        <v>0</v>
      </c>
      <c r="DS15" s="128">
        <v>1.5220479999999801</v>
      </c>
      <c r="DT15" s="128">
        <v>0.41457600000001099</v>
      </c>
      <c r="DU15" s="128">
        <v>1.6755999999999101E-2</v>
      </c>
      <c r="DV15" s="128">
        <v>8.6172499999999097E-3</v>
      </c>
      <c r="DW15" s="128">
        <v>0</v>
      </c>
      <c r="DX15" s="128">
        <v>0.20067850000000001</v>
      </c>
      <c r="DY15" s="128">
        <v>4.3984999999999701E-3</v>
      </c>
      <c r="DZ15" s="128">
        <v>8.9096000000001396E-2</v>
      </c>
      <c r="EA15" s="128">
        <v>0</v>
      </c>
      <c r="EB15" s="128">
        <v>1.2625600000000099</v>
      </c>
      <c r="EC15" s="128">
        <v>0.65723200000002202</v>
      </c>
      <c r="ED15" s="128">
        <v>2.6222500000000301E-2</v>
      </c>
      <c r="EE15" s="128">
        <v>7.1005000000000401E-2</v>
      </c>
      <c r="EF15" s="128">
        <v>14.106240000000099</v>
      </c>
      <c r="EG15" s="128">
        <v>0</v>
      </c>
      <c r="EH15" s="128">
        <v>0.69401600000003305</v>
      </c>
      <c r="EI15" s="128">
        <v>0.646656000000007</v>
      </c>
      <c r="EJ15" s="128">
        <v>8.3296000000018494E-2</v>
      </c>
      <c r="EK15" s="128">
        <v>0</v>
      </c>
      <c r="EL15" s="128">
        <v>2.6030079999998201</v>
      </c>
      <c r="EM15" s="128">
        <v>4.09830399999964</v>
      </c>
      <c r="EN15" s="128">
        <v>2.2476799999999502</v>
      </c>
      <c r="EO15" s="128">
        <v>1.2139520000000601</v>
      </c>
      <c r="EP15" s="128">
        <v>0</v>
      </c>
      <c r="EQ15" s="128">
        <v>0</v>
      </c>
      <c r="ER15" s="129">
        <v>2.546198</v>
      </c>
      <c r="ES15" s="129">
        <v>10</v>
      </c>
      <c r="ET15" s="129">
        <v>0</v>
      </c>
      <c r="EU15" s="129">
        <v>0</v>
      </c>
      <c r="EV15" s="30">
        <v>0</v>
      </c>
      <c r="EW15" s="30">
        <v>0</v>
      </c>
      <c r="EX15" s="30">
        <v>0</v>
      </c>
      <c r="EY15" s="30">
        <v>0</v>
      </c>
      <c r="EZ15" s="30">
        <v>0</v>
      </c>
      <c r="FA15" s="30">
        <v>0</v>
      </c>
      <c r="FB15" s="30">
        <v>0</v>
      </c>
      <c r="FC15" s="30">
        <v>0</v>
      </c>
      <c r="FD15" s="30">
        <v>0</v>
      </c>
      <c r="FE15" s="30">
        <v>0</v>
      </c>
      <c r="FF15" s="30">
        <v>0</v>
      </c>
      <c r="FG15" s="30">
        <v>0</v>
      </c>
      <c r="FH15" s="30">
        <v>0</v>
      </c>
      <c r="FI15" s="30">
        <v>0</v>
      </c>
      <c r="FJ15" s="30">
        <v>0</v>
      </c>
      <c r="FK15" s="30">
        <v>0</v>
      </c>
      <c r="FL15" s="30">
        <v>0</v>
      </c>
      <c r="FM15" s="30">
        <v>0</v>
      </c>
      <c r="FN15" s="30">
        <v>0</v>
      </c>
      <c r="FO15" s="30">
        <v>0</v>
      </c>
      <c r="FP15" s="30">
        <v>0</v>
      </c>
      <c r="FQ15" s="30">
        <v>0</v>
      </c>
      <c r="FR15" s="30">
        <v>0</v>
      </c>
      <c r="FS15" s="30">
        <v>0</v>
      </c>
      <c r="FT15" s="30">
        <v>0</v>
      </c>
      <c r="FU15" s="30">
        <v>0</v>
      </c>
      <c r="FV15" s="30">
        <v>0</v>
      </c>
      <c r="FW15" s="30">
        <v>0</v>
      </c>
      <c r="FX15" s="30">
        <v>0</v>
      </c>
      <c r="FY15" s="30">
        <v>0</v>
      </c>
      <c r="FZ15" s="30">
        <v>0</v>
      </c>
      <c r="GA15" s="30">
        <v>0</v>
      </c>
      <c r="GB15" s="30">
        <v>0</v>
      </c>
      <c r="GC15" s="30">
        <v>0</v>
      </c>
      <c r="GD15" s="30">
        <v>0</v>
      </c>
      <c r="GE15" s="30">
        <v>0</v>
      </c>
      <c r="GF15" s="30">
        <v>0</v>
      </c>
      <c r="GG15" s="30">
        <v>0</v>
      </c>
      <c r="GH15" s="30">
        <v>0</v>
      </c>
      <c r="GI15" s="30">
        <v>0</v>
      </c>
      <c r="GJ15" s="30">
        <v>0</v>
      </c>
      <c r="GK15" s="30">
        <v>0</v>
      </c>
      <c r="GL15" s="30">
        <v>0</v>
      </c>
      <c r="GM15" s="30">
        <v>0</v>
      </c>
      <c r="GN15" s="30">
        <v>0</v>
      </c>
      <c r="GO15" s="30">
        <v>0</v>
      </c>
      <c r="GP15" s="30">
        <v>0</v>
      </c>
      <c r="GQ15" s="30">
        <v>0</v>
      </c>
      <c r="GR15" s="30">
        <v>0</v>
      </c>
      <c r="GS15" s="30">
        <v>0</v>
      </c>
    </row>
    <row r="16" spans="1:201" s="30" customFormat="1" ht="13" x14ac:dyDescent="0.25">
      <c r="A16" s="87">
        <v>10</v>
      </c>
      <c r="B16" s="128">
        <v>22.856375</v>
      </c>
      <c r="C16" s="128">
        <v>7.8076540000000696</v>
      </c>
      <c r="D16" s="128">
        <v>8.1797350000000506</v>
      </c>
      <c r="E16" s="128">
        <v>6.8704379999999796</v>
      </c>
      <c r="F16" s="128">
        <v>0</v>
      </c>
      <c r="G16" s="128">
        <v>0</v>
      </c>
      <c r="H16" s="128">
        <v>0</v>
      </c>
      <c r="I16" s="128">
        <v>0</v>
      </c>
      <c r="J16" s="128">
        <v>0</v>
      </c>
      <c r="K16" s="128">
        <v>0</v>
      </c>
      <c r="L16" s="128">
        <v>0</v>
      </c>
      <c r="M16" s="128">
        <v>0</v>
      </c>
      <c r="N16" s="128">
        <v>5.5505779999999696</v>
      </c>
      <c r="O16" s="128">
        <v>5.3643579999999202</v>
      </c>
      <c r="P16" s="128">
        <v>0.35530199999999501</v>
      </c>
      <c r="Q16" s="128">
        <v>7.63699199999974</v>
      </c>
      <c r="R16" s="128">
        <v>7.9974399999991901</v>
      </c>
      <c r="S16" s="128">
        <v>6.6954240000004601</v>
      </c>
      <c r="T16" s="128">
        <v>0</v>
      </c>
      <c r="U16" s="128">
        <v>0.50024000000000501</v>
      </c>
      <c r="V16" s="128">
        <v>0.1235</v>
      </c>
      <c r="W16" s="128">
        <v>6.6244000000001094E-2</v>
      </c>
      <c r="X16" s="128">
        <v>6.5117999999999995E-2</v>
      </c>
      <c r="Y16" s="128">
        <v>0</v>
      </c>
      <c r="Z16" s="128">
        <v>4.2009000000000199E-2</v>
      </c>
      <c r="AA16" s="128">
        <v>0.114163999999999</v>
      </c>
      <c r="AB16" s="128">
        <v>0.168626</v>
      </c>
      <c r="AC16" s="128">
        <v>0.124897999999998</v>
      </c>
      <c r="AD16" s="128">
        <v>6.7729000000000802E-2</v>
      </c>
      <c r="AE16" s="128">
        <v>0.1476285</v>
      </c>
      <c r="AF16" s="128">
        <v>0</v>
      </c>
      <c r="AG16" s="128">
        <v>1.49954999999999E-2</v>
      </c>
      <c r="AH16" s="128">
        <v>1.9634239999999701</v>
      </c>
      <c r="AI16" s="128">
        <v>0</v>
      </c>
      <c r="AJ16" s="128">
        <v>4.6810999999999901E-2</v>
      </c>
      <c r="AK16" s="128">
        <v>0</v>
      </c>
      <c r="AL16" s="128">
        <v>0.33282399999998802</v>
      </c>
      <c r="AM16" s="128">
        <v>0.49547200000000702</v>
      </c>
      <c r="AN16" s="128">
        <v>0.37184800000000001</v>
      </c>
      <c r="AO16" s="128">
        <v>0.15398999999999999</v>
      </c>
      <c r="AP16" s="128">
        <v>8.5746000000000294E-2</v>
      </c>
      <c r="AQ16" s="128">
        <v>0.32459200000000299</v>
      </c>
      <c r="AR16" s="128">
        <v>5.5862080000000001</v>
      </c>
      <c r="AS16" s="128">
        <v>8.3349499999999702E-2</v>
      </c>
      <c r="AT16" s="128">
        <v>0</v>
      </c>
      <c r="AU16" s="128">
        <v>4.3475999999998301E-2</v>
      </c>
      <c r="AV16" s="128">
        <v>3.85685000000002E-2</v>
      </c>
      <c r="AW16" s="128">
        <v>2.2816000000000298</v>
      </c>
      <c r="AX16" s="128">
        <v>0</v>
      </c>
      <c r="AY16" s="128">
        <v>7.8362499999999904E-2</v>
      </c>
      <c r="AZ16" s="128">
        <v>1.0500000000135399E-5</v>
      </c>
      <c r="BA16" s="128">
        <v>0</v>
      </c>
      <c r="BB16" s="128">
        <v>0</v>
      </c>
      <c r="BC16" s="128">
        <v>0</v>
      </c>
      <c r="BD16" s="128">
        <v>3.3948759765625E-3</v>
      </c>
      <c r="BE16" s="128">
        <v>0.11700000000000101</v>
      </c>
      <c r="BF16" s="128">
        <v>0</v>
      </c>
      <c r="BG16" s="128">
        <v>2.2707999999999701E-2</v>
      </c>
      <c r="BH16" s="128">
        <v>1.65739999999985E-2</v>
      </c>
      <c r="BI16" s="128">
        <v>2.4786880000000302</v>
      </c>
      <c r="BJ16" s="128">
        <v>3.6479999999983201E-3</v>
      </c>
      <c r="BK16" s="128">
        <v>0.19056300000000001</v>
      </c>
      <c r="BL16" s="128">
        <v>1.3400000000274301E-4</v>
      </c>
      <c r="BM16" s="128">
        <v>2.1505280000000102</v>
      </c>
      <c r="BN16" s="128">
        <v>0</v>
      </c>
      <c r="BO16" s="128">
        <v>0.44059200000000098</v>
      </c>
      <c r="BP16" s="128">
        <v>0</v>
      </c>
      <c r="BQ16" s="128">
        <v>0</v>
      </c>
      <c r="BR16" s="128">
        <v>0</v>
      </c>
      <c r="BS16" s="128">
        <v>0</v>
      </c>
      <c r="BT16" s="128">
        <v>0.12801600000000199</v>
      </c>
      <c r="BU16" s="128">
        <v>0</v>
      </c>
      <c r="BV16" s="128">
        <v>0</v>
      </c>
      <c r="BW16" s="128">
        <v>0</v>
      </c>
      <c r="BX16" s="128">
        <v>0</v>
      </c>
      <c r="BY16" s="128">
        <v>0</v>
      </c>
      <c r="BZ16" s="128">
        <v>1.0172479999999999</v>
      </c>
      <c r="CA16" s="128">
        <v>0.40659200000000301</v>
      </c>
      <c r="CB16" s="128">
        <v>0</v>
      </c>
      <c r="CC16" s="128">
        <v>0</v>
      </c>
      <c r="CD16" s="128">
        <v>0</v>
      </c>
      <c r="CE16" s="128">
        <v>0</v>
      </c>
      <c r="CF16" s="128">
        <v>3.7670999999999601E-2</v>
      </c>
      <c r="CG16" s="128">
        <v>0</v>
      </c>
      <c r="CH16" s="128">
        <v>3.5724999999997602E-4</v>
      </c>
      <c r="CI16" s="128">
        <v>0</v>
      </c>
      <c r="CJ16" s="128">
        <v>0</v>
      </c>
      <c r="CK16" s="128">
        <v>0</v>
      </c>
      <c r="CL16" s="128">
        <v>4.8593999999997799E-2</v>
      </c>
      <c r="CM16" s="128">
        <v>5.1388159999999097</v>
      </c>
      <c r="CN16" s="128">
        <v>5.0582999999999601E-2</v>
      </c>
      <c r="CO16" s="128">
        <v>0.91181200000000495</v>
      </c>
      <c r="CP16" s="128">
        <v>0</v>
      </c>
      <c r="CQ16" s="128">
        <v>0</v>
      </c>
      <c r="CR16" s="128">
        <v>0.126633</v>
      </c>
      <c r="CS16" s="128">
        <v>0</v>
      </c>
      <c r="CT16" s="128">
        <v>0.20466400000000801</v>
      </c>
      <c r="CU16" s="128">
        <v>0</v>
      </c>
      <c r="CV16" s="128">
        <v>2.03140000000002E-2</v>
      </c>
      <c r="CW16" s="128">
        <v>6.9396000000004704E-2</v>
      </c>
      <c r="CX16" s="128">
        <v>0.27296799999999899</v>
      </c>
      <c r="CY16" s="128">
        <v>1.8402000000000002E-2</v>
      </c>
      <c r="CZ16" s="128">
        <v>2.20395E-2</v>
      </c>
      <c r="DA16" s="128">
        <v>0.25367599999999901</v>
      </c>
      <c r="DB16" s="128">
        <v>0.122470999999999</v>
      </c>
      <c r="DC16" s="128">
        <v>0.21551600000000101</v>
      </c>
      <c r="DD16" s="128">
        <v>2.6654125000000001E-2</v>
      </c>
      <c r="DE16" s="128">
        <v>0</v>
      </c>
      <c r="DF16" s="128">
        <v>0</v>
      </c>
      <c r="DG16" s="128">
        <v>1.7238499999999501E-2</v>
      </c>
      <c r="DH16" s="128">
        <v>1.04654999999996E-2</v>
      </c>
      <c r="DI16" s="128">
        <v>5.0418559999999397</v>
      </c>
      <c r="DJ16" s="128">
        <v>0</v>
      </c>
      <c r="DK16" s="128">
        <v>6.5281999999999799E-2</v>
      </c>
      <c r="DL16" s="128">
        <v>1.9223999999999498E-2</v>
      </c>
      <c r="DM16" s="128">
        <v>4.4004000000001001E-2</v>
      </c>
      <c r="DN16" s="128">
        <v>9.2443750000004198E-4</v>
      </c>
      <c r="DO16" s="128">
        <v>0.75497599999999898</v>
      </c>
      <c r="DP16" s="128">
        <v>3.4234500000000202E-2</v>
      </c>
      <c r="DQ16" s="128">
        <v>0</v>
      </c>
      <c r="DR16" s="128">
        <v>0</v>
      </c>
      <c r="DS16" s="128">
        <v>1.35721599999999</v>
      </c>
      <c r="DT16" s="128">
        <v>0</v>
      </c>
      <c r="DU16" s="128">
        <v>7.40799999999986E-3</v>
      </c>
      <c r="DV16" s="128">
        <v>8.3342500000003206E-3</v>
      </c>
      <c r="DW16" s="128">
        <v>0</v>
      </c>
      <c r="DX16" s="128">
        <v>0.189635</v>
      </c>
      <c r="DY16" s="128">
        <v>4.0622499999999903E-3</v>
      </c>
      <c r="DZ16" s="128">
        <v>0.10571800000000001</v>
      </c>
      <c r="EA16" s="128">
        <v>0</v>
      </c>
      <c r="EB16" s="128">
        <v>1.3264319999999801</v>
      </c>
      <c r="EC16" s="128">
        <v>0.69470400000000199</v>
      </c>
      <c r="ED16" s="128">
        <v>3.1684999999999998E-2</v>
      </c>
      <c r="EE16" s="128">
        <v>0.1402525</v>
      </c>
      <c r="EF16" s="128">
        <v>14.112642999999499</v>
      </c>
      <c r="EG16" s="128">
        <v>0</v>
      </c>
      <c r="EH16" s="128">
        <v>0.68019200000003399</v>
      </c>
      <c r="EI16" s="128">
        <v>0.65491199999996796</v>
      </c>
      <c r="EJ16" s="128">
        <v>6.5215999999963997E-2</v>
      </c>
      <c r="EK16" s="128">
        <v>0</v>
      </c>
      <c r="EL16" s="128">
        <v>2.6869760000001901</v>
      </c>
      <c r="EM16" s="128">
        <v>4.01561600000014</v>
      </c>
      <c r="EN16" s="128">
        <v>2.0497919999998002</v>
      </c>
      <c r="EO16" s="128">
        <v>1.26790399999993</v>
      </c>
      <c r="EP16" s="128">
        <v>0</v>
      </c>
      <c r="EQ16" s="128">
        <v>0</v>
      </c>
      <c r="ER16" s="129">
        <v>2.7027729999999899</v>
      </c>
      <c r="ES16" s="129">
        <v>10</v>
      </c>
      <c r="ET16" s="129">
        <v>0</v>
      </c>
      <c r="EU16" s="129">
        <v>0</v>
      </c>
      <c r="EV16" s="30">
        <v>0</v>
      </c>
      <c r="EW16" s="30">
        <v>0</v>
      </c>
      <c r="EX16" s="30">
        <v>0</v>
      </c>
      <c r="EY16" s="30">
        <v>0</v>
      </c>
      <c r="EZ16" s="30">
        <v>0</v>
      </c>
      <c r="FA16" s="30">
        <v>0</v>
      </c>
      <c r="FB16" s="30">
        <v>0</v>
      </c>
      <c r="FC16" s="30">
        <v>0</v>
      </c>
      <c r="FD16" s="30">
        <v>0</v>
      </c>
      <c r="FE16" s="30">
        <v>0</v>
      </c>
      <c r="FF16" s="30">
        <v>0</v>
      </c>
      <c r="FG16" s="30">
        <v>0</v>
      </c>
      <c r="FH16" s="30">
        <v>0</v>
      </c>
      <c r="FI16" s="30">
        <v>0</v>
      </c>
      <c r="FJ16" s="30">
        <v>0</v>
      </c>
      <c r="FK16" s="30">
        <v>0</v>
      </c>
      <c r="FL16" s="30">
        <v>0</v>
      </c>
      <c r="FM16" s="30">
        <v>0</v>
      </c>
      <c r="FN16" s="30">
        <v>0</v>
      </c>
      <c r="FO16" s="30">
        <v>0</v>
      </c>
      <c r="FP16" s="30">
        <v>0</v>
      </c>
      <c r="FQ16" s="30">
        <v>0</v>
      </c>
      <c r="FR16" s="30">
        <v>0</v>
      </c>
      <c r="FS16" s="30">
        <v>0</v>
      </c>
      <c r="FT16" s="30">
        <v>0</v>
      </c>
      <c r="FU16" s="30">
        <v>0</v>
      </c>
      <c r="FV16" s="30">
        <v>0</v>
      </c>
      <c r="FW16" s="30">
        <v>0</v>
      </c>
      <c r="FX16" s="30">
        <v>0</v>
      </c>
      <c r="FY16" s="30">
        <v>0</v>
      </c>
      <c r="FZ16" s="30">
        <v>0</v>
      </c>
      <c r="GA16" s="30">
        <v>0</v>
      </c>
      <c r="GB16" s="30">
        <v>0</v>
      </c>
      <c r="GC16" s="30">
        <v>0</v>
      </c>
      <c r="GD16" s="30">
        <v>0</v>
      </c>
      <c r="GE16" s="30">
        <v>0</v>
      </c>
      <c r="GF16" s="30">
        <v>0</v>
      </c>
      <c r="GG16" s="30">
        <v>0</v>
      </c>
      <c r="GH16" s="30">
        <v>0</v>
      </c>
      <c r="GI16" s="30">
        <v>0</v>
      </c>
      <c r="GJ16" s="30">
        <v>0</v>
      </c>
      <c r="GK16" s="30">
        <v>0</v>
      </c>
      <c r="GL16" s="30">
        <v>0</v>
      </c>
      <c r="GM16" s="30">
        <v>0</v>
      </c>
      <c r="GN16" s="30">
        <v>0</v>
      </c>
      <c r="GO16" s="30">
        <v>0</v>
      </c>
      <c r="GP16" s="30">
        <v>0</v>
      </c>
      <c r="GQ16" s="30">
        <v>0</v>
      </c>
      <c r="GR16" s="30">
        <v>0</v>
      </c>
      <c r="GS16" s="30">
        <v>0</v>
      </c>
    </row>
    <row r="17" spans="1:201" s="30" customFormat="1" ht="13" x14ac:dyDescent="0.25">
      <c r="A17" s="87">
        <v>11</v>
      </c>
      <c r="B17" s="128">
        <v>26.819749999999999</v>
      </c>
      <c r="C17" s="128">
        <v>9.2927229999999703</v>
      </c>
      <c r="D17" s="128">
        <v>9.7034579999999604</v>
      </c>
      <c r="E17" s="128">
        <v>8.1266660000000002</v>
      </c>
      <c r="F17" s="128">
        <v>0</v>
      </c>
      <c r="G17" s="128">
        <v>0.26843800000000301</v>
      </c>
      <c r="H17" s="128">
        <v>7.8497999999999707E-2</v>
      </c>
      <c r="I17" s="128">
        <v>7.9806999999998907E-2</v>
      </c>
      <c r="J17" s="128">
        <v>2.5794999999999998E-2</v>
      </c>
      <c r="K17" s="128">
        <v>0</v>
      </c>
      <c r="L17" s="128">
        <v>3.0134000000000299E-2</v>
      </c>
      <c r="M17" s="128">
        <v>0.26789300000000099</v>
      </c>
      <c r="N17" s="128">
        <v>5.1781140000000496</v>
      </c>
      <c r="O17" s="128">
        <v>5.0226169999999701</v>
      </c>
      <c r="P17" s="128">
        <v>0.33801299999999701</v>
      </c>
      <c r="Q17" s="128">
        <v>9.0705920000000297</v>
      </c>
      <c r="R17" s="128">
        <v>9.4760959999985097</v>
      </c>
      <c r="S17" s="128">
        <v>7.9334399999997904</v>
      </c>
      <c r="T17" s="128">
        <v>0</v>
      </c>
      <c r="U17" s="128">
        <v>0.49491999999999298</v>
      </c>
      <c r="V17" s="128">
        <v>0.12466400000000299</v>
      </c>
      <c r="W17" s="128">
        <v>6.8236999999999895E-2</v>
      </c>
      <c r="X17" s="128">
        <v>7.0050999999999405E-2</v>
      </c>
      <c r="Y17" s="128">
        <v>0</v>
      </c>
      <c r="Z17" s="128">
        <v>4.21820000000004E-2</v>
      </c>
      <c r="AA17" s="128">
        <v>0.108556</v>
      </c>
      <c r="AB17" s="128">
        <v>0.16894799999999999</v>
      </c>
      <c r="AC17" s="128">
        <v>0.14704800000000201</v>
      </c>
      <c r="AD17" s="128">
        <v>8.0139000000000002E-2</v>
      </c>
      <c r="AE17" s="128">
        <v>0.1584795</v>
      </c>
      <c r="AF17" s="128">
        <v>0</v>
      </c>
      <c r="AG17" s="128">
        <v>1.5750499999999799E-2</v>
      </c>
      <c r="AH17" s="128">
        <v>1.9830079999999799</v>
      </c>
      <c r="AI17" s="128">
        <v>0</v>
      </c>
      <c r="AJ17" s="128">
        <v>4.7315500000000697E-2</v>
      </c>
      <c r="AK17" s="128">
        <v>0</v>
      </c>
      <c r="AL17" s="128">
        <v>0.33546400000000198</v>
      </c>
      <c r="AM17" s="128">
        <v>0.48411199999999599</v>
      </c>
      <c r="AN17" s="128">
        <v>0.39818400000000098</v>
      </c>
      <c r="AO17" s="128">
        <v>0.141343999999997</v>
      </c>
      <c r="AP17" s="128">
        <v>8.4351999999999094E-2</v>
      </c>
      <c r="AQ17" s="128">
        <v>0.33744800000000202</v>
      </c>
      <c r="AR17" s="128">
        <v>5.5864640000000403</v>
      </c>
      <c r="AS17" s="128">
        <v>8.6213500000000401E-2</v>
      </c>
      <c r="AT17" s="128">
        <v>0</v>
      </c>
      <c r="AU17" s="128">
        <v>4.3928000000001098E-2</v>
      </c>
      <c r="AV17" s="128">
        <v>2.9283000000000399E-2</v>
      </c>
      <c r="AW17" s="128">
        <v>2.2177919999999198</v>
      </c>
      <c r="AX17" s="128">
        <v>0</v>
      </c>
      <c r="AY17" s="128">
        <v>0.106562</v>
      </c>
      <c r="AZ17" s="128">
        <v>1.49999999994321E-5</v>
      </c>
      <c r="BA17" s="128">
        <v>0</v>
      </c>
      <c r="BB17" s="128">
        <v>0</v>
      </c>
      <c r="BC17" s="128">
        <v>0</v>
      </c>
      <c r="BD17" s="128">
        <v>3.6455781249999999E-3</v>
      </c>
      <c r="BE17" s="128">
        <v>0.141234000000001</v>
      </c>
      <c r="BF17" s="128">
        <v>0</v>
      </c>
      <c r="BG17" s="128">
        <v>2.2771000000000499E-2</v>
      </c>
      <c r="BH17" s="128">
        <v>6.6562000000001106E-2</v>
      </c>
      <c r="BI17" s="128">
        <v>2.5540799999999999</v>
      </c>
      <c r="BJ17" s="128">
        <v>7.3400000000134501E-4</v>
      </c>
      <c r="BK17" s="128">
        <v>7.1506000000000305E-2</v>
      </c>
      <c r="BL17" s="128">
        <v>1.05999999998829E-4</v>
      </c>
      <c r="BM17" s="128">
        <v>2.1904319999999902</v>
      </c>
      <c r="BN17" s="128">
        <v>0</v>
      </c>
      <c r="BO17" s="128">
        <v>0.38217499999999999</v>
      </c>
      <c r="BP17" s="128">
        <v>0</v>
      </c>
      <c r="BQ17" s="128">
        <v>0</v>
      </c>
      <c r="BR17" s="128">
        <v>0</v>
      </c>
      <c r="BS17" s="128">
        <v>0</v>
      </c>
      <c r="BT17" s="128">
        <v>0.232100000000003</v>
      </c>
      <c r="BU17" s="128">
        <v>0</v>
      </c>
      <c r="BV17" s="128">
        <v>0</v>
      </c>
      <c r="BW17" s="128">
        <v>0</v>
      </c>
      <c r="BX17" s="128">
        <v>0</v>
      </c>
      <c r="BY17" s="128">
        <v>0</v>
      </c>
      <c r="BZ17" s="128">
        <v>0.97012000000000898</v>
      </c>
      <c r="CA17" s="128">
        <v>0.41369599999998702</v>
      </c>
      <c r="CB17" s="128">
        <v>0</v>
      </c>
      <c r="CC17" s="128">
        <v>0</v>
      </c>
      <c r="CD17" s="128">
        <v>0</v>
      </c>
      <c r="CE17" s="128">
        <v>0</v>
      </c>
      <c r="CF17" s="128">
        <v>4.4689E-2</v>
      </c>
      <c r="CG17" s="128">
        <v>0</v>
      </c>
      <c r="CH17" s="128">
        <v>4.2999999999793197E-5</v>
      </c>
      <c r="CI17" s="128">
        <v>0</v>
      </c>
      <c r="CJ17" s="128">
        <v>0</v>
      </c>
      <c r="CK17" s="128">
        <v>0</v>
      </c>
      <c r="CL17" s="128">
        <v>2.6921999999998999E-2</v>
      </c>
      <c r="CM17" s="128">
        <v>5.6444160000000902</v>
      </c>
      <c r="CN17" s="128">
        <v>4.6091500000000202E-2</v>
      </c>
      <c r="CO17" s="128">
        <v>1.067572</v>
      </c>
      <c r="CP17" s="128">
        <v>0</v>
      </c>
      <c r="CQ17" s="128">
        <v>0</v>
      </c>
      <c r="CR17" s="128">
        <v>0.193328000000001</v>
      </c>
      <c r="CS17" s="128">
        <v>0</v>
      </c>
      <c r="CT17" s="128">
        <v>0.201328000000004</v>
      </c>
      <c r="CU17" s="128">
        <v>0</v>
      </c>
      <c r="CV17" s="128">
        <v>1.8961499999999899E-2</v>
      </c>
      <c r="CW17" s="128">
        <v>6.1664000000000399E-2</v>
      </c>
      <c r="CX17" s="128">
        <v>0.28118799999999999</v>
      </c>
      <c r="CY17" s="128">
        <v>1.94619999999999E-2</v>
      </c>
      <c r="CZ17" s="128">
        <v>2.5781500000000301E-2</v>
      </c>
      <c r="DA17" s="128">
        <v>0.2868</v>
      </c>
      <c r="DB17" s="128">
        <v>0.13269300000000001</v>
      </c>
      <c r="DC17" s="128">
        <v>0.204675999999999</v>
      </c>
      <c r="DD17" s="128">
        <v>3.2791375000000102E-2</v>
      </c>
      <c r="DE17" s="128">
        <v>0</v>
      </c>
      <c r="DF17" s="128">
        <v>0</v>
      </c>
      <c r="DG17" s="128">
        <v>2.8106499999999798E-2</v>
      </c>
      <c r="DH17" s="128">
        <v>1.03335000000007E-2</v>
      </c>
      <c r="DI17" s="128">
        <v>5.1646080000000403</v>
      </c>
      <c r="DJ17" s="128">
        <v>0</v>
      </c>
      <c r="DK17" s="128">
        <v>6.4949999999999605E-2</v>
      </c>
      <c r="DL17" s="128">
        <v>1.9174000000001402E-2</v>
      </c>
      <c r="DM17" s="128">
        <v>4.3758999999999701E-2</v>
      </c>
      <c r="DN17" s="128">
        <v>4.3185000000000003E-3</v>
      </c>
      <c r="DO17" s="128">
        <v>0.72320000000002005</v>
      </c>
      <c r="DP17" s="128">
        <v>4.0278499999999398E-2</v>
      </c>
      <c r="DQ17" s="128">
        <v>0</v>
      </c>
      <c r="DR17" s="128">
        <v>0</v>
      </c>
      <c r="DS17" s="128">
        <v>1.42847999999998</v>
      </c>
      <c r="DT17" s="128">
        <v>0.40787796874999999</v>
      </c>
      <c r="DU17" s="128">
        <v>1.56039999999997E-2</v>
      </c>
      <c r="DV17" s="128">
        <v>1.09049999999997E-2</v>
      </c>
      <c r="DW17" s="128">
        <v>0</v>
      </c>
      <c r="DX17" s="128">
        <v>0.22941700000000001</v>
      </c>
      <c r="DY17" s="128">
        <v>4.3732812500000299E-3</v>
      </c>
      <c r="DZ17" s="128">
        <v>0.105432</v>
      </c>
      <c r="EA17" s="128">
        <v>0</v>
      </c>
      <c r="EB17" s="128">
        <v>1.364384</v>
      </c>
      <c r="EC17" s="128">
        <v>0.69790399999999397</v>
      </c>
      <c r="ED17" s="128">
        <v>3.1424500000000001E-2</v>
      </c>
      <c r="EE17" s="128">
        <v>0.13050999999999899</v>
      </c>
      <c r="EF17" s="128">
        <v>16.793402999999699</v>
      </c>
      <c r="EG17" s="128">
        <v>0</v>
      </c>
      <c r="EH17" s="128">
        <v>0.588351999999986</v>
      </c>
      <c r="EI17" s="128">
        <v>0.75366400000007205</v>
      </c>
      <c r="EJ17" s="128">
        <v>7.2736000000020298E-2</v>
      </c>
      <c r="EK17" s="128">
        <v>0</v>
      </c>
      <c r="EL17" s="128">
        <v>3.9585279999998901</v>
      </c>
      <c r="EM17" s="128">
        <v>2.57868800000006</v>
      </c>
      <c r="EN17" s="128">
        <v>3.4649600000002501</v>
      </c>
      <c r="EO17" s="128">
        <v>2.1363200000000702</v>
      </c>
      <c r="EP17" s="128">
        <v>0</v>
      </c>
      <c r="EQ17" s="128">
        <v>0</v>
      </c>
      <c r="ER17" s="129">
        <v>3.30655400000001</v>
      </c>
      <c r="ES17" s="129">
        <v>0</v>
      </c>
      <c r="ET17" s="129">
        <v>0</v>
      </c>
      <c r="EU17" s="129">
        <v>0</v>
      </c>
      <c r="EV17" s="30">
        <v>0</v>
      </c>
      <c r="EW17" s="30">
        <v>0</v>
      </c>
      <c r="EX17" s="30">
        <v>0</v>
      </c>
      <c r="EY17" s="30">
        <v>0</v>
      </c>
      <c r="EZ17" s="30">
        <v>0</v>
      </c>
      <c r="FA17" s="30">
        <v>0</v>
      </c>
      <c r="FB17" s="30">
        <v>0</v>
      </c>
      <c r="FC17" s="30">
        <v>0</v>
      </c>
      <c r="FD17" s="30">
        <v>0</v>
      </c>
      <c r="FE17" s="30">
        <v>0</v>
      </c>
      <c r="FF17" s="30">
        <v>0</v>
      </c>
      <c r="FG17" s="30">
        <v>0</v>
      </c>
      <c r="FH17" s="30">
        <v>0</v>
      </c>
      <c r="FI17" s="30">
        <v>0</v>
      </c>
      <c r="FJ17" s="30">
        <v>0</v>
      </c>
      <c r="FK17" s="30">
        <v>0</v>
      </c>
      <c r="FL17" s="30">
        <v>0</v>
      </c>
      <c r="FM17" s="30">
        <v>0</v>
      </c>
      <c r="FN17" s="30">
        <v>0</v>
      </c>
      <c r="FO17" s="30">
        <v>0</v>
      </c>
      <c r="FP17" s="30">
        <v>0</v>
      </c>
      <c r="FQ17" s="30">
        <v>0</v>
      </c>
      <c r="FR17" s="30">
        <v>0</v>
      </c>
      <c r="FS17" s="30">
        <v>0</v>
      </c>
      <c r="FT17" s="30">
        <v>0</v>
      </c>
      <c r="FU17" s="30">
        <v>0</v>
      </c>
      <c r="FV17" s="30">
        <v>0</v>
      </c>
      <c r="FW17" s="30">
        <v>0</v>
      </c>
      <c r="FX17" s="30">
        <v>0</v>
      </c>
      <c r="FY17" s="30">
        <v>0</v>
      </c>
      <c r="FZ17" s="30">
        <v>0</v>
      </c>
      <c r="GA17" s="30">
        <v>0</v>
      </c>
      <c r="GB17" s="30">
        <v>0</v>
      </c>
      <c r="GC17" s="30">
        <v>0</v>
      </c>
      <c r="GD17" s="30">
        <v>0</v>
      </c>
      <c r="GE17" s="30">
        <v>0</v>
      </c>
      <c r="GF17" s="30">
        <v>0</v>
      </c>
      <c r="GG17" s="30">
        <v>0</v>
      </c>
      <c r="GH17" s="30">
        <v>0</v>
      </c>
      <c r="GI17" s="30">
        <v>0</v>
      </c>
      <c r="GJ17" s="30">
        <v>0</v>
      </c>
      <c r="GK17" s="30">
        <v>0</v>
      </c>
      <c r="GL17" s="30">
        <v>0</v>
      </c>
      <c r="GM17" s="30">
        <v>0</v>
      </c>
      <c r="GN17" s="30">
        <v>0</v>
      </c>
      <c r="GO17" s="30">
        <v>0</v>
      </c>
      <c r="GP17" s="30">
        <v>0</v>
      </c>
      <c r="GQ17" s="30">
        <v>0</v>
      </c>
      <c r="GR17" s="30">
        <v>0</v>
      </c>
      <c r="GS17" s="30">
        <v>0</v>
      </c>
    </row>
    <row r="18" spans="1:201" s="30" customFormat="1" ht="13" x14ac:dyDescent="0.25">
      <c r="A18" s="87">
        <v>12</v>
      </c>
      <c r="B18" s="128">
        <v>28.837624999999999</v>
      </c>
      <c r="C18" s="128">
        <v>10.167475</v>
      </c>
      <c r="D18" s="128">
        <v>10.629795000000099</v>
      </c>
      <c r="E18" s="128">
        <v>8.9456030000000109</v>
      </c>
      <c r="F18" s="128">
        <v>0</v>
      </c>
      <c r="G18" s="128">
        <v>0.89685299999999701</v>
      </c>
      <c r="H18" s="128">
        <v>0.285030000000001</v>
      </c>
      <c r="I18" s="128">
        <v>0.28819800000000101</v>
      </c>
      <c r="J18" s="128">
        <v>9.3198999999999796E-2</v>
      </c>
      <c r="K18" s="128">
        <v>0</v>
      </c>
      <c r="L18" s="128">
        <v>3.4049999999999699E-2</v>
      </c>
      <c r="M18" s="128">
        <v>0.895451000000001</v>
      </c>
      <c r="N18" s="128">
        <v>4.6981940000000604</v>
      </c>
      <c r="O18" s="128">
        <v>4.5344610000000802</v>
      </c>
      <c r="P18" s="128">
        <v>0.31290300000000598</v>
      </c>
      <c r="Q18" s="128">
        <v>9.9102720000009903</v>
      </c>
      <c r="R18" s="128">
        <v>10.393599999999401</v>
      </c>
      <c r="S18" s="128">
        <v>8.7219199999999493</v>
      </c>
      <c r="T18" s="128">
        <v>0</v>
      </c>
      <c r="U18" s="128">
        <v>0.51009600000000399</v>
      </c>
      <c r="V18" s="128">
        <v>0.127333999999998</v>
      </c>
      <c r="W18" s="128">
        <v>6.5663999999999903E-2</v>
      </c>
      <c r="X18" s="128">
        <v>6.6275000000001E-2</v>
      </c>
      <c r="Y18" s="128">
        <v>0</v>
      </c>
      <c r="Z18" s="128">
        <v>4.4954999999999898E-2</v>
      </c>
      <c r="AA18" s="128">
        <v>0.112898000000001</v>
      </c>
      <c r="AB18" s="128">
        <v>0.16982999999999701</v>
      </c>
      <c r="AC18" s="128">
        <v>0.153579999999998</v>
      </c>
      <c r="AD18" s="128">
        <v>8.2250499999999796E-2</v>
      </c>
      <c r="AE18" s="128">
        <v>0.14941849999999901</v>
      </c>
      <c r="AF18" s="128">
        <v>0</v>
      </c>
      <c r="AG18" s="128">
        <v>1.472775E-2</v>
      </c>
      <c r="AH18" s="128">
        <v>1.95513600000004</v>
      </c>
      <c r="AI18" s="128">
        <v>0</v>
      </c>
      <c r="AJ18" s="128">
        <v>4.4384999999999203E-2</v>
      </c>
      <c r="AK18" s="128">
        <v>0</v>
      </c>
      <c r="AL18" s="128">
        <v>0.341031999999998</v>
      </c>
      <c r="AM18" s="128">
        <v>0.452759999999998</v>
      </c>
      <c r="AN18" s="128">
        <v>0.38398399999999799</v>
      </c>
      <c r="AO18" s="128">
        <v>0.15703599999999801</v>
      </c>
      <c r="AP18" s="128">
        <v>8.7533999999998002E-2</v>
      </c>
      <c r="AQ18" s="128">
        <v>0.32941199999999798</v>
      </c>
      <c r="AR18" s="128">
        <v>6.1035199999999499</v>
      </c>
      <c r="AS18" s="128">
        <v>8.4053499999999601E-2</v>
      </c>
      <c r="AT18" s="128">
        <v>0</v>
      </c>
      <c r="AU18" s="128">
        <v>4.4840000000000699E-2</v>
      </c>
      <c r="AV18" s="128">
        <v>4.7759499999999698E-2</v>
      </c>
      <c r="AW18" s="128">
        <v>2.7685760000000501</v>
      </c>
      <c r="AX18" s="128">
        <v>0</v>
      </c>
      <c r="AY18" s="128">
        <v>9.5741499999999896E-2</v>
      </c>
      <c r="AZ18" s="128">
        <v>2.4999999999053599E-6</v>
      </c>
      <c r="BA18" s="128">
        <v>0</v>
      </c>
      <c r="BB18" s="128">
        <v>0</v>
      </c>
      <c r="BC18" s="128">
        <v>0</v>
      </c>
      <c r="BD18" s="128">
        <v>3.4130996093749998E-3</v>
      </c>
      <c r="BE18" s="128">
        <v>0.169485999999999</v>
      </c>
      <c r="BF18" s="128">
        <v>0</v>
      </c>
      <c r="BG18" s="128">
        <v>2.0014999999998999E-2</v>
      </c>
      <c r="BH18" s="128">
        <v>1.2323999999999599E-2</v>
      </c>
      <c r="BI18" s="128">
        <v>2.5728320000000102</v>
      </c>
      <c r="BJ18" s="128">
        <v>1.77300000000002E-3</v>
      </c>
      <c r="BK18" s="128">
        <v>5.18815000000004E-2</v>
      </c>
      <c r="BL18" s="128">
        <v>6.6000000000343602E-5</v>
      </c>
      <c r="BM18" s="128">
        <v>2.4038400000000002</v>
      </c>
      <c r="BN18" s="128">
        <v>0</v>
      </c>
      <c r="BO18" s="128">
        <v>0.53492600000000001</v>
      </c>
      <c r="BP18" s="128">
        <v>0</v>
      </c>
      <c r="BQ18" s="128">
        <v>0</v>
      </c>
      <c r="BR18" s="128">
        <v>0</v>
      </c>
      <c r="BS18" s="128">
        <v>0</v>
      </c>
      <c r="BT18" s="128">
        <v>0.335979999999999</v>
      </c>
      <c r="BU18" s="128">
        <v>0</v>
      </c>
      <c r="BV18" s="128">
        <v>0</v>
      </c>
      <c r="BW18" s="128">
        <v>0</v>
      </c>
      <c r="BX18" s="128">
        <v>0</v>
      </c>
      <c r="BY18" s="128">
        <v>0</v>
      </c>
      <c r="BZ18" s="128">
        <v>0.91073599999999999</v>
      </c>
      <c r="CA18" s="128">
        <v>0.42774400000000401</v>
      </c>
      <c r="CB18" s="128">
        <v>0</v>
      </c>
      <c r="CC18" s="128">
        <v>0</v>
      </c>
      <c r="CD18" s="128">
        <v>0</v>
      </c>
      <c r="CE18" s="128">
        <v>0</v>
      </c>
      <c r="CF18" s="128">
        <v>8.3973000000000297E-2</v>
      </c>
      <c r="CG18" s="128">
        <v>0</v>
      </c>
      <c r="CH18" s="128">
        <v>2.1884999999999301E-3</v>
      </c>
      <c r="CI18" s="128">
        <v>0</v>
      </c>
      <c r="CJ18" s="128">
        <v>0</v>
      </c>
      <c r="CK18" s="128">
        <v>0</v>
      </c>
      <c r="CL18" s="128">
        <v>3.6686000000003098E-2</v>
      </c>
      <c r="CM18" s="128">
        <v>5.7392640000000501</v>
      </c>
      <c r="CN18" s="128">
        <v>4.7457500000000201E-2</v>
      </c>
      <c r="CO18" s="128">
        <v>1.0564119999999999</v>
      </c>
      <c r="CP18" s="128">
        <v>0</v>
      </c>
      <c r="CQ18" s="128">
        <v>0</v>
      </c>
      <c r="CR18" s="128">
        <v>0.19784099999999899</v>
      </c>
      <c r="CS18" s="128">
        <v>0</v>
      </c>
      <c r="CT18" s="128">
        <v>0.20706399999998801</v>
      </c>
      <c r="CU18" s="128">
        <v>0</v>
      </c>
      <c r="CV18" s="128">
        <v>2.0985250000000101E-2</v>
      </c>
      <c r="CW18" s="128">
        <v>7.5071999999998695E-2</v>
      </c>
      <c r="CX18" s="128">
        <v>0.27677599999999802</v>
      </c>
      <c r="CY18" s="128">
        <v>1.8870000000000199E-2</v>
      </c>
      <c r="CZ18" s="128">
        <v>2.9284749999999998E-2</v>
      </c>
      <c r="DA18" s="128">
        <v>0.28934000000000298</v>
      </c>
      <c r="DB18" s="128">
        <v>0.12041399999999999</v>
      </c>
      <c r="DC18" s="128">
        <v>0.20682</v>
      </c>
      <c r="DD18" s="128">
        <v>3.2938375000000103E-2</v>
      </c>
      <c r="DE18" s="128">
        <v>0</v>
      </c>
      <c r="DF18" s="128">
        <v>0</v>
      </c>
      <c r="DG18" s="128">
        <v>4.3667000000000102E-2</v>
      </c>
      <c r="DH18" s="128">
        <v>1.10049999999999E-2</v>
      </c>
      <c r="DI18" s="128">
        <v>4.8234880000000002</v>
      </c>
      <c r="DJ18" s="128">
        <v>0</v>
      </c>
      <c r="DK18" s="128">
        <v>6.4889999999998296E-2</v>
      </c>
      <c r="DL18" s="128">
        <v>1.91199999999991E-2</v>
      </c>
      <c r="DM18" s="128">
        <v>4.5666000000000699E-2</v>
      </c>
      <c r="DN18" s="128">
        <v>3.7659374999999798E-3</v>
      </c>
      <c r="DO18" s="128">
        <v>0.79625599999999996</v>
      </c>
      <c r="DP18" s="128">
        <v>3.2505500000000097E-2</v>
      </c>
      <c r="DQ18" s="128">
        <v>0</v>
      </c>
      <c r="DR18" s="128">
        <v>0</v>
      </c>
      <c r="DS18" s="128">
        <v>1.0201600000000299</v>
      </c>
      <c r="DT18" s="128">
        <v>0.39438956250000001</v>
      </c>
      <c r="DU18" s="128">
        <v>2.3174000000000899E-2</v>
      </c>
      <c r="DV18" s="128">
        <v>1.1191000000000201E-2</v>
      </c>
      <c r="DW18" s="128">
        <v>0</v>
      </c>
      <c r="DX18" s="128">
        <v>0.204177</v>
      </c>
      <c r="DY18" s="128">
        <v>5.2169062499999898E-3</v>
      </c>
      <c r="DZ18" s="128">
        <v>0.126445999999998</v>
      </c>
      <c r="EA18" s="128">
        <v>0</v>
      </c>
      <c r="EB18" s="128">
        <v>1.4125760000000001</v>
      </c>
      <c r="EC18" s="128">
        <v>0.64804799999998897</v>
      </c>
      <c r="ED18" s="128">
        <v>2.6987000000000101E-2</v>
      </c>
      <c r="EE18" s="128">
        <v>0.14298150000000001</v>
      </c>
      <c r="EF18" s="128">
        <v>17.909742000000701</v>
      </c>
      <c r="EG18" s="128">
        <v>0</v>
      </c>
      <c r="EH18" s="128">
        <v>0.59865600000000496</v>
      </c>
      <c r="EI18" s="128">
        <v>0.87622399999997902</v>
      </c>
      <c r="EJ18" s="128">
        <v>7.50400000000013E-2</v>
      </c>
      <c r="EK18" s="128">
        <v>0</v>
      </c>
      <c r="EL18" s="128">
        <v>3.9587839999999201</v>
      </c>
      <c r="EM18" s="128">
        <v>4.13235200000008</v>
      </c>
      <c r="EN18" s="128">
        <v>2.3782400000000101</v>
      </c>
      <c r="EO18" s="128">
        <v>2.2913919999999699</v>
      </c>
      <c r="EP18" s="128">
        <v>0</v>
      </c>
      <c r="EQ18" s="128">
        <v>0</v>
      </c>
      <c r="ER18" s="129">
        <v>3.6441979999999901</v>
      </c>
      <c r="ES18" s="129">
        <v>0</v>
      </c>
      <c r="ET18" s="129">
        <v>0</v>
      </c>
      <c r="EU18" s="129">
        <v>0</v>
      </c>
      <c r="EV18" s="30">
        <v>0</v>
      </c>
      <c r="EW18" s="30">
        <v>0</v>
      </c>
      <c r="EX18" s="30">
        <v>0</v>
      </c>
      <c r="EY18" s="30">
        <v>0</v>
      </c>
      <c r="EZ18" s="30">
        <v>0</v>
      </c>
      <c r="FA18" s="30">
        <v>0</v>
      </c>
      <c r="FB18" s="30">
        <v>0</v>
      </c>
      <c r="FC18" s="30">
        <v>0</v>
      </c>
      <c r="FD18" s="30">
        <v>0</v>
      </c>
      <c r="FE18" s="30">
        <v>0</v>
      </c>
      <c r="FF18" s="30">
        <v>0</v>
      </c>
      <c r="FG18" s="30">
        <v>0</v>
      </c>
      <c r="FH18" s="30">
        <v>0</v>
      </c>
      <c r="FI18" s="30">
        <v>0</v>
      </c>
      <c r="FJ18" s="30">
        <v>0</v>
      </c>
      <c r="FK18" s="30">
        <v>0</v>
      </c>
      <c r="FL18" s="30">
        <v>0</v>
      </c>
      <c r="FM18" s="30">
        <v>0</v>
      </c>
      <c r="FN18" s="30">
        <v>0</v>
      </c>
      <c r="FO18" s="30">
        <v>0</v>
      </c>
      <c r="FP18" s="30">
        <v>0</v>
      </c>
      <c r="FQ18" s="30">
        <v>0</v>
      </c>
      <c r="FR18" s="30">
        <v>0</v>
      </c>
      <c r="FS18" s="30">
        <v>0</v>
      </c>
      <c r="FT18" s="30">
        <v>0</v>
      </c>
      <c r="FU18" s="30">
        <v>0</v>
      </c>
      <c r="FV18" s="30">
        <v>0</v>
      </c>
      <c r="FW18" s="30">
        <v>0</v>
      </c>
      <c r="FX18" s="30">
        <v>0</v>
      </c>
      <c r="FY18" s="30">
        <v>0</v>
      </c>
      <c r="FZ18" s="30">
        <v>0</v>
      </c>
      <c r="GA18" s="30">
        <v>0</v>
      </c>
      <c r="GB18" s="30">
        <v>0</v>
      </c>
      <c r="GC18" s="30">
        <v>0</v>
      </c>
      <c r="GD18" s="30">
        <v>0</v>
      </c>
      <c r="GE18" s="30">
        <v>0</v>
      </c>
      <c r="GF18" s="30">
        <v>0</v>
      </c>
      <c r="GG18" s="30">
        <v>0</v>
      </c>
      <c r="GH18" s="30">
        <v>0</v>
      </c>
      <c r="GI18" s="30">
        <v>0</v>
      </c>
      <c r="GJ18" s="30">
        <v>0</v>
      </c>
      <c r="GK18" s="30">
        <v>0</v>
      </c>
      <c r="GL18" s="30">
        <v>0</v>
      </c>
      <c r="GM18" s="30">
        <v>0</v>
      </c>
      <c r="GN18" s="30">
        <v>0</v>
      </c>
      <c r="GO18" s="30">
        <v>0</v>
      </c>
      <c r="GP18" s="30">
        <v>0</v>
      </c>
      <c r="GQ18" s="30">
        <v>0</v>
      </c>
      <c r="GR18" s="30">
        <v>0</v>
      </c>
      <c r="GS18" s="30">
        <v>0</v>
      </c>
    </row>
    <row r="19" spans="1:201" s="30" customFormat="1" ht="13" x14ac:dyDescent="0.25">
      <c r="A19" s="87">
        <v>13</v>
      </c>
      <c r="B19" s="128">
        <v>28.132625000000001</v>
      </c>
      <c r="C19" s="128">
        <v>9.6339070000000202</v>
      </c>
      <c r="D19" s="128">
        <v>10.0684660000001</v>
      </c>
      <c r="E19" s="128">
        <v>8.4616209999999796</v>
      </c>
      <c r="F19" s="128">
        <v>0</v>
      </c>
      <c r="G19" s="128">
        <v>0</v>
      </c>
      <c r="H19" s="128">
        <v>0</v>
      </c>
      <c r="I19" s="128">
        <v>0</v>
      </c>
      <c r="J19" s="128">
        <v>0</v>
      </c>
      <c r="K19" s="128">
        <v>0</v>
      </c>
      <c r="L19" s="128">
        <v>0</v>
      </c>
      <c r="M19" s="128">
        <v>0</v>
      </c>
      <c r="N19" s="128">
        <v>4.4961779999998699</v>
      </c>
      <c r="O19" s="128">
        <v>4.32190600000001</v>
      </c>
      <c r="P19" s="128">
        <v>0.29762900000000098</v>
      </c>
      <c r="Q19" s="128">
        <v>9.4167039999992994</v>
      </c>
      <c r="R19" s="128">
        <v>9.8140160000002705</v>
      </c>
      <c r="S19" s="128">
        <v>8.2534400000004098</v>
      </c>
      <c r="T19" s="128">
        <v>0</v>
      </c>
      <c r="U19" s="128">
        <v>0.51713599999999404</v>
      </c>
      <c r="V19" s="128">
        <v>0.138298000000002</v>
      </c>
      <c r="W19" s="128">
        <v>6.9065000000000196E-2</v>
      </c>
      <c r="X19" s="128">
        <v>7.09759999999999E-2</v>
      </c>
      <c r="Y19" s="128">
        <v>0</v>
      </c>
      <c r="Z19" s="128">
        <v>4.2987999999999402E-2</v>
      </c>
      <c r="AA19" s="128">
        <v>0.113778</v>
      </c>
      <c r="AB19" s="128">
        <v>0.164439999999999</v>
      </c>
      <c r="AC19" s="128">
        <v>0.15230400000000099</v>
      </c>
      <c r="AD19" s="128">
        <v>7.9743999999999801E-2</v>
      </c>
      <c r="AE19" s="128">
        <v>0.15165500000000101</v>
      </c>
      <c r="AF19" s="128">
        <v>0</v>
      </c>
      <c r="AG19" s="128">
        <v>1.7509249999999799E-2</v>
      </c>
      <c r="AH19" s="128">
        <v>1.99571199999997</v>
      </c>
      <c r="AI19" s="128">
        <v>0</v>
      </c>
      <c r="AJ19" s="128">
        <v>4.6156999999999997E-2</v>
      </c>
      <c r="AK19" s="128">
        <v>0</v>
      </c>
      <c r="AL19" s="128">
        <v>0.33981599999999901</v>
      </c>
      <c r="AM19" s="128">
        <v>0.49593599999999999</v>
      </c>
      <c r="AN19" s="128">
        <v>0.39782400000000001</v>
      </c>
      <c r="AO19" s="128">
        <v>0.140900000000002</v>
      </c>
      <c r="AP19" s="128">
        <v>8.6866000000000596E-2</v>
      </c>
      <c r="AQ19" s="128">
        <v>0.33455999999999603</v>
      </c>
      <c r="AR19" s="128">
        <v>6.2426880000000402</v>
      </c>
      <c r="AS19" s="128">
        <v>9.3013499999999597E-2</v>
      </c>
      <c r="AT19" s="128">
        <v>0</v>
      </c>
      <c r="AU19" s="128">
        <v>4.57759999999965E-2</v>
      </c>
      <c r="AV19" s="128">
        <v>3.8287500000000002E-2</v>
      </c>
      <c r="AW19" s="128">
        <v>2.8969600000000399</v>
      </c>
      <c r="AX19" s="128">
        <v>0</v>
      </c>
      <c r="AY19" s="128">
        <v>8.9940500000000007E-2</v>
      </c>
      <c r="AZ19" s="128">
        <v>1.1500000000275199E-5</v>
      </c>
      <c r="BA19" s="128">
        <v>0</v>
      </c>
      <c r="BB19" s="128">
        <v>0</v>
      </c>
      <c r="BC19" s="128">
        <v>0</v>
      </c>
      <c r="BD19" s="128">
        <v>3.5060009765625001E-3</v>
      </c>
      <c r="BE19" s="128">
        <v>0.11036599999999901</v>
      </c>
      <c r="BF19" s="128">
        <v>0</v>
      </c>
      <c r="BG19" s="128">
        <v>1.6839000000000898E-2</v>
      </c>
      <c r="BH19" s="128">
        <v>2.22939999999987E-2</v>
      </c>
      <c r="BI19" s="128">
        <v>2.6326079999999501</v>
      </c>
      <c r="BJ19" s="128">
        <v>4.9299999999874401E-4</v>
      </c>
      <c r="BK19" s="128">
        <v>4.9515499999999199E-2</v>
      </c>
      <c r="BL19" s="128">
        <v>7.7999999998468197E-5</v>
      </c>
      <c r="BM19" s="128">
        <v>2.3851199999999699</v>
      </c>
      <c r="BN19" s="128">
        <v>0</v>
      </c>
      <c r="BO19" s="128">
        <v>0.52390599999999798</v>
      </c>
      <c r="BP19" s="128">
        <v>0</v>
      </c>
      <c r="BQ19" s="128">
        <v>0</v>
      </c>
      <c r="BR19" s="128">
        <v>0</v>
      </c>
      <c r="BS19" s="128">
        <v>0</v>
      </c>
      <c r="BT19" s="128">
        <v>0.20922399999999899</v>
      </c>
      <c r="BU19" s="128">
        <v>0</v>
      </c>
      <c r="BV19" s="128">
        <v>0</v>
      </c>
      <c r="BW19" s="128">
        <v>0</v>
      </c>
      <c r="BX19" s="128">
        <v>0</v>
      </c>
      <c r="BY19" s="128">
        <v>0</v>
      </c>
      <c r="BZ19" s="128">
        <v>1.0332479999999999</v>
      </c>
      <c r="CA19" s="128">
        <v>0.40824000000000599</v>
      </c>
      <c r="CB19" s="128">
        <v>0</v>
      </c>
      <c r="CC19" s="128">
        <v>0</v>
      </c>
      <c r="CD19" s="128">
        <v>0</v>
      </c>
      <c r="CE19" s="128">
        <v>0</v>
      </c>
      <c r="CF19" s="128">
        <v>7.7389000000000194E-2</v>
      </c>
      <c r="CG19" s="128">
        <v>0</v>
      </c>
      <c r="CH19" s="128">
        <v>2.1002500000002499E-3</v>
      </c>
      <c r="CI19" s="128">
        <v>0</v>
      </c>
      <c r="CJ19" s="128">
        <v>0</v>
      </c>
      <c r="CK19" s="128">
        <v>0</v>
      </c>
      <c r="CL19" s="128">
        <v>4.0939999999999102E-2</v>
      </c>
      <c r="CM19" s="128">
        <v>5.4033919999999398</v>
      </c>
      <c r="CN19" s="128">
        <v>4.5859499999998797E-2</v>
      </c>
      <c r="CO19" s="128">
        <v>0.92886399999999703</v>
      </c>
      <c r="CP19" s="128">
        <v>0</v>
      </c>
      <c r="CQ19" s="128">
        <v>0</v>
      </c>
      <c r="CR19" s="128">
        <v>0.16578800000000099</v>
      </c>
      <c r="CS19" s="128">
        <v>0</v>
      </c>
      <c r="CT19" s="128">
        <v>0.20360800000000301</v>
      </c>
      <c r="CU19" s="128">
        <v>0</v>
      </c>
      <c r="CV19" s="128">
        <v>1.7452999999999899E-2</v>
      </c>
      <c r="CW19" s="128">
        <v>7.4136000000002894E-2</v>
      </c>
      <c r="CX19" s="128">
        <v>0.27239600000000103</v>
      </c>
      <c r="CY19" s="128">
        <v>1.9452000000000001E-2</v>
      </c>
      <c r="CZ19" s="128">
        <v>1.9602499999999998E-2</v>
      </c>
      <c r="DA19" s="128">
        <v>0.28999599999999498</v>
      </c>
      <c r="DB19" s="128">
        <v>0.115414999999999</v>
      </c>
      <c r="DC19" s="128">
        <v>0.19885599999999901</v>
      </c>
      <c r="DD19" s="128">
        <v>3.2058374999999903E-2</v>
      </c>
      <c r="DE19" s="128">
        <v>0</v>
      </c>
      <c r="DF19" s="128">
        <v>0</v>
      </c>
      <c r="DG19" s="128">
        <v>2.6185500000000399E-2</v>
      </c>
      <c r="DH19" s="128">
        <v>1.0291999999999701E-2</v>
      </c>
      <c r="DI19" s="128">
        <v>4.5625599999999604</v>
      </c>
      <c r="DJ19" s="128">
        <v>0</v>
      </c>
      <c r="DK19" s="128">
        <v>6.4674000000000106E-2</v>
      </c>
      <c r="DL19" s="128">
        <v>1.9180000000000402E-2</v>
      </c>
      <c r="DM19" s="128">
        <v>4.6366999999999998E-2</v>
      </c>
      <c r="DN19" s="128">
        <v>4.6138125000000398E-3</v>
      </c>
      <c r="DO19" s="128">
        <v>0.76032000000000699</v>
      </c>
      <c r="DP19" s="128">
        <v>3.8109000000000399E-2</v>
      </c>
      <c r="DQ19" s="128">
        <v>0</v>
      </c>
      <c r="DR19" s="128">
        <v>0</v>
      </c>
      <c r="DS19" s="128">
        <v>0.74326400000001103</v>
      </c>
      <c r="DT19" s="128">
        <v>0.396592375</v>
      </c>
      <c r="DU19" s="128">
        <v>1.2162999999999299E-2</v>
      </c>
      <c r="DV19" s="128">
        <v>1.02722499999999E-2</v>
      </c>
      <c r="DW19" s="128">
        <v>0</v>
      </c>
      <c r="DX19" s="128">
        <v>0.24926400000000001</v>
      </c>
      <c r="DY19" s="128">
        <v>1.7702249999999999E-2</v>
      </c>
      <c r="DZ19" s="128">
        <v>0.11529200000000001</v>
      </c>
      <c r="EA19" s="128">
        <v>0</v>
      </c>
      <c r="EB19" s="128">
        <v>1.3515360000000101</v>
      </c>
      <c r="EC19" s="128">
        <v>0.71639999999999304</v>
      </c>
      <c r="ED19" s="128">
        <v>2.7809749999999901E-2</v>
      </c>
      <c r="EE19" s="128">
        <v>0.12975999999999999</v>
      </c>
      <c r="EF19" s="128">
        <v>16.4865119999995</v>
      </c>
      <c r="EG19" s="128">
        <v>0</v>
      </c>
      <c r="EH19" s="128">
        <v>0.62310400000001198</v>
      </c>
      <c r="EI19" s="128">
        <v>0.93664000000001102</v>
      </c>
      <c r="EJ19" s="128">
        <v>6.6463999999996304E-2</v>
      </c>
      <c r="EK19" s="128">
        <v>0</v>
      </c>
      <c r="EL19" s="128">
        <v>2.3018240000001202</v>
      </c>
      <c r="EM19" s="128">
        <v>4.2654720000000497</v>
      </c>
      <c r="EN19" s="128">
        <v>2.7161599999999502</v>
      </c>
      <c r="EO19" s="128">
        <v>2.2477440000000102</v>
      </c>
      <c r="EP19" s="128">
        <v>0</v>
      </c>
      <c r="EQ19" s="128">
        <v>0</v>
      </c>
      <c r="ER19" s="129">
        <v>3.3402910000000099</v>
      </c>
      <c r="ES19" s="129">
        <v>0</v>
      </c>
      <c r="ET19" s="129">
        <v>0</v>
      </c>
      <c r="EU19" s="129">
        <v>0</v>
      </c>
      <c r="EV19" s="30">
        <v>0</v>
      </c>
      <c r="EW19" s="30">
        <v>0</v>
      </c>
      <c r="EX19" s="30">
        <v>0</v>
      </c>
      <c r="EY19" s="30">
        <v>0</v>
      </c>
      <c r="EZ19" s="30">
        <v>0</v>
      </c>
      <c r="FA19" s="30">
        <v>0</v>
      </c>
      <c r="FB19" s="30">
        <v>0</v>
      </c>
      <c r="FC19" s="30">
        <v>0</v>
      </c>
      <c r="FD19" s="30">
        <v>0</v>
      </c>
      <c r="FE19" s="30">
        <v>0</v>
      </c>
      <c r="FF19" s="30">
        <v>0</v>
      </c>
      <c r="FG19" s="30">
        <v>0</v>
      </c>
      <c r="FH19" s="30">
        <v>0</v>
      </c>
      <c r="FI19" s="30">
        <v>0</v>
      </c>
      <c r="FJ19" s="30">
        <v>0</v>
      </c>
      <c r="FK19" s="30">
        <v>0</v>
      </c>
      <c r="FL19" s="30">
        <v>0</v>
      </c>
      <c r="FM19" s="30">
        <v>0</v>
      </c>
      <c r="FN19" s="30">
        <v>0</v>
      </c>
      <c r="FO19" s="30">
        <v>0</v>
      </c>
      <c r="FP19" s="30">
        <v>0</v>
      </c>
      <c r="FQ19" s="30">
        <v>0</v>
      </c>
      <c r="FR19" s="30">
        <v>0</v>
      </c>
      <c r="FS19" s="30">
        <v>0</v>
      </c>
      <c r="FT19" s="30">
        <v>0</v>
      </c>
      <c r="FU19" s="30">
        <v>0</v>
      </c>
      <c r="FV19" s="30">
        <v>0</v>
      </c>
      <c r="FW19" s="30">
        <v>0</v>
      </c>
      <c r="FX19" s="30">
        <v>0</v>
      </c>
      <c r="FY19" s="30">
        <v>0</v>
      </c>
      <c r="FZ19" s="30">
        <v>0</v>
      </c>
      <c r="GA19" s="30">
        <v>0</v>
      </c>
      <c r="GB19" s="30">
        <v>0</v>
      </c>
      <c r="GC19" s="30">
        <v>0</v>
      </c>
      <c r="GD19" s="30">
        <v>0</v>
      </c>
      <c r="GE19" s="30">
        <v>0</v>
      </c>
      <c r="GF19" s="30">
        <v>0</v>
      </c>
      <c r="GG19" s="30">
        <v>0</v>
      </c>
      <c r="GH19" s="30">
        <v>0</v>
      </c>
      <c r="GI19" s="30">
        <v>0</v>
      </c>
      <c r="GJ19" s="30">
        <v>0</v>
      </c>
      <c r="GK19" s="30">
        <v>0</v>
      </c>
      <c r="GL19" s="30">
        <v>0</v>
      </c>
      <c r="GM19" s="30">
        <v>0</v>
      </c>
      <c r="GN19" s="30">
        <v>0</v>
      </c>
      <c r="GO19" s="30">
        <v>0</v>
      </c>
      <c r="GP19" s="30">
        <v>0</v>
      </c>
      <c r="GQ19" s="30">
        <v>0</v>
      </c>
      <c r="GR19" s="30">
        <v>0</v>
      </c>
      <c r="GS19" s="30">
        <v>0</v>
      </c>
    </row>
    <row r="20" spans="1:201" s="30" customFormat="1" ht="13" x14ac:dyDescent="0.25">
      <c r="A20" s="87">
        <v>14</v>
      </c>
      <c r="B20" s="128">
        <v>26.031624999999998</v>
      </c>
      <c r="C20" s="128">
        <v>8.9359279999999899</v>
      </c>
      <c r="D20" s="128">
        <v>9.3506059999998605</v>
      </c>
      <c r="E20" s="128">
        <v>7.8264030000000302</v>
      </c>
      <c r="F20" s="128">
        <v>0</v>
      </c>
      <c r="G20" s="128">
        <v>0</v>
      </c>
      <c r="H20" s="128">
        <v>0</v>
      </c>
      <c r="I20" s="128">
        <v>0</v>
      </c>
      <c r="J20" s="128">
        <v>0</v>
      </c>
      <c r="K20" s="128">
        <v>0</v>
      </c>
      <c r="L20" s="128">
        <v>0</v>
      </c>
      <c r="M20" s="128">
        <v>0</v>
      </c>
      <c r="N20" s="128">
        <v>4.5310250000001098</v>
      </c>
      <c r="O20" s="128">
        <v>4.3744659999998703</v>
      </c>
      <c r="P20" s="128">
        <v>0.30140399999999801</v>
      </c>
      <c r="Q20" s="128">
        <v>8.7060480000000098</v>
      </c>
      <c r="R20" s="128">
        <v>9.1238400000002002</v>
      </c>
      <c r="S20" s="128">
        <v>7.6441599999998298</v>
      </c>
      <c r="T20" s="128">
        <v>0</v>
      </c>
      <c r="U20" s="128">
        <v>0.50347200000000203</v>
      </c>
      <c r="V20" s="128">
        <v>0.12985999999999701</v>
      </c>
      <c r="W20" s="128">
        <v>5.3593999999998601E-2</v>
      </c>
      <c r="X20" s="128">
        <v>5.9343000000000097E-2</v>
      </c>
      <c r="Y20" s="128">
        <v>0</v>
      </c>
      <c r="Z20" s="128">
        <v>3.91379999999995E-2</v>
      </c>
      <c r="AA20" s="128">
        <v>0.109625999999999</v>
      </c>
      <c r="AB20" s="128">
        <v>0.17106600000000299</v>
      </c>
      <c r="AC20" s="128">
        <v>0.150310000000001</v>
      </c>
      <c r="AD20" s="128">
        <v>6.9878000000000107E-2</v>
      </c>
      <c r="AE20" s="128">
        <v>0.14218449999999999</v>
      </c>
      <c r="AF20" s="128">
        <v>0</v>
      </c>
      <c r="AG20" s="128">
        <v>2.0155500000000399E-2</v>
      </c>
      <c r="AH20" s="128">
        <v>1.9510400000000301</v>
      </c>
      <c r="AI20" s="128">
        <v>0</v>
      </c>
      <c r="AJ20" s="128">
        <v>4.6531000000000801E-2</v>
      </c>
      <c r="AK20" s="128">
        <v>0</v>
      </c>
      <c r="AL20" s="128">
        <v>0.33149600000000101</v>
      </c>
      <c r="AM20" s="128">
        <v>0.49227199999999999</v>
      </c>
      <c r="AN20" s="128">
        <v>0.38038399999999201</v>
      </c>
      <c r="AO20" s="128">
        <v>0.131556000000003</v>
      </c>
      <c r="AP20" s="128">
        <v>8.5390000000000299E-2</v>
      </c>
      <c r="AQ20" s="128">
        <v>0.330104000000006</v>
      </c>
      <c r="AR20" s="128">
        <v>5.3481600000000098</v>
      </c>
      <c r="AS20" s="128">
        <v>8.7348000000000398E-2</v>
      </c>
      <c r="AT20" s="128">
        <v>0</v>
      </c>
      <c r="AU20" s="128">
        <v>4.3792000000003398E-2</v>
      </c>
      <c r="AV20" s="128">
        <v>2.6789499999999598E-2</v>
      </c>
      <c r="AW20" s="128">
        <v>2.11436800000001</v>
      </c>
      <c r="AX20" s="128">
        <v>0</v>
      </c>
      <c r="AY20" s="128">
        <v>0.10485999999999999</v>
      </c>
      <c r="AZ20" s="128">
        <v>0</v>
      </c>
      <c r="BA20" s="128">
        <v>0</v>
      </c>
      <c r="BB20" s="128">
        <v>0</v>
      </c>
      <c r="BC20" s="128">
        <v>0</v>
      </c>
      <c r="BD20" s="128">
        <v>4.7580976562499998E-3</v>
      </c>
      <c r="BE20" s="128">
        <v>0.106956</v>
      </c>
      <c r="BF20" s="128">
        <v>0</v>
      </c>
      <c r="BG20" s="128">
        <v>1.4206999999999E-2</v>
      </c>
      <c r="BH20" s="128">
        <v>5.9420000000010003E-3</v>
      </c>
      <c r="BI20" s="128">
        <v>2.5298560000000498</v>
      </c>
      <c r="BJ20" s="128">
        <v>6.3000000000101896E-4</v>
      </c>
      <c r="BK20" s="128">
        <v>6.9109500000000601E-2</v>
      </c>
      <c r="BL20" s="128">
        <v>1.18000000000507E-4</v>
      </c>
      <c r="BM20" s="128">
        <v>1.80680000000001</v>
      </c>
      <c r="BN20" s="128">
        <v>0</v>
      </c>
      <c r="BO20" s="128">
        <v>0.22126599999999999</v>
      </c>
      <c r="BP20" s="128">
        <v>0</v>
      </c>
      <c r="BQ20" s="128">
        <v>0</v>
      </c>
      <c r="BR20" s="128">
        <v>0</v>
      </c>
      <c r="BS20" s="128">
        <v>0</v>
      </c>
      <c r="BT20" s="128">
        <v>0.29508400000000301</v>
      </c>
      <c r="BU20" s="128">
        <v>0</v>
      </c>
      <c r="BV20" s="128">
        <v>0</v>
      </c>
      <c r="BW20" s="128">
        <v>0</v>
      </c>
      <c r="BX20" s="128">
        <v>0</v>
      </c>
      <c r="BY20" s="128">
        <v>0</v>
      </c>
      <c r="BZ20" s="128">
        <v>0.87738399999999195</v>
      </c>
      <c r="CA20" s="128">
        <v>0.26249599999999901</v>
      </c>
      <c r="CB20" s="128">
        <v>0</v>
      </c>
      <c r="CC20" s="128">
        <v>0</v>
      </c>
      <c r="CD20" s="128">
        <v>0</v>
      </c>
      <c r="CE20" s="128">
        <v>0</v>
      </c>
      <c r="CF20" s="128">
        <v>4.8948999999998598E-2</v>
      </c>
      <c r="CG20" s="128">
        <v>0</v>
      </c>
      <c r="CH20" s="128">
        <v>2.0794999999997898E-3</v>
      </c>
      <c r="CI20" s="128">
        <v>0</v>
      </c>
      <c r="CJ20" s="128">
        <v>0</v>
      </c>
      <c r="CK20" s="128">
        <v>0</v>
      </c>
      <c r="CL20" s="128">
        <v>3.6770000000000601E-2</v>
      </c>
      <c r="CM20" s="128">
        <v>5.1473920000000799</v>
      </c>
      <c r="CN20" s="128">
        <v>5.2451000000001399E-2</v>
      </c>
      <c r="CO20" s="128">
        <v>0.85134399999999699</v>
      </c>
      <c r="CP20" s="128">
        <v>0</v>
      </c>
      <c r="CQ20" s="128">
        <v>0</v>
      </c>
      <c r="CR20" s="128">
        <v>0.14708599999999999</v>
      </c>
      <c r="CS20" s="128">
        <v>0</v>
      </c>
      <c r="CT20" s="128">
        <v>0.114952000000002</v>
      </c>
      <c r="CU20" s="128">
        <v>0</v>
      </c>
      <c r="CV20" s="128">
        <v>1.9399625000000101E-2</v>
      </c>
      <c r="CW20" s="128">
        <v>2.7083999999995001E-2</v>
      </c>
      <c r="CX20" s="128">
        <v>0.27732400000000001</v>
      </c>
      <c r="CY20" s="128">
        <v>1.9788000000000101E-2</v>
      </c>
      <c r="CZ20" s="128">
        <v>1.9479500000000101E-2</v>
      </c>
      <c r="DA20" s="128">
        <v>0.28864000000000101</v>
      </c>
      <c r="DB20" s="128">
        <v>0.115214</v>
      </c>
      <c r="DC20" s="128">
        <v>0.21985200000000299</v>
      </c>
      <c r="DD20" s="128">
        <v>3.2547875000000101E-2</v>
      </c>
      <c r="DE20" s="128">
        <v>0</v>
      </c>
      <c r="DF20" s="128">
        <v>0</v>
      </c>
      <c r="DG20" s="128">
        <v>1.8006999999999902E-2</v>
      </c>
      <c r="DH20" s="128">
        <v>1.1710999999999999E-2</v>
      </c>
      <c r="DI20" s="128">
        <v>4.8355840000000399</v>
      </c>
      <c r="DJ20" s="128">
        <v>0</v>
      </c>
      <c r="DK20" s="128">
        <v>6.3919999999999505E-2</v>
      </c>
      <c r="DL20" s="128">
        <v>1.8428999999999401E-2</v>
      </c>
      <c r="DM20" s="128">
        <v>4.7554999999999098E-2</v>
      </c>
      <c r="DN20" s="128">
        <v>1.0489375000000099E-3</v>
      </c>
      <c r="DO20" s="128">
        <v>0.801839999999999</v>
      </c>
      <c r="DP20" s="128">
        <v>4.6262500000000102E-2</v>
      </c>
      <c r="DQ20" s="128">
        <v>0</v>
      </c>
      <c r="DR20" s="128">
        <v>0</v>
      </c>
      <c r="DS20" s="128">
        <v>1.21577600000001</v>
      </c>
      <c r="DT20" s="128">
        <v>0.3887275</v>
      </c>
      <c r="DU20" s="128">
        <v>2.3654999999999801E-2</v>
      </c>
      <c r="DV20" s="128">
        <v>9.8732500000000608E-3</v>
      </c>
      <c r="DW20" s="128">
        <v>0</v>
      </c>
      <c r="DX20" s="128">
        <v>0.20019300000000101</v>
      </c>
      <c r="DY20" s="128">
        <v>1.1023750000000001E-2</v>
      </c>
      <c r="DZ20" s="128">
        <v>0.105362</v>
      </c>
      <c r="EA20" s="128">
        <v>0</v>
      </c>
      <c r="EB20" s="128">
        <v>1.24263999999999</v>
      </c>
      <c r="EC20" s="128">
        <v>0.64984000000001196</v>
      </c>
      <c r="ED20" s="128">
        <v>2.4532249999999999E-2</v>
      </c>
      <c r="EE20" s="128">
        <v>0.132218</v>
      </c>
      <c r="EF20" s="128">
        <v>15.995734999999501</v>
      </c>
      <c r="EG20" s="128">
        <v>0</v>
      </c>
      <c r="EH20" s="128">
        <v>0.66732799999999803</v>
      </c>
      <c r="EI20" s="128">
        <v>0.86720000000002495</v>
      </c>
      <c r="EJ20" s="128">
        <v>6.0288000000014101E-2</v>
      </c>
      <c r="EK20" s="128">
        <v>0</v>
      </c>
      <c r="EL20" s="128">
        <v>0.72627199999988101</v>
      </c>
      <c r="EM20" s="128">
        <v>4.3724800000000004</v>
      </c>
      <c r="EN20" s="128">
        <v>3.4472959999998198</v>
      </c>
      <c r="EO20" s="128">
        <v>2.3054720000000102</v>
      </c>
      <c r="EP20" s="128">
        <v>0</v>
      </c>
      <c r="EQ20" s="128">
        <v>0</v>
      </c>
      <c r="ER20" s="129">
        <v>3.5900429999999899</v>
      </c>
      <c r="ES20" s="129">
        <v>0</v>
      </c>
      <c r="ET20" s="129">
        <v>0</v>
      </c>
      <c r="EU20" s="129">
        <v>0</v>
      </c>
      <c r="EV20" s="30">
        <v>0</v>
      </c>
      <c r="EW20" s="30">
        <v>0</v>
      </c>
      <c r="EX20" s="30">
        <v>0</v>
      </c>
      <c r="EY20" s="30">
        <v>0</v>
      </c>
      <c r="EZ20" s="30">
        <v>0</v>
      </c>
      <c r="FA20" s="30">
        <v>0</v>
      </c>
      <c r="FB20" s="30">
        <v>0</v>
      </c>
      <c r="FC20" s="30">
        <v>0</v>
      </c>
      <c r="FD20" s="30">
        <v>0</v>
      </c>
      <c r="FE20" s="30">
        <v>0</v>
      </c>
      <c r="FF20" s="30">
        <v>0</v>
      </c>
      <c r="FG20" s="30">
        <v>0</v>
      </c>
      <c r="FH20" s="30">
        <v>0</v>
      </c>
      <c r="FI20" s="30">
        <v>0</v>
      </c>
      <c r="FJ20" s="30">
        <v>0</v>
      </c>
      <c r="FK20" s="30">
        <v>0</v>
      </c>
      <c r="FL20" s="30">
        <v>0</v>
      </c>
      <c r="FM20" s="30">
        <v>0</v>
      </c>
      <c r="FN20" s="30">
        <v>0</v>
      </c>
      <c r="FO20" s="30">
        <v>0</v>
      </c>
      <c r="FP20" s="30">
        <v>0</v>
      </c>
      <c r="FQ20" s="30">
        <v>0</v>
      </c>
      <c r="FR20" s="30">
        <v>0</v>
      </c>
      <c r="FS20" s="30">
        <v>0</v>
      </c>
      <c r="FT20" s="30">
        <v>0</v>
      </c>
      <c r="FU20" s="30">
        <v>0</v>
      </c>
      <c r="FV20" s="30">
        <v>0</v>
      </c>
      <c r="FW20" s="30">
        <v>0</v>
      </c>
      <c r="FX20" s="30">
        <v>0</v>
      </c>
      <c r="FY20" s="30">
        <v>0</v>
      </c>
      <c r="FZ20" s="30">
        <v>0</v>
      </c>
      <c r="GA20" s="30">
        <v>0</v>
      </c>
      <c r="GB20" s="30">
        <v>0</v>
      </c>
      <c r="GC20" s="30">
        <v>0</v>
      </c>
      <c r="GD20" s="30">
        <v>0</v>
      </c>
      <c r="GE20" s="30">
        <v>0</v>
      </c>
      <c r="GF20" s="30">
        <v>0</v>
      </c>
      <c r="GG20" s="30">
        <v>0</v>
      </c>
      <c r="GH20" s="30">
        <v>0</v>
      </c>
      <c r="GI20" s="30">
        <v>0</v>
      </c>
      <c r="GJ20" s="30">
        <v>0</v>
      </c>
      <c r="GK20" s="30">
        <v>0</v>
      </c>
      <c r="GL20" s="30">
        <v>0</v>
      </c>
      <c r="GM20" s="30">
        <v>0</v>
      </c>
      <c r="GN20" s="30">
        <v>0</v>
      </c>
      <c r="GO20" s="30">
        <v>0</v>
      </c>
      <c r="GP20" s="30">
        <v>0</v>
      </c>
      <c r="GQ20" s="30">
        <v>0</v>
      </c>
      <c r="GR20" s="30">
        <v>0</v>
      </c>
      <c r="GS20" s="30">
        <v>0</v>
      </c>
    </row>
    <row r="21" spans="1:201" s="30" customFormat="1" ht="13" x14ac:dyDescent="0.25">
      <c r="A21" s="87">
        <v>15</v>
      </c>
      <c r="B21" s="128">
        <v>11.785625</v>
      </c>
      <c r="C21" s="128">
        <v>4.4889759999999796</v>
      </c>
      <c r="D21" s="128">
        <v>4.7623730000000304</v>
      </c>
      <c r="E21" s="128">
        <v>4.0147519999999304</v>
      </c>
      <c r="F21" s="128">
        <v>0</v>
      </c>
      <c r="G21" s="128">
        <v>1.475857</v>
      </c>
      <c r="H21" s="128">
        <v>0.68990200000000002</v>
      </c>
      <c r="I21" s="128">
        <v>0.70905200000000002</v>
      </c>
      <c r="J21" s="128">
        <v>3.00400000000023E-3</v>
      </c>
      <c r="K21" s="128">
        <v>1.8539000000000101E-2</v>
      </c>
      <c r="L21" s="128">
        <v>3.73029999999996E-2</v>
      </c>
      <c r="M21" s="128">
        <v>1.4783390000000001</v>
      </c>
      <c r="N21" s="128">
        <v>2.8726439999999198</v>
      </c>
      <c r="O21" s="128">
        <v>2.9615190000001799</v>
      </c>
      <c r="P21" s="128">
        <v>0.209031999999993</v>
      </c>
      <c r="Q21" s="128">
        <v>4.3704319999997097</v>
      </c>
      <c r="R21" s="128">
        <v>4.6776320000026299</v>
      </c>
      <c r="S21" s="128">
        <v>3.8763519999993199</v>
      </c>
      <c r="T21" s="128">
        <v>0</v>
      </c>
      <c r="U21" s="128">
        <v>0.37328000000000799</v>
      </c>
      <c r="V21" s="128">
        <v>0.12337000000000101</v>
      </c>
      <c r="W21" s="128">
        <v>1.73450000000006E-2</v>
      </c>
      <c r="X21" s="128">
        <v>4.6405999999999302E-2</v>
      </c>
      <c r="Y21" s="128">
        <v>0</v>
      </c>
      <c r="Z21" s="128">
        <v>4.4449000000000197E-2</v>
      </c>
      <c r="AA21" s="128">
        <v>8.8936000000000306E-2</v>
      </c>
      <c r="AB21" s="128">
        <v>0.15492600000000001</v>
      </c>
      <c r="AC21" s="128">
        <v>0.122602000000001</v>
      </c>
      <c r="AD21" s="128">
        <v>6.00934999999998E-2</v>
      </c>
      <c r="AE21" s="128">
        <v>5.5679500000000097E-2</v>
      </c>
      <c r="AF21" s="128">
        <v>0</v>
      </c>
      <c r="AG21" s="128">
        <v>1.09729999999999E-2</v>
      </c>
      <c r="AH21" s="128">
        <v>1.43494399999997</v>
      </c>
      <c r="AI21" s="128">
        <v>0</v>
      </c>
      <c r="AJ21" s="128">
        <v>2.32729999999997E-2</v>
      </c>
      <c r="AK21" s="128">
        <v>0</v>
      </c>
      <c r="AL21" s="128">
        <v>0.253336000000004</v>
      </c>
      <c r="AM21" s="128">
        <v>0.40341600000000699</v>
      </c>
      <c r="AN21" s="128">
        <v>0.28815200000001101</v>
      </c>
      <c r="AO21" s="128">
        <v>0.112231999999999</v>
      </c>
      <c r="AP21" s="128">
        <v>7.0869999999999295E-2</v>
      </c>
      <c r="AQ21" s="128">
        <v>0.16378799999999699</v>
      </c>
      <c r="AR21" s="128">
        <v>3.3208959999999501</v>
      </c>
      <c r="AS21" s="128">
        <v>2.8212999999999998E-2</v>
      </c>
      <c r="AT21" s="128">
        <v>0</v>
      </c>
      <c r="AU21" s="128">
        <v>4.1351999999996301E-2</v>
      </c>
      <c r="AV21" s="128">
        <v>1.4647500000000599E-2</v>
      </c>
      <c r="AW21" s="128">
        <v>0.77958400000000005</v>
      </c>
      <c r="AX21" s="128">
        <v>0</v>
      </c>
      <c r="AY21" s="128">
        <v>6.5285499999999899E-2</v>
      </c>
      <c r="AZ21" s="128">
        <v>0</v>
      </c>
      <c r="BA21" s="128">
        <v>0</v>
      </c>
      <c r="BB21" s="128">
        <v>0</v>
      </c>
      <c r="BC21" s="128">
        <v>0</v>
      </c>
      <c r="BD21" s="128">
        <v>2.4719882812499999E-3</v>
      </c>
      <c r="BE21" s="128">
        <v>0.24221599999999899</v>
      </c>
      <c r="BF21" s="128">
        <v>0</v>
      </c>
      <c r="BG21" s="128">
        <v>1.1026000000001099E-2</v>
      </c>
      <c r="BH21" s="128">
        <v>0</v>
      </c>
      <c r="BI21" s="128">
        <v>1.90761599999996</v>
      </c>
      <c r="BJ21" s="128">
        <v>1.1589999999976901E-3</v>
      </c>
      <c r="BK21" s="128">
        <v>4.1409999999999898E-2</v>
      </c>
      <c r="BL21" s="128">
        <v>9.9999999996214194E-6</v>
      </c>
      <c r="BM21" s="128">
        <v>0.34756800000002402</v>
      </c>
      <c r="BN21" s="128">
        <v>0</v>
      </c>
      <c r="BO21" s="128">
        <v>7.0184000000001107E-2</v>
      </c>
      <c r="BP21" s="128">
        <v>0</v>
      </c>
      <c r="BQ21" s="128">
        <v>0</v>
      </c>
      <c r="BR21" s="128">
        <v>0</v>
      </c>
      <c r="BS21" s="128">
        <v>0</v>
      </c>
      <c r="BT21" s="128">
        <v>2.7983999999996501E-2</v>
      </c>
      <c r="BU21" s="128">
        <v>0</v>
      </c>
      <c r="BV21" s="128">
        <v>0</v>
      </c>
      <c r="BW21" s="128">
        <v>0</v>
      </c>
      <c r="BX21" s="128">
        <v>0</v>
      </c>
      <c r="BY21" s="128">
        <v>0</v>
      </c>
      <c r="BZ21" s="128">
        <v>0.186864</v>
      </c>
      <c r="CA21" s="128">
        <v>1.5792000000004702E-2</v>
      </c>
      <c r="CB21" s="128">
        <v>0</v>
      </c>
      <c r="CC21" s="128">
        <v>0</v>
      </c>
      <c r="CD21" s="128">
        <v>0</v>
      </c>
      <c r="CE21" s="128">
        <v>0</v>
      </c>
      <c r="CF21" s="128">
        <v>2.12560000000011E-2</v>
      </c>
      <c r="CG21" s="128">
        <v>0</v>
      </c>
      <c r="CH21" s="128">
        <v>5.5750000000021104E-4</v>
      </c>
      <c r="CI21" s="128">
        <v>0</v>
      </c>
      <c r="CJ21" s="128">
        <v>0</v>
      </c>
      <c r="CK21" s="128">
        <v>0</v>
      </c>
      <c r="CL21" s="128">
        <v>5.27979999999992E-2</v>
      </c>
      <c r="CM21" s="128">
        <v>3.69856000000004</v>
      </c>
      <c r="CN21" s="128">
        <v>6.0332499999999498E-2</v>
      </c>
      <c r="CO21" s="128">
        <v>0.38574400000000297</v>
      </c>
      <c r="CP21" s="128">
        <v>0</v>
      </c>
      <c r="CQ21" s="128">
        <v>0</v>
      </c>
      <c r="CR21" s="128">
        <v>9.4763999999999599E-2</v>
      </c>
      <c r="CS21" s="128">
        <v>0</v>
      </c>
      <c r="CT21" s="128">
        <v>8.6576000000007994E-2</v>
      </c>
      <c r="CU21" s="128">
        <v>0</v>
      </c>
      <c r="CV21" s="128">
        <v>3.6383749999999702E-3</v>
      </c>
      <c r="CW21" s="128">
        <v>2.5120000000029602E-3</v>
      </c>
      <c r="CX21" s="128">
        <v>0.240068000000001</v>
      </c>
      <c r="CY21" s="128">
        <v>1.6828999999999799E-2</v>
      </c>
      <c r="CZ21" s="128">
        <v>1.8551000000000002E-2</v>
      </c>
      <c r="DA21" s="128">
        <v>0.274872000000002</v>
      </c>
      <c r="DB21" s="128">
        <v>8.8310000000001707E-2</v>
      </c>
      <c r="DC21" s="128">
        <v>0.19953600000000199</v>
      </c>
      <c r="DD21" s="128">
        <v>2.9617000000000001E-2</v>
      </c>
      <c r="DE21" s="128">
        <v>0</v>
      </c>
      <c r="DF21" s="128">
        <v>0</v>
      </c>
      <c r="DG21" s="128">
        <v>1.84899999999999E-3</v>
      </c>
      <c r="DH21" s="128">
        <v>6.7469999999998399E-3</v>
      </c>
      <c r="DI21" s="128">
        <v>2.2065280000000498</v>
      </c>
      <c r="DJ21" s="128">
        <v>0</v>
      </c>
      <c r="DK21" s="128">
        <v>6.4248000000002706E-2</v>
      </c>
      <c r="DL21" s="128">
        <v>0</v>
      </c>
      <c r="DM21" s="128">
        <v>3.4779000000000303E-2</v>
      </c>
      <c r="DN21" s="128">
        <v>7.8725000000001699E-4</v>
      </c>
      <c r="DO21" s="128">
        <v>0.68611199999997996</v>
      </c>
      <c r="DP21" s="128">
        <v>1.7836000000000001E-2</v>
      </c>
      <c r="DQ21" s="128">
        <v>0</v>
      </c>
      <c r="DR21" s="128">
        <v>0</v>
      </c>
      <c r="DS21" s="128">
        <v>0.57887999999996997</v>
      </c>
      <c r="DT21" s="128">
        <v>0.10837812500000001</v>
      </c>
      <c r="DU21" s="128">
        <v>2.41000000000824E-4</v>
      </c>
      <c r="DV21" s="128">
        <v>6.79549999999995E-3</v>
      </c>
      <c r="DW21" s="128">
        <v>0</v>
      </c>
      <c r="DX21" s="128">
        <v>0.19364400000000101</v>
      </c>
      <c r="DY21" s="128">
        <v>3.5135625000000102E-3</v>
      </c>
      <c r="DZ21" s="128">
        <v>7.05860000000023E-2</v>
      </c>
      <c r="EA21" s="128">
        <v>0</v>
      </c>
      <c r="EB21" s="128">
        <v>0.31246400000000601</v>
      </c>
      <c r="EC21" s="128">
        <v>0.113071999999988</v>
      </c>
      <c r="ED21" s="128">
        <v>8.0202499999999493E-3</v>
      </c>
      <c r="EE21" s="128">
        <v>0.1396415</v>
      </c>
      <c r="EF21" s="128">
        <v>8.3374210000001803</v>
      </c>
      <c r="EG21" s="128">
        <v>0</v>
      </c>
      <c r="EH21" s="128">
        <v>0.169344000000024</v>
      </c>
      <c r="EI21" s="128">
        <v>0.59955199999990305</v>
      </c>
      <c r="EJ21" s="128">
        <v>4.7680000000127603E-3</v>
      </c>
      <c r="EK21" s="128">
        <v>0</v>
      </c>
      <c r="EL21" s="128">
        <v>0</v>
      </c>
      <c r="EM21" s="128">
        <v>3.62547199999972</v>
      </c>
      <c r="EN21" s="128">
        <v>2.0321279999998301</v>
      </c>
      <c r="EO21" s="128">
        <v>0.14841599999999699</v>
      </c>
      <c r="EP21" s="128">
        <v>0</v>
      </c>
      <c r="EQ21" s="128">
        <v>0</v>
      </c>
      <c r="ER21" s="129">
        <v>1.77418900000001</v>
      </c>
      <c r="ES21" s="129">
        <v>0</v>
      </c>
      <c r="ET21" s="129">
        <v>0</v>
      </c>
      <c r="EU21" s="129">
        <v>0</v>
      </c>
      <c r="EV21" s="30">
        <v>0</v>
      </c>
      <c r="EW21" s="30">
        <v>0</v>
      </c>
      <c r="EX21" s="30">
        <v>0</v>
      </c>
      <c r="EY21" s="30">
        <v>0</v>
      </c>
      <c r="EZ21" s="30">
        <v>0</v>
      </c>
      <c r="FA21" s="30">
        <v>0</v>
      </c>
      <c r="FB21" s="30">
        <v>0</v>
      </c>
      <c r="FC21" s="30">
        <v>0</v>
      </c>
      <c r="FD21" s="30">
        <v>0</v>
      </c>
      <c r="FE21" s="30">
        <v>0</v>
      </c>
      <c r="FF21" s="30">
        <v>0</v>
      </c>
      <c r="FG21" s="30">
        <v>0</v>
      </c>
      <c r="FH21" s="30">
        <v>0</v>
      </c>
      <c r="FI21" s="30">
        <v>0</v>
      </c>
      <c r="FJ21" s="30">
        <v>0</v>
      </c>
      <c r="FK21" s="30">
        <v>0</v>
      </c>
      <c r="FL21" s="30">
        <v>0</v>
      </c>
      <c r="FM21" s="30">
        <v>0</v>
      </c>
      <c r="FN21" s="30">
        <v>0</v>
      </c>
      <c r="FO21" s="30">
        <v>0</v>
      </c>
      <c r="FP21" s="30">
        <v>0</v>
      </c>
      <c r="FQ21" s="30">
        <v>0</v>
      </c>
      <c r="FR21" s="30">
        <v>0</v>
      </c>
      <c r="FS21" s="30">
        <v>0</v>
      </c>
      <c r="FT21" s="30">
        <v>0</v>
      </c>
      <c r="FU21" s="30">
        <v>0</v>
      </c>
      <c r="FV21" s="30">
        <v>0</v>
      </c>
      <c r="FW21" s="30">
        <v>0</v>
      </c>
      <c r="FX21" s="30">
        <v>0</v>
      </c>
      <c r="FY21" s="30">
        <v>0</v>
      </c>
      <c r="FZ21" s="30">
        <v>0</v>
      </c>
      <c r="GA21" s="30">
        <v>0</v>
      </c>
      <c r="GB21" s="30">
        <v>0</v>
      </c>
      <c r="GC21" s="30">
        <v>0</v>
      </c>
      <c r="GD21" s="30">
        <v>0</v>
      </c>
      <c r="GE21" s="30">
        <v>0</v>
      </c>
      <c r="GF21" s="30">
        <v>0</v>
      </c>
      <c r="GG21" s="30">
        <v>0</v>
      </c>
      <c r="GH21" s="30">
        <v>0</v>
      </c>
      <c r="GI21" s="30">
        <v>0</v>
      </c>
      <c r="GJ21" s="30">
        <v>0</v>
      </c>
      <c r="GK21" s="30">
        <v>0</v>
      </c>
      <c r="GL21" s="30">
        <v>0</v>
      </c>
      <c r="GM21" s="30">
        <v>0</v>
      </c>
      <c r="GN21" s="30">
        <v>0</v>
      </c>
      <c r="GO21" s="30">
        <v>0</v>
      </c>
      <c r="GP21" s="30">
        <v>0</v>
      </c>
      <c r="GQ21" s="30">
        <v>0</v>
      </c>
      <c r="GR21" s="30">
        <v>0</v>
      </c>
      <c r="GS21" s="30">
        <v>0</v>
      </c>
    </row>
    <row r="22" spans="1:201" s="30" customFormat="1" ht="13" x14ac:dyDescent="0.25">
      <c r="A22" s="87">
        <v>16</v>
      </c>
      <c r="B22" s="128">
        <v>25.9755</v>
      </c>
      <c r="C22" s="128">
        <v>8.8765300000000593</v>
      </c>
      <c r="D22" s="128">
        <v>9.2769500000000598</v>
      </c>
      <c r="E22" s="128">
        <v>7.8184300000000899</v>
      </c>
      <c r="F22" s="128">
        <v>0</v>
      </c>
      <c r="G22" s="128">
        <v>0</v>
      </c>
      <c r="H22" s="128">
        <v>0</v>
      </c>
      <c r="I22" s="128">
        <v>0</v>
      </c>
      <c r="J22" s="128">
        <v>0</v>
      </c>
      <c r="K22" s="128">
        <v>0</v>
      </c>
      <c r="L22" s="128">
        <v>0</v>
      </c>
      <c r="M22" s="128">
        <v>0</v>
      </c>
      <c r="N22" s="128">
        <v>3.4210470000000401</v>
      </c>
      <c r="O22" s="128">
        <v>3.5283849999999601</v>
      </c>
      <c r="P22" s="128">
        <v>0.23336200000000701</v>
      </c>
      <c r="Q22" s="128">
        <v>8.6855680000007904</v>
      </c>
      <c r="R22" s="128">
        <v>9.0583039999983193</v>
      </c>
      <c r="S22" s="128">
        <v>7.6026880000008497</v>
      </c>
      <c r="T22" s="128">
        <v>0</v>
      </c>
      <c r="U22" s="128">
        <v>0.53606399999999599</v>
      </c>
      <c r="V22" s="128">
        <v>0.14308400000000199</v>
      </c>
      <c r="W22" s="128">
        <v>5.7130000000000798E-2</v>
      </c>
      <c r="X22" s="128">
        <v>6.2675000000000494E-2</v>
      </c>
      <c r="Y22" s="128">
        <v>0</v>
      </c>
      <c r="Z22" s="128">
        <v>4.3897000000001199E-2</v>
      </c>
      <c r="AA22" s="128">
        <v>0.11529200000000001</v>
      </c>
      <c r="AB22" s="128">
        <v>0.15920799999999999</v>
      </c>
      <c r="AC22" s="128">
        <v>0.123829999999998</v>
      </c>
      <c r="AD22" s="128">
        <v>5.4778000000000701E-2</v>
      </c>
      <c r="AE22" s="128">
        <v>9.2153499999999305E-2</v>
      </c>
      <c r="AF22" s="128">
        <v>0</v>
      </c>
      <c r="AG22" s="128">
        <v>1.37687499999997E-2</v>
      </c>
      <c r="AH22" s="128">
        <v>2.0185600000000399</v>
      </c>
      <c r="AI22" s="128">
        <v>0</v>
      </c>
      <c r="AJ22" s="128">
        <v>4.1349999999999602E-2</v>
      </c>
      <c r="AK22" s="128">
        <v>0</v>
      </c>
      <c r="AL22" s="128">
        <v>0.34176800000000201</v>
      </c>
      <c r="AM22" s="128">
        <v>0.49423999999999102</v>
      </c>
      <c r="AN22" s="128">
        <v>0.397695999999996</v>
      </c>
      <c r="AO22" s="128">
        <v>0.15853599999999801</v>
      </c>
      <c r="AP22" s="128">
        <v>8.7151999999999702E-2</v>
      </c>
      <c r="AQ22" s="128">
        <v>0.335811999999997</v>
      </c>
      <c r="AR22" s="128">
        <v>5.6988479999999999</v>
      </c>
      <c r="AS22" s="128">
        <v>8.8321500000000205E-2</v>
      </c>
      <c r="AT22" s="128">
        <v>0</v>
      </c>
      <c r="AU22" s="128">
        <v>4.3796000000000397E-2</v>
      </c>
      <c r="AV22" s="128">
        <v>4.3607999999999897E-2</v>
      </c>
      <c r="AW22" s="128">
        <v>2.21324799999991</v>
      </c>
      <c r="AX22" s="128">
        <v>0</v>
      </c>
      <c r="AY22" s="128">
        <v>8.0801999999999402E-2</v>
      </c>
      <c r="AZ22" s="128">
        <v>0</v>
      </c>
      <c r="BA22" s="128">
        <v>0</v>
      </c>
      <c r="BB22" s="128">
        <v>0</v>
      </c>
      <c r="BC22" s="128">
        <v>0</v>
      </c>
      <c r="BD22" s="128">
        <v>4.2966503906250002E-3</v>
      </c>
      <c r="BE22" s="128">
        <v>0.111190000000001</v>
      </c>
      <c r="BF22" s="128">
        <v>0</v>
      </c>
      <c r="BG22" s="128">
        <v>2.5050000000000201E-2</v>
      </c>
      <c r="BH22" s="128">
        <v>6.9593999999998601E-2</v>
      </c>
      <c r="BI22" s="128">
        <v>2.5978240000000001</v>
      </c>
      <c r="BJ22" s="128">
        <v>8.1430000000004606E-3</v>
      </c>
      <c r="BK22" s="128">
        <v>0.171434</v>
      </c>
      <c r="BL22" s="128">
        <v>1.6600000000011099E-4</v>
      </c>
      <c r="BM22" s="128">
        <v>2.1651999999999698</v>
      </c>
      <c r="BN22" s="128">
        <v>0</v>
      </c>
      <c r="BO22" s="128">
        <v>0.450127</v>
      </c>
      <c r="BP22" s="128">
        <v>0</v>
      </c>
      <c r="BQ22" s="128">
        <v>0</v>
      </c>
      <c r="BR22" s="128">
        <v>0</v>
      </c>
      <c r="BS22" s="128">
        <v>0</v>
      </c>
      <c r="BT22" s="128">
        <v>0.355960000000003</v>
      </c>
      <c r="BU22" s="128">
        <v>0</v>
      </c>
      <c r="BV22" s="128">
        <v>0</v>
      </c>
      <c r="BW22" s="128">
        <v>0</v>
      </c>
      <c r="BX22" s="128">
        <v>0</v>
      </c>
      <c r="BY22" s="128">
        <v>0</v>
      </c>
      <c r="BZ22" s="128">
        <v>0.83883199999999603</v>
      </c>
      <c r="CA22" s="128">
        <v>0.38979999999999398</v>
      </c>
      <c r="CB22" s="128">
        <v>0</v>
      </c>
      <c r="CC22" s="128">
        <v>0</v>
      </c>
      <c r="CD22" s="128">
        <v>0</v>
      </c>
      <c r="CE22" s="128">
        <v>0</v>
      </c>
      <c r="CF22" s="128">
        <v>4.4525999999999399E-2</v>
      </c>
      <c r="CG22" s="128">
        <v>0</v>
      </c>
      <c r="CH22" s="128">
        <v>1.7320000000000701E-3</v>
      </c>
      <c r="CI22" s="128">
        <v>0</v>
      </c>
      <c r="CJ22" s="128">
        <v>0</v>
      </c>
      <c r="CK22" s="128">
        <v>0</v>
      </c>
      <c r="CL22" s="128">
        <v>3.8584000000000201E-2</v>
      </c>
      <c r="CM22" s="128">
        <v>4.8894719999998397</v>
      </c>
      <c r="CN22" s="128">
        <v>5.52670000000006E-2</v>
      </c>
      <c r="CO22" s="128">
        <v>0.71738800000000003</v>
      </c>
      <c r="CP22" s="128">
        <v>0</v>
      </c>
      <c r="CQ22" s="128">
        <v>0</v>
      </c>
      <c r="CR22" s="128">
        <v>0.140346000000001</v>
      </c>
      <c r="CS22" s="128">
        <v>0</v>
      </c>
      <c r="CT22" s="128">
        <v>0.21165599999999099</v>
      </c>
      <c r="CU22" s="128">
        <v>0</v>
      </c>
      <c r="CV22" s="128">
        <v>1.8945875000000001E-2</v>
      </c>
      <c r="CW22" s="128">
        <v>7.1979999999996394E-2</v>
      </c>
      <c r="CX22" s="128">
        <v>0.25239200000000001</v>
      </c>
      <c r="CY22" s="128">
        <v>1.53050000000001E-2</v>
      </c>
      <c r="CZ22" s="128">
        <v>2.4035000000000001E-2</v>
      </c>
      <c r="DA22" s="128">
        <v>0.26119200000000098</v>
      </c>
      <c r="DB22" s="128">
        <v>0.117958999999999</v>
      </c>
      <c r="DC22" s="128">
        <v>0.203151999999996</v>
      </c>
      <c r="DD22" s="128">
        <v>3.0249000000000002E-2</v>
      </c>
      <c r="DE22" s="128">
        <v>0</v>
      </c>
      <c r="DF22" s="128">
        <v>0</v>
      </c>
      <c r="DG22" s="128">
        <v>2.53924999999997E-2</v>
      </c>
      <c r="DH22" s="128">
        <v>1.1830500000000301E-2</v>
      </c>
      <c r="DI22" s="128">
        <v>4.9701119999999701</v>
      </c>
      <c r="DJ22" s="128">
        <v>0</v>
      </c>
      <c r="DK22" s="128">
        <v>6.4111999999997907E-2</v>
      </c>
      <c r="DL22" s="128">
        <v>1.9184951171874999E-2</v>
      </c>
      <c r="DM22" s="128">
        <v>4.66300000000004E-2</v>
      </c>
      <c r="DN22" s="128">
        <v>5.6243749999999003E-3</v>
      </c>
      <c r="DO22" s="128">
        <v>0.77838400000001695</v>
      </c>
      <c r="DP22" s="128">
        <v>3.4772499999999901E-2</v>
      </c>
      <c r="DQ22" s="128">
        <v>0</v>
      </c>
      <c r="DR22" s="128">
        <v>0</v>
      </c>
      <c r="DS22" s="128">
        <v>1.2633920000000101</v>
      </c>
      <c r="DT22" s="128">
        <v>0.39938374999999998</v>
      </c>
      <c r="DU22" s="128">
        <v>2.5047000000000701E-2</v>
      </c>
      <c r="DV22" s="128">
        <v>1.05154999999999E-2</v>
      </c>
      <c r="DW22" s="128">
        <v>0</v>
      </c>
      <c r="DX22" s="128">
        <v>0.169428999999999</v>
      </c>
      <c r="DY22" s="128">
        <v>5.3683749999999799E-3</v>
      </c>
      <c r="DZ22" s="128">
        <v>0.10922999999999999</v>
      </c>
      <c r="EA22" s="128">
        <v>0</v>
      </c>
      <c r="EB22" s="128">
        <v>1.3388960000000101</v>
      </c>
      <c r="EC22" s="128">
        <v>0.68246400000000995</v>
      </c>
      <c r="ED22" s="128">
        <v>3.59845000000001E-2</v>
      </c>
      <c r="EE22" s="128">
        <v>0.122736000000001</v>
      </c>
      <c r="EF22" s="128">
        <v>13.3711750000011</v>
      </c>
      <c r="EG22" s="128">
        <v>0</v>
      </c>
      <c r="EH22" s="128">
        <v>0.51513599999998405</v>
      </c>
      <c r="EI22" s="128">
        <v>0.61254400000007103</v>
      </c>
      <c r="EJ22" s="128">
        <v>4.1855999999995702E-2</v>
      </c>
      <c r="EK22" s="128">
        <v>0</v>
      </c>
      <c r="EL22" s="128">
        <v>0.84377599999993402</v>
      </c>
      <c r="EM22" s="128">
        <v>3.82361600000013</v>
      </c>
      <c r="EN22" s="128">
        <v>2.4637440000001298</v>
      </c>
      <c r="EO22" s="128">
        <v>1.9248000000000001</v>
      </c>
      <c r="EP22" s="128">
        <v>0</v>
      </c>
      <c r="EQ22" s="128">
        <v>0</v>
      </c>
      <c r="ER22" s="129">
        <v>3.1520250000000098</v>
      </c>
      <c r="ES22" s="129">
        <v>0</v>
      </c>
      <c r="ET22" s="129">
        <v>0</v>
      </c>
      <c r="EU22" s="129">
        <v>0</v>
      </c>
      <c r="EV22" s="30">
        <v>0</v>
      </c>
      <c r="EW22" s="30">
        <v>0</v>
      </c>
      <c r="EX22" s="30">
        <v>0</v>
      </c>
      <c r="EY22" s="30">
        <v>0</v>
      </c>
      <c r="EZ22" s="30">
        <v>0</v>
      </c>
      <c r="FA22" s="30">
        <v>0</v>
      </c>
      <c r="FB22" s="30">
        <v>0</v>
      </c>
      <c r="FC22" s="30">
        <v>0</v>
      </c>
      <c r="FD22" s="30">
        <v>0</v>
      </c>
      <c r="FE22" s="30">
        <v>0</v>
      </c>
      <c r="FF22" s="30">
        <v>0</v>
      </c>
      <c r="FG22" s="30">
        <v>0</v>
      </c>
      <c r="FH22" s="30">
        <v>0</v>
      </c>
      <c r="FI22" s="30">
        <v>0</v>
      </c>
      <c r="FJ22" s="30">
        <v>0</v>
      </c>
      <c r="FK22" s="30">
        <v>0</v>
      </c>
      <c r="FL22" s="30">
        <v>0</v>
      </c>
      <c r="FM22" s="30">
        <v>0</v>
      </c>
      <c r="FN22" s="30">
        <v>0</v>
      </c>
      <c r="FO22" s="30">
        <v>0</v>
      </c>
      <c r="FP22" s="30">
        <v>0</v>
      </c>
      <c r="FQ22" s="30">
        <v>0</v>
      </c>
      <c r="FR22" s="30">
        <v>0</v>
      </c>
      <c r="FS22" s="30">
        <v>0</v>
      </c>
      <c r="FT22" s="30">
        <v>0</v>
      </c>
      <c r="FU22" s="30">
        <v>0</v>
      </c>
      <c r="FV22" s="30">
        <v>0</v>
      </c>
      <c r="FW22" s="30">
        <v>0</v>
      </c>
      <c r="FX22" s="30">
        <v>0</v>
      </c>
      <c r="FY22" s="30">
        <v>0</v>
      </c>
      <c r="FZ22" s="30">
        <v>0</v>
      </c>
      <c r="GA22" s="30">
        <v>0</v>
      </c>
      <c r="GB22" s="30">
        <v>0</v>
      </c>
      <c r="GC22" s="30">
        <v>0</v>
      </c>
      <c r="GD22" s="30">
        <v>0</v>
      </c>
      <c r="GE22" s="30">
        <v>0</v>
      </c>
      <c r="GF22" s="30">
        <v>0</v>
      </c>
      <c r="GG22" s="30">
        <v>0</v>
      </c>
      <c r="GH22" s="30">
        <v>0</v>
      </c>
      <c r="GI22" s="30">
        <v>0</v>
      </c>
      <c r="GJ22" s="30">
        <v>0</v>
      </c>
      <c r="GK22" s="30">
        <v>0</v>
      </c>
      <c r="GL22" s="30">
        <v>0</v>
      </c>
      <c r="GM22" s="30">
        <v>0</v>
      </c>
      <c r="GN22" s="30">
        <v>0</v>
      </c>
      <c r="GO22" s="30">
        <v>0</v>
      </c>
      <c r="GP22" s="30">
        <v>0</v>
      </c>
      <c r="GQ22" s="30">
        <v>0</v>
      </c>
      <c r="GR22" s="30">
        <v>0</v>
      </c>
      <c r="GS22" s="30">
        <v>0</v>
      </c>
    </row>
    <row r="23" spans="1:201" s="30" customFormat="1" ht="13" x14ac:dyDescent="0.25">
      <c r="A23" s="87">
        <v>17</v>
      </c>
      <c r="B23" s="128">
        <v>21.87425</v>
      </c>
      <c r="C23" s="128">
        <v>8.4638219999999897</v>
      </c>
      <c r="D23" s="128">
        <v>8.8075710000000509</v>
      </c>
      <c r="E23" s="128">
        <v>7.4222659999999197</v>
      </c>
      <c r="F23" s="128">
        <v>0</v>
      </c>
      <c r="G23" s="128">
        <v>2.7679360000000002</v>
      </c>
      <c r="H23" s="128">
        <v>0.89277000000000095</v>
      </c>
      <c r="I23" s="128">
        <v>2.3407000000000601E-2</v>
      </c>
      <c r="J23" s="128">
        <v>1.3249000000000099E-2</v>
      </c>
      <c r="K23" s="128">
        <v>0.89438700000000004</v>
      </c>
      <c r="L23" s="128">
        <v>0.91056300000000101</v>
      </c>
      <c r="M23" s="128">
        <v>2.7596240000000001</v>
      </c>
      <c r="N23" s="128">
        <v>2.1186959999999999</v>
      </c>
      <c r="O23" s="128">
        <v>2.19864700000005</v>
      </c>
      <c r="P23" s="128">
        <v>0.14135799999999701</v>
      </c>
      <c r="Q23" s="128">
        <v>8.2186239999973605</v>
      </c>
      <c r="R23" s="128">
        <v>8.6016000000017794</v>
      </c>
      <c r="S23" s="128">
        <v>7.2207359999993104</v>
      </c>
      <c r="T23" s="128">
        <v>0</v>
      </c>
      <c r="U23" s="128">
        <v>0.54779999999999496</v>
      </c>
      <c r="V23" s="128">
        <v>0.13299999999999901</v>
      </c>
      <c r="W23" s="128">
        <v>6.2341000000000001E-2</v>
      </c>
      <c r="X23" s="128">
        <v>7.3733999999999994E-2</v>
      </c>
      <c r="Y23" s="128">
        <v>0</v>
      </c>
      <c r="Z23" s="128">
        <v>4.8090999999999398E-2</v>
      </c>
      <c r="AA23" s="128">
        <v>0.12025000000000199</v>
      </c>
      <c r="AB23" s="128">
        <v>0.147399999999998</v>
      </c>
      <c r="AC23" s="128">
        <v>0.113626</v>
      </c>
      <c r="AD23" s="128">
        <v>5.5944499999999002E-2</v>
      </c>
      <c r="AE23" s="128">
        <v>7.2787500000000394E-2</v>
      </c>
      <c r="AF23" s="128">
        <v>0</v>
      </c>
      <c r="AG23" s="128">
        <v>1.55347500000005E-2</v>
      </c>
      <c r="AH23" s="128">
        <v>1.9922879999999701</v>
      </c>
      <c r="AI23" s="128">
        <v>0</v>
      </c>
      <c r="AJ23" s="128">
        <v>3.7284000000000497E-2</v>
      </c>
      <c r="AK23" s="128">
        <v>0</v>
      </c>
      <c r="AL23" s="128">
        <v>0.32647199999999499</v>
      </c>
      <c r="AM23" s="128">
        <v>0.49152800000000202</v>
      </c>
      <c r="AN23" s="128">
        <v>0.399591999999998</v>
      </c>
      <c r="AO23" s="128">
        <v>0.151671999999998</v>
      </c>
      <c r="AP23" s="128">
        <v>9.3394000000000005E-2</v>
      </c>
      <c r="AQ23" s="128">
        <v>0.33851200000000098</v>
      </c>
      <c r="AR23" s="128">
        <v>5.6324160000000303</v>
      </c>
      <c r="AS23" s="128">
        <v>7.2108499999999701E-2</v>
      </c>
      <c r="AT23" s="128">
        <v>0</v>
      </c>
      <c r="AU23" s="128">
        <v>5.1112000000003398E-2</v>
      </c>
      <c r="AV23" s="128">
        <v>3.09064999999995E-2</v>
      </c>
      <c r="AW23" s="128">
        <v>2.14323200000001</v>
      </c>
      <c r="AX23" s="128">
        <v>0</v>
      </c>
      <c r="AY23" s="128">
        <v>7.4260500000000298E-2</v>
      </c>
      <c r="AZ23" s="128">
        <v>3.9999999996709301E-6</v>
      </c>
      <c r="BA23" s="128">
        <v>0</v>
      </c>
      <c r="BB23" s="128">
        <v>0</v>
      </c>
      <c r="BC23" s="128">
        <v>0</v>
      </c>
      <c r="BD23" s="128">
        <v>4.072111328125E-3</v>
      </c>
      <c r="BE23" s="128">
        <v>0.27415600000000101</v>
      </c>
      <c r="BF23" s="128">
        <v>0</v>
      </c>
      <c r="BG23" s="128">
        <v>2.7356999999998501E-2</v>
      </c>
      <c r="BH23" s="128">
        <v>1.6082000000000801E-2</v>
      </c>
      <c r="BI23" s="128">
        <v>2.6453440000000201</v>
      </c>
      <c r="BJ23" s="128">
        <v>6.8100000000015403E-4</v>
      </c>
      <c r="BK23" s="128">
        <v>3.9931000000000202E-2</v>
      </c>
      <c r="BL23" s="128">
        <v>4.6000000001100702E-5</v>
      </c>
      <c r="BM23" s="128">
        <v>2.23801600000002</v>
      </c>
      <c r="BN23" s="128">
        <v>0</v>
      </c>
      <c r="BO23" s="128">
        <v>0.32558500000000001</v>
      </c>
      <c r="BP23" s="128">
        <v>0</v>
      </c>
      <c r="BQ23" s="128">
        <v>0</v>
      </c>
      <c r="BR23" s="128">
        <v>0</v>
      </c>
      <c r="BS23" s="128">
        <v>0</v>
      </c>
      <c r="BT23" s="128">
        <v>0.28723599999999999</v>
      </c>
      <c r="BU23" s="128">
        <v>0</v>
      </c>
      <c r="BV23" s="128">
        <v>0</v>
      </c>
      <c r="BW23" s="128">
        <v>0</v>
      </c>
      <c r="BX23" s="128">
        <v>0</v>
      </c>
      <c r="BY23" s="128">
        <v>0</v>
      </c>
      <c r="BZ23" s="128">
        <v>1.02801600000001</v>
      </c>
      <c r="CA23" s="128">
        <v>0.41316799999999898</v>
      </c>
      <c r="CB23" s="128">
        <v>0</v>
      </c>
      <c r="CC23" s="128">
        <v>0</v>
      </c>
      <c r="CD23" s="128">
        <v>0</v>
      </c>
      <c r="CE23" s="128">
        <v>0</v>
      </c>
      <c r="CF23" s="128">
        <v>4.6196999999999398E-2</v>
      </c>
      <c r="CG23" s="128">
        <v>0</v>
      </c>
      <c r="CH23" s="128">
        <v>9.4249999999984602E-4</v>
      </c>
      <c r="CI23" s="128">
        <v>0</v>
      </c>
      <c r="CJ23" s="128">
        <v>0</v>
      </c>
      <c r="CK23" s="128">
        <v>0</v>
      </c>
      <c r="CL23" s="128">
        <v>2.55340000000004E-2</v>
      </c>
      <c r="CM23" s="128">
        <v>4.1758720000000302</v>
      </c>
      <c r="CN23" s="128">
        <v>6.24554999999987E-2</v>
      </c>
      <c r="CO23" s="128">
        <v>0.57600399999999796</v>
      </c>
      <c r="CP23" s="128">
        <v>0</v>
      </c>
      <c r="CQ23" s="128">
        <v>0</v>
      </c>
      <c r="CR23" s="128">
        <v>0.134245</v>
      </c>
      <c r="CS23" s="128">
        <v>0</v>
      </c>
      <c r="CT23" s="128">
        <v>0.20286400000000501</v>
      </c>
      <c r="CU23" s="128">
        <v>0</v>
      </c>
      <c r="CV23" s="128">
        <v>1.53649999999999E-2</v>
      </c>
      <c r="CW23" s="128">
        <v>5.8984000000002403E-2</v>
      </c>
      <c r="CX23" s="128">
        <v>0.23164400000000299</v>
      </c>
      <c r="CY23" s="128">
        <v>8.5610000000000408E-3</v>
      </c>
      <c r="CZ23" s="128">
        <v>2.3661499999999801E-2</v>
      </c>
      <c r="DA23" s="128">
        <v>0.26070399999999699</v>
      </c>
      <c r="DB23" s="128">
        <v>0.108539</v>
      </c>
      <c r="DC23" s="128">
        <v>0.176372000000001</v>
      </c>
      <c r="DD23" s="128">
        <v>2.6178375E-2</v>
      </c>
      <c r="DE23" s="128">
        <v>0</v>
      </c>
      <c r="DF23" s="128">
        <v>0</v>
      </c>
      <c r="DG23" s="128">
        <v>1.7934499999999999E-2</v>
      </c>
      <c r="DH23" s="128">
        <v>1.35509999999996E-2</v>
      </c>
      <c r="DI23" s="128">
        <v>5.1399679999999499</v>
      </c>
      <c r="DJ23" s="128">
        <v>0</v>
      </c>
      <c r="DK23" s="128">
        <v>6.4044000000002696E-2</v>
      </c>
      <c r="DL23" s="128">
        <v>1.9294222656249999E-2</v>
      </c>
      <c r="DM23" s="128">
        <v>4.7620999999999497E-2</v>
      </c>
      <c r="DN23" s="128">
        <v>2.99618750000008E-3</v>
      </c>
      <c r="DO23" s="128">
        <v>0.76019199999998899</v>
      </c>
      <c r="DP23" s="128">
        <v>4.2369499999999498E-2</v>
      </c>
      <c r="DQ23" s="128">
        <v>0</v>
      </c>
      <c r="DR23" s="128">
        <v>0</v>
      </c>
      <c r="DS23" s="128">
        <v>1.38771200000002</v>
      </c>
      <c r="DT23" s="128">
        <v>0.40938724999999998</v>
      </c>
      <c r="DU23" s="128">
        <v>1.0334999999999501E-2</v>
      </c>
      <c r="DV23" s="128">
        <v>8.0810000000002304E-3</v>
      </c>
      <c r="DW23" s="128">
        <v>0</v>
      </c>
      <c r="DX23" s="128">
        <v>0.14777599999999999</v>
      </c>
      <c r="DY23" s="128">
        <v>5.5185625000000503E-3</v>
      </c>
      <c r="DZ23" s="128">
        <v>0.12078</v>
      </c>
      <c r="EA23" s="128">
        <v>0</v>
      </c>
      <c r="EB23" s="128">
        <v>1.384816</v>
      </c>
      <c r="EC23" s="128">
        <v>0.71782400000000701</v>
      </c>
      <c r="ED23" s="128">
        <v>2.5901999999999901E-2</v>
      </c>
      <c r="EE23" s="128">
        <v>0.14276949999999999</v>
      </c>
      <c r="EF23" s="128">
        <v>9.9963169999991806</v>
      </c>
      <c r="EG23" s="128">
        <v>0</v>
      </c>
      <c r="EH23" s="128">
        <v>0.50086399999997899</v>
      </c>
      <c r="EI23" s="128">
        <v>0.52179200000000503</v>
      </c>
      <c r="EJ23" s="128">
        <v>3.0015999999989201E-2</v>
      </c>
      <c r="EK23" s="128">
        <v>0</v>
      </c>
      <c r="EL23" s="128">
        <v>0.153471999999965</v>
      </c>
      <c r="EM23" s="128">
        <v>3.646976</v>
      </c>
      <c r="EN23" s="128">
        <v>2.0039679999999902</v>
      </c>
      <c r="EO23" s="128">
        <v>0.56921599999998296</v>
      </c>
      <c r="EP23" s="128">
        <v>0</v>
      </c>
      <c r="EQ23" s="128">
        <v>0</v>
      </c>
      <c r="ER23" s="129">
        <v>2.602814</v>
      </c>
      <c r="ES23" s="129">
        <v>0</v>
      </c>
      <c r="ET23" s="129">
        <v>0</v>
      </c>
      <c r="EU23" s="129">
        <v>0</v>
      </c>
      <c r="EV23" s="30">
        <v>0</v>
      </c>
      <c r="EW23" s="30">
        <v>0</v>
      </c>
      <c r="EX23" s="30">
        <v>0</v>
      </c>
      <c r="EY23" s="30">
        <v>0</v>
      </c>
      <c r="EZ23" s="30">
        <v>0</v>
      </c>
      <c r="FA23" s="30">
        <v>0</v>
      </c>
      <c r="FB23" s="30">
        <v>0</v>
      </c>
      <c r="FC23" s="30">
        <v>0</v>
      </c>
      <c r="FD23" s="30">
        <v>0</v>
      </c>
      <c r="FE23" s="30">
        <v>0</v>
      </c>
      <c r="FF23" s="30">
        <v>0</v>
      </c>
      <c r="FG23" s="30">
        <v>0</v>
      </c>
      <c r="FH23" s="30">
        <v>0</v>
      </c>
      <c r="FI23" s="30">
        <v>0</v>
      </c>
      <c r="FJ23" s="30">
        <v>0</v>
      </c>
      <c r="FK23" s="30">
        <v>0</v>
      </c>
      <c r="FL23" s="30">
        <v>0</v>
      </c>
      <c r="FM23" s="30">
        <v>0</v>
      </c>
      <c r="FN23" s="30">
        <v>0</v>
      </c>
      <c r="FO23" s="30">
        <v>0</v>
      </c>
      <c r="FP23" s="30">
        <v>0</v>
      </c>
      <c r="FQ23" s="30">
        <v>0</v>
      </c>
      <c r="FR23" s="30">
        <v>0</v>
      </c>
      <c r="FS23" s="30">
        <v>0</v>
      </c>
      <c r="FT23" s="30">
        <v>0</v>
      </c>
      <c r="FU23" s="30">
        <v>0</v>
      </c>
      <c r="FV23" s="30">
        <v>0</v>
      </c>
      <c r="FW23" s="30">
        <v>0</v>
      </c>
      <c r="FX23" s="30">
        <v>0</v>
      </c>
      <c r="FY23" s="30">
        <v>0</v>
      </c>
      <c r="FZ23" s="30">
        <v>0</v>
      </c>
      <c r="GA23" s="30">
        <v>0</v>
      </c>
      <c r="GB23" s="30">
        <v>0</v>
      </c>
      <c r="GC23" s="30">
        <v>0</v>
      </c>
      <c r="GD23" s="30">
        <v>0</v>
      </c>
      <c r="GE23" s="30">
        <v>0</v>
      </c>
      <c r="GF23" s="30">
        <v>0</v>
      </c>
      <c r="GG23" s="30">
        <v>0</v>
      </c>
      <c r="GH23" s="30">
        <v>0</v>
      </c>
      <c r="GI23" s="30">
        <v>0</v>
      </c>
      <c r="GJ23" s="30">
        <v>0</v>
      </c>
      <c r="GK23" s="30">
        <v>0</v>
      </c>
      <c r="GL23" s="30">
        <v>0</v>
      </c>
      <c r="GM23" s="30">
        <v>0</v>
      </c>
      <c r="GN23" s="30">
        <v>0</v>
      </c>
      <c r="GO23" s="30">
        <v>0</v>
      </c>
      <c r="GP23" s="30">
        <v>0</v>
      </c>
      <c r="GQ23" s="30">
        <v>0</v>
      </c>
      <c r="GR23" s="30">
        <v>0</v>
      </c>
      <c r="GS23" s="30">
        <v>0</v>
      </c>
    </row>
    <row r="24" spans="1:201" s="30" customFormat="1" ht="13" x14ac:dyDescent="0.25">
      <c r="A24" s="87">
        <v>18</v>
      </c>
      <c r="B24" s="128">
        <v>24.608000000000001</v>
      </c>
      <c r="C24" s="128">
        <v>8.4168349999999901</v>
      </c>
      <c r="D24" s="128">
        <v>8.8246499999999095</v>
      </c>
      <c r="E24" s="128">
        <v>7.3981930000000498</v>
      </c>
      <c r="F24" s="128">
        <v>0</v>
      </c>
      <c r="G24" s="128">
        <v>0</v>
      </c>
      <c r="H24" s="128">
        <v>0</v>
      </c>
      <c r="I24" s="128">
        <v>0</v>
      </c>
      <c r="J24" s="128">
        <v>0</v>
      </c>
      <c r="K24" s="128">
        <v>0</v>
      </c>
      <c r="L24" s="128">
        <v>0</v>
      </c>
      <c r="M24" s="128">
        <v>0</v>
      </c>
      <c r="N24" s="128">
        <v>3.60535300000004</v>
      </c>
      <c r="O24" s="128">
        <v>3.7482999999998601</v>
      </c>
      <c r="P24" s="128">
        <v>0.24391299999999899</v>
      </c>
      <c r="Q24" s="128">
        <v>8.1879040000021597</v>
      </c>
      <c r="R24" s="128">
        <v>8.5811199999989203</v>
      </c>
      <c r="S24" s="128">
        <v>7.1910400000006103</v>
      </c>
      <c r="T24" s="128">
        <v>0</v>
      </c>
      <c r="U24" s="128">
        <v>0.52604000000000894</v>
      </c>
      <c r="V24" s="128">
        <v>0.13117599999999999</v>
      </c>
      <c r="W24" s="128">
        <v>6.7544999999999106E-2</v>
      </c>
      <c r="X24" s="128">
        <v>7.4510000000000104E-2</v>
      </c>
      <c r="Y24" s="128">
        <v>0</v>
      </c>
      <c r="Z24" s="128">
        <v>3.9811000000000298E-2</v>
      </c>
      <c r="AA24" s="128">
        <v>0.11455600000000001</v>
      </c>
      <c r="AB24" s="128">
        <v>0.15312200000000301</v>
      </c>
      <c r="AC24" s="128">
        <v>0.12806200000000001</v>
      </c>
      <c r="AD24" s="128">
        <v>5.4118500000001298E-2</v>
      </c>
      <c r="AE24" s="128">
        <v>9.4548500000000105E-2</v>
      </c>
      <c r="AF24" s="128">
        <v>0</v>
      </c>
      <c r="AG24" s="128">
        <v>1.9448749999999598E-2</v>
      </c>
      <c r="AH24" s="128">
        <v>2.00780800000001</v>
      </c>
      <c r="AI24" s="128">
        <v>0</v>
      </c>
      <c r="AJ24" s="128">
        <v>3.1857999999999699E-2</v>
      </c>
      <c r="AK24" s="128">
        <v>0</v>
      </c>
      <c r="AL24" s="128">
        <v>0.33661600000000602</v>
      </c>
      <c r="AM24" s="128">
        <v>0.50664799999999799</v>
      </c>
      <c r="AN24" s="128">
        <v>0.39314400000000699</v>
      </c>
      <c r="AO24" s="128">
        <v>0.154032000000001</v>
      </c>
      <c r="AP24" s="128">
        <v>8.9992000000002306E-2</v>
      </c>
      <c r="AQ24" s="128">
        <v>0.337476000000002</v>
      </c>
      <c r="AR24" s="128">
        <v>5.5756800000000304</v>
      </c>
      <c r="AS24" s="128">
        <v>6.3604999999999898E-2</v>
      </c>
      <c r="AT24" s="128">
        <v>0</v>
      </c>
      <c r="AU24" s="128">
        <v>5.27279999999948E-2</v>
      </c>
      <c r="AV24" s="128">
        <v>2.2874500000000401E-2</v>
      </c>
      <c r="AW24" s="128">
        <v>2.3521279999999898</v>
      </c>
      <c r="AX24" s="128">
        <v>0</v>
      </c>
      <c r="AY24" s="128">
        <v>7.1829000000000101E-2</v>
      </c>
      <c r="AZ24" s="128">
        <v>0</v>
      </c>
      <c r="BA24" s="128">
        <v>0</v>
      </c>
      <c r="BB24" s="128">
        <v>0</v>
      </c>
      <c r="BC24" s="128">
        <v>0</v>
      </c>
      <c r="BD24" s="128">
        <v>3.8588203125000001E-3</v>
      </c>
      <c r="BE24" s="128">
        <v>0.11007800000000099</v>
      </c>
      <c r="BF24" s="128">
        <v>0</v>
      </c>
      <c r="BG24" s="128">
        <v>1.9356000000000199E-2</v>
      </c>
      <c r="BH24" s="128">
        <v>1.4872000000000401E-2</v>
      </c>
      <c r="BI24" s="128">
        <v>2.5831999999999802</v>
      </c>
      <c r="BJ24" s="128">
        <v>1.29400000000146E-3</v>
      </c>
      <c r="BK24" s="128">
        <v>4.27195000000005E-2</v>
      </c>
      <c r="BL24" s="128">
        <v>1.18000000000507E-4</v>
      </c>
      <c r="BM24" s="128">
        <v>2.1548960000000101</v>
      </c>
      <c r="BN24" s="128">
        <v>0</v>
      </c>
      <c r="BO24" s="128">
        <v>0.33549399999999902</v>
      </c>
      <c r="BP24" s="128">
        <v>0</v>
      </c>
      <c r="BQ24" s="128">
        <v>0</v>
      </c>
      <c r="BR24" s="128">
        <v>0</v>
      </c>
      <c r="BS24" s="128">
        <v>0</v>
      </c>
      <c r="BT24" s="128">
        <v>0.35693999999999398</v>
      </c>
      <c r="BU24" s="128">
        <v>0</v>
      </c>
      <c r="BV24" s="128">
        <v>0</v>
      </c>
      <c r="BW24" s="128">
        <v>0</v>
      </c>
      <c r="BX24" s="128">
        <v>0</v>
      </c>
      <c r="BY24" s="128">
        <v>0</v>
      </c>
      <c r="BZ24" s="128">
        <v>0.99328799999999295</v>
      </c>
      <c r="CA24" s="128">
        <v>0.29574399999999901</v>
      </c>
      <c r="CB24" s="128">
        <v>0</v>
      </c>
      <c r="CC24" s="128">
        <v>0</v>
      </c>
      <c r="CD24" s="128">
        <v>0</v>
      </c>
      <c r="CE24" s="128">
        <v>0</v>
      </c>
      <c r="CF24" s="128">
        <v>4.8196000000000801E-2</v>
      </c>
      <c r="CG24" s="128">
        <v>0</v>
      </c>
      <c r="CH24" s="128">
        <v>7.2699999999992204E-4</v>
      </c>
      <c r="CI24" s="128">
        <v>0</v>
      </c>
      <c r="CJ24" s="128">
        <v>0</v>
      </c>
      <c r="CK24" s="128">
        <v>0</v>
      </c>
      <c r="CL24" s="128">
        <v>3.2023999999999803E-2</v>
      </c>
      <c r="CM24" s="128">
        <v>4.6709760000001097</v>
      </c>
      <c r="CN24" s="128">
        <v>5.92015000000004E-2</v>
      </c>
      <c r="CO24" s="128">
        <v>0.54434799999999905</v>
      </c>
      <c r="CP24" s="128">
        <v>0</v>
      </c>
      <c r="CQ24" s="128">
        <v>0</v>
      </c>
      <c r="CR24" s="128">
        <v>0.134354999999999</v>
      </c>
      <c r="CS24" s="128">
        <v>0</v>
      </c>
      <c r="CT24" s="128">
        <v>0.20648799999999301</v>
      </c>
      <c r="CU24" s="128">
        <v>0</v>
      </c>
      <c r="CV24" s="128">
        <v>1.5332999999999999E-2</v>
      </c>
      <c r="CW24" s="128">
        <v>5.9007999999998603E-2</v>
      </c>
      <c r="CX24" s="128">
        <v>0.24817199999999701</v>
      </c>
      <c r="CY24" s="128">
        <v>1.6127999999999899E-2</v>
      </c>
      <c r="CZ24" s="128">
        <v>2.6196000000000101E-2</v>
      </c>
      <c r="DA24" s="128">
        <v>0.26278400000000302</v>
      </c>
      <c r="DB24" s="128">
        <v>0.118936999999999</v>
      </c>
      <c r="DC24" s="128">
        <v>0.19518000000000099</v>
      </c>
      <c r="DD24" s="128">
        <v>2.9541624999999998E-2</v>
      </c>
      <c r="DE24" s="128">
        <v>0</v>
      </c>
      <c r="DF24" s="128">
        <v>0</v>
      </c>
      <c r="DG24" s="128">
        <v>2.5514499999999898E-2</v>
      </c>
      <c r="DH24" s="128">
        <v>1.8975499999999802E-2</v>
      </c>
      <c r="DI24" s="128">
        <v>5.0271999999999899</v>
      </c>
      <c r="DJ24" s="128">
        <v>0</v>
      </c>
      <c r="DK24" s="128">
        <v>6.40239999999999E-2</v>
      </c>
      <c r="DL24" s="128">
        <v>1.924910546875E-2</v>
      </c>
      <c r="DM24" s="128">
        <v>4.5500999999999799E-2</v>
      </c>
      <c r="DN24" s="128">
        <v>6.6325000000000401E-4</v>
      </c>
      <c r="DO24" s="128">
        <v>0.81427199999998801</v>
      </c>
      <c r="DP24" s="128">
        <v>4.23430000000007E-2</v>
      </c>
      <c r="DQ24" s="128">
        <v>0</v>
      </c>
      <c r="DR24" s="128">
        <v>0</v>
      </c>
      <c r="DS24" s="128">
        <v>1.1987519999999601</v>
      </c>
      <c r="DT24" s="128">
        <v>0.40270224999999998</v>
      </c>
      <c r="DU24" s="128">
        <v>2.4927999999999201E-2</v>
      </c>
      <c r="DV24" s="128">
        <v>1.1638499999999699E-2</v>
      </c>
      <c r="DW24" s="128">
        <v>0</v>
      </c>
      <c r="DX24" s="128">
        <v>0.15115999999999899</v>
      </c>
      <c r="DY24" s="128">
        <v>5.7129999999999698E-3</v>
      </c>
      <c r="DZ24" s="128">
        <v>0.111833999999998</v>
      </c>
      <c r="EA24" s="128">
        <v>0</v>
      </c>
      <c r="EB24" s="128">
        <v>1.3835519999999799</v>
      </c>
      <c r="EC24" s="128">
        <v>0.74382399999998905</v>
      </c>
      <c r="ED24" s="128">
        <v>3.7350500000000099E-2</v>
      </c>
      <c r="EE24" s="128">
        <v>0.12898399999999999</v>
      </c>
      <c r="EF24" s="128">
        <v>12.7061379999996</v>
      </c>
      <c r="EG24" s="128">
        <v>0</v>
      </c>
      <c r="EH24" s="128">
        <v>0.45011199999999002</v>
      </c>
      <c r="EI24" s="128">
        <v>0.55167999999991901</v>
      </c>
      <c r="EJ24" s="128">
        <v>3.5423999999977702E-2</v>
      </c>
      <c r="EK24" s="128">
        <v>0</v>
      </c>
      <c r="EL24" s="128">
        <v>2.9283840000000501</v>
      </c>
      <c r="EM24" s="128">
        <v>3.7555200000001601</v>
      </c>
      <c r="EN24" s="128">
        <v>2.0933119999999699</v>
      </c>
      <c r="EO24" s="128">
        <v>0</v>
      </c>
      <c r="EP24" s="128">
        <v>0</v>
      </c>
      <c r="EQ24" s="128">
        <v>0</v>
      </c>
      <c r="ER24" s="129">
        <v>2.92307099999999</v>
      </c>
      <c r="ES24" s="129">
        <v>0</v>
      </c>
      <c r="ET24" s="129">
        <v>0</v>
      </c>
      <c r="EU24" s="129">
        <v>0</v>
      </c>
      <c r="EV24" s="30">
        <v>0</v>
      </c>
      <c r="EW24" s="30">
        <v>0</v>
      </c>
      <c r="EX24" s="30">
        <v>0</v>
      </c>
      <c r="EY24" s="30">
        <v>0</v>
      </c>
      <c r="EZ24" s="30">
        <v>0</v>
      </c>
      <c r="FA24" s="30">
        <v>0</v>
      </c>
      <c r="FB24" s="30">
        <v>0</v>
      </c>
      <c r="FC24" s="30">
        <v>0</v>
      </c>
      <c r="FD24" s="30">
        <v>0</v>
      </c>
      <c r="FE24" s="30">
        <v>0</v>
      </c>
      <c r="FF24" s="30">
        <v>0</v>
      </c>
      <c r="FG24" s="30">
        <v>0</v>
      </c>
      <c r="FH24" s="30">
        <v>0</v>
      </c>
      <c r="FI24" s="30">
        <v>0</v>
      </c>
      <c r="FJ24" s="30">
        <v>0</v>
      </c>
      <c r="FK24" s="30">
        <v>0</v>
      </c>
      <c r="FL24" s="30">
        <v>0</v>
      </c>
      <c r="FM24" s="30">
        <v>0</v>
      </c>
      <c r="FN24" s="30">
        <v>0</v>
      </c>
      <c r="FO24" s="30">
        <v>0</v>
      </c>
      <c r="FP24" s="30">
        <v>0</v>
      </c>
      <c r="FQ24" s="30">
        <v>0</v>
      </c>
      <c r="FR24" s="30">
        <v>0</v>
      </c>
      <c r="FS24" s="30">
        <v>0</v>
      </c>
      <c r="FT24" s="30">
        <v>0</v>
      </c>
      <c r="FU24" s="30">
        <v>0</v>
      </c>
      <c r="FV24" s="30">
        <v>0</v>
      </c>
      <c r="FW24" s="30">
        <v>0</v>
      </c>
      <c r="FX24" s="30">
        <v>0</v>
      </c>
      <c r="FY24" s="30">
        <v>0</v>
      </c>
      <c r="FZ24" s="30">
        <v>0</v>
      </c>
      <c r="GA24" s="30">
        <v>0</v>
      </c>
      <c r="GB24" s="30">
        <v>0</v>
      </c>
      <c r="GC24" s="30">
        <v>0</v>
      </c>
      <c r="GD24" s="30">
        <v>0</v>
      </c>
      <c r="GE24" s="30">
        <v>0</v>
      </c>
      <c r="GF24" s="30">
        <v>0</v>
      </c>
      <c r="GG24" s="30">
        <v>0</v>
      </c>
      <c r="GH24" s="30">
        <v>0</v>
      </c>
      <c r="GI24" s="30">
        <v>0</v>
      </c>
      <c r="GJ24" s="30">
        <v>0</v>
      </c>
      <c r="GK24" s="30">
        <v>0</v>
      </c>
      <c r="GL24" s="30">
        <v>0</v>
      </c>
      <c r="GM24" s="30">
        <v>0</v>
      </c>
      <c r="GN24" s="30">
        <v>0</v>
      </c>
      <c r="GO24" s="30">
        <v>0</v>
      </c>
      <c r="GP24" s="30">
        <v>0</v>
      </c>
      <c r="GQ24" s="30">
        <v>0</v>
      </c>
      <c r="GR24" s="30">
        <v>0</v>
      </c>
      <c r="GS24" s="30">
        <v>0</v>
      </c>
    </row>
    <row r="25" spans="1:201" s="30" customFormat="1" ht="13" x14ac:dyDescent="0.25">
      <c r="A25" s="87">
        <v>19</v>
      </c>
      <c r="B25" s="128">
        <v>23.935874999999999</v>
      </c>
      <c r="C25" s="128">
        <v>8.1929739999999907</v>
      </c>
      <c r="D25" s="128">
        <v>8.5637970000000205</v>
      </c>
      <c r="E25" s="128">
        <v>7.1990850000000304</v>
      </c>
      <c r="F25" s="128">
        <v>0</v>
      </c>
      <c r="G25" s="128">
        <v>0</v>
      </c>
      <c r="H25" s="128">
        <v>0</v>
      </c>
      <c r="I25" s="128">
        <v>0</v>
      </c>
      <c r="J25" s="128">
        <v>0</v>
      </c>
      <c r="K25" s="128">
        <v>0</v>
      </c>
      <c r="L25" s="128">
        <v>0</v>
      </c>
      <c r="M25" s="128">
        <v>0</v>
      </c>
      <c r="N25" s="128">
        <v>4.1469079999999403</v>
      </c>
      <c r="O25" s="128">
        <v>4.3083790000000599</v>
      </c>
      <c r="P25" s="128">
        <v>0.27186200000000599</v>
      </c>
      <c r="Q25" s="128">
        <v>7.9667200000003504</v>
      </c>
      <c r="R25" s="128">
        <v>8.3701760000003596</v>
      </c>
      <c r="S25" s="128">
        <v>6.9980159999995504</v>
      </c>
      <c r="T25" s="128">
        <v>0</v>
      </c>
      <c r="U25" s="128">
        <v>0.52143199999999001</v>
      </c>
      <c r="V25" s="128">
        <v>0.127244000000001</v>
      </c>
      <c r="W25" s="128">
        <v>6.7759999999999806E-2</v>
      </c>
      <c r="X25" s="128">
        <v>7.3724999999999596E-2</v>
      </c>
      <c r="Y25" s="128">
        <v>0</v>
      </c>
      <c r="Z25" s="128">
        <v>4.2476999999999897E-2</v>
      </c>
      <c r="AA25" s="128">
        <v>0.115195999999997</v>
      </c>
      <c r="AB25" s="128">
        <v>0.15618599999999799</v>
      </c>
      <c r="AC25" s="128">
        <v>0.13057200000000099</v>
      </c>
      <c r="AD25" s="128">
        <v>5.5172499999999403E-2</v>
      </c>
      <c r="AE25" s="128">
        <v>0.104818499999999</v>
      </c>
      <c r="AF25" s="128">
        <v>0</v>
      </c>
      <c r="AG25" s="128">
        <v>2.8191999999999801E-2</v>
      </c>
      <c r="AH25" s="128">
        <v>1.99116800000002</v>
      </c>
      <c r="AI25" s="128">
        <v>0</v>
      </c>
      <c r="AJ25" s="128">
        <v>4.2259999999999701E-2</v>
      </c>
      <c r="AK25" s="128">
        <v>0</v>
      </c>
      <c r="AL25" s="128">
        <v>0.34941599999999101</v>
      </c>
      <c r="AM25" s="128">
        <v>0.49543200000000798</v>
      </c>
      <c r="AN25" s="128">
        <v>0.36880799999998698</v>
      </c>
      <c r="AO25" s="128">
        <v>0.15298800000000101</v>
      </c>
      <c r="AP25" s="128">
        <v>8.4291999999997799E-2</v>
      </c>
      <c r="AQ25" s="128">
        <v>0.33250799999999697</v>
      </c>
      <c r="AR25" s="128">
        <v>5.555072</v>
      </c>
      <c r="AS25" s="128">
        <v>6.7828500000000097E-2</v>
      </c>
      <c r="AT25" s="128">
        <v>0</v>
      </c>
      <c r="AU25" s="128">
        <v>5.0708000000000197E-2</v>
      </c>
      <c r="AV25" s="128">
        <v>4.5250499999999902E-2</v>
      </c>
      <c r="AW25" s="128">
        <v>2.33542399999999</v>
      </c>
      <c r="AX25" s="128">
        <v>0</v>
      </c>
      <c r="AY25" s="128">
        <v>7.0946000000000203E-2</v>
      </c>
      <c r="AZ25" s="128">
        <v>4.0000000005591102E-6</v>
      </c>
      <c r="BA25" s="128">
        <v>0</v>
      </c>
      <c r="BB25" s="128">
        <v>0</v>
      </c>
      <c r="BC25" s="128">
        <v>0</v>
      </c>
      <c r="BD25" s="128">
        <v>4.5448750000000003E-3</v>
      </c>
      <c r="BE25" s="128">
        <v>0.109373999999999</v>
      </c>
      <c r="BF25" s="128">
        <v>0</v>
      </c>
      <c r="BG25" s="128">
        <v>1.7993999999999798E-2</v>
      </c>
      <c r="BH25" s="128">
        <v>8.8940000000015101E-3</v>
      </c>
      <c r="BI25" s="128">
        <v>2.5567680000000301</v>
      </c>
      <c r="BJ25" s="128">
        <v>8.1399999999831596E-4</v>
      </c>
      <c r="BK25" s="128">
        <v>4.7997999999999798E-2</v>
      </c>
      <c r="BL25" s="128">
        <v>1.15999999998451E-4</v>
      </c>
      <c r="BM25" s="128">
        <v>2.2276800000000199</v>
      </c>
      <c r="BN25" s="128">
        <v>0</v>
      </c>
      <c r="BO25" s="128">
        <v>0.43158200000000102</v>
      </c>
      <c r="BP25" s="128">
        <v>0</v>
      </c>
      <c r="BQ25" s="128">
        <v>0</v>
      </c>
      <c r="BR25" s="128">
        <v>0</v>
      </c>
      <c r="BS25" s="128">
        <v>0</v>
      </c>
      <c r="BT25" s="128">
        <v>0.14988399999999999</v>
      </c>
      <c r="BU25" s="128">
        <v>0</v>
      </c>
      <c r="BV25" s="128">
        <v>0</v>
      </c>
      <c r="BW25" s="128">
        <v>0</v>
      </c>
      <c r="BX25" s="128">
        <v>0</v>
      </c>
      <c r="BY25" s="128">
        <v>0</v>
      </c>
      <c r="BZ25" s="128">
        <v>1.06221600000001</v>
      </c>
      <c r="CA25" s="128">
        <v>0.41221600000000103</v>
      </c>
      <c r="CB25" s="128">
        <v>0</v>
      </c>
      <c r="CC25" s="128">
        <v>0</v>
      </c>
      <c r="CD25" s="128">
        <v>0</v>
      </c>
      <c r="CE25" s="128">
        <v>0</v>
      </c>
      <c r="CF25" s="128">
        <v>3.6592000000000603E-2</v>
      </c>
      <c r="CG25" s="128">
        <v>0</v>
      </c>
      <c r="CH25" s="128">
        <v>1.47524999999993E-3</v>
      </c>
      <c r="CI25" s="128">
        <v>0</v>
      </c>
      <c r="CJ25" s="128">
        <v>0</v>
      </c>
      <c r="CK25" s="128">
        <v>0</v>
      </c>
      <c r="CL25" s="128">
        <v>3.0455999999997398E-2</v>
      </c>
      <c r="CM25" s="128">
        <v>4.8078080000000201</v>
      </c>
      <c r="CN25" s="128">
        <v>5.2236500000001101E-2</v>
      </c>
      <c r="CO25" s="128">
        <v>0.74184000000001005</v>
      </c>
      <c r="CP25" s="128">
        <v>0</v>
      </c>
      <c r="CQ25" s="128">
        <v>0</v>
      </c>
      <c r="CR25" s="128">
        <v>0.152561</v>
      </c>
      <c r="CS25" s="128">
        <v>0</v>
      </c>
      <c r="CT25" s="128">
        <v>0.23356000000001101</v>
      </c>
      <c r="CU25" s="128">
        <v>0</v>
      </c>
      <c r="CV25" s="128">
        <v>1.4379625000000101E-2</v>
      </c>
      <c r="CW25" s="128">
        <v>7.2692000000003504E-2</v>
      </c>
      <c r="CX25" s="128">
        <v>0.25478400000000101</v>
      </c>
      <c r="CY25" s="128">
        <v>1.71349999999999E-2</v>
      </c>
      <c r="CZ25" s="128">
        <v>2.5476499999999899E-2</v>
      </c>
      <c r="DA25" s="128">
        <v>0.26312000000000102</v>
      </c>
      <c r="DB25" s="128">
        <v>0.10104100000000001</v>
      </c>
      <c r="DC25" s="128">
        <v>0.19461999999999999</v>
      </c>
      <c r="DD25" s="128">
        <v>3.0201374999999898E-2</v>
      </c>
      <c r="DE25" s="128">
        <v>0</v>
      </c>
      <c r="DF25" s="128">
        <v>0</v>
      </c>
      <c r="DG25" s="128">
        <v>2.3154000000000799E-2</v>
      </c>
      <c r="DH25" s="128">
        <v>2.0627000000000201E-2</v>
      </c>
      <c r="DI25" s="128">
        <v>4.9655680000000801</v>
      </c>
      <c r="DJ25" s="128">
        <v>0</v>
      </c>
      <c r="DK25" s="128">
        <v>6.3427999999998305E-2</v>
      </c>
      <c r="DL25" s="128">
        <v>1.9213355468749999E-2</v>
      </c>
      <c r="DM25" s="128">
        <v>4.4200000000000003E-2</v>
      </c>
      <c r="DN25" s="128">
        <v>1.3318749999990901E-4</v>
      </c>
      <c r="DO25" s="128">
        <v>0.76785600000002296</v>
      </c>
      <c r="DP25" s="128">
        <v>4.2721999999999503E-2</v>
      </c>
      <c r="DQ25" s="128">
        <v>0</v>
      </c>
      <c r="DR25" s="128">
        <v>0</v>
      </c>
      <c r="DS25" s="128">
        <v>1.20336000000003</v>
      </c>
      <c r="DT25" s="128">
        <v>0.40055974999999999</v>
      </c>
      <c r="DU25" s="128">
        <v>9.6560000000014395E-3</v>
      </c>
      <c r="DV25" s="128">
        <v>1.06030000000001E-2</v>
      </c>
      <c r="DW25" s="128">
        <v>0</v>
      </c>
      <c r="DX25" s="128">
        <v>0.15582600000000099</v>
      </c>
      <c r="DY25" s="128">
        <v>6.3714375000000203E-3</v>
      </c>
      <c r="DZ25" s="128">
        <v>0.12548200000000201</v>
      </c>
      <c r="EA25" s="128">
        <v>0</v>
      </c>
      <c r="EB25" s="128">
        <v>1.3575839999999999</v>
      </c>
      <c r="EC25" s="128">
        <v>0.76009600000000399</v>
      </c>
      <c r="ED25" s="128">
        <v>2.8305249999999799E-2</v>
      </c>
      <c r="EE25" s="128">
        <v>0.13111300000000001</v>
      </c>
      <c r="EF25" s="128">
        <v>13.0661550000004</v>
      </c>
      <c r="EG25" s="128">
        <v>0</v>
      </c>
      <c r="EH25" s="128">
        <v>0.48755199999993698</v>
      </c>
      <c r="EI25" s="128">
        <v>0.60576000000003205</v>
      </c>
      <c r="EJ25" s="128">
        <v>4.0896000000031997E-2</v>
      </c>
      <c r="EK25" s="128">
        <v>0</v>
      </c>
      <c r="EL25" s="128">
        <v>2.6693119999999899</v>
      </c>
      <c r="EM25" s="128">
        <v>3.8878719999997902</v>
      </c>
      <c r="EN25" s="128">
        <v>3.04665599999998</v>
      </c>
      <c r="EO25" s="128">
        <v>0</v>
      </c>
      <c r="EP25" s="128">
        <v>0</v>
      </c>
      <c r="EQ25" s="128">
        <v>0</v>
      </c>
      <c r="ER25" s="129">
        <v>2.3261349999999901</v>
      </c>
      <c r="ES25" s="129">
        <v>0</v>
      </c>
      <c r="ET25" s="129">
        <v>0</v>
      </c>
      <c r="EU25" s="129">
        <v>0</v>
      </c>
      <c r="EV25" s="30">
        <v>0</v>
      </c>
      <c r="EW25" s="30">
        <v>0</v>
      </c>
      <c r="EX25" s="30">
        <v>0</v>
      </c>
      <c r="EY25" s="30">
        <v>0</v>
      </c>
      <c r="EZ25" s="30">
        <v>0</v>
      </c>
      <c r="FA25" s="30">
        <v>0</v>
      </c>
      <c r="FB25" s="30">
        <v>0</v>
      </c>
      <c r="FC25" s="30">
        <v>0</v>
      </c>
      <c r="FD25" s="30">
        <v>0</v>
      </c>
      <c r="FE25" s="30">
        <v>0</v>
      </c>
      <c r="FF25" s="30">
        <v>0</v>
      </c>
      <c r="FG25" s="30">
        <v>0</v>
      </c>
      <c r="FH25" s="30">
        <v>0</v>
      </c>
      <c r="FI25" s="30">
        <v>0</v>
      </c>
      <c r="FJ25" s="30">
        <v>0</v>
      </c>
      <c r="FK25" s="30">
        <v>0</v>
      </c>
      <c r="FL25" s="30">
        <v>0</v>
      </c>
      <c r="FM25" s="30">
        <v>0</v>
      </c>
      <c r="FN25" s="30">
        <v>0</v>
      </c>
      <c r="FO25" s="30">
        <v>0</v>
      </c>
      <c r="FP25" s="30">
        <v>0</v>
      </c>
      <c r="FQ25" s="30">
        <v>0</v>
      </c>
      <c r="FR25" s="30">
        <v>0</v>
      </c>
      <c r="FS25" s="30">
        <v>0</v>
      </c>
      <c r="FT25" s="30">
        <v>0</v>
      </c>
      <c r="FU25" s="30">
        <v>0</v>
      </c>
      <c r="FV25" s="30">
        <v>0</v>
      </c>
      <c r="FW25" s="30">
        <v>0</v>
      </c>
      <c r="FX25" s="30">
        <v>0</v>
      </c>
      <c r="FY25" s="30">
        <v>0</v>
      </c>
      <c r="FZ25" s="30">
        <v>0</v>
      </c>
      <c r="GA25" s="30">
        <v>0</v>
      </c>
      <c r="GB25" s="30">
        <v>0</v>
      </c>
      <c r="GC25" s="30">
        <v>0</v>
      </c>
      <c r="GD25" s="30">
        <v>0</v>
      </c>
      <c r="GE25" s="30">
        <v>0</v>
      </c>
      <c r="GF25" s="30">
        <v>0</v>
      </c>
      <c r="GG25" s="30">
        <v>0</v>
      </c>
      <c r="GH25" s="30">
        <v>0</v>
      </c>
      <c r="GI25" s="30">
        <v>0</v>
      </c>
      <c r="GJ25" s="30">
        <v>0</v>
      </c>
      <c r="GK25" s="30">
        <v>0</v>
      </c>
      <c r="GL25" s="30">
        <v>0</v>
      </c>
      <c r="GM25" s="30">
        <v>0</v>
      </c>
      <c r="GN25" s="30">
        <v>0</v>
      </c>
      <c r="GO25" s="30">
        <v>0</v>
      </c>
      <c r="GP25" s="30">
        <v>0</v>
      </c>
      <c r="GQ25" s="30">
        <v>0</v>
      </c>
      <c r="GR25" s="30">
        <v>0</v>
      </c>
      <c r="GS25" s="30">
        <v>0</v>
      </c>
    </row>
    <row r="26" spans="1:201" s="30" customFormat="1" ht="13" x14ac:dyDescent="0.25">
      <c r="A26" s="87">
        <v>20</v>
      </c>
      <c r="B26" s="128">
        <v>23.096125000000001</v>
      </c>
      <c r="C26" s="128">
        <v>8.3521659999999507</v>
      </c>
      <c r="D26" s="128">
        <v>8.7540149999999795</v>
      </c>
      <c r="E26" s="128">
        <v>7.3547449999999799</v>
      </c>
      <c r="F26" s="128">
        <v>0</v>
      </c>
      <c r="G26" s="128">
        <v>1.1604620000000001</v>
      </c>
      <c r="H26" s="128">
        <v>0.53276099999999904</v>
      </c>
      <c r="I26" s="128">
        <v>1.24709999999979E-2</v>
      </c>
      <c r="J26" s="128">
        <v>9.2579999999999902E-3</v>
      </c>
      <c r="K26" s="128">
        <v>4.4246999999999898E-2</v>
      </c>
      <c r="L26" s="128">
        <v>0.54145099999999902</v>
      </c>
      <c r="M26" s="128">
        <v>1.16246099999999</v>
      </c>
      <c r="N26" s="128">
        <v>3.7831039999999798</v>
      </c>
      <c r="O26" s="128">
        <v>3.91046000000006</v>
      </c>
      <c r="P26" s="128">
        <v>0.26011099999999499</v>
      </c>
      <c r="Q26" s="128">
        <v>8.1305599999977893</v>
      </c>
      <c r="R26" s="128">
        <v>8.5483519999979798</v>
      </c>
      <c r="S26" s="128">
        <v>7.1413760000004904</v>
      </c>
      <c r="T26" s="128">
        <v>0</v>
      </c>
      <c r="U26" s="128">
        <v>0.52617600000000697</v>
      </c>
      <c r="V26" s="128">
        <v>0.12828599999999901</v>
      </c>
      <c r="W26" s="128">
        <v>6.6423000000000301E-2</v>
      </c>
      <c r="X26" s="128">
        <v>7.0518999999999096E-2</v>
      </c>
      <c r="Y26" s="128">
        <v>0</v>
      </c>
      <c r="Z26" s="128">
        <v>5.0310999999998898E-2</v>
      </c>
      <c r="AA26" s="128">
        <v>0.114176</v>
      </c>
      <c r="AB26" s="128">
        <v>0.15868599999999899</v>
      </c>
      <c r="AC26" s="128">
        <v>0.13552</v>
      </c>
      <c r="AD26" s="128">
        <v>5.7117500000000397E-2</v>
      </c>
      <c r="AE26" s="128">
        <v>0.10800950000000099</v>
      </c>
      <c r="AF26" s="128">
        <v>0</v>
      </c>
      <c r="AG26" s="128">
        <v>2.8590750000000199E-2</v>
      </c>
      <c r="AH26" s="128">
        <v>1.9776639999999499</v>
      </c>
      <c r="AI26" s="128">
        <v>0</v>
      </c>
      <c r="AJ26" s="128">
        <v>4.0122500000000699E-2</v>
      </c>
      <c r="AK26" s="128">
        <v>0</v>
      </c>
      <c r="AL26" s="128">
        <v>0.34532000000000102</v>
      </c>
      <c r="AM26" s="128">
        <v>0.49417599999999601</v>
      </c>
      <c r="AN26" s="128">
        <v>0.38223200000000201</v>
      </c>
      <c r="AO26" s="128">
        <v>0.14355600000000401</v>
      </c>
      <c r="AP26" s="128">
        <v>8.2118000000001204E-2</v>
      </c>
      <c r="AQ26" s="128">
        <v>0.330040000000004</v>
      </c>
      <c r="AR26" s="128">
        <v>5.5393920000000199</v>
      </c>
      <c r="AS26" s="128">
        <v>6.6307000000000102E-2</v>
      </c>
      <c r="AT26" s="128">
        <v>0</v>
      </c>
      <c r="AU26" s="128">
        <v>5.1648000000000097E-2</v>
      </c>
      <c r="AV26" s="128">
        <v>2.1952500000000302E-2</v>
      </c>
      <c r="AW26" s="128">
        <v>2.2375680000000102</v>
      </c>
      <c r="AX26" s="128">
        <v>0</v>
      </c>
      <c r="AY26" s="128">
        <v>7.2725499999999804E-2</v>
      </c>
      <c r="AZ26" s="128">
        <v>3.5000000000451299E-6</v>
      </c>
      <c r="BA26" s="128">
        <v>0</v>
      </c>
      <c r="BB26" s="128">
        <v>0</v>
      </c>
      <c r="BC26" s="128">
        <v>0</v>
      </c>
      <c r="BD26" s="128">
        <v>5.28083203125E-3</v>
      </c>
      <c r="BE26" s="128">
        <v>0.18453800000000001</v>
      </c>
      <c r="BF26" s="128">
        <v>0</v>
      </c>
      <c r="BG26" s="128">
        <v>1.8864999999999899E-2</v>
      </c>
      <c r="BH26" s="128">
        <v>1.6017999999998998E-2</v>
      </c>
      <c r="BI26" s="128">
        <v>2.5758079999999999</v>
      </c>
      <c r="BJ26" s="128">
        <v>2.410000000026E-4</v>
      </c>
      <c r="BK26" s="128">
        <v>4.8474999999999803E-2</v>
      </c>
      <c r="BL26" s="128">
        <v>7.5999999999964998E-5</v>
      </c>
      <c r="BM26" s="128">
        <v>2.1071039999999899</v>
      </c>
      <c r="BN26" s="128">
        <v>0</v>
      </c>
      <c r="BO26" s="128">
        <v>0.31106600000000001</v>
      </c>
      <c r="BP26" s="128">
        <v>0</v>
      </c>
      <c r="BQ26" s="128">
        <v>0</v>
      </c>
      <c r="BR26" s="128">
        <v>0</v>
      </c>
      <c r="BS26" s="128">
        <v>0</v>
      </c>
      <c r="BT26" s="128">
        <v>0.29223600000000299</v>
      </c>
      <c r="BU26" s="128">
        <v>0</v>
      </c>
      <c r="BV26" s="128">
        <v>0</v>
      </c>
      <c r="BW26" s="128">
        <v>0</v>
      </c>
      <c r="BX26" s="128">
        <v>0</v>
      </c>
      <c r="BY26" s="128">
        <v>0</v>
      </c>
      <c r="BZ26" s="128">
        <v>0.92738400000000398</v>
      </c>
      <c r="CA26" s="128">
        <v>0.424064000000001</v>
      </c>
      <c r="CB26" s="128">
        <v>0</v>
      </c>
      <c r="CC26" s="128">
        <v>0</v>
      </c>
      <c r="CD26" s="128">
        <v>0</v>
      </c>
      <c r="CE26" s="128">
        <v>0</v>
      </c>
      <c r="CF26" s="128">
        <v>3.1438999999998898E-2</v>
      </c>
      <c r="CG26" s="128">
        <v>0</v>
      </c>
      <c r="CH26" s="128">
        <v>3.3787499999999898E-3</v>
      </c>
      <c r="CI26" s="128">
        <v>0</v>
      </c>
      <c r="CJ26" s="128">
        <v>0</v>
      </c>
      <c r="CK26" s="128">
        <v>0</v>
      </c>
      <c r="CL26" s="128">
        <v>2.5498000000002501E-2</v>
      </c>
      <c r="CM26" s="128">
        <v>4.7646719999997904</v>
      </c>
      <c r="CN26" s="128">
        <v>4.3811999999999102E-2</v>
      </c>
      <c r="CO26" s="128">
        <v>0.77859199999998896</v>
      </c>
      <c r="CP26" s="128">
        <v>0</v>
      </c>
      <c r="CQ26" s="128">
        <v>0</v>
      </c>
      <c r="CR26" s="128">
        <v>0.16875899999999999</v>
      </c>
      <c r="CS26" s="128">
        <v>0</v>
      </c>
      <c r="CT26" s="128">
        <v>0.20032799999999901</v>
      </c>
      <c r="CU26" s="128">
        <v>0</v>
      </c>
      <c r="CV26" s="128">
        <v>1.6005874999999802E-2</v>
      </c>
      <c r="CW26" s="128">
        <v>3.5631999999999699E-2</v>
      </c>
      <c r="CX26" s="128">
        <v>0.252331999999996</v>
      </c>
      <c r="CY26" s="128">
        <v>1.7936000000000198E-2</v>
      </c>
      <c r="CZ26" s="128">
        <v>2.3507250000000202E-2</v>
      </c>
      <c r="DA26" s="128">
        <v>0.26340400000000103</v>
      </c>
      <c r="DB26" s="128">
        <v>9.7249999999998907E-2</v>
      </c>
      <c r="DC26" s="128">
        <v>0.20217600000000099</v>
      </c>
      <c r="DD26" s="128">
        <v>2.9901750000000098E-2</v>
      </c>
      <c r="DE26" s="128">
        <v>0</v>
      </c>
      <c r="DF26" s="128">
        <v>0</v>
      </c>
      <c r="DG26" s="128">
        <v>1.8533999999999801E-2</v>
      </c>
      <c r="DH26" s="128">
        <v>1.9334500000000299E-2</v>
      </c>
      <c r="DI26" s="128">
        <v>4.9043839999999399</v>
      </c>
      <c r="DJ26" s="128">
        <v>0</v>
      </c>
      <c r="DK26" s="128">
        <v>6.4726000000000297E-2</v>
      </c>
      <c r="DL26" s="128">
        <v>1.9281984374999998E-2</v>
      </c>
      <c r="DM26" s="128">
        <v>4.4349999999999702E-2</v>
      </c>
      <c r="DN26" s="128">
        <v>3.0015000000001E-3</v>
      </c>
      <c r="DO26" s="128">
        <v>0.76321600000000001</v>
      </c>
      <c r="DP26" s="128">
        <v>4.6886999999999901E-2</v>
      </c>
      <c r="DQ26" s="128">
        <v>0</v>
      </c>
      <c r="DR26" s="128">
        <v>0</v>
      </c>
      <c r="DS26" s="128">
        <v>1.19225599999999</v>
      </c>
      <c r="DT26" s="128">
        <v>0.39059624999999998</v>
      </c>
      <c r="DU26" s="128">
        <v>2.47979999999988E-2</v>
      </c>
      <c r="DV26" s="128">
        <v>7.97250000000016E-3</v>
      </c>
      <c r="DW26" s="128">
        <v>0</v>
      </c>
      <c r="DX26" s="128">
        <v>0.15105199999999999</v>
      </c>
      <c r="DY26" s="128">
        <v>5.1013749999999601E-3</v>
      </c>
      <c r="DZ26" s="128">
        <v>0.12742999999999999</v>
      </c>
      <c r="EA26" s="128">
        <v>0</v>
      </c>
      <c r="EB26" s="128">
        <v>1.39544000000001</v>
      </c>
      <c r="EC26" s="128">
        <v>0.646096</v>
      </c>
      <c r="ED26" s="128">
        <v>3.3379750000000402E-2</v>
      </c>
      <c r="EE26" s="128">
        <v>0.145554499999999</v>
      </c>
      <c r="EF26" s="128">
        <v>13.063262999999999</v>
      </c>
      <c r="EG26" s="128">
        <v>0</v>
      </c>
      <c r="EH26" s="128">
        <v>0.45568000000002901</v>
      </c>
      <c r="EI26" s="128">
        <v>0.60595200000000204</v>
      </c>
      <c r="EJ26" s="128">
        <v>4.2559999999980398E-2</v>
      </c>
      <c r="EK26" s="128">
        <v>0</v>
      </c>
      <c r="EL26" s="128">
        <v>3.0828799999999301</v>
      </c>
      <c r="EM26" s="128">
        <v>3.7736960000002</v>
      </c>
      <c r="EN26" s="128">
        <v>2.3897600000000199</v>
      </c>
      <c r="EO26" s="128">
        <v>0</v>
      </c>
      <c r="EP26" s="128">
        <v>0</v>
      </c>
      <c r="EQ26" s="128">
        <v>0</v>
      </c>
      <c r="ER26" s="129">
        <v>2.7298450000000098</v>
      </c>
      <c r="ES26" s="129">
        <v>0</v>
      </c>
      <c r="ET26" s="129">
        <v>0</v>
      </c>
      <c r="EU26" s="129">
        <v>0</v>
      </c>
      <c r="EV26" s="30">
        <v>0</v>
      </c>
      <c r="EW26" s="30">
        <v>0</v>
      </c>
      <c r="EX26" s="30">
        <v>0</v>
      </c>
      <c r="EY26" s="30">
        <v>0</v>
      </c>
      <c r="EZ26" s="30">
        <v>0</v>
      </c>
      <c r="FA26" s="30">
        <v>0</v>
      </c>
      <c r="FB26" s="30">
        <v>0</v>
      </c>
      <c r="FC26" s="30">
        <v>0</v>
      </c>
      <c r="FD26" s="30">
        <v>0</v>
      </c>
      <c r="FE26" s="30">
        <v>0</v>
      </c>
      <c r="FF26" s="30">
        <v>0</v>
      </c>
      <c r="FG26" s="30">
        <v>0</v>
      </c>
      <c r="FH26" s="30">
        <v>0</v>
      </c>
      <c r="FI26" s="30">
        <v>0</v>
      </c>
      <c r="FJ26" s="30">
        <v>0</v>
      </c>
      <c r="FK26" s="30">
        <v>0</v>
      </c>
      <c r="FL26" s="30">
        <v>0</v>
      </c>
      <c r="FM26" s="30">
        <v>0</v>
      </c>
      <c r="FN26" s="30">
        <v>0</v>
      </c>
      <c r="FO26" s="30">
        <v>0</v>
      </c>
      <c r="FP26" s="30">
        <v>0</v>
      </c>
      <c r="FQ26" s="30">
        <v>0</v>
      </c>
      <c r="FR26" s="30">
        <v>0</v>
      </c>
      <c r="FS26" s="30">
        <v>0</v>
      </c>
      <c r="FT26" s="30">
        <v>0</v>
      </c>
      <c r="FU26" s="30">
        <v>0</v>
      </c>
      <c r="FV26" s="30">
        <v>0</v>
      </c>
      <c r="FW26" s="30">
        <v>0</v>
      </c>
      <c r="FX26" s="30">
        <v>0</v>
      </c>
      <c r="FY26" s="30">
        <v>0</v>
      </c>
      <c r="FZ26" s="30">
        <v>0</v>
      </c>
      <c r="GA26" s="30">
        <v>0</v>
      </c>
      <c r="GB26" s="30">
        <v>0</v>
      </c>
      <c r="GC26" s="30">
        <v>0</v>
      </c>
      <c r="GD26" s="30">
        <v>0</v>
      </c>
      <c r="GE26" s="30">
        <v>0</v>
      </c>
      <c r="GF26" s="30">
        <v>0</v>
      </c>
      <c r="GG26" s="30">
        <v>0</v>
      </c>
      <c r="GH26" s="30">
        <v>0</v>
      </c>
      <c r="GI26" s="30">
        <v>0</v>
      </c>
      <c r="GJ26" s="30">
        <v>0</v>
      </c>
      <c r="GK26" s="30">
        <v>0</v>
      </c>
      <c r="GL26" s="30">
        <v>0</v>
      </c>
      <c r="GM26" s="30">
        <v>0</v>
      </c>
      <c r="GN26" s="30">
        <v>0</v>
      </c>
      <c r="GO26" s="30">
        <v>0</v>
      </c>
      <c r="GP26" s="30">
        <v>0</v>
      </c>
      <c r="GQ26" s="30">
        <v>0</v>
      </c>
      <c r="GR26" s="30">
        <v>0</v>
      </c>
      <c r="GS26" s="30">
        <v>0</v>
      </c>
    </row>
    <row r="27" spans="1:201" s="30" customFormat="1" ht="13" x14ac:dyDescent="0.25">
      <c r="A27" s="87">
        <v>21</v>
      </c>
      <c r="B27" s="128">
        <v>23.138375</v>
      </c>
      <c r="C27" s="128">
        <v>7.9391490000000404</v>
      </c>
      <c r="D27" s="128">
        <v>8.2788649999999997</v>
      </c>
      <c r="E27" s="128">
        <v>6.9720540000000097</v>
      </c>
      <c r="F27" s="128">
        <v>0</v>
      </c>
      <c r="G27" s="128">
        <v>0</v>
      </c>
      <c r="H27" s="128">
        <v>0</v>
      </c>
      <c r="I27" s="128">
        <v>0</v>
      </c>
      <c r="J27" s="128">
        <v>0</v>
      </c>
      <c r="K27" s="128">
        <v>0</v>
      </c>
      <c r="L27" s="128">
        <v>0</v>
      </c>
      <c r="M27" s="128">
        <v>0</v>
      </c>
      <c r="N27" s="128">
        <v>4.6908849999999802</v>
      </c>
      <c r="O27" s="128">
        <v>4.8288589999998504</v>
      </c>
      <c r="P27" s="128">
        <v>0.30380900000000099</v>
      </c>
      <c r="Q27" s="128">
        <v>7.7230080000008501</v>
      </c>
      <c r="R27" s="128">
        <v>8.0773120000012604</v>
      </c>
      <c r="S27" s="128">
        <v>6.7686399999993201</v>
      </c>
      <c r="T27" s="128">
        <v>0</v>
      </c>
      <c r="U27" s="128">
        <v>0.49231199999999797</v>
      </c>
      <c r="V27" s="128">
        <v>0.128187999999998</v>
      </c>
      <c r="W27" s="128">
        <v>4.3881000000000697E-2</v>
      </c>
      <c r="X27" s="128">
        <v>5.2592000000000597E-2</v>
      </c>
      <c r="Y27" s="128">
        <v>0</v>
      </c>
      <c r="Z27" s="128">
        <v>4.4507000000001198E-2</v>
      </c>
      <c r="AA27" s="128">
        <v>0.106976</v>
      </c>
      <c r="AB27" s="128">
        <v>0.15742200000000001</v>
      </c>
      <c r="AC27" s="128">
        <v>0.14053399999999899</v>
      </c>
      <c r="AD27" s="128">
        <v>5.6384999999998797E-2</v>
      </c>
      <c r="AE27" s="128">
        <v>0.103019499999999</v>
      </c>
      <c r="AF27" s="128">
        <v>0</v>
      </c>
      <c r="AG27" s="128">
        <v>2.5075250000000399E-2</v>
      </c>
      <c r="AH27" s="128">
        <v>1.92294400000003</v>
      </c>
      <c r="AI27" s="128">
        <v>0</v>
      </c>
      <c r="AJ27" s="128">
        <v>3.63259999999999E-2</v>
      </c>
      <c r="AK27" s="128">
        <v>0</v>
      </c>
      <c r="AL27" s="128">
        <v>0.32552000000001202</v>
      </c>
      <c r="AM27" s="128">
        <v>0.49016799999999699</v>
      </c>
      <c r="AN27" s="128">
        <v>0.37048000000000098</v>
      </c>
      <c r="AO27" s="128">
        <v>0.13850000000000101</v>
      </c>
      <c r="AP27" s="128">
        <v>8.2892000000001104E-2</v>
      </c>
      <c r="AQ27" s="128">
        <v>0.32731199999999899</v>
      </c>
      <c r="AR27" s="128">
        <v>5.0869759999999404</v>
      </c>
      <c r="AS27" s="128">
        <v>6.1994999999999599E-2</v>
      </c>
      <c r="AT27" s="128">
        <v>0</v>
      </c>
      <c r="AU27" s="128">
        <v>5.0396000000006297E-2</v>
      </c>
      <c r="AV27" s="128">
        <v>4.2079499999999798E-2</v>
      </c>
      <c r="AW27" s="128">
        <v>1.9776640000000001</v>
      </c>
      <c r="AX27" s="128">
        <v>0</v>
      </c>
      <c r="AY27" s="128">
        <v>7.8899500000000303E-2</v>
      </c>
      <c r="AZ27" s="128">
        <v>0</v>
      </c>
      <c r="BA27" s="128">
        <v>0</v>
      </c>
      <c r="BB27" s="128">
        <v>0</v>
      </c>
      <c r="BC27" s="128">
        <v>0</v>
      </c>
      <c r="BD27" s="128">
        <v>3.6601914062499999E-3</v>
      </c>
      <c r="BE27" s="128">
        <v>0.107931999999998</v>
      </c>
      <c r="BF27" s="128">
        <v>0</v>
      </c>
      <c r="BG27" s="128">
        <v>1.4751000000000399E-2</v>
      </c>
      <c r="BH27" s="128">
        <v>4.15279999999996E-2</v>
      </c>
      <c r="BI27" s="128">
        <v>2.4250879999999602</v>
      </c>
      <c r="BJ27" s="128">
        <v>5.2279999999989002E-3</v>
      </c>
      <c r="BK27" s="128">
        <v>5.0519999999999697E-2</v>
      </c>
      <c r="BL27" s="128">
        <v>1.0600000000238199E-4</v>
      </c>
      <c r="BM27" s="128">
        <v>2.0902399999999899</v>
      </c>
      <c r="BN27" s="128">
        <v>0</v>
      </c>
      <c r="BO27" s="128">
        <v>0.46596300000000002</v>
      </c>
      <c r="BP27" s="128">
        <v>0</v>
      </c>
      <c r="BQ27" s="128">
        <v>0</v>
      </c>
      <c r="BR27" s="128">
        <v>0</v>
      </c>
      <c r="BS27" s="128">
        <v>0</v>
      </c>
      <c r="BT27" s="128">
        <v>0.269156000000002</v>
      </c>
      <c r="BU27" s="128">
        <v>0</v>
      </c>
      <c r="BV27" s="128">
        <v>0</v>
      </c>
      <c r="BW27" s="128">
        <v>0</v>
      </c>
      <c r="BX27" s="128">
        <v>0</v>
      </c>
      <c r="BY27" s="128">
        <v>0</v>
      </c>
      <c r="BZ27" s="128">
        <v>0.88936799999999006</v>
      </c>
      <c r="CA27" s="128">
        <v>0</v>
      </c>
      <c r="CB27" s="128">
        <v>0</v>
      </c>
      <c r="CC27" s="128">
        <v>0</v>
      </c>
      <c r="CD27" s="128">
        <v>0</v>
      </c>
      <c r="CE27" s="128">
        <v>0</v>
      </c>
      <c r="CF27" s="128">
        <v>2.5963000000000801E-2</v>
      </c>
      <c r="CG27" s="128">
        <v>0</v>
      </c>
      <c r="CH27" s="128">
        <v>1.09699999999999E-2</v>
      </c>
      <c r="CI27" s="128">
        <v>0</v>
      </c>
      <c r="CJ27" s="128">
        <v>0</v>
      </c>
      <c r="CK27" s="128">
        <v>0</v>
      </c>
      <c r="CL27" s="128">
        <v>2.50859999999982E-2</v>
      </c>
      <c r="CM27" s="128">
        <v>4.6750720000000001</v>
      </c>
      <c r="CN27" s="128">
        <v>5.4479999999999897E-2</v>
      </c>
      <c r="CO27" s="128">
        <v>0.90344799999999703</v>
      </c>
      <c r="CP27" s="128">
        <v>0</v>
      </c>
      <c r="CQ27" s="128">
        <v>0</v>
      </c>
      <c r="CR27" s="128">
        <v>0.15970500000000101</v>
      </c>
      <c r="CS27" s="128">
        <v>0</v>
      </c>
      <c r="CT27" s="128">
        <v>0.123719999999992</v>
      </c>
      <c r="CU27" s="128">
        <v>0</v>
      </c>
      <c r="CV27" s="128">
        <v>1.5555875E-2</v>
      </c>
      <c r="CW27" s="128">
        <v>6.38080000000016E-2</v>
      </c>
      <c r="CX27" s="128">
        <v>0.25654000000000099</v>
      </c>
      <c r="CY27" s="128">
        <v>1.4224999999999899E-2</v>
      </c>
      <c r="CZ27" s="128">
        <v>1.66664999999999E-2</v>
      </c>
      <c r="DA27" s="128">
        <v>0.264764</v>
      </c>
      <c r="DB27" s="128">
        <v>0.103965000000001</v>
      </c>
      <c r="DC27" s="128">
        <v>0.158723999999999</v>
      </c>
      <c r="DD27" s="128">
        <v>3.0518375E-2</v>
      </c>
      <c r="DE27" s="128">
        <v>0</v>
      </c>
      <c r="DF27" s="128">
        <v>0</v>
      </c>
      <c r="DG27" s="128">
        <v>1.6698499999999498E-2</v>
      </c>
      <c r="DH27" s="128">
        <v>1.8437999999999701E-2</v>
      </c>
      <c r="DI27" s="128">
        <v>4.6062719999999899</v>
      </c>
      <c r="DJ27" s="128">
        <v>0</v>
      </c>
      <c r="DK27" s="128">
        <v>6.4440000000001205E-2</v>
      </c>
      <c r="DL27" s="128">
        <v>1.8456906249999998E-2</v>
      </c>
      <c r="DM27" s="128">
        <v>3.9404000000001098E-2</v>
      </c>
      <c r="DN27" s="128">
        <v>9.3006249999994005E-4</v>
      </c>
      <c r="DO27" s="128">
        <v>0.70052799999999105</v>
      </c>
      <c r="DP27" s="128">
        <v>4.3632999999999797E-2</v>
      </c>
      <c r="DQ27" s="128">
        <v>0</v>
      </c>
      <c r="DR27" s="128">
        <v>0</v>
      </c>
      <c r="DS27" s="128">
        <v>1.19625600000001</v>
      </c>
      <c r="DT27" s="128">
        <v>0.38904700000000098</v>
      </c>
      <c r="DU27" s="128">
        <v>2.1107000000000702E-2</v>
      </c>
      <c r="DV27" s="128">
        <v>1.0968000000000099E-2</v>
      </c>
      <c r="DW27" s="128">
        <v>0</v>
      </c>
      <c r="DX27" s="128">
        <v>0.14796599999999999</v>
      </c>
      <c r="DY27" s="128">
        <v>5.3361874999999798E-3</v>
      </c>
      <c r="DZ27" s="128">
        <v>0.12789600000000001</v>
      </c>
      <c r="EA27" s="128">
        <v>0</v>
      </c>
      <c r="EB27" s="128">
        <v>1.2055039999999899</v>
      </c>
      <c r="EC27" s="128">
        <v>0.65239999999999998</v>
      </c>
      <c r="ED27" s="128">
        <v>2.3554749999999701E-2</v>
      </c>
      <c r="EE27" s="128">
        <v>0.123073000000001</v>
      </c>
      <c r="EF27" s="128">
        <v>14.4996799999999</v>
      </c>
      <c r="EG27" s="128">
        <v>0</v>
      </c>
      <c r="EH27" s="128">
        <v>0.47680000000002598</v>
      </c>
      <c r="EI27" s="128">
        <v>0.71072000000003799</v>
      </c>
      <c r="EJ27" s="128">
        <v>4.7647999999980997E-2</v>
      </c>
      <c r="EK27" s="128">
        <v>0</v>
      </c>
      <c r="EL27" s="128">
        <v>3.3992960000000498</v>
      </c>
      <c r="EM27" s="128">
        <v>4.0826879999999601</v>
      </c>
      <c r="EN27" s="128">
        <v>2.6851839999999401</v>
      </c>
      <c r="EO27" s="128">
        <v>0</v>
      </c>
      <c r="EP27" s="128">
        <v>0</v>
      </c>
      <c r="EQ27" s="128">
        <v>0</v>
      </c>
      <c r="ER27" s="129">
        <v>3.1342679999999898</v>
      </c>
      <c r="ES27" s="129">
        <v>0</v>
      </c>
      <c r="ET27" s="129">
        <v>0</v>
      </c>
      <c r="EU27" s="129">
        <v>0</v>
      </c>
      <c r="EV27" s="30">
        <v>0</v>
      </c>
      <c r="EW27" s="30">
        <v>0</v>
      </c>
      <c r="EX27" s="30">
        <v>0</v>
      </c>
      <c r="EY27" s="30">
        <v>0</v>
      </c>
      <c r="EZ27" s="30">
        <v>0</v>
      </c>
      <c r="FA27" s="30">
        <v>0</v>
      </c>
      <c r="FB27" s="30">
        <v>0</v>
      </c>
      <c r="FC27" s="30">
        <v>0</v>
      </c>
      <c r="FD27" s="30">
        <v>0</v>
      </c>
      <c r="FE27" s="30">
        <v>0</v>
      </c>
      <c r="FF27" s="30">
        <v>0</v>
      </c>
      <c r="FG27" s="30">
        <v>0</v>
      </c>
      <c r="FH27" s="30">
        <v>0</v>
      </c>
      <c r="FI27" s="30">
        <v>0</v>
      </c>
      <c r="FJ27" s="30">
        <v>0</v>
      </c>
      <c r="FK27" s="30">
        <v>0</v>
      </c>
      <c r="FL27" s="30">
        <v>0</v>
      </c>
      <c r="FM27" s="30">
        <v>0</v>
      </c>
      <c r="FN27" s="30">
        <v>0</v>
      </c>
      <c r="FO27" s="30">
        <v>0</v>
      </c>
      <c r="FP27" s="30">
        <v>0</v>
      </c>
      <c r="FQ27" s="30">
        <v>0</v>
      </c>
      <c r="FR27" s="30">
        <v>0</v>
      </c>
      <c r="FS27" s="30">
        <v>0</v>
      </c>
      <c r="FT27" s="30">
        <v>0</v>
      </c>
      <c r="FU27" s="30">
        <v>0</v>
      </c>
      <c r="FV27" s="30">
        <v>0</v>
      </c>
      <c r="FW27" s="30">
        <v>0</v>
      </c>
      <c r="FX27" s="30">
        <v>0</v>
      </c>
      <c r="FY27" s="30">
        <v>0</v>
      </c>
      <c r="FZ27" s="30">
        <v>0</v>
      </c>
      <c r="GA27" s="30">
        <v>0</v>
      </c>
      <c r="GB27" s="30">
        <v>0</v>
      </c>
      <c r="GC27" s="30">
        <v>0</v>
      </c>
      <c r="GD27" s="30">
        <v>0</v>
      </c>
      <c r="GE27" s="30">
        <v>0</v>
      </c>
      <c r="GF27" s="30">
        <v>0</v>
      </c>
      <c r="GG27" s="30">
        <v>0</v>
      </c>
      <c r="GH27" s="30">
        <v>0</v>
      </c>
      <c r="GI27" s="30">
        <v>0</v>
      </c>
      <c r="GJ27" s="30">
        <v>0</v>
      </c>
      <c r="GK27" s="30">
        <v>0</v>
      </c>
      <c r="GL27" s="30">
        <v>0</v>
      </c>
      <c r="GM27" s="30">
        <v>0</v>
      </c>
      <c r="GN27" s="30">
        <v>0</v>
      </c>
      <c r="GO27" s="30">
        <v>0</v>
      </c>
      <c r="GP27" s="30">
        <v>0</v>
      </c>
      <c r="GQ27" s="30">
        <v>0</v>
      </c>
      <c r="GR27" s="30">
        <v>0</v>
      </c>
      <c r="GS27" s="30">
        <v>0</v>
      </c>
    </row>
    <row r="28" spans="1:201" s="30" customFormat="1" ht="13" x14ac:dyDescent="0.25">
      <c r="A28" s="87">
        <v>22</v>
      </c>
      <c r="B28" s="128">
        <v>6.8413750000000002</v>
      </c>
      <c r="C28" s="128">
        <v>1.9609639999999899</v>
      </c>
      <c r="D28" s="128">
        <v>2.48838000000001</v>
      </c>
      <c r="E28" s="128">
        <v>2.05891299999996</v>
      </c>
      <c r="F28" s="128">
        <v>0.33757799999995097</v>
      </c>
      <c r="G28" s="128">
        <v>0</v>
      </c>
      <c r="H28" s="128">
        <v>0</v>
      </c>
      <c r="I28" s="128">
        <v>0</v>
      </c>
      <c r="J28" s="128">
        <v>0</v>
      </c>
      <c r="K28" s="128">
        <v>0</v>
      </c>
      <c r="L28" s="128">
        <v>0</v>
      </c>
      <c r="M28" s="128">
        <v>0</v>
      </c>
      <c r="N28" s="128">
        <v>3.0546810000000701</v>
      </c>
      <c r="O28" s="128">
        <v>3.1397100000001501</v>
      </c>
      <c r="P28" s="128">
        <v>0.22653400000000101</v>
      </c>
      <c r="Q28" s="128">
        <v>1.9107839999996901</v>
      </c>
      <c r="R28" s="128">
        <v>2.52313599999979</v>
      </c>
      <c r="S28" s="128">
        <v>2.0935680000002299</v>
      </c>
      <c r="T28" s="128">
        <v>0.23142400000142499</v>
      </c>
      <c r="U28" s="128">
        <v>0.31436800000000198</v>
      </c>
      <c r="V28" s="128">
        <v>0.121660000000002</v>
      </c>
      <c r="W28" s="128">
        <v>2.1474999999998801E-2</v>
      </c>
      <c r="X28" s="128">
        <v>4.3775999999999399E-2</v>
      </c>
      <c r="Y28" s="128">
        <v>0</v>
      </c>
      <c r="Z28" s="128">
        <v>4.28429999999995E-2</v>
      </c>
      <c r="AA28" s="128">
        <v>7.6052000000000702E-2</v>
      </c>
      <c r="AB28" s="128">
        <v>0.15915000000000001</v>
      </c>
      <c r="AC28" s="128">
        <v>0.12590400000000199</v>
      </c>
      <c r="AD28" s="128">
        <v>4.6646500000001402E-2</v>
      </c>
      <c r="AE28" s="128">
        <v>7.0960000000000398E-2</v>
      </c>
      <c r="AF28" s="128">
        <v>0</v>
      </c>
      <c r="AG28" s="128">
        <v>2.2137499999999501E-2</v>
      </c>
      <c r="AH28" s="128">
        <v>1.29552000000001</v>
      </c>
      <c r="AI28" s="128">
        <v>0</v>
      </c>
      <c r="AJ28" s="128">
        <v>2.8413500000000098E-2</v>
      </c>
      <c r="AK28" s="128">
        <v>0</v>
      </c>
      <c r="AL28" s="128">
        <v>0.238007999999994</v>
      </c>
      <c r="AM28" s="128">
        <v>0.353136000000006</v>
      </c>
      <c r="AN28" s="128">
        <v>0.21396800000000801</v>
      </c>
      <c r="AO28" s="128">
        <v>0.11547199999999699</v>
      </c>
      <c r="AP28" s="128">
        <v>7.74359999999987E-2</v>
      </c>
      <c r="AQ28" s="128">
        <v>0.154364000000001</v>
      </c>
      <c r="AR28" s="128">
        <v>2.7455999999999698</v>
      </c>
      <c r="AS28" s="128">
        <v>5.7473000000000801E-2</v>
      </c>
      <c r="AT28" s="128">
        <v>0</v>
      </c>
      <c r="AU28" s="128">
        <v>4.5715999999998799E-2</v>
      </c>
      <c r="AV28" s="128">
        <v>1.1069500000000501E-2</v>
      </c>
      <c r="AW28" s="128">
        <v>0.41868800000008799</v>
      </c>
      <c r="AX28" s="128">
        <v>0</v>
      </c>
      <c r="AY28" s="128">
        <v>9.0575499999999906E-2</v>
      </c>
      <c r="AZ28" s="128">
        <v>4.5000000001849099E-6</v>
      </c>
      <c r="BA28" s="128">
        <v>0</v>
      </c>
      <c r="BB28" s="128">
        <v>0</v>
      </c>
      <c r="BC28" s="128">
        <v>0</v>
      </c>
      <c r="BD28" s="128">
        <v>2.9660664062500001E-3</v>
      </c>
      <c r="BE28" s="128">
        <v>0.107520000000001</v>
      </c>
      <c r="BF28" s="128">
        <v>0</v>
      </c>
      <c r="BG28" s="128">
        <v>1.1024000000000801E-2</v>
      </c>
      <c r="BH28" s="128">
        <v>1.8719999999987601E-3</v>
      </c>
      <c r="BI28" s="128">
        <v>1.7481600000000399</v>
      </c>
      <c r="BJ28" s="128">
        <v>4.0999999999868897E-4</v>
      </c>
      <c r="BK28" s="128">
        <v>5.2031500000000001E-2</v>
      </c>
      <c r="BL28" s="128">
        <v>1.9999999985031999E-6</v>
      </c>
      <c r="BM28" s="128">
        <v>0.40291200000001498</v>
      </c>
      <c r="BN28" s="128">
        <v>0</v>
      </c>
      <c r="BO28" s="128">
        <v>9.0206999999999496E-2</v>
      </c>
      <c r="BP28" s="128">
        <v>0</v>
      </c>
      <c r="BQ28" s="128">
        <v>0</v>
      </c>
      <c r="BR28" s="128">
        <v>0</v>
      </c>
      <c r="BS28" s="128">
        <v>0</v>
      </c>
      <c r="BT28" s="128">
        <v>3.0955999999996198E-2</v>
      </c>
      <c r="BU28" s="128">
        <v>0</v>
      </c>
      <c r="BV28" s="128">
        <v>0</v>
      </c>
      <c r="BW28" s="128">
        <v>0</v>
      </c>
      <c r="BX28" s="128">
        <v>0</v>
      </c>
      <c r="BY28" s="128">
        <v>0</v>
      </c>
      <c r="BZ28" s="128">
        <v>0.217032000000003</v>
      </c>
      <c r="CA28" s="128">
        <v>2.535671875E-2</v>
      </c>
      <c r="CB28" s="128">
        <v>0</v>
      </c>
      <c r="CC28" s="128">
        <v>0</v>
      </c>
      <c r="CD28" s="128">
        <v>0</v>
      </c>
      <c r="CE28" s="128">
        <v>0</v>
      </c>
      <c r="CF28" s="128">
        <v>1.35659999999991E-2</v>
      </c>
      <c r="CG28" s="128">
        <v>0</v>
      </c>
      <c r="CH28" s="128">
        <v>3.7025000000001602E-4</v>
      </c>
      <c r="CI28" s="128">
        <v>0</v>
      </c>
      <c r="CJ28" s="128">
        <v>0</v>
      </c>
      <c r="CK28" s="128">
        <v>0</v>
      </c>
      <c r="CL28" s="128">
        <v>5.6362000000000002E-2</v>
      </c>
      <c r="CM28" s="128">
        <v>2.42969600000015</v>
      </c>
      <c r="CN28" s="128">
        <v>1.91630000000007E-2</v>
      </c>
      <c r="CO28" s="128">
        <v>0.39013600000001197</v>
      </c>
      <c r="CP28" s="128">
        <v>0</v>
      </c>
      <c r="CQ28" s="128">
        <v>0</v>
      </c>
      <c r="CR28" s="128">
        <v>6.8455000000000196E-2</v>
      </c>
      <c r="CS28" s="128">
        <v>0</v>
      </c>
      <c r="CT28" s="128">
        <v>8.1007999999997096E-2</v>
      </c>
      <c r="CU28" s="128">
        <v>0</v>
      </c>
      <c r="CV28" s="128">
        <v>6.9687499999999698E-3</v>
      </c>
      <c r="CW28" s="128">
        <v>3.0319999999974799E-3</v>
      </c>
      <c r="CX28" s="128">
        <v>0.18645600000000001</v>
      </c>
      <c r="CY28" s="128">
        <v>8.7079999999999397E-3</v>
      </c>
      <c r="CZ28" s="128">
        <v>1.21465000000001E-2</v>
      </c>
      <c r="DA28" s="128">
        <v>0.110975999999994</v>
      </c>
      <c r="DB28" s="128">
        <v>5.25460000000013E-2</v>
      </c>
      <c r="DC28" s="128">
        <v>0.149639999999998</v>
      </c>
      <c r="DD28" s="128">
        <v>2.2032375E-2</v>
      </c>
      <c r="DE28" s="128">
        <v>0</v>
      </c>
      <c r="DF28" s="128">
        <v>0</v>
      </c>
      <c r="DG28" s="128">
        <v>2.4055000000000599E-3</v>
      </c>
      <c r="DH28" s="128">
        <v>1.5763500000000302E-2</v>
      </c>
      <c r="DI28" s="128">
        <v>1.0631680000000201</v>
      </c>
      <c r="DJ28" s="128">
        <v>0</v>
      </c>
      <c r="DK28" s="128">
        <v>4.5043999999997197E-2</v>
      </c>
      <c r="DL28" s="128">
        <v>9.0389765625000108E-3</v>
      </c>
      <c r="DM28" s="128">
        <v>0</v>
      </c>
      <c r="DN28" s="128">
        <v>0</v>
      </c>
      <c r="DO28" s="128">
        <v>0</v>
      </c>
      <c r="DP28" s="128">
        <v>1.8116E-2</v>
      </c>
      <c r="DQ28" s="128">
        <v>0</v>
      </c>
      <c r="DR28" s="128">
        <v>0</v>
      </c>
      <c r="DS28" s="128">
        <v>0.39667200000002401</v>
      </c>
      <c r="DT28" s="128">
        <v>0.112596999999999</v>
      </c>
      <c r="DU28" s="128">
        <v>1.6000000000460101E-5</v>
      </c>
      <c r="DV28" s="128">
        <v>1.07267499999999E-2</v>
      </c>
      <c r="DW28" s="128">
        <v>0</v>
      </c>
      <c r="DX28" s="128">
        <v>3.2257999999998802E-2</v>
      </c>
      <c r="DY28" s="128">
        <v>6.4456250000000104E-3</v>
      </c>
      <c r="DZ28" s="128">
        <v>7.7783999999997605E-2</v>
      </c>
      <c r="EA28" s="128">
        <v>0</v>
      </c>
      <c r="EB28" s="128">
        <v>0.18937600000001001</v>
      </c>
      <c r="EC28" s="128">
        <v>0.17086399999999499</v>
      </c>
      <c r="ED28" s="128">
        <v>2.8277500000002398E-3</v>
      </c>
      <c r="EE28" s="128">
        <v>0.174872</v>
      </c>
      <c r="EF28" s="128">
        <v>5.1815770000002903</v>
      </c>
      <c r="EG28" s="128">
        <v>0</v>
      </c>
      <c r="EH28" s="128">
        <v>6.8352000000004395E-2</v>
      </c>
      <c r="EI28" s="128">
        <v>0.528831999999966</v>
      </c>
      <c r="EJ28" s="128">
        <v>2.0352000000002601E-2</v>
      </c>
      <c r="EK28" s="128">
        <v>0</v>
      </c>
      <c r="EL28" s="128">
        <v>1.36499200000003</v>
      </c>
      <c r="EM28" s="128">
        <v>1.6803839999997801</v>
      </c>
      <c r="EN28" s="128">
        <v>0.42547200000035401</v>
      </c>
      <c r="EO28" s="128">
        <v>0</v>
      </c>
      <c r="EP28" s="128">
        <v>0</v>
      </c>
      <c r="EQ28" s="128">
        <v>0</v>
      </c>
      <c r="ER28" s="129">
        <v>1.068403</v>
      </c>
      <c r="ES28" s="129">
        <v>0</v>
      </c>
      <c r="ET28" s="129">
        <v>0</v>
      </c>
      <c r="EU28" s="129">
        <v>0</v>
      </c>
      <c r="EV28" s="30">
        <v>0</v>
      </c>
      <c r="EW28" s="30">
        <v>0</v>
      </c>
      <c r="EX28" s="30">
        <v>0</v>
      </c>
      <c r="EY28" s="30">
        <v>0</v>
      </c>
      <c r="EZ28" s="30">
        <v>0</v>
      </c>
      <c r="FA28" s="30">
        <v>0</v>
      </c>
      <c r="FB28" s="30">
        <v>0</v>
      </c>
      <c r="FC28" s="30">
        <v>0</v>
      </c>
      <c r="FD28" s="30">
        <v>0</v>
      </c>
      <c r="FE28" s="30">
        <v>0</v>
      </c>
      <c r="FF28" s="30">
        <v>0</v>
      </c>
      <c r="FG28" s="30">
        <v>0</v>
      </c>
      <c r="FH28" s="30">
        <v>0</v>
      </c>
      <c r="FI28" s="30">
        <v>0</v>
      </c>
      <c r="FJ28" s="30">
        <v>0</v>
      </c>
      <c r="FK28" s="30">
        <v>0</v>
      </c>
      <c r="FL28" s="30">
        <v>0</v>
      </c>
      <c r="FM28" s="30">
        <v>0</v>
      </c>
      <c r="FN28" s="30">
        <v>0</v>
      </c>
      <c r="FO28" s="30">
        <v>0</v>
      </c>
      <c r="FP28" s="30">
        <v>0</v>
      </c>
      <c r="FQ28" s="30">
        <v>0</v>
      </c>
      <c r="FR28" s="30">
        <v>0</v>
      </c>
      <c r="FS28" s="30">
        <v>0</v>
      </c>
      <c r="FT28" s="30">
        <v>0</v>
      </c>
      <c r="FU28" s="30">
        <v>0</v>
      </c>
      <c r="FV28" s="30">
        <v>0</v>
      </c>
      <c r="FW28" s="30">
        <v>0</v>
      </c>
      <c r="FX28" s="30">
        <v>0</v>
      </c>
      <c r="FY28" s="30">
        <v>0</v>
      </c>
      <c r="FZ28" s="30">
        <v>0</v>
      </c>
      <c r="GA28" s="30">
        <v>0</v>
      </c>
      <c r="GB28" s="30">
        <v>0</v>
      </c>
      <c r="GC28" s="30">
        <v>0</v>
      </c>
      <c r="GD28" s="30">
        <v>0</v>
      </c>
      <c r="GE28" s="30">
        <v>0</v>
      </c>
      <c r="GF28" s="30">
        <v>0</v>
      </c>
      <c r="GG28" s="30">
        <v>0</v>
      </c>
      <c r="GH28" s="30">
        <v>0</v>
      </c>
      <c r="GI28" s="30">
        <v>0</v>
      </c>
      <c r="GJ28" s="30">
        <v>0</v>
      </c>
      <c r="GK28" s="30">
        <v>0</v>
      </c>
      <c r="GL28" s="30">
        <v>0</v>
      </c>
      <c r="GM28" s="30">
        <v>0</v>
      </c>
      <c r="GN28" s="30">
        <v>0</v>
      </c>
      <c r="GO28" s="30">
        <v>0</v>
      </c>
      <c r="GP28" s="30">
        <v>0</v>
      </c>
      <c r="GQ28" s="30">
        <v>0</v>
      </c>
      <c r="GR28" s="30">
        <v>0</v>
      </c>
      <c r="GS28" s="30">
        <v>0</v>
      </c>
    </row>
    <row r="29" spans="1:201" s="30" customFormat="1" ht="13" x14ac:dyDescent="0.25">
      <c r="A29" s="87">
        <v>23</v>
      </c>
      <c r="B29" s="128">
        <v>10.66775</v>
      </c>
      <c r="C29" s="128">
        <v>0</v>
      </c>
      <c r="D29" s="128">
        <v>3.8229500000001102</v>
      </c>
      <c r="E29" s="128">
        <v>3.22515800000002</v>
      </c>
      <c r="F29" s="128">
        <v>3.6577620000000501</v>
      </c>
      <c r="G29" s="128">
        <v>0</v>
      </c>
      <c r="H29" s="128">
        <v>0</v>
      </c>
      <c r="I29" s="128">
        <v>0</v>
      </c>
      <c r="J29" s="128">
        <v>0</v>
      </c>
      <c r="K29" s="128">
        <v>0</v>
      </c>
      <c r="L29" s="128">
        <v>0</v>
      </c>
      <c r="M29" s="128">
        <v>0</v>
      </c>
      <c r="N29" s="128">
        <v>3.5549989999999498</v>
      </c>
      <c r="O29" s="128">
        <v>3.64488799999992</v>
      </c>
      <c r="P29" s="128">
        <v>0.240001999999997</v>
      </c>
      <c r="Q29" s="128">
        <v>0</v>
      </c>
      <c r="R29" s="128">
        <v>3.6966399999983</v>
      </c>
      <c r="S29" s="128">
        <v>3.1042559999996202</v>
      </c>
      <c r="T29" s="128">
        <v>3.5000319999999201</v>
      </c>
      <c r="U29" s="128">
        <v>0.32347199999999499</v>
      </c>
      <c r="V29" s="128">
        <v>0.119865999999998</v>
      </c>
      <c r="W29" s="128">
        <v>5.6527000000000903E-2</v>
      </c>
      <c r="X29" s="128">
        <v>6.2624000000001304E-2</v>
      </c>
      <c r="Y29" s="128">
        <v>0</v>
      </c>
      <c r="Z29" s="128">
        <v>4.8434000000000303E-2</v>
      </c>
      <c r="AA29" s="128">
        <v>8.2750000000000795E-2</v>
      </c>
      <c r="AB29" s="128">
        <v>0.154004</v>
      </c>
      <c r="AC29" s="128">
        <v>0.101793999999998</v>
      </c>
      <c r="AD29" s="128">
        <v>5.0421999999999301E-2</v>
      </c>
      <c r="AE29" s="128">
        <v>0.10222050000000001</v>
      </c>
      <c r="AF29" s="128">
        <v>0</v>
      </c>
      <c r="AG29" s="128">
        <v>1.38337499999999E-2</v>
      </c>
      <c r="AH29" s="128">
        <v>1.4070079999999601</v>
      </c>
      <c r="AI29" s="128">
        <v>0</v>
      </c>
      <c r="AJ29" s="128">
        <v>2.1936999999999401E-2</v>
      </c>
      <c r="AK29" s="128">
        <v>0</v>
      </c>
      <c r="AL29" s="128">
        <v>0.27178399999999697</v>
      </c>
      <c r="AM29" s="128">
        <v>0.31713599999999098</v>
      </c>
      <c r="AN29" s="128">
        <v>0.252159999999989</v>
      </c>
      <c r="AO29" s="128">
        <v>0.14507199999999901</v>
      </c>
      <c r="AP29" s="128">
        <v>8.5343999999999198E-2</v>
      </c>
      <c r="AQ29" s="128">
        <v>0.17977599999999699</v>
      </c>
      <c r="AR29" s="128">
        <v>2.7450240000000599</v>
      </c>
      <c r="AS29" s="128">
        <v>3.9448999999999401E-2</v>
      </c>
      <c r="AT29" s="128">
        <v>0</v>
      </c>
      <c r="AU29" s="128">
        <v>4.7803999999999298E-2</v>
      </c>
      <c r="AV29" s="128">
        <v>2.76869999999994E-2</v>
      </c>
      <c r="AW29" s="128">
        <v>0.23507199999994599</v>
      </c>
      <c r="AX29" s="128">
        <v>0</v>
      </c>
      <c r="AY29" s="128">
        <v>8.7621500000000005E-2</v>
      </c>
      <c r="AZ29" s="128">
        <v>4.9999999962579999E-7</v>
      </c>
      <c r="BA29" s="128">
        <v>0</v>
      </c>
      <c r="BB29" s="128">
        <v>0</v>
      </c>
      <c r="BC29" s="128">
        <v>0</v>
      </c>
      <c r="BD29" s="128">
        <v>3.6555234375000001E-3</v>
      </c>
      <c r="BE29" s="128">
        <v>0.109031999999999</v>
      </c>
      <c r="BF29" s="128">
        <v>0</v>
      </c>
      <c r="BG29" s="128">
        <v>1.5772999999999399E-2</v>
      </c>
      <c r="BH29" s="128">
        <v>1.6515999999999299E-2</v>
      </c>
      <c r="BI29" s="128">
        <v>1.9219200000000001</v>
      </c>
      <c r="BJ29" s="128">
        <v>2.2000000001298799E-5</v>
      </c>
      <c r="BK29" s="128">
        <v>4.4575500000000497E-2</v>
      </c>
      <c r="BL29" s="128">
        <v>1.9999999985031999E-6</v>
      </c>
      <c r="BM29" s="128">
        <v>0.61408000000000096</v>
      </c>
      <c r="BN29" s="128">
        <v>0</v>
      </c>
      <c r="BO29" s="128">
        <v>0.35777199999999898</v>
      </c>
      <c r="BP29" s="128">
        <v>0</v>
      </c>
      <c r="BQ29" s="128">
        <v>0</v>
      </c>
      <c r="BR29" s="128">
        <v>0</v>
      </c>
      <c r="BS29" s="128">
        <v>0</v>
      </c>
      <c r="BT29" s="128">
        <v>1.3848000000003E-2</v>
      </c>
      <c r="BU29" s="128">
        <v>0</v>
      </c>
      <c r="BV29" s="128">
        <v>0</v>
      </c>
      <c r="BW29" s="128">
        <v>0</v>
      </c>
      <c r="BX29" s="128">
        <v>0</v>
      </c>
      <c r="BY29" s="128">
        <v>0</v>
      </c>
      <c r="BZ29" s="128">
        <v>0.18918399999999699</v>
      </c>
      <c r="CA29" s="128">
        <v>7.4675000000000201E-3</v>
      </c>
      <c r="CB29" s="128">
        <v>0</v>
      </c>
      <c r="CC29" s="128">
        <v>0</v>
      </c>
      <c r="CD29" s="128">
        <v>0</v>
      </c>
      <c r="CE29" s="128">
        <v>0</v>
      </c>
      <c r="CF29" s="128">
        <v>2.43870000000008E-2</v>
      </c>
      <c r="CG29" s="128">
        <v>0</v>
      </c>
      <c r="CH29" s="128">
        <v>1.21750000000365E-4</v>
      </c>
      <c r="CI29" s="128">
        <v>0</v>
      </c>
      <c r="CJ29" s="128">
        <v>0</v>
      </c>
      <c r="CK29" s="128">
        <v>0</v>
      </c>
      <c r="CL29" s="128">
        <v>6.18780000000001E-2</v>
      </c>
      <c r="CM29" s="128">
        <v>3.93113599999992</v>
      </c>
      <c r="CN29" s="128">
        <v>4.2650999999999301E-2</v>
      </c>
      <c r="CO29" s="128">
        <v>0.48620799999999098</v>
      </c>
      <c r="CP29" s="128">
        <v>0</v>
      </c>
      <c r="CQ29" s="128">
        <v>0</v>
      </c>
      <c r="CR29" s="128">
        <v>0.13397099999999901</v>
      </c>
      <c r="CS29" s="128">
        <v>0</v>
      </c>
      <c r="CT29" s="128">
        <v>0.11068800000001</v>
      </c>
      <c r="CU29" s="128">
        <v>0</v>
      </c>
      <c r="CV29" s="128">
        <v>6.6482500000000196E-3</v>
      </c>
      <c r="CW29" s="128">
        <v>3.7528000000001803E-2</v>
      </c>
      <c r="CX29" s="128">
        <v>0.24016800000000399</v>
      </c>
      <c r="CY29" s="128">
        <v>1.1157000000000101E-2</v>
      </c>
      <c r="CZ29" s="128">
        <v>2.69537499999997E-2</v>
      </c>
      <c r="DA29" s="128">
        <v>0.26122400000000601</v>
      </c>
      <c r="DB29" s="128">
        <v>9.0641999999999001E-2</v>
      </c>
      <c r="DC29" s="128">
        <v>0.17859599999999901</v>
      </c>
      <c r="DD29" s="128">
        <v>2.77492500000001E-2</v>
      </c>
      <c r="DE29" s="128">
        <v>0</v>
      </c>
      <c r="DF29" s="128">
        <v>0</v>
      </c>
      <c r="DG29" s="128">
        <v>3.46679999999999E-2</v>
      </c>
      <c r="DH29" s="128">
        <v>2.28999999999999E-2</v>
      </c>
      <c r="DI29" s="128">
        <v>1.2775679999999701</v>
      </c>
      <c r="DJ29" s="128">
        <v>0</v>
      </c>
      <c r="DK29" s="128">
        <v>6.6014000000002696E-2</v>
      </c>
      <c r="DL29" s="128">
        <v>1.92337421875E-2</v>
      </c>
      <c r="DM29" s="128">
        <v>0</v>
      </c>
      <c r="DN29" s="128">
        <v>2.4966874999999798E-3</v>
      </c>
      <c r="DO29" s="128">
        <v>0</v>
      </c>
      <c r="DP29" s="128">
        <v>3.0235000000001101E-2</v>
      </c>
      <c r="DQ29" s="128">
        <v>0</v>
      </c>
      <c r="DR29" s="128">
        <v>0</v>
      </c>
      <c r="DS29" s="128">
        <v>0.65033599999998204</v>
      </c>
      <c r="DT29" s="128">
        <v>9.4263500000000305E-2</v>
      </c>
      <c r="DU29" s="128">
        <v>0</v>
      </c>
      <c r="DV29" s="128">
        <v>7.7175000000000403E-3</v>
      </c>
      <c r="DW29" s="128">
        <v>0</v>
      </c>
      <c r="DX29" s="128">
        <v>3.1379000000001198E-2</v>
      </c>
      <c r="DY29" s="128">
        <v>5.0769999999999999E-3</v>
      </c>
      <c r="DZ29" s="128">
        <v>5.4434000000000503E-2</v>
      </c>
      <c r="EA29" s="128">
        <v>0</v>
      </c>
      <c r="EB29" s="128">
        <v>0.12686400000001199</v>
      </c>
      <c r="EC29" s="128">
        <v>0.15179200000000001</v>
      </c>
      <c r="ED29" s="128">
        <v>2.8354999999997701E-3</v>
      </c>
      <c r="EE29" s="128">
        <v>0.17117499999999999</v>
      </c>
      <c r="EF29" s="128">
        <v>8.2378419999995494</v>
      </c>
      <c r="EG29" s="128">
        <v>0</v>
      </c>
      <c r="EH29" s="128">
        <v>0.39462400000002201</v>
      </c>
      <c r="EI29" s="128">
        <v>0.67308800000000701</v>
      </c>
      <c r="EJ29" s="128">
        <v>5.6192000000009998E-2</v>
      </c>
      <c r="EK29" s="128">
        <v>0</v>
      </c>
      <c r="EL29" s="128">
        <v>0.52902399999993599</v>
      </c>
      <c r="EM29" s="128">
        <v>2.40921600000001</v>
      </c>
      <c r="EN29" s="128">
        <v>2.0144639999998599</v>
      </c>
      <c r="EO29" s="128">
        <v>0</v>
      </c>
      <c r="EP29" s="128">
        <v>0</v>
      </c>
      <c r="EQ29" s="128">
        <v>0</v>
      </c>
      <c r="ER29" s="129">
        <v>2.1467180000000101</v>
      </c>
      <c r="ES29" s="129">
        <v>0</v>
      </c>
      <c r="ET29" s="129">
        <v>0</v>
      </c>
      <c r="EU29" s="129">
        <v>0</v>
      </c>
      <c r="EV29" s="30">
        <v>0</v>
      </c>
      <c r="EW29" s="30">
        <v>0</v>
      </c>
      <c r="EX29" s="30">
        <v>0</v>
      </c>
      <c r="EY29" s="30">
        <v>0</v>
      </c>
      <c r="EZ29" s="30">
        <v>0</v>
      </c>
      <c r="FA29" s="30">
        <v>0</v>
      </c>
      <c r="FB29" s="30">
        <v>0</v>
      </c>
      <c r="FC29" s="30">
        <v>0</v>
      </c>
      <c r="FD29" s="30">
        <v>0</v>
      </c>
      <c r="FE29" s="30">
        <v>0</v>
      </c>
      <c r="FF29" s="30">
        <v>0</v>
      </c>
      <c r="FG29" s="30">
        <v>0</v>
      </c>
      <c r="FH29" s="30">
        <v>0</v>
      </c>
      <c r="FI29" s="30">
        <v>0</v>
      </c>
      <c r="FJ29" s="30">
        <v>0</v>
      </c>
      <c r="FK29" s="30">
        <v>0</v>
      </c>
      <c r="FL29" s="30">
        <v>0</v>
      </c>
      <c r="FM29" s="30">
        <v>0</v>
      </c>
      <c r="FN29" s="30">
        <v>0</v>
      </c>
      <c r="FO29" s="30">
        <v>0</v>
      </c>
      <c r="FP29" s="30">
        <v>0</v>
      </c>
      <c r="FQ29" s="30">
        <v>0</v>
      </c>
      <c r="FR29" s="30">
        <v>0</v>
      </c>
      <c r="FS29" s="30">
        <v>0</v>
      </c>
      <c r="FT29" s="30">
        <v>0</v>
      </c>
      <c r="FU29" s="30">
        <v>0</v>
      </c>
      <c r="FV29" s="30">
        <v>0</v>
      </c>
      <c r="FW29" s="30">
        <v>0</v>
      </c>
      <c r="FX29" s="30">
        <v>0</v>
      </c>
      <c r="FY29" s="30">
        <v>0</v>
      </c>
      <c r="FZ29" s="30">
        <v>0</v>
      </c>
      <c r="GA29" s="30">
        <v>0</v>
      </c>
      <c r="GB29" s="30">
        <v>0</v>
      </c>
      <c r="GC29" s="30">
        <v>0</v>
      </c>
      <c r="GD29" s="30">
        <v>0</v>
      </c>
      <c r="GE29" s="30">
        <v>0</v>
      </c>
      <c r="GF29" s="30">
        <v>0</v>
      </c>
      <c r="GG29" s="30">
        <v>0</v>
      </c>
      <c r="GH29" s="30">
        <v>0</v>
      </c>
      <c r="GI29" s="30">
        <v>0</v>
      </c>
      <c r="GJ29" s="30">
        <v>0</v>
      </c>
      <c r="GK29" s="30">
        <v>0</v>
      </c>
      <c r="GL29" s="30">
        <v>0</v>
      </c>
      <c r="GM29" s="30">
        <v>0</v>
      </c>
      <c r="GN29" s="30">
        <v>0</v>
      </c>
      <c r="GO29" s="30">
        <v>0</v>
      </c>
      <c r="GP29" s="30">
        <v>0</v>
      </c>
      <c r="GQ29" s="30">
        <v>0</v>
      </c>
      <c r="GR29" s="30">
        <v>0</v>
      </c>
      <c r="GS29" s="30">
        <v>0</v>
      </c>
    </row>
    <row r="30" spans="1:201" s="30" customFormat="1" ht="13" x14ac:dyDescent="0.25">
      <c r="A30" s="87">
        <v>24</v>
      </c>
      <c r="B30" s="128">
        <v>9.2390000000000008</v>
      </c>
      <c r="C30" s="128">
        <v>0</v>
      </c>
      <c r="D30" s="128">
        <v>4.0320259999998598</v>
      </c>
      <c r="E30" s="128">
        <v>3.4139419999999601</v>
      </c>
      <c r="F30" s="128">
        <v>3.8465630000000002</v>
      </c>
      <c r="G30" s="128">
        <v>2.0968629999999902</v>
      </c>
      <c r="H30" s="128">
        <v>1.0196019999999999</v>
      </c>
      <c r="I30" s="128">
        <v>1.0259419999999999</v>
      </c>
      <c r="J30" s="128">
        <v>2.3369999999998101E-3</v>
      </c>
      <c r="K30" s="128">
        <v>2.20859999999998E-2</v>
      </c>
      <c r="L30" s="128">
        <v>0</v>
      </c>
      <c r="M30" s="128">
        <v>2.0884469999999999</v>
      </c>
      <c r="N30" s="128">
        <v>2.1898049999999798</v>
      </c>
      <c r="O30" s="128">
        <v>2.3134339999999201</v>
      </c>
      <c r="P30" s="128">
        <v>0.21000200000000299</v>
      </c>
      <c r="Q30" s="128">
        <v>0</v>
      </c>
      <c r="R30" s="128">
        <v>3.9690240000018102</v>
      </c>
      <c r="S30" s="128">
        <v>3.3198080000001902</v>
      </c>
      <c r="T30" s="128">
        <v>3.78265599999941</v>
      </c>
      <c r="U30" s="128">
        <v>0.33336800000000699</v>
      </c>
      <c r="V30" s="128">
        <v>0.11932000000000199</v>
      </c>
      <c r="W30" s="128">
        <v>8.2982999999998697E-2</v>
      </c>
      <c r="X30" s="128">
        <v>6.8942999999999102E-2</v>
      </c>
      <c r="Y30" s="128">
        <v>0</v>
      </c>
      <c r="Z30" s="128">
        <v>4.9740999999999098E-2</v>
      </c>
      <c r="AA30" s="128">
        <v>8.3507999999998403E-2</v>
      </c>
      <c r="AB30" s="128">
        <v>0.15767400000000001</v>
      </c>
      <c r="AC30" s="128">
        <v>0.104062000000003</v>
      </c>
      <c r="AD30" s="128">
        <v>5.1097000000000399E-2</v>
      </c>
      <c r="AE30" s="128">
        <v>8.9507499999999907E-2</v>
      </c>
      <c r="AF30" s="128">
        <v>0</v>
      </c>
      <c r="AG30" s="128">
        <v>2.5456500000000701E-2</v>
      </c>
      <c r="AH30" s="128">
        <v>1.34678400000001</v>
      </c>
      <c r="AI30" s="128">
        <v>0</v>
      </c>
      <c r="AJ30" s="128">
        <v>2.1335000000000499E-2</v>
      </c>
      <c r="AK30" s="128">
        <v>0</v>
      </c>
      <c r="AL30" s="128">
        <v>0.26733600000000002</v>
      </c>
      <c r="AM30" s="128">
        <v>0.27024000000000098</v>
      </c>
      <c r="AN30" s="128">
        <v>0.22002400000000899</v>
      </c>
      <c r="AO30" s="128">
        <v>0.160524000000002</v>
      </c>
      <c r="AP30" s="128">
        <v>8.2066000000001096E-2</v>
      </c>
      <c r="AQ30" s="128">
        <v>0.18998799999999999</v>
      </c>
      <c r="AR30" s="128">
        <v>3.1893119999999699</v>
      </c>
      <c r="AS30" s="128">
        <v>5.3220500000000101E-2</v>
      </c>
      <c r="AT30" s="128">
        <v>0</v>
      </c>
      <c r="AU30" s="128">
        <v>4.7755999999999701E-2</v>
      </c>
      <c r="AV30" s="128">
        <v>1.9380500000000501E-2</v>
      </c>
      <c r="AW30" s="128">
        <v>0.57465600000000505</v>
      </c>
      <c r="AX30" s="128">
        <v>0</v>
      </c>
      <c r="AY30" s="128">
        <v>8.6980499999999197E-2</v>
      </c>
      <c r="AZ30" s="128">
        <v>3.0000000004193301E-6</v>
      </c>
      <c r="BA30" s="128">
        <v>0</v>
      </c>
      <c r="BB30" s="128">
        <v>0</v>
      </c>
      <c r="BC30" s="128">
        <v>0</v>
      </c>
      <c r="BD30" s="128">
        <v>2.4336328124999998E-3</v>
      </c>
      <c r="BE30" s="128">
        <v>0.20676800000000001</v>
      </c>
      <c r="BF30" s="128">
        <v>0</v>
      </c>
      <c r="BG30" s="128">
        <v>1.36490000000009E-2</v>
      </c>
      <c r="BH30" s="128">
        <v>0</v>
      </c>
      <c r="BI30" s="128">
        <v>1.9279679999999599</v>
      </c>
      <c r="BJ30" s="128">
        <v>2.1000000000270799E-5</v>
      </c>
      <c r="BK30" s="128">
        <v>4.2965499999999303E-2</v>
      </c>
      <c r="BL30" s="128">
        <v>8.0000000011182203E-6</v>
      </c>
      <c r="BM30" s="128">
        <v>0.56483199999996703</v>
      </c>
      <c r="BN30" s="128">
        <v>0</v>
      </c>
      <c r="BO30" s="128">
        <v>0.37310300000000002</v>
      </c>
      <c r="BP30" s="128">
        <v>0</v>
      </c>
      <c r="BQ30" s="128">
        <v>0</v>
      </c>
      <c r="BR30" s="128">
        <v>0</v>
      </c>
      <c r="BS30" s="128">
        <v>0</v>
      </c>
      <c r="BT30" s="128">
        <v>1.38239999999996E-2</v>
      </c>
      <c r="BU30" s="128">
        <v>0</v>
      </c>
      <c r="BV30" s="128">
        <v>0</v>
      </c>
      <c r="BW30" s="128">
        <v>0</v>
      </c>
      <c r="BX30" s="128">
        <v>0</v>
      </c>
      <c r="BY30" s="128">
        <v>0</v>
      </c>
      <c r="BZ30" s="128">
        <v>0.12912800000000901</v>
      </c>
      <c r="CA30" s="128">
        <v>4.6282500000000004E-3</v>
      </c>
      <c r="CB30" s="128">
        <v>0</v>
      </c>
      <c r="CC30" s="128">
        <v>0</v>
      </c>
      <c r="CD30" s="128">
        <v>0</v>
      </c>
      <c r="CE30" s="128">
        <v>0</v>
      </c>
      <c r="CF30" s="128">
        <v>2.3842999999999399E-2</v>
      </c>
      <c r="CG30" s="128">
        <v>0</v>
      </c>
      <c r="CH30" s="128">
        <v>0</v>
      </c>
      <c r="CI30" s="128">
        <v>0</v>
      </c>
      <c r="CJ30" s="128">
        <v>0</v>
      </c>
      <c r="CK30" s="128">
        <v>0</v>
      </c>
      <c r="CL30" s="128">
        <v>5.2838000000001301E-2</v>
      </c>
      <c r="CM30" s="128">
        <v>3.11782399999993</v>
      </c>
      <c r="CN30" s="128">
        <v>4.7919999999999498E-2</v>
      </c>
      <c r="CO30" s="128">
        <v>0.52442400000000999</v>
      </c>
      <c r="CP30" s="128">
        <v>0</v>
      </c>
      <c r="CQ30" s="128">
        <v>0</v>
      </c>
      <c r="CR30" s="128">
        <v>9.5190999999999804E-2</v>
      </c>
      <c r="CS30" s="128">
        <v>0</v>
      </c>
      <c r="CT30" s="128">
        <v>1.5199999999992999E-3</v>
      </c>
      <c r="CU30" s="128">
        <v>0</v>
      </c>
      <c r="CV30" s="128">
        <v>7.6526249999999702E-3</v>
      </c>
      <c r="CW30" s="128">
        <v>4.9471999999994402E-2</v>
      </c>
      <c r="CX30" s="128">
        <v>2.56279999999975E-2</v>
      </c>
      <c r="CY30" s="128">
        <v>1.2675999999999899E-2</v>
      </c>
      <c r="CZ30" s="128">
        <v>1.9733250000000299E-2</v>
      </c>
      <c r="DA30" s="128">
        <v>0.14159999999999701</v>
      </c>
      <c r="DB30" s="128">
        <v>7.5765999999999806E-2</v>
      </c>
      <c r="DC30" s="128">
        <v>0</v>
      </c>
      <c r="DD30" s="128">
        <v>2.9668375E-2</v>
      </c>
      <c r="DE30" s="128">
        <v>0</v>
      </c>
      <c r="DF30" s="128">
        <v>0</v>
      </c>
      <c r="DG30" s="128">
        <v>2.5332000000000601E-2</v>
      </c>
      <c r="DH30" s="128">
        <v>1.7030499999999699E-2</v>
      </c>
      <c r="DI30" s="128">
        <v>0.971840000000043</v>
      </c>
      <c r="DJ30" s="128">
        <v>0</v>
      </c>
      <c r="DK30" s="128">
        <v>3.6372000000000099E-2</v>
      </c>
      <c r="DL30" s="128">
        <v>1.3969171875E-2</v>
      </c>
      <c r="DM30" s="128">
        <v>0</v>
      </c>
      <c r="DN30" s="128">
        <v>3.4947499999999901E-3</v>
      </c>
      <c r="DO30" s="128">
        <v>1.5104000000008E-2</v>
      </c>
      <c r="DP30" s="128">
        <v>3.10790000000001E-2</v>
      </c>
      <c r="DQ30" s="128">
        <v>0</v>
      </c>
      <c r="DR30" s="128">
        <v>0</v>
      </c>
      <c r="DS30" s="128">
        <v>0.34707199999996902</v>
      </c>
      <c r="DT30" s="128">
        <v>7.82445000000003E-2</v>
      </c>
      <c r="DU30" s="128">
        <v>0</v>
      </c>
      <c r="DV30" s="128">
        <v>8.8307500000000001E-3</v>
      </c>
      <c r="DW30" s="128">
        <v>0</v>
      </c>
      <c r="DX30" s="128">
        <v>3.4642999999999098E-2</v>
      </c>
      <c r="DY30" s="128">
        <v>5.2244375000000103E-3</v>
      </c>
      <c r="DZ30" s="128">
        <v>6.3240000000000393E-2</v>
      </c>
      <c r="EA30" s="128">
        <v>0</v>
      </c>
      <c r="EB30" s="128">
        <v>0.15766399999998301</v>
      </c>
      <c r="EC30" s="128">
        <v>0.146240000000006</v>
      </c>
      <c r="ED30" s="128">
        <v>2.3705000000000501E-3</v>
      </c>
      <c r="EE30" s="128">
        <v>0.16343849999999999</v>
      </c>
      <c r="EF30" s="128">
        <v>6.9134080000003504</v>
      </c>
      <c r="EG30" s="128">
        <v>0</v>
      </c>
      <c r="EH30" s="128">
        <v>0.381439999999998</v>
      </c>
      <c r="EI30" s="128">
        <v>0.65638400000000297</v>
      </c>
      <c r="EJ30" s="128">
        <v>3.5840000000007401E-2</v>
      </c>
      <c r="EK30" s="128">
        <v>0</v>
      </c>
      <c r="EL30" s="128">
        <v>0</v>
      </c>
      <c r="EM30" s="128">
        <v>2.18675200000007</v>
      </c>
      <c r="EN30" s="128">
        <v>1.9253760000001401</v>
      </c>
      <c r="EO30" s="128">
        <v>0</v>
      </c>
      <c r="EP30" s="128">
        <v>0</v>
      </c>
      <c r="EQ30" s="128">
        <v>0</v>
      </c>
      <c r="ER30" s="129">
        <v>1.68862</v>
      </c>
      <c r="ES30" s="129">
        <v>0</v>
      </c>
      <c r="ET30" s="129">
        <v>0</v>
      </c>
      <c r="EU30" s="129">
        <v>0</v>
      </c>
      <c r="EV30" s="30">
        <v>0</v>
      </c>
      <c r="EW30" s="30">
        <v>0</v>
      </c>
      <c r="EX30" s="30">
        <v>0</v>
      </c>
      <c r="EY30" s="30">
        <v>0</v>
      </c>
      <c r="EZ30" s="30">
        <v>0</v>
      </c>
      <c r="FA30" s="30">
        <v>0</v>
      </c>
      <c r="FB30" s="30">
        <v>0</v>
      </c>
      <c r="FC30" s="30">
        <v>0</v>
      </c>
      <c r="FD30" s="30">
        <v>0</v>
      </c>
      <c r="FE30" s="30">
        <v>0</v>
      </c>
      <c r="FF30" s="30">
        <v>0</v>
      </c>
      <c r="FG30" s="30">
        <v>0</v>
      </c>
      <c r="FH30" s="30">
        <v>0</v>
      </c>
      <c r="FI30" s="30">
        <v>0</v>
      </c>
      <c r="FJ30" s="30">
        <v>0</v>
      </c>
      <c r="FK30" s="30">
        <v>0</v>
      </c>
      <c r="FL30" s="30">
        <v>0</v>
      </c>
      <c r="FM30" s="30">
        <v>0</v>
      </c>
      <c r="FN30" s="30">
        <v>0</v>
      </c>
      <c r="FO30" s="30">
        <v>0</v>
      </c>
      <c r="FP30" s="30">
        <v>0</v>
      </c>
      <c r="FQ30" s="30">
        <v>0</v>
      </c>
      <c r="FR30" s="30">
        <v>0</v>
      </c>
      <c r="FS30" s="30">
        <v>0</v>
      </c>
      <c r="FT30" s="30">
        <v>0</v>
      </c>
      <c r="FU30" s="30">
        <v>0</v>
      </c>
      <c r="FV30" s="30">
        <v>0</v>
      </c>
      <c r="FW30" s="30">
        <v>0</v>
      </c>
      <c r="FX30" s="30">
        <v>0</v>
      </c>
      <c r="FY30" s="30">
        <v>0</v>
      </c>
      <c r="FZ30" s="30">
        <v>0</v>
      </c>
      <c r="GA30" s="30">
        <v>0</v>
      </c>
      <c r="GB30" s="30">
        <v>0</v>
      </c>
      <c r="GC30" s="30">
        <v>0</v>
      </c>
      <c r="GD30" s="30">
        <v>0</v>
      </c>
      <c r="GE30" s="30">
        <v>0</v>
      </c>
      <c r="GF30" s="30">
        <v>0</v>
      </c>
      <c r="GG30" s="30">
        <v>0</v>
      </c>
      <c r="GH30" s="30">
        <v>0</v>
      </c>
      <c r="GI30" s="30">
        <v>0</v>
      </c>
      <c r="GJ30" s="30">
        <v>0</v>
      </c>
      <c r="GK30" s="30">
        <v>0</v>
      </c>
      <c r="GL30" s="30">
        <v>0</v>
      </c>
      <c r="GM30" s="30">
        <v>0</v>
      </c>
      <c r="GN30" s="30">
        <v>0</v>
      </c>
      <c r="GO30" s="30">
        <v>0</v>
      </c>
      <c r="GP30" s="30">
        <v>0</v>
      </c>
      <c r="GQ30" s="30">
        <v>0</v>
      </c>
      <c r="GR30" s="30">
        <v>0</v>
      </c>
      <c r="GS30" s="30">
        <v>0</v>
      </c>
    </row>
    <row r="31" spans="1:201" s="30" customFormat="1" ht="13" x14ac:dyDescent="0.25">
      <c r="A31" s="87">
        <v>25</v>
      </c>
      <c r="B31" s="128">
        <v>13.030374999999999</v>
      </c>
      <c r="C31" s="128">
        <v>0</v>
      </c>
      <c r="D31" s="128">
        <v>4.6681660000000402</v>
      </c>
      <c r="E31" s="128">
        <v>3.9464670000000401</v>
      </c>
      <c r="F31" s="128">
        <v>4.4468439999999401</v>
      </c>
      <c r="G31" s="128">
        <v>0</v>
      </c>
      <c r="H31" s="128">
        <v>0</v>
      </c>
      <c r="I31" s="128">
        <v>0</v>
      </c>
      <c r="J31" s="128">
        <v>0</v>
      </c>
      <c r="K31" s="128">
        <v>0</v>
      </c>
      <c r="L31" s="128">
        <v>0</v>
      </c>
      <c r="M31" s="128">
        <v>0</v>
      </c>
      <c r="N31" s="128">
        <v>1.6261750000001001</v>
      </c>
      <c r="O31" s="128">
        <v>1.6960750000001801</v>
      </c>
      <c r="P31" s="128">
        <v>9.6241999999996594E-2</v>
      </c>
      <c r="Q31" s="128">
        <v>0</v>
      </c>
      <c r="R31" s="128">
        <v>4.5690880000001899</v>
      </c>
      <c r="S31" s="128">
        <v>3.8097920000000198</v>
      </c>
      <c r="T31" s="128">
        <v>4.3519999999989496</v>
      </c>
      <c r="U31" s="128">
        <v>0.36269600000000002</v>
      </c>
      <c r="V31" s="128">
        <v>0.120013999999998</v>
      </c>
      <c r="W31" s="128">
        <v>7.1822000000000899E-2</v>
      </c>
      <c r="X31" s="128">
        <v>7.1894999999999598E-2</v>
      </c>
      <c r="Y31" s="128">
        <v>0</v>
      </c>
      <c r="Z31" s="128">
        <v>4.6197000000001202E-2</v>
      </c>
      <c r="AA31" s="128">
        <v>8.2892000000001104E-2</v>
      </c>
      <c r="AB31" s="128">
        <v>0.15270199999999801</v>
      </c>
      <c r="AC31" s="128">
        <v>9.5848000000000197E-2</v>
      </c>
      <c r="AD31" s="128">
        <v>4.9605999999998901E-2</v>
      </c>
      <c r="AE31" s="128">
        <v>7.56330000000007E-2</v>
      </c>
      <c r="AF31" s="128">
        <v>0</v>
      </c>
      <c r="AG31" s="128">
        <v>2.02070000000001E-2</v>
      </c>
      <c r="AH31" s="128">
        <v>1.35145599999998</v>
      </c>
      <c r="AI31" s="128">
        <v>0</v>
      </c>
      <c r="AJ31" s="128">
        <v>2.46279999999999E-2</v>
      </c>
      <c r="AK31" s="128">
        <v>0</v>
      </c>
      <c r="AL31" s="128">
        <v>0.26542400000000999</v>
      </c>
      <c r="AM31" s="128">
        <v>0.27188000000001</v>
      </c>
      <c r="AN31" s="128">
        <v>0.227080000000001</v>
      </c>
      <c r="AO31" s="128">
        <v>0.15024400000000099</v>
      </c>
      <c r="AP31" s="128">
        <v>8.2405999999998897E-2</v>
      </c>
      <c r="AQ31" s="128">
        <v>0.197099999999999</v>
      </c>
      <c r="AR31" s="128">
        <v>2.9765120000000702</v>
      </c>
      <c r="AS31" s="128">
        <v>4.7861000000000202E-2</v>
      </c>
      <c r="AT31" s="128">
        <v>0</v>
      </c>
      <c r="AU31" s="128">
        <v>5.0392000000002199E-2</v>
      </c>
      <c r="AV31" s="128">
        <v>3.7498999999999498E-2</v>
      </c>
      <c r="AW31" s="128">
        <v>0.36934399999995499</v>
      </c>
      <c r="AX31" s="128">
        <v>0</v>
      </c>
      <c r="AY31" s="128">
        <v>7.5026000000000301E-2</v>
      </c>
      <c r="AZ31" s="128">
        <v>7.4999999997160697E-6</v>
      </c>
      <c r="BA31" s="128">
        <v>0</v>
      </c>
      <c r="BB31" s="128">
        <v>0</v>
      </c>
      <c r="BC31" s="128">
        <v>0</v>
      </c>
      <c r="BD31" s="128">
        <v>4.1728671875000097E-3</v>
      </c>
      <c r="BE31" s="128">
        <v>0.10643999999999899</v>
      </c>
      <c r="BF31" s="128">
        <v>0</v>
      </c>
      <c r="BG31" s="128">
        <v>2.55459999999985E-2</v>
      </c>
      <c r="BH31" s="128">
        <v>2.6260000000028999E-3</v>
      </c>
      <c r="BI31" s="128">
        <v>1.99584000000004</v>
      </c>
      <c r="BJ31" s="128">
        <v>1.10099999999846E-3</v>
      </c>
      <c r="BK31" s="128">
        <v>4.9492500000000397E-2</v>
      </c>
      <c r="BL31" s="128">
        <v>1.59999999986837E-5</v>
      </c>
      <c r="BM31" s="128">
        <v>0.32966400000003698</v>
      </c>
      <c r="BN31" s="128">
        <v>0</v>
      </c>
      <c r="BO31" s="128">
        <v>0.183868</v>
      </c>
      <c r="BP31" s="128">
        <v>0</v>
      </c>
      <c r="BQ31" s="128">
        <v>0</v>
      </c>
      <c r="BR31" s="128">
        <v>0</v>
      </c>
      <c r="BS31" s="128">
        <v>0</v>
      </c>
      <c r="BT31" s="128">
        <v>1.37919999999951E-2</v>
      </c>
      <c r="BU31" s="128">
        <v>0</v>
      </c>
      <c r="BV31" s="128">
        <v>0</v>
      </c>
      <c r="BW31" s="128">
        <v>0</v>
      </c>
      <c r="BX31" s="128">
        <v>0</v>
      </c>
      <c r="BY31" s="128">
        <v>6.8399999999990701E-4</v>
      </c>
      <c r="BZ31" s="128">
        <v>8.1615999999996802E-2</v>
      </c>
      <c r="CA31" s="128">
        <v>3.60053124999998E-3</v>
      </c>
      <c r="CB31" s="128">
        <v>0</v>
      </c>
      <c r="CC31" s="128">
        <v>0</v>
      </c>
      <c r="CD31" s="128">
        <v>0</v>
      </c>
      <c r="CE31" s="128">
        <v>0</v>
      </c>
      <c r="CF31" s="128">
        <v>2.12579999999996E-2</v>
      </c>
      <c r="CG31" s="128">
        <v>0</v>
      </c>
      <c r="CH31" s="128">
        <v>6.9997499999998603E-3</v>
      </c>
      <c r="CI31" s="128">
        <v>0</v>
      </c>
      <c r="CJ31" s="128">
        <v>0</v>
      </c>
      <c r="CK31" s="128">
        <v>0</v>
      </c>
      <c r="CL31" s="128">
        <v>5.22220000000004E-2</v>
      </c>
      <c r="CM31" s="128">
        <v>3.1973120000000099</v>
      </c>
      <c r="CN31" s="128">
        <v>4.6971000000000998E-2</v>
      </c>
      <c r="CO31" s="128">
        <v>0.37993599999998701</v>
      </c>
      <c r="CP31" s="128">
        <v>0</v>
      </c>
      <c r="CQ31" s="128">
        <v>0</v>
      </c>
      <c r="CR31" s="128">
        <v>0.14863299999999999</v>
      </c>
      <c r="CS31" s="128">
        <v>0</v>
      </c>
      <c r="CT31" s="128">
        <v>1.53600000000154E-3</v>
      </c>
      <c r="CU31" s="128">
        <v>0</v>
      </c>
      <c r="CV31" s="128">
        <v>9.3242500000001397E-3</v>
      </c>
      <c r="CW31" s="128">
        <v>1.59480000000016E-2</v>
      </c>
      <c r="CX31" s="128">
        <v>0</v>
      </c>
      <c r="CY31" s="128">
        <v>1.1479E-2</v>
      </c>
      <c r="CZ31" s="128">
        <v>2.0223249999999901E-2</v>
      </c>
      <c r="DA31" s="128">
        <v>0.195860000000003</v>
      </c>
      <c r="DB31" s="128">
        <v>8.1701000000000704E-2</v>
      </c>
      <c r="DC31" s="128">
        <v>0.19870559374999999</v>
      </c>
      <c r="DD31" s="128">
        <v>2.9147875E-2</v>
      </c>
      <c r="DE31" s="128">
        <v>0</v>
      </c>
      <c r="DF31" s="128">
        <v>0</v>
      </c>
      <c r="DG31" s="128">
        <v>1.5475999999999599E-2</v>
      </c>
      <c r="DH31" s="128">
        <v>2.54530000000006E-2</v>
      </c>
      <c r="DI31" s="128">
        <v>1.14847999999995</v>
      </c>
      <c r="DJ31" s="128">
        <v>0</v>
      </c>
      <c r="DK31" s="128">
        <v>5.0065999999997501E-2</v>
      </c>
      <c r="DL31" s="128">
        <v>1.6479187499999999E-2</v>
      </c>
      <c r="DM31" s="128">
        <v>0</v>
      </c>
      <c r="DN31" s="128">
        <v>0</v>
      </c>
      <c r="DO31" s="128">
        <v>1.7616000000003899E-2</v>
      </c>
      <c r="DP31" s="128">
        <v>2.63604999999991E-2</v>
      </c>
      <c r="DQ31" s="128">
        <v>0</v>
      </c>
      <c r="DR31" s="128">
        <v>0</v>
      </c>
      <c r="DS31" s="128">
        <v>0.48476800000003101</v>
      </c>
      <c r="DT31" s="128">
        <v>5.8125999999999699E-2</v>
      </c>
      <c r="DU31" s="128">
        <v>0</v>
      </c>
      <c r="DV31" s="128">
        <v>8.3975000000000594E-3</v>
      </c>
      <c r="DW31" s="128">
        <v>0</v>
      </c>
      <c r="DX31" s="128">
        <v>2.05199999999994E-2</v>
      </c>
      <c r="DY31" s="128">
        <v>8.89218749999998E-3</v>
      </c>
      <c r="DZ31" s="128">
        <v>5.2217999999999903E-2</v>
      </c>
      <c r="EA31" s="128">
        <v>0</v>
      </c>
      <c r="EB31" s="128">
        <v>0.22488000000001299</v>
      </c>
      <c r="EC31" s="128">
        <v>0.137951999999984</v>
      </c>
      <c r="ED31" s="128">
        <v>2.1682499999999801E-3</v>
      </c>
      <c r="EE31" s="128">
        <v>0.17596899999999999</v>
      </c>
      <c r="EF31" s="128">
        <v>7.6446280000000097</v>
      </c>
      <c r="EG31" s="128">
        <v>0</v>
      </c>
      <c r="EH31" s="128">
        <v>0.46591999999998301</v>
      </c>
      <c r="EI31" s="128">
        <v>0.585791999999969</v>
      </c>
      <c r="EJ31" s="128">
        <v>2.64960000000087E-2</v>
      </c>
      <c r="EK31" s="128">
        <v>0</v>
      </c>
      <c r="EL31" s="128">
        <v>0.83302400000002297</v>
      </c>
      <c r="EM31" s="128">
        <v>1.602304</v>
      </c>
      <c r="EN31" s="128">
        <v>1.50783999999976</v>
      </c>
      <c r="EO31" s="128">
        <v>0.20761600000003</v>
      </c>
      <c r="EP31" s="128">
        <v>0</v>
      </c>
      <c r="EQ31" s="128">
        <v>0</v>
      </c>
      <c r="ER31" s="129">
        <v>2.4142979999999898</v>
      </c>
      <c r="ES31" s="129">
        <v>0</v>
      </c>
      <c r="ET31" s="129">
        <v>0</v>
      </c>
      <c r="EU31" s="129">
        <v>0</v>
      </c>
      <c r="EV31" s="30">
        <v>0</v>
      </c>
      <c r="EW31" s="30">
        <v>0</v>
      </c>
      <c r="EX31" s="30">
        <v>0</v>
      </c>
      <c r="EY31" s="30">
        <v>0</v>
      </c>
      <c r="EZ31" s="30">
        <v>0</v>
      </c>
      <c r="FA31" s="30">
        <v>0</v>
      </c>
      <c r="FB31" s="30">
        <v>0</v>
      </c>
      <c r="FC31" s="30">
        <v>0</v>
      </c>
      <c r="FD31" s="30">
        <v>0</v>
      </c>
      <c r="FE31" s="30">
        <v>0</v>
      </c>
      <c r="FF31" s="30">
        <v>0</v>
      </c>
      <c r="FG31" s="30">
        <v>0</v>
      </c>
      <c r="FH31" s="30">
        <v>0</v>
      </c>
      <c r="FI31" s="30">
        <v>0</v>
      </c>
      <c r="FJ31" s="30">
        <v>0</v>
      </c>
      <c r="FK31" s="30">
        <v>0</v>
      </c>
      <c r="FL31" s="30">
        <v>0</v>
      </c>
      <c r="FM31" s="30">
        <v>0</v>
      </c>
      <c r="FN31" s="30">
        <v>0</v>
      </c>
      <c r="FO31" s="30">
        <v>0</v>
      </c>
      <c r="FP31" s="30">
        <v>0</v>
      </c>
      <c r="FQ31" s="30">
        <v>0</v>
      </c>
      <c r="FR31" s="30">
        <v>0</v>
      </c>
      <c r="FS31" s="30">
        <v>0</v>
      </c>
      <c r="FT31" s="30">
        <v>0</v>
      </c>
      <c r="FU31" s="30">
        <v>0</v>
      </c>
      <c r="FV31" s="30">
        <v>0</v>
      </c>
      <c r="FW31" s="30">
        <v>0</v>
      </c>
      <c r="FX31" s="30">
        <v>0</v>
      </c>
      <c r="FY31" s="30">
        <v>0</v>
      </c>
      <c r="FZ31" s="30">
        <v>0</v>
      </c>
      <c r="GA31" s="30">
        <v>0</v>
      </c>
      <c r="GB31" s="30">
        <v>0</v>
      </c>
      <c r="GC31" s="30">
        <v>0</v>
      </c>
      <c r="GD31" s="30">
        <v>0</v>
      </c>
      <c r="GE31" s="30">
        <v>0</v>
      </c>
      <c r="GF31" s="30">
        <v>0</v>
      </c>
      <c r="GG31" s="30">
        <v>0</v>
      </c>
      <c r="GH31" s="30">
        <v>0</v>
      </c>
      <c r="GI31" s="30">
        <v>0</v>
      </c>
      <c r="GJ31" s="30">
        <v>0</v>
      </c>
      <c r="GK31" s="30">
        <v>0</v>
      </c>
      <c r="GL31" s="30">
        <v>0</v>
      </c>
      <c r="GM31" s="30">
        <v>0</v>
      </c>
      <c r="GN31" s="30">
        <v>0</v>
      </c>
      <c r="GO31" s="30">
        <v>0</v>
      </c>
      <c r="GP31" s="30">
        <v>0</v>
      </c>
      <c r="GQ31" s="30">
        <v>0</v>
      </c>
      <c r="GR31" s="30">
        <v>0</v>
      </c>
      <c r="GS31" s="30">
        <v>0</v>
      </c>
    </row>
    <row r="32" spans="1:201" s="30" customFormat="1" ht="13" x14ac:dyDescent="0.25">
      <c r="A32" s="87">
        <v>26</v>
      </c>
      <c r="B32" s="128">
        <v>10.984624999999999</v>
      </c>
      <c r="C32" s="128">
        <v>0</v>
      </c>
      <c r="D32" s="128">
        <v>3.9192709999999802</v>
      </c>
      <c r="E32" s="128">
        <v>3.32427899999999</v>
      </c>
      <c r="F32" s="128">
        <v>3.7448670000000601</v>
      </c>
      <c r="G32" s="128">
        <v>0</v>
      </c>
      <c r="H32" s="128">
        <v>0</v>
      </c>
      <c r="I32" s="128">
        <v>0</v>
      </c>
      <c r="J32" s="128">
        <v>0</v>
      </c>
      <c r="K32" s="128">
        <v>0</v>
      </c>
      <c r="L32" s="128">
        <v>0</v>
      </c>
      <c r="M32" s="128">
        <v>0</v>
      </c>
      <c r="N32" s="128">
        <v>3.9415949999998898</v>
      </c>
      <c r="O32" s="128">
        <v>4.0655559999998996</v>
      </c>
      <c r="P32" s="128">
        <v>0.24468600000000201</v>
      </c>
      <c r="Q32" s="128">
        <v>0</v>
      </c>
      <c r="R32" s="128">
        <v>3.81337599999824</v>
      </c>
      <c r="S32" s="128">
        <v>3.2107519999999599</v>
      </c>
      <c r="T32" s="128">
        <v>3.6331519999985198</v>
      </c>
      <c r="U32" s="128">
        <v>0.352959999999996</v>
      </c>
      <c r="V32" s="128">
        <v>0.123458000000003</v>
      </c>
      <c r="W32" s="128">
        <v>6.9661000000000001E-2</v>
      </c>
      <c r="X32" s="128">
        <v>7.1218000000000004E-2</v>
      </c>
      <c r="Y32" s="128">
        <v>0</v>
      </c>
      <c r="Z32" s="128">
        <v>4.14909999999988E-2</v>
      </c>
      <c r="AA32" s="128">
        <v>8.4610000000001406E-2</v>
      </c>
      <c r="AB32" s="128">
        <v>0.16044600000000001</v>
      </c>
      <c r="AC32" s="128">
        <v>0.113427999999999</v>
      </c>
      <c r="AD32" s="128">
        <v>4.9974999999999901E-2</v>
      </c>
      <c r="AE32" s="128">
        <v>9.7221499999999905E-2</v>
      </c>
      <c r="AF32" s="128">
        <v>0</v>
      </c>
      <c r="AG32" s="128">
        <v>1.3999999999999299E-2</v>
      </c>
      <c r="AH32" s="128">
        <v>1.44563200000005</v>
      </c>
      <c r="AI32" s="128">
        <v>0</v>
      </c>
      <c r="AJ32" s="128">
        <v>2.6339000000000098E-2</v>
      </c>
      <c r="AK32" s="128">
        <v>0</v>
      </c>
      <c r="AL32" s="128">
        <v>0.260815999999991</v>
      </c>
      <c r="AM32" s="128">
        <v>0.30524799999999203</v>
      </c>
      <c r="AN32" s="128">
        <v>0.26461599999999003</v>
      </c>
      <c r="AO32" s="128">
        <v>0.15703599999999801</v>
      </c>
      <c r="AP32" s="128">
        <v>7.3852000000002194E-2</v>
      </c>
      <c r="AQ32" s="128">
        <v>0.228572</v>
      </c>
      <c r="AR32" s="128">
        <v>3.5640320000000001</v>
      </c>
      <c r="AS32" s="128">
        <v>5.2216999999999701E-2</v>
      </c>
      <c r="AT32" s="128">
        <v>0</v>
      </c>
      <c r="AU32" s="128">
        <v>5.2939999999999501E-2</v>
      </c>
      <c r="AV32" s="128">
        <v>1.6747500000000099E-2</v>
      </c>
      <c r="AW32" s="128">
        <v>0.85017600000003302</v>
      </c>
      <c r="AX32" s="128">
        <v>0</v>
      </c>
      <c r="AY32" s="128">
        <v>0.10040399999999999</v>
      </c>
      <c r="AZ32" s="128">
        <v>6.49999999957629E-6</v>
      </c>
      <c r="BA32" s="128">
        <v>0</v>
      </c>
      <c r="BB32" s="128">
        <v>0</v>
      </c>
      <c r="BC32" s="128">
        <v>0</v>
      </c>
      <c r="BD32" s="128">
        <v>3.18669140625E-3</v>
      </c>
      <c r="BE32" s="128">
        <v>0.107198</v>
      </c>
      <c r="BF32" s="128">
        <v>0</v>
      </c>
      <c r="BG32" s="128">
        <v>2.0154000000001601E-2</v>
      </c>
      <c r="BH32" s="128">
        <v>1.7839999999999599E-2</v>
      </c>
      <c r="BI32" s="128">
        <v>1.9889599999999601</v>
      </c>
      <c r="BJ32" s="128">
        <v>1.3920000000027201E-3</v>
      </c>
      <c r="BK32" s="128">
        <v>0.144176</v>
      </c>
      <c r="BL32" s="128">
        <v>3.0000000002416999E-5</v>
      </c>
      <c r="BM32" s="128">
        <v>0.78739199999995402</v>
      </c>
      <c r="BN32" s="128">
        <v>0</v>
      </c>
      <c r="BO32" s="128">
        <v>0.62342200000000003</v>
      </c>
      <c r="BP32" s="128">
        <v>0</v>
      </c>
      <c r="BQ32" s="128">
        <v>0</v>
      </c>
      <c r="BR32" s="128">
        <v>0</v>
      </c>
      <c r="BS32" s="128">
        <v>0</v>
      </c>
      <c r="BT32" s="128">
        <v>1.3608000000004899E-2</v>
      </c>
      <c r="BU32" s="128">
        <v>0</v>
      </c>
      <c r="BV32" s="128">
        <v>0</v>
      </c>
      <c r="BW32" s="128">
        <v>0</v>
      </c>
      <c r="BX32" s="128">
        <v>0</v>
      </c>
      <c r="BY32" s="128">
        <v>0</v>
      </c>
      <c r="BZ32" s="128">
        <v>0.10400799999999299</v>
      </c>
      <c r="CA32" s="128">
        <v>2.9932499999999998E-3</v>
      </c>
      <c r="CB32" s="128">
        <v>0</v>
      </c>
      <c r="CC32" s="128">
        <v>0</v>
      </c>
      <c r="CD32" s="128">
        <v>0</v>
      </c>
      <c r="CE32" s="128">
        <v>0</v>
      </c>
      <c r="CF32" s="128">
        <v>1.5772000000000098E-2</v>
      </c>
      <c r="CG32" s="128">
        <v>0</v>
      </c>
      <c r="CH32" s="128">
        <v>3.1922500000001199E-3</v>
      </c>
      <c r="CI32" s="128">
        <v>0</v>
      </c>
      <c r="CJ32" s="128">
        <v>0</v>
      </c>
      <c r="CK32" s="128">
        <v>0</v>
      </c>
      <c r="CL32" s="128">
        <v>6.1485999999998597E-2</v>
      </c>
      <c r="CM32" s="128">
        <v>3.7966080000001101</v>
      </c>
      <c r="CN32" s="128">
        <v>4.5460000000000299E-2</v>
      </c>
      <c r="CO32" s="128">
        <v>0.452608000000012</v>
      </c>
      <c r="CP32" s="128">
        <v>0</v>
      </c>
      <c r="CQ32" s="128">
        <v>0</v>
      </c>
      <c r="CR32" s="128">
        <v>0.18001600000000001</v>
      </c>
      <c r="CS32" s="128">
        <v>0</v>
      </c>
      <c r="CT32" s="128">
        <v>1.54399999999555E-3</v>
      </c>
      <c r="CU32" s="128">
        <v>0</v>
      </c>
      <c r="CV32" s="128">
        <v>9.0326249999999105E-3</v>
      </c>
      <c r="CW32" s="128">
        <v>7.1632000000001E-2</v>
      </c>
      <c r="CX32" s="128">
        <v>0</v>
      </c>
      <c r="CY32" s="128">
        <v>1.21470000000001E-2</v>
      </c>
      <c r="CZ32" s="128">
        <v>2.6470250000000001E-2</v>
      </c>
      <c r="DA32" s="128">
        <v>0.26712399999999498</v>
      </c>
      <c r="DB32" s="128">
        <v>9.2381999999998896E-2</v>
      </c>
      <c r="DC32" s="128">
        <v>0.20243165625000001</v>
      </c>
      <c r="DD32" s="128">
        <v>3.0959875000000001E-2</v>
      </c>
      <c r="DE32" s="128">
        <v>0</v>
      </c>
      <c r="DF32" s="128">
        <v>0</v>
      </c>
      <c r="DG32" s="128">
        <v>1.9598000000000199E-2</v>
      </c>
      <c r="DH32" s="128">
        <v>2.2596999999999302E-2</v>
      </c>
      <c r="DI32" s="128">
        <v>0.85344000000009101</v>
      </c>
      <c r="DJ32" s="128">
        <v>0</v>
      </c>
      <c r="DK32" s="128">
        <v>4.7874000000000201E-2</v>
      </c>
      <c r="DL32" s="128">
        <v>1.594171875E-2</v>
      </c>
      <c r="DM32" s="128">
        <v>0</v>
      </c>
      <c r="DN32" s="128">
        <v>8.6812500000088596E-5</v>
      </c>
      <c r="DO32" s="128">
        <v>3.3359999999987601E-2</v>
      </c>
      <c r="DP32" s="128">
        <v>2.4722999999999801E-2</v>
      </c>
      <c r="DQ32" s="128">
        <v>0</v>
      </c>
      <c r="DR32" s="128">
        <v>0</v>
      </c>
      <c r="DS32" s="128">
        <v>6.8832000000043095E-2</v>
      </c>
      <c r="DT32" s="128">
        <v>3.9335500000000002E-2</v>
      </c>
      <c r="DU32" s="128">
        <v>0</v>
      </c>
      <c r="DV32" s="128">
        <v>7.0217499999998302E-3</v>
      </c>
      <c r="DW32" s="128">
        <v>0</v>
      </c>
      <c r="DX32" s="128">
        <v>8.9964000000000197E-2</v>
      </c>
      <c r="DY32" s="128">
        <v>7.7534375000000199E-3</v>
      </c>
      <c r="DZ32" s="128">
        <v>2.8715999999999301E-2</v>
      </c>
      <c r="EA32" s="128">
        <v>0</v>
      </c>
      <c r="EB32" s="128">
        <v>0.32086399999999998</v>
      </c>
      <c r="EC32" s="128">
        <v>0.103184000000027</v>
      </c>
      <c r="ED32" s="128">
        <v>2.1552499999999402E-3</v>
      </c>
      <c r="EE32" s="128">
        <v>0.168488</v>
      </c>
      <c r="EF32" s="128">
        <v>8.8735580000002301</v>
      </c>
      <c r="EG32" s="128">
        <v>0</v>
      </c>
      <c r="EH32" s="128">
        <v>0.50515199999995297</v>
      </c>
      <c r="EI32" s="128">
        <v>0.68435199999998997</v>
      </c>
      <c r="EJ32" s="128">
        <v>5.1040000000000398E-2</v>
      </c>
      <c r="EK32" s="128">
        <v>0</v>
      </c>
      <c r="EL32" s="128">
        <v>1.82015999999999</v>
      </c>
      <c r="EM32" s="128">
        <v>1.81196799999998</v>
      </c>
      <c r="EN32" s="128">
        <v>1.52985600000011</v>
      </c>
      <c r="EO32" s="128">
        <v>1.7600000000015801E-2</v>
      </c>
      <c r="EP32" s="128">
        <v>0</v>
      </c>
      <c r="EQ32" s="128">
        <v>0</v>
      </c>
      <c r="ER32" s="129">
        <v>2.4479570000000201</v>
      </c>
      <c r="ES32" s="129">
        <v>0</v>
      </c>
      <c r="ET32" s="129">
        <v>0</v>
      </c>
      <c r="EU32" s="129">
        <v>0</v>
      </c>
      <c r="EV32" s="30">
        <v>0</v>
      </c>
      <c r="EW32" s="30">
        <v>0</v>
      </c>
      <c r="EX32" s="30">
        <v>0</v>
      </c>
      <c r="EY32" s="30">
        <v>0</v>
      </c>
      <c r="EZ32" s="30">
        <v>0</v>
      </c>
      <c r="FA32" s="30">
        <v>0</v>
      </c>
      <c r="FB32" s="30">
        <v>0</v>
      </c>
      <c r="FC32" s="30">
        <v>0</v>
      </c>
      <c r="FD32" s="30">
        <v>0</v>
      </c>
      <c r="FE32" s="30">
        <v>0</v>
      </c>
      <c r="FF32" s="30">
        <v>0</v>
      </c>
      <c r="FG32" s="30">
        <v>0</v>
      </c>
      <c r="FH32" s="30">
        <v>0</v>
      </c>
      <c r="FI32" s="30">
        <v>0</v>
      </c>
      <c r="FJ32" s="30">
        <v>0</v>
      </c>
      <c r="FK32" s="30">
        <v>0</v>
      </c>
      <c r="FL32" s="30">
        <v>0</v>
      </c>
      <c r="FM32" s="30">
        <v>0</v>
      </c>
      <c r="FN32" s="30">
        <v>0</v>
      </c>
      <c r="FO32" s="30">
        <v>0</v>
      </c>
      <c r="FP32" s="30">
        <v>0</v>
      </c>
      <c r="FQ32" s="30">
        <v>0</v>
      </c>
      <c r="FR32" s="30">
        <v>0</v>
      </c>
      <c r="FS32" s="30">
        <v>0</v>
      </c>
      <c r="FT32" s="30">
        <v>0</v>
      </c>
      <c r="FU32" s="30">
        <v>0</v>
      </c>
      <c r="FV32" s="30">
        <v>0</v>
      </c>
      <c r="FW32" s="30">
        <v>0</v>
      </c>
      <c r="FX32" s="30">
        <v>0</v>
      </c>
      <c r="FY32" s="30">
        <v>0</v>
      </c>
      <c r="FZ32" s="30">
        <v>0</v>
      </c>
      <c r="GA32" s="30">
        <v>0</v>
      </c>
      <c r="GB32" s="30">
        <v>0</v>
      </c>
      <c r="GC32" s="30">
        <v>0</v>
      </c>
      <c r="GD32" s="30">
        <v>0</v>
      </c>
      <c r="GE32" s="30">
        <v>0</v>
      </c>
      <c r="GF32" s="30">
        <v>0</v>
      </c>
      <c r="GG32" s="30">
        <v>0</v>
      </c>
      <c r="GH32" s="30">
        <v>0</v>
      </c>
      <c r="GI32" s="30">
        <v>0</v>
      </c>
      <c r="GJ32" s="30">
        <v>0</v>
      </c>
      <c r="GK32" s="30">
        <v>0</v>
      </c>
      <c r="GL32" s="30">
        <v>0</v>
      </c>
      <c r="GM32" s="30">
        <v>0</v>
      </c>
      <c r="GN32" s="30">
        <v>0</v>
      </c>
      <c r="GO32" s="30">
        <v>0</v>
      </c>
      <c r="GP32" s="30">
        <v>0</v>
      </c>
      <c r="GQ32" s="30">
        <v>0</v>
      </c>
      <c r="GR32" s="30">
        <v>0</v>
      </c>
      <c r="GS32" s="30">
        <v>0</v>
      </c>
    </row>
    <row r="33" spans="1:201" s="30" customFormat="1" ht="13" x14ac:dyDescent="0.25">
      <c r="A33" s="87">
        <v>27</v>
      </c>
      <c r="B33" s="128">
        <v>10.198</v>
      </c>
      <c r="C33" s="128">
        <v>0</v>
      </c>
      <c r="D33" s="128">
        <v>3.6679629999999901</v>
      </c>
      <c r="E33" s="128">
        <v>3.0722219999999498</v>
      </c>
      <c r="F33" s="128">
        <v>3.4864610000000198</v>
      </c>
      <c r="G33" s="128">
        <v>0</v>
      </c>
      <c r="H33" s="128">
        <v>0</v>
      </c>
      <c r="I33" s="128">
        <v>0</v>
      </c>
      <c r="J33" s="128">
        <v>0</v>
      </c>
      <c r="K33" s="128">
        <v>0</v>
      </c>
      <c r="L33" s="128">
        <v>0</v>
      </c>
      <c r="M33" s="128">
        <v>0</v>
      </c>
      <c r="N33" s="128">
        <v>3.7130030000000702</v>
      </c>
      <c r="O33" s="128">
        <v>3.7839760000000502</v>
      </c>
      <c r="P33" s="128">
        <v>0.238208</v>
      </c>
      <c r="Q33" s="128">
        <v>0</v>
      </c>
      <c r="R33" s="128">
        <v>3.5819520000004599</v>
      </c>
      <c r="S33" s="128">
        <v>2.97164800000064</v>
      </c>
      <c r="T33" s="128">
        <v>3.4017280000007299</v>
      </c>
      <c r="U33" s="128">
        <v>0.34150399999999997</v>
      </c>
      <c r="V33" s="128">
        <v>0.124848</v>
      </c>
      <c r="W33" s="128">
        <v>6.10199999999992E-2</v>
      </c>
      <c r="X33" s="128">
        <v>6.9279000000001603E-2</v>
      </c>
      <c r="Y33" s="128">
        <v>0</v>
      </c>
      <c r="Z33" s="128">
        <v>4.6765999999999898E-2</v>
      </c>
      <c r="AA33" s="128">
        <v>8.4527999999998799E-2</v>
      </c>
      <c r="AB33" s="128">
        <v>0.16362000000000201</v>
      </c>
      <c r="AC33" s="128">
        <v>0.11712599999999899</v>
      </c>
      <c r="AD33" s="128">
        <v>4.9555000000001598E-2</v>
      </c>
      <c r="AE33" s="128">
        <v>0.106563</v>
      </c>
      <c r="AF33" s="128">
        <v>0</v>
      </c>
      <c r="AG33" s="128">
        <v>1.1153500000000699E-2</v>
      </c>
      <c r="AH33" s="128">
        <v>1.441824</v>
      </c>
      <c r="AI33" s="128">
        <v>0</v>
      </c>
      <c r="AJ33" s="128">
        <v>2.53164999999997E-2</v>
      </c>
      <c r="AK33" s="128">
        <v>0</v>
      </c>
      <c r="AL33" s="128">
        <v>0.27491199999999999</v>
      </c>
      <c r="AM33" s="128">
        <v>0.32178400000000801</v>
      </c>
      <c r="AN33" s="128">
        <v>0.24484800000000501</v>
      </c>
      <c r="AO33" s="128">
        <v>0.15088399999999799</v>
      </c>
      <c r="AP33" s="128">
        <v>7.0927999999998506E-2</v>
      </c>
      <c r="AQ33" s="128">
        <v>0.216256000000001</v>
      </c>
      <c r="AR33" s="128">
        <v>3.0344319999999199</v>
      </c>
      <c r="AS33" s="128">
        <v>5.3837500000000198E-2</v>
      </c>
      <c r="AT33" s="128">
        <v>0</v>
      </c>
      <c r="AU33" s="128">
        <v>5.1220000000000702E-2</v>
      </c>
      <c r="AV33" s="128">
        <v>3.0702500000000299E-2</v>
      </c>
      <c r="AW33" s="128">
        <v>0.42047999999999802</v>
      </c>
      <c r="AX33" s="128">
        <v>0</v>
      </c>
      <c r="AY33" s="128">
        <v>7.69339999999996E-2</v>
      </c>
      <c r="AZ33" s="128">
        <v>8.0000000002300504E-6</v>
      </c>
      <c r="BA33" s="128">
        <v>0</v>
      </c>
      <c r="BB33" s="128">
        <v>0</v>
      </c>
      <c r="BC33" s="128">
        <v>0</v>
      </c>
      <c r="BD33" s="128">
        <v>4.7611171875000004E-3</v>
      </c>
      <c r="BE33" s="128">
        <v>0.10624600000000201</v>
      </c>
      <c r="BF33" s="128">
        <v>0</v>
      </c>
      <c r="BG33" s="128">
        <v>1.25669999999989E-2</v>
      </c>
      <c r="BH33" s="128">
        <v>1.1941999999997699E-2</v>
      </c>
      <c r="BI33" s="128">
        <v>1.9937280000000299</v>
      </c>
      <c r="BJ33" s="128">
        <v>4.8199999999809501E-4</v>
      </c>
      <c r="BK33" s="128">
        <v>5.4815000000000502E-2</v>
      </c>
      <c r="BL33" s="128">
        <v>1.9999999985031999E-6</v>
      </c>
      <c r="BM33" s="128">
        <v>0.75465600000001098</v>
      </c>
      <c r="BN33" s="128">
        <v>0</v>
      </c>
      <c r="BO33" s="128">
        <v>0.53675799999999896</v>
      </c>
      <c r="BP33" s="128">
        <v>0</v>
      </c>
      <c r="BQ33" s="128">
        <v>0</v>
      </c>
      <c r="BR33" s="128">
        <v>0</v>
      </c>
      <c r="BS33" s="128">
        <v>0</v>
      </c>
      <c r="BT33" s="128">
        <v>2.9727999999998599E-2</v>
      </c>
      <c r="BU33" s="128">
        <v>0</v>
      </c>
      <c r="BV33" s="128">
        <v>0</v>
      </c>
      <c r="BW33" s="128">
        <v>0</v>
      </c>
      <c r="BX33" s="128">
        <v>0</v>
      </c>
      <c r="BY33" s="128">
        <v>0</v>
      </c>
      <c r="BZ33" s="128">
        <v>0.110647999999998</v>
      </c>
      <c r="CA33" s="128">
        <v>1.7621968750000001E-2</v>
      </c>
      <c r="CB33" s="128">
        <v>0</v>
      </c>
      <c r="CC33" s="128">
        <v>0</v>
      </c>
      <c r="CD33" s="128">
        <v>0</v>
      </c>
      <c r="CE33" s="128">
        <v>0</v>
      </c>
      <c r="CF33" s="128">
        <v>2.14630000000007E-2</v>
      </c>
      <c r="CG33" s="128">
        <v>0</v>
      </c>
      <c r="CH33" s="128">
        <v>1.7872499999999701E-2</v>
      </c>
      <c r="CI33" s="128">
        <v>0</v>
      </c>
      <c r="CJ33" s="128">
        <v>0</v>
      </c>
      <c r="CK33" s="128">
        <v>0</v>
      </c>
      <c r="CL33" s="128">
        <v>6.0570000000001997E-2</v>
      </c>
      <c r="CM33" s="128">
        <v>3.2568320000000299</v>
      </c>
      <c r="CN33" s="128">
        <v>3.6225999999999203E-2</v>
      </c>
      <c r="CO33" s="128">
        <v>0.54161599999999099</v>
      </c>
      <c r="CP33" s="128">
        <v>0</v>
      </c>
      <c r="CQ33" s="128">
        <v>0</v>
      </c>
      <c r="CR33" s="128">
        <v>7.0183000000000106E-2</v>
      </c>
      <c r="CS33" s="128">
        <v>0</v>
      </c>
      <c r="CT33" s="128">
        <v>1.4719999999925899E-3</v>
      </c>
      <c r="CU33" s="128">
        <v>0</v>
      </c>
      <c r="CV33" s="128">
        <v>6.2981250000000398E-3</v>
      </c>
      <c r="CW33" s="128">
        <v>6.6620000000000304E-2</v>
      </c>
      <c r="CX33" s="128">
        <v>0</v>
      </c>
      <c r="CY33" s="128">
        <v>1.01139999999997E-2</v>
      </c>
      <c r="CZ33" s="128">
        <v>2.1594749999999802E-2</v>
      </c>
      <c r="DA33" s="128">
        <v>0.186980000000005</v>
      </c>
      <c r="DB33" s="128">
        <v>9.2285000000000394E-2</v>
      </c>
      <c r="DC33" s="128">
        <v>0.20915881250000001</v>
      </c>
      <c r="DD33" s="128">
        <v>3.2119250000000002E-2</v>
      </c>
      <c r="DE33" s="128">
        <v>0</v>
      </c>
      <c r="DF33" s="128">
        <v>0</v>
      </c>
      <c r="DG33" s="128">
        <v>1.17429999999992E-2</v>
      </c>
      <c r="DH33" s="128">
        <v>1.5701000000000898E-2</v>
      </c>
      <c r="DI33" s="128">
        <v>1.05126399999995</v>
      </c>
      <c r="DJ33" s="128">
        <v>0</v>
      </c>
      <c r="DK33" s="128">
        <v>3.0528000000000301E-2</v>
      </c>
      <c r="DL33" s="128">
        <v>1.17324375E-2</v>
      </c>
      <c r="DM33" s="128">
        <v>0</v>
      </c>
      <c r="DN33" s="128">
        <v>2.6249999999994301E-4</v>
      </c>
      <c r="DO33" s="128">
        <v>2.9456000000010401E-2</v>
      </c>
      <c r="DP33" s="128">
        <v>2.5892499999999399E-2</v>
      </c>
      <c r="DQ33" s="128">
        <v>0</v>
      </c>
      <c r="DR33" s="128">
        <v>0</v>
      </c>
      <c r="DS33" s="128">
        <v>0.396928000000003</v>
      </c>
      <c r="DT33" s="128">
        <v>1.5913000000000298E-2</v>
      </c>
      <c r="DU33" s="128">
        <v>0</v>
      </c>
      <c r="DV33" s="128">
        <v>7.9607500000000702E-3</v>
      </c>
      <c r="DW33" s="128">
        <v>0</v>
      </c>
      <c r="DX33" s="128">
        <v>5.8355000000000601E-2</v>
      </c>
      <c r="DY33" s="128">
        <v>7.4914999999999799E-3</v>
      </c>
      <c r="DZ33" s="128">
        <v>2.73720000000033E-2</v>
      </c>
      <c r="EA33" s="128">
        <v>0</v>
      </c>
      <c r="EB33" s="128">
        <v>0.32128000000000201</v>
      </c>
      <c r="EC33" s="128">
        <v>6.4815999999979099E-2</v>
      </c>
      <c r="ED33" s="128">
        <v>2.1500000000003201E-3</v>
      </c>
      <c r="EE33" s="128">
        <v>0.16965350000000001</v>
      </c>
      <c r="EF33" s="128">
        <v>8.5326799999993508</v>
      </c>
      <c r="EG33" s="128">
        <v>0</v>
      </c>
      <c r="EH33" s="128">
        <v>0.43776000000002602</v>
      </c>
      <c r="EI33" s="128">
        <v>0.70278400000006502</v>
      </c>
      <c r="EJ33" s="128">
        <v>4.0863999999999102E-2</v>
      </c>
      <c r="EK33" s="128">
        <v>0</v>
      </c>
      <c r="EL33" s="128">
        <v>1.52742400000011</v>
      </c>
      <c r="EM33" s="128">
        <v>2.3308799999999801</v>
      </c>
      <c r="EN33" s="128">
        <v>0.98918400000002304</v>
      </c>
      <c r="EO33" s="128">
        <v>1.8176000000039501E-2</v>
      </c>
      <c r="EP33" s="128">
        <v>0</v>
      </c>
      <c r="EQ33" s="128">
        <v>0</v>
      </c>
      <c r="ER33" s="129">
        <v>2.4627349999999799</v>
      </c>
      <c r="ES33" s="129">
        <v>0</v>
      </c>
      <c r="ET33" s="129">
        <v>0</v>
      </c>
      <c r="EU33" s="129">
        <v>0</v>
      </c>
      <c r="EV33" s="30">
        <v>0</v>
      </c>
      <c r="EW33" s="30">
        <v>0</v>
      </c>
      <c r="EX33" s="30">
        <v>0</v>
      </c>
      <c r="EY33" s="30">
        <v>0</v>
      </c>
      <c r="EZ33" s="30">
        <v>0</v>
      </c>
      <c r="FA33" s="30">
        <v>0</v>
      </c>
      <c r="FB33" s="30">
        <v>0</v>
      </c>
      <c r="FC33" s="30">
        <v>0</v>
      </c>
      <c r="FD33" s="30">
        <v>0</v>
      </c>
      <c r="FE33" s="30">
        <v>0</v>
      </c>
      <c r="FF33" s="30">
        <v>0</v>
      </c>
      <c r="FG33" s="30">
        <v>0</v>
      </c>
      <c r="FH33" s="30">
        <v>0</v>
      </c>
      <c r="FI33" s="30">
        <v>0</v>
      </c>
      <c r="FJ33" s="30">
        <v>0</v>
      </c>
      <c r="FK33" s="30">
        <v>0</v>
      </c>
      <c r="FL33" s="30">
        <v>0</v>
      </c>
      <c r="FM33" s="30">
        <v>0</v>
      </c>
      <c r="FN33" s="30">
        <v>0</v>
      </c>
      <c r="FO33" s="30">
        <v>0</v>
      </c>
      <c r="FP33" s="30">
        <v>0</v>
      </c>
      <c r="FQ33" s="30">
        <v>0</v>
      </c>
      <c r="FR33" s="30">
        <v>0</v>
      </c>
      <c r="FS33" s="30">
        <v>0</v>
      </c>
      <c r="FT33" s="30">
        <v>0</v>
      </c>
      <c r="FU33" s="30">
        <v>0</v>
      </c>
      <c r="FV33" s="30">
        <v>0</v>
      </c>
      <c r="FW33" s="30">
        <v>0</v>
      </c>
      <c r="FX33" s="30">
        <v>0</v>
      </c>
      <c r="FY33" s="30">
        <v>0</v>
      </c>
      <c r="FZ33" s="30">
        <v>0</v>
      </c>
      <c r="GA33" s="30">
        <v>0</v>
      </c>
      <c r="GB33" s="30">
        <v>0</v>
      </c>
      <c r="GC33" s="30">
        <v>0</v>
      </c>
      <c r="GD33" s="30">
        <v>0</v>
      </c>
      <c r="GE33" s="30">
        <v>0</v>
      </c>
      <c r="GF33" s="30">
        <v>0</v>
      </c>
      <c r="GG33" s="30">
        <v>0</v>
      </c>
      <c r="GH33" s="30">
        <v>0</v>
      </c>
      <c r="GI33" s="30">
        <v>0</v>
      </c>
      <c r="GJ33" s="30">
        <v>0</v>
      </c>
      <c r="GK33" s="30">
        <v>0</v>
      </c>
      <c r="GL33" s="30">
        <v>0</v>
      </c>
      <c r="GM33" s="30">
        <v>0</v>
      </c>
      <c r="GN33" s="30">
        <v>0</v>
      </c>
      <c r="GO33" s="30">
        <v>0</v>
      </c>
      <c r="GP33" s="30">
        <v>0</v>
      </c>
      <c r="GQ33" s="30">
        <v>0</v>
      </c>
      <c r="GR33" s="30">
        <v>0</v>
      </c>
      <c r="GS33" s="30">
        <v>0</v>
      </c>
    </row>
    <row r="34" spans="1:201" s="30" customFormat="1" ht="14.25" customHeight="1" x14ac:dyDescent="0.25">
      <c r="A34" s="87">
        <v>28</v>
      </c>
      <c r="B34" s="128">
        <v>11.806875</v>
      </c>
      <c r="C34" s="128">
        <v>0</v>
      </c>
      <c r="D34" s="128">
        <v>4.2247019999999802</v>
      </c>
      <c r="E34" s="128">
        <v>3.5634800000000801</v>
      </c>
      <c r="F34" s="128">
        <v>4.0518369999999804</v>
      </c>
      <c r="G34" s="128">
        <v>0</v>
      </c>
      <c r="H34" s="128">
        <v>0</v>
      </c>
      <c r="I34" s="128">
        <v>0</v>
      </c>
      <c r="J34" s="128">
        <v>0</v>
      </c>
      <c r="K34" s="128">
        <v>0</v>
      </c>
      <c r="L34" s="128">
        <v>0</v>
      </c>
      <c r="M34" s="128">
        <v>0</v>
      </c>
      <c r="N34" s="128">
        <v>2.8765479999999601</v>
      </c>
      <c r="O34" s="128">
        <v>2.9279880000000298</v>
      </c>
      <c r="P34" s="128">
        <v>0.16714399999999999</v>
      </c>
      <c r="Q34" s="128">
        <v>0</v>
      </c>
      <c r="R34" s="128">
        <v>4.1041920000025103</v>
      </c>
      <c r="S34" s="128">
        <v>3.4406399999997999</v>
      </c>
      <c r="T34" s="128">
        <v>3.9055360000020301</v>
      </c>
      <c r="U34" s="128">
        <v>0.33049599999999701</v>
      </c>
      <c r="V34" s="128">
        <v>0.12512799999999699</v>
      </c>
      <c r="W34" s="128">
        <v>4.0218000000001197E-2</v>
      </c>
      <c r="X34" s="128">
        <v>5.5277999999999501E-2</v>
      </c>
      <c r="Y34" s="128">
        <v>0</v>
      </c>
      <c r="Z34" s="128">
        <v>4.1545000000001102E-2</v>
      </c>
      <c r="AA34" s="128">
        <v>8.4406000000001299E-2</v>
      </c>
      <c r="AB34" s="128">
        <v>0.152864000000001</v>
      </c>
      <c r="AC34" s="128">
        <v>0.10269399999999999</v>
      </c>
      <c r="AD34" s="128">
        <v>5.1852999999999497E-2</v>
      </c>
      <c r="AE34" s="128">
        <v>7.7986000000000097E-2</v>
      </c>
      <c r="AF34" s="128">
        <v>0</v>
      </c>
      <c r="AG34" s="128">
        <v>1.47034999999995E-2</v>
      </c>
      <c r="AH34" s="128">
        <v>1.19625600000001</v>
      </c>
      <c r="AI34" s="128">
        <v>0</v>
      </c>
      <c r="AJ34" s="128">
        <v>2.5526000000000201E-2</v>
      </c>
      <c r="AK34" s="128">
        <v>0</v>
      </c>
      <c r="AL34" s="128">
        <v>0</v>
      </c>
      <c r="AM34" s="128">
        <v>0.23685599999998899</v>
      </c>
      <c r="AN34" s="128">
        <v>0.23648</v>
      </c>
      <c r="AO34" s="128">
        <v>0.15777200000000099</v>
      </c>
      <c r="AP34" s="128">
        <v>5.95740000000013E-2</v>
      </c>
      <c r="AQ34" s="128">
        <v>0.21374399999999799</v>
      </c>
      <c r="AR34" s="128">
        <v>2.82553600000006</v>
      </c>
      <c r="AS34" s="128">
        <v>4.1229000000000397E-2</v>
      </c>
      <c r="AT34" s="128">
        <v>0</v>
      </c>
      <c r="AU34" s="128">
        <v>4.8835999999994301E-2</v>
      </c>
      <c r="AV34" s="128">
        <v>1.6827499999999801E-2</v>
      </c>
      <c r="AW34" s="128">
        <v>0.52652799999998501</v>
      </c>
      <c r="AX34" s="128">
        <v>0</v>
      </c>
      <c r="AY34" s="128">
        <v>7.1182499999999899E-2</v>
      </c>
      <c r="AZ34" s="128">
        <v>0</v>
      </c>
      <c r="BA34" s="128">
        <v>0</v>
      </c>
      <c r="BB34" s="128">
        <v>0</v>
      </c>
      <c r="BC34" s="128">
        <v>0</v>
      </c>
      <c r="BD34" s="128">
        <v>2.3387187500000001E-3</v>
      </c>
      <c r="BE34" s="128">
        <v>0.1099</v>
      </c>
      <c r="BF34" s="128">
        <v>0</v>
      </c>
      <c r="BG34" s="128">
        <v>1.19600000000002E-2</v>
      </c>
      <c r="BH34" s="128">
        <v>6.5280000000029802E-3</v>
      </c>
      <c r="BI34" s="128">
        <v>1.7423359999999699</v>
      </c>
      <c r="BJ34" s="128">
        <v>7.0109999999985496E-3</v>
      </c>
      <c r="BK34" s="128">
        <v>5.1642999999999398E-2</v>
      </c>
      <c r="BL34" s="128">
        <v>8.0000000011182203E-6</v>
      </c>
      <c r="BM34" s="128">
        <v>0.69375999999999705</v>
      </c>
      <c r="BN34" s="128">
        <v>0</v>
      </c>
      <c r="BO34" s="128">
        <v>0.448469000000003</v>
      </c>
      <c r="BP34" s="128">
        <v>0</v>
      </c>
      <c r="BQ34" s="128">
        <v>0</v>
      </c>
      <c r="BR34" s="128">
        <v>0</v>
      </c>
      <c r="BS34" s="128">
        <v>0</v>
      </c>
      <c r="BT34" s="128">
        <v>1.38079999999974E-2</v>
      </c>
      <c r="BU34" s="128">
        <v>0</v>
      </c>
      <c r="BV34" s="128">
        <v>0</v>
      </c>
      <c r="BW34" s="128">
        <v>0</v>
      </c>
      <c r="BX34" s="128">
        <v>0</v>
      </c>
      <c r="BY34" s="128">
        <v>0</v>
      </c>
      <c r="BZ34" s="128">
        <v>0.16920000000000401</v>
      </c>
      <c r="CA34" s="128">
        <v>4.5084687499999899E-3</v>
      </c>
      <c r="CB34" s="128">
        <v>0</v>
      </c>
      <c r="CC34" s="128">
        <v>0</v>
      </c>
      <c r="CD34" s="128">
        <v>0</v>
      </c>
      <c r="CE34" s="128">
        <v>0</v>
      </c>
      <c r="CF34" s="128">
        <v>1.6586999999999501E-2</v>
      </c>
      <c r="CG34" s="128">
        <v>0</v>
      </c>
      <c r="CH34" s="128">
        <v>1.6700500000000201E-2</v>
      </c>
      <c r="CI34" s="128">
        <v>0</v>
      </c>
      <c r="CJ34" s="128">
        <v>0</v>
      </c>
      <c r="CK34" s="128">
        <v>0</v>
      </c>
      <c r="CL34" s="128">
        <v>6.3009999999998498E-2</v>
      </c>
      <c r="CM34" s="128">
        <v>3.5011839999999701</v>
      </c>
      <c r="CN34" s="128">
        <v>3.6319000000000698E-2</v>
      </c>
      <c r="CO34" s="128">
        <v>0.492063999999999</v>
      </c>
      <c r="CP34" s="128">
        <v>0</v>
      </c>
      <c r="CQ34" s="128">
        <v>0</v>
      </c>
      <c r="CR34" s="128">
        <v>8.3216999999999403E-2</v>
      </c>
      <c r="CS34" s="128">
        <v>0</v>
      </c>
      <c r="CT34" s="128">
        <v>1.44000000000233E-3</v>
      </c>
      <c r="CU34" s="128">
        <v>0</v>
      </c>
      <c r="CV34" s="128">
        <v>5.55687499999991E-3</v>
      </c>
      <c r="CW34" s="128">
        <v>6.1551999999998899E-2</v>
      </c>
      <c r="CX34" s="128">
        <v>5.7183999999999499E-2</v>
      </c>
      <c r="CY34" s="128">
        <v>1.1993000000000399E-2</v>
      </c>
      <c r="CZ34" s="128">
        <v>2.0666000000000299E-2</v>
      </c>
      <c r="DA34" s="128">
        <v>0.276584</v>
      </c>
      <c r="DB34" s="128">
        <v>8.9970000000000994E-2</v>
      </c>
      <c r="DC34" s="128">
        <v>0.2019470625</v>
      </c>
      <c r="DD34" s="128">
        <v>3.0800999999999901E-2</v>
      </c>
      <c r="DE34" s="128">
        <v>0</v>
      </c>
      <c r="DF34" s="128">
        <v>0</v>
      </c>
      <c r="DG34" s="128">
        <v>1.4742E-2</v>
      </c>
      <c r="DH34" s="128">
        <v>1.7564499999999799E-2</v>
      </c>
      <c r="DI34" s="128">
        <v>1.38163199999997</v>
      </c>
      <c r="DJ34" s="128">
        <v>0</v>
      </c>
      <c r="DK34" s="128">
        <v>4.83960000000003E-2</v>
      </c>
      <c r="DL34" s="128">
        <v>1.5602343750000001E-2</v>
      </c>
      <c r="DM34" s="128">
        <v>0</v>
      </c>
      <c r="DN34" s="128">
        <v>6.4874999999964294E-5</v>
      </c>
      <c r="DO34" s="128">
        <v>3.5663999999996997E-2</v>
      </c>
      <c r="DP34" s="128">
        <v>2.42184999999999E-2</v>
      </c>
      <c r="DQ34" s="128">
        <v>0</v>
      </c>
      <c r="DR34" s="128">
        <v>0</v>
      </c>
      <c r="DS34" s="128">
        <v>0.53382399999998098</v>
      </c>
      <c r="DT34" s="128">
        <v>0.1072495</v>
      </c>
      <c r="DU34" s="128">
        <v>0</v>
      </c>
      <c r="DV34" s="128">
        <v>7.0037499999999796E-3</v>
      </c>
      <c r="DW34" s="128">
        <v>0</v>
      </c>
      <c r="DX34" s="128">
        <v>4.0411000000000599E-2</v>
      </c>
      <c r="DY34" s="128">
        <v>5.0769999999999999E-3</v>
      </c>
      <c r="DZ34" s="128">
        <v>3.1727999999997501E-2</v>
      </c>
      <c r="EA34" s="128">
        <v>0</v>
      </c>
      <c r="EB34" s="128">
        <v>0.42495999999999901</v>
      </c>
      <c r="EC34" s="128">
        <v>6.2048000000004301E-2</v>
      </c>
      <c r="ED34" s="128">
        <v>2.1534999999999198E-3</v>
      </c>
      <c r="EE34" s="128">
        <v>0.15159600000000001</v>
      </c>
      <c r="EF34" s="128">
        <v>8.0915789999999106</v>
      </c>
      <c r="EG34" s="128">
        <v>0</v>
      </c>
      <c r="EH34" s="128">
        <v>0.473728000000051</v>
      </c>
      <c r="EI34" s="128">
        <v>0.59142399999996098</v>
      </c>
      <c r="EJ34" s="128">
        <v>2.8575999999986799E-2</v>
      </c>
      <c r="EK34" s="128">
        <v>0</v>
      </c>
      <c r="EL34" s="128">
        <v>1.17939200000001</v>
      </c>
      <c r="EM34" s="128">
        <v>1.63225599999987</v>
      </c>
      <c r="EN34" s="128">
        <v>1.93100800000002</v>
      </c>
      <c r="EO34" s="128">
        <v>1.82399999999916E-2</v>
      </c>
      <c r="EP34" s="128">
        <v>0</v>
      </c>
      <c r="EQ34" s="128">
        <v>0</v>
      </c>
      <c r="ER34" s="129">
        <v>2.2272150000000202</v>
      </c>
      <c r="ES34" s="129">
        <v>0</v>
      </c>
      <c r="ET34" s="129">
        <v>0</v>
      </c>
      <c r="EU34" s="129">
        <v>0</v>
      </c>
      <c r="EV34" s="30">
        <v>0</v>
      </c>
      <c r="EW34" s="30">
        <v>0</v>
      </c>
      <c r="EX34" s="30">
        <v>0</v>
      </c>
      <c r="EY34" s="30">
        <v>0</v>
      </c>
      <c r="EZ34" s="30">
        <v>0</v>
      </c>
      <c r="FA34" s="30">
        <v>0</v>
      </c>
      <c r="FB34" s="30">
        <v>0</v>
      </c>
      <c r="FC34" s="30">
        <v>0</v>
      </c>
      <c r="FD34" s="30">
        <v>0</v>
      </c>
      <c r="FE34" s="30">
        <v>0</v>
      </c>
      <c r="FF34" s="30">
        <v>0</v>
      </c>
      <c r="FG34" s="30">
        <v>0</v>
      </c>
      <c r="FH34" s="30">
        <v>0</v>
      </c>
      <c r="FI34" s="30">
        <v>0</v>
      </c>
      <c r="FJ34" s="30">
        <v>0</v>
      </c>
      <c r="FK34" s="30">
        <v>0</v>
      </c>
      <c r="FL34" s="30">
        <v>0</v>
      </c>
      <c r="FM34" s="30">
        <v>0</v>
      </c>
      <c r="FN34" s="30">
        <v>0</v>
      </c>
      <c r="FO34" s="30">
        <v>0</v>
      </c>
      <c r="FP34" s="30">
        <v>0</v>
      </c>
      <c r="FQ34" s="30">
        <v>0</v>
      </c>
      <c r="FR34" s="30">
        <v>0</v>
      </c>
      <c r="FS34" s="30">
        <v>0</v>
      </c>
      <c r="FT34" s="30">
        <v>0</v>
      </c>
      <c r="FU34" s="30">
        <v>0</v>
      </c>
      <c r="FV34" s="30">
        <v>0</v>
      </c>
      <c r="FW34" s="30">
        <v>0</v>
      </c>
      <c r="FX34" s="30">
        <v>0</v>
      </c>
      <c r="FY34" s="30">
        <v>0</v>
      </c>
      <c r="FZ34" s="30">
        <v>0</v>
      </c>
      <c r="GA34" s="30">
        <v>0</v>
      </c>
      <c r="GB34" s="30">
        <v>0</v>
      </c>
      <c r="GC34" s="30">
        <v>0</v>
      </c>
      <c r="GD34" s="30">
        <v>0</v>
      </c>
      <c r="GE34" s="30">
        <v>0</v>
      </c>
      <c r="GF34" s="30">
        <v>0</v>
      </c>
      <c r="GG34" s="30">
        <v>0</v>
      </c>
      <c r="GH34" s="30">
        <v>0</v>
      </c>
      <c r="GI34" s="30">
        <v>0</v>
      </c>
      <c r="GJ34" s="30">
        <v>0</v>
      </c>
      <c r="GK34" s="30">
        <v>0</v>
      </c>
      <c r="GL34" s="30">
        <v>0</v>
      </c>
      <c r="GM34" s="30">
        <v>0</v>
      </c>
      <c r="GN34" s="30">
        <v>0</v>
      </c>
      <c r="GO34" s="30">
        <v>0</v>
      </c>
      <c r="GP34" s="30">
        <v>0</v>
      </c>
      <c r="GQ34" s="30">
        <v>0</v>
      </c>
      <c r="GR34" s="30">
        <v>0</v>
      </c>
      <c r="GS34" s="30">
        <v>0</v>
      </c>
    </row>
    <row r="35" spans="1:201" s="30" customFormat="1" ht="14.25" customHeight="1" x14ac:dyDescent="0.25">
      <c r="A35" s="87">
        <v>29</v>
      </c>
      <c r="B35" s="128">
        <v>10.951625</v>
      </c>
      <c r="C35" s="128">
        <v>0</v>
      </c>
      <c r="D35" s="128">
        <v>3.9147060000000198</v>
      </c>
      <c r="E35" s="128">
        <v>3.29601399999996</v>
      </c>
      <c r="F35" s="128">
        <v>3.7059819999999499</v>
      </c>
      <c r="G35" s="128">
        <v>0</v>
      </c>
      <c r="H35" s="128">
        <v>0</v>
      </c>
      <c r="I35" s="128">
        <v>0</v>
      </c>
      <c r="J35" s="128">
        <v>0</v>
      </c>
      <c r="K35" s="128">
        <v>0</v>
      </c>
      <c r="L35" s="128">
        <v>0</v>
      </c>
      <c r="M35" s="128">
        <v>0</v>
      </c>
      <c r="N35" s="128">
        <v>2.23274500000002</v>
      </c>
      <c r="O35" s="128">
        <v>2.3081039999999602</v>
      </c>
      <c r="P35" s="128">
        <v>0.12662900000000099</v>
      </c>
      <c r="Q35" s="128">
        <v>0</v>
      </c>
      <c r="R35" s="128">
        <v>3.81747199999882</v>
      </c>
      <c r="S35" s="128">
        <v>3.1928319999997301</v>
      </c>
      <c r="T35" s="128">
        <v>3.6249599999973698</v>
      </c>
      <c r="U35" s="128">
        <v>0.25887199999999699</v>
      </c>
      <c r="V35" s="128">
        <v>0.125222000000001</v>
      </c>
      <c r="W35" s="128">
        <v>3.2275000000000303E-2</v>
      </c>
      <c r="X35" s="128">
        <v>5.7312999999998802E-2</v>
      </c>
      <c r="Y35" s="128">
        <v>0</v>
      </c>
      <c r="Z35" s="128">
        <v>4.5861000000000401E-2</v>
      </c>
      <c r="AA35" s="128">
        <v>8.2755999999999802E-2</v>
      </c>
      <c r="AB35" s="128">
        <v>0.14879199999999701</v>
      </c>
      <c r="AC35" s="128">
        <v>8.6881999999999196E-2</v>
      </c>
      <c r="AD35" s="128">
        <v>4.9065000000000601E-2</v>
      </c>
      <c r="AE35" s="128">
        <v>4.8238500000000101E-2</v>
      </c>
      <c r="AF35" s="128">
        <v>0</v>
      </c>
      <c r="AG35" s="128">
        <v>1.6003000000000399E-2</v>
      </c>
      <c r="AH35" s="128">
        <v>1.026208</v>
      </c>
      <c r="AI35" s="128">
        <v>0</v>
      </c>
      <c r="AJ35" s="128">
        <v>2.0679999999999601E-2</v>
      </c>
      <c r="AK35" s="128">
        <v>0</v>
      </c>
      <c r="AL35" s="128">
        <v>0.12641240625</v>
      </c>
      <c r="AM35" s="128">
        <v>0.22023200000001</v>
      </c>
      <c r="AN35" s="128">
        <v>0.22582400000000299</v>
      </c>
      <c r="AO35" s="128">
        <v>0.145760000000003</v>
      </c>
      <c r="AP35" s="128">
        <v>7.2637999999997802E-2</v>
      </c>
      <c r="AQ35" s="128">
        <v>0.14836000000000399</v>
      </c>
      <c r="AR35" s="128">
        <v>2.6230399999999499</v>
      </c>
      <c r="AS35" s="128">
        <v>2.2024999999999299E-2</v>
      </c>
      <c r="AT35" s="128">
        <v>0</v>
      </c>
      <c r="AU35" s="128">
        <v>5.0184000000001602E-2</v>
      </c>
      <c r="AV35" s="128">
        <v>5.31650000000017E-3</v>
      </c>
      <c r="AW35" s="128">
        <v>0.57055999999999996</v>
      </c>
      <c r="AX35" s="128">
        <v>0</v>
      </c>
      <c r="AY35" s="128">
        <v>6.3289000000000206E-2</v>
      </c>
      <c r="AZ35" s="128">
        <v>0</v>
      </c>
      <c r="BA35" s="128">
        <v>0</v>
      </c>
      <c r="BB35" s="128">
        <v>0</v>
      </c>
      <c r="BC35" s="128">
        <v>0</v>
      </c>
      <c r="BD35" s="128">
        <v>2.7124765625000098E-3</v>
      </c>
      <c r="BE35" s="128">
        <v>0.110495999999998</v>
      </c>
      <c r="BF35" s="128">
        <v>0</v>
      </c>
      <c r="BG35" s="128">
        <v>1.24110000000002E-2</v>
      </c>
      <c r="BH35" s="128">
        <v>0</v>
      </c>
      <c r="BI35" s="128">
        <v>1.5642880000000301</v>
      </c>
      <c r="BJ35" s="128">
        <v>3.7140000000022199E-3</v>
      </c>
      <c r="BK35" s="128">
        <v>4.7652000000000298E-2</v>
      </c>
      <c r="BL35" s="128">
        <v>1.4000000000180501E-5</v>
      </c>
      <c r="BM35" s="128">
        <v>0.45011199999999002</v>
      </c>
      <c r="BN35" s="128">
        <v>0</v>
      </c>
      <c r="BO35" s="128">
        <v>0.13413999999999901</v>
      </c>
      <c r="BP35" s="128">
        <v>0</v>
      </c>
      <c r="BQ35" s="128">
        <v>0</v>
      </c>
      <c r="BR35" s="128">
        <v>0</v>
      </c>
      <c r="BS35" s="128">
        <v>0</v>
      </c>
      <c r="BT35" s="128">
        <v>6.2367999999999299E-2</v>
      </c>
      <c r="BU35" s="128">
        <v>0</v>
      </c>
      <c r="BV35" s="128">
        <v>0</v>
      </c>
      <c r="BW35" s="128">
        <v>0</v>
      </c>
      <c r="BX35" s="128">
        <v>0</v>
      </c>
      <c r="BY35" s="128">
        <v>0</v>
      </c>
      <c r="BZ35" s="128">
        <v>0.103960000000001</v>
      </c>
      <c r="CA35" s="128">
        <v>9.2491218750000007E-2</v>
      </c>
      <c r="CB35" s="128">
        <v>0</v>
      </c>
      <c r="CC35" s="128">
        <v>0</v>
      </c>
      <c r="CD35" s="128">
        <v>0</v>
      </c>
      <c r="CE35" s="128">
        <v>0</v>
      </c>
      <c r="CF35" s="128">
        <v>1.6951999999999901E-2</v>
      </c>
      <c r="CG35" s="128">
        <v>0</v>
      </c>
      <c r="CH35" s="128">
        <v>1.71289999999997E-2</v>
      </c>
      <c r="CI35" s="128">
        <v>0</v>
      </c>
      <c r="CJ35" s="128">
        <v>0</v>
      </c>
      <c r="CK35" s="128">
        <v>0</v>
      </c>
      <c r="CL35" s="128">
        <v>4.8144000000000603E-2</v>
      </c>
      <c r="CM35" s="128">
        <v>2.8052479999998901</v>
      </c>
      <c r="CN35" s="128">
        <v>5.4755000000000102E-2</v>
      </c>
      <c r="CO35" s="128">
        <v>0.254328000000001</v>
      </c>
      <c r="CP35" s="128">
        <v>0</v>
      </c>
      <c r="CQ35" s="128">
        <v>0</v>
      </c>
      <c r="CR35" s="128">
        <v>6.9696000000000397E-2</v>
      </c>
      <c r="CS35" s="128">
        <v>0</v>
      </c>
      <c r="CT35" s="128">
        <v>8.6768000000006396E-2</v>
      </c>
      <c r="CU35" s="128">
        <v>0</v>
      </c>
      <c r="CV35" s="128">
        <v>4.1079999999999997E-3</v>
      </c>
      <c r="CW35" s="128">
        <v>1.1160000000003801E-2</v>
      </c>
      <c r="CX35" s="128">
        <v>1.05679999999992E-2</v>
      </c>
      <c r="CY35" s="128">
        <v>7.8269999999998098E-3</v>
      </c>
      <c r="CZ35" s="128">
        <v>2.2699999999999901E-2</v>
      </c>
      <c r="DA35" s="128">
        <v>0.27639999999999498</v>
      </c>
      <c r="DB35" s="128">
        <v>7.0159000000000304E-2</v>
      </c>
      <c r="DC35" s="128">
        <v>0.18636287500000001</v>
      </c>
      <c r="DD35" s="128">
        <v>2.9943500000000099E-2</v>
      </c>
      <c r="DE35" s="128">
        <v>0</v>
      </c>
      <c r="DF35" s="128">
        <v>0</v>
      </c>
      <c r="DG35" s="128">
        <v>8.08600000000048E-3</v>
      </c>
      <c r="DH35" s="128">
        <v>1.8200999999999499E-2</v>
      </c>
      <c r="DI35" s="128">
        <v>1.57574399999999</v>
      </c>
      <c r="DJ35" s="128">
        <v>0</v>
      </c>
      <c r="DK35" s="128">
        <v>4.1727999999999099E-2</v>
      </c>
      <c r="DL35" s="128">
        <v>8.2443281250000108E-3</v>
      </c>
      <c r="DM35" s="128">
        <v>1.6627999999999001E-2</v>
      </c>
      <c r="DN35" s="128">
        <v>0</v>
      </c>
      <c r="DO35" s="128">
        <v>7.1200000000004607E-2</v>
      </c>
      <c r="DP35" s="128">
        <v>3.4503000000000797E-2</v>
      </c>
      <c r="DQ35" s="128">
        <v>0</v>
      </c>
      <c r="DR35" s="128">
        <v>0</v>
      </c>
      <c r="DS35" s="128">
        <v>0.44463999999999299</v>
      </c>
      <c r="DT35" s="128">
        <v>0.15764649999999999</v>
      </c>
      <c r="DU35" s="128">
        <v>1.37999999999749E-4</v>
      </c>
      <c r="DV35" s="128">
        <v>7.0514999999997698E-3</v>
      </c>
      <c r="DW35" s="128">
        <v>0</v>
      </c>
      <c r="DX35" s="128">
        <v>6.3436999999998606E-2</v>
      </c>
      <c r="DY35" s="128">
        <v>5.1478750000000196E-3</v>
      </c>
      <c r="DZ35" s="128">
        <v>3.8496000000002098E-2</v>
      </c>
      <c r="EA35" s="128">
        <v>0</v>
      </c>
      <c r="EB35" s="128">
        <v>0.46846399999998301</v>
      </c>
      <c r="EC35" s="128">
        <v>0.16654400000001601</v>
      </c>
      <c r="ED35" s="128">
        <v>4.9669999999997199E-3</v>
      </c>
      <c r="EE35" s="128">
        <v>0.15363750000000001</v>
      </c>
      <c r="EF35" s="128">
        <v>7.0001920000013298</v>
      </c>
      <c r="EG35" s="128">
        <v>0</v>
      </c>
      <c r="EH35" s="128">
        <v>0.40127999999992903</v>
      </c>
      <c r="EI35" s="128">
        <v>0.53664000000003398</v>
      </c>
      <c r="EJ35" s="128">
        <v>1.3056000000006E-2</v>
      </c>
      <c r="EK35" s="128">
        <v>0</v>
      </c>
      <c r="EL35" s="128">
        <v>1.6748800000000299</v>
      </c>
      <c r="EM35" s="128">
        <v>0.35763200000019402</v>
      </c>
      <c r="EN35" s="128">
        <v>2.2622719999999399</v>
      </c>
      <c r="EO35" s="128">
        <v>1.8303999999943699E-2</v>
      </c>
      <c r="EP35" s="128">
        <v>0</v>
      </c>
      <c r="EQ35" s="128">
        <v>0</v>
      </c>
      <c r="ER35" s="129">
        <v>1.72502499999999</v>
      </c>
      <c r="ES35" s="129">
        <v>0</v>
      </c>
      <c r="ET35" s="129">
        <v>0</v>
      </c>
      <c r="EU35" s="129">
        <v>0</v>
      </c>
      <c r="EV35" s="30">
        <v>0</v>
      </c>
      <c r="EW35" s="30">
        <v>0</v>
      </c>
      <c r="EX35" s="30">
        <v>0</v>
      </c>
      <c r="EY35" s="30">
        <v>0</v>
      </c>
      <c r="EZ35" s="30">
        <v>0</v>
      </c>
      <c r="FA35" s="30">
        <v>0</v>
      </c>
      <c r="FB35" s="30">
        <v>0</v>
      </c>
      <c r="FC35" s="30">
        <v>0</v>
      </c>
      <c r="FD35" s="30">
        <v>0</v>
      </c>
      <c r="FE35" s="30">
        <v>0</v>
      </c>
      <c r="FF35" s="30">
        <v>0</v>
      </c>
      <c r="FG35" s="30">
        <v>0</v>
      </c>
      <c r="FH35" s="30">
        <v>0</v>
      </c>
      <c r="FI35" s="30">
        <v>0</v>
      </c>
      <c r="FJ35" s="30">
        <v>0</v>
      </c>
      <c r="FK35" s="30">
        <v>0</v>
      </c>
      <c r="FL35" s="30">
        <v>0</v>
      </c>
      <c r="FM35" s="30">
        <v>0</v>
      </c>
      <c r="FN35" s="30">
        <v>0</v>
      </c>
      <c r="FO35" s="30">
        <v>0</v>
      </c>
      <c r="FP35" s="30">
        <v>0</v>
      </c>
      <c r="FQ35" s="30">
        <v>0</v>
      </c>
      <c r="FR35" s="30">
        <v>0</v>
      </c>
      <c r="FS35" s="30">
        <v>0</v>
      </c>
      <c r="FT35" s="30">
        <v>0</v>
      </c>
      <c r="FU35" s="30">
        <v>0</v>
      </c>
      <c r="FV35" s="30">
        <v>0</v>
      </c>
      <c r="FW35" s="30">
        <v>0</v>
      </c>
      <c r="FX35" s="30">
        <v>0</v>
      </c>
      <c r="FY35" s="30">
        <v>0</v>
      </c>
      <c r="FZ35" s="30">
        <v>0</v>
      </c>
      <c r="GA35" s="30">
        <v>0</v>
      </c>
      <c r="GB35" s="30">
        <v>0</v>
      </c>
      <c r="GC35" s="30">
        <v>0</v>
      </c>
      <c r="GD35" s="30">
        <v>0</v>
      </c>
      <c r="GE35" s="30">
        <v>0</v>
      </c>
      <c r="GF35" s="30">
        <v>0</v>
      </c>
      <c r="GG35" s="30">
        <v>0</v>
      </c>
      <c r="GH35" s="30">
        <v>0</v>
      </c>
      <c r="GI35" s="30">
        <v>0</v>
      </c>
      <c r="GJ35" s="30">
        <v>0</v>
      </c>
      <c r="GK35" s="30">
        <v>0</v>
      </c>
      <c r="GL35" s="30">
        <v>0</v>
      </c>
      <c r="GM35" s="30">
        <v>0</v>
      </c>
      <c r="GN35" s="30">
        <v>0</v>
      </c>
      <c r="GO35" s="30">
        <v>0</v>
      </c>
      <c r="GP35" s="30">
        <v>0</v>
      </c>
      <c r="GQ35" s="30">
        <v>0</v>
      </c>
      <c r="GR35" s="30">
        <v>0</v>
      </c>
      <c r="GS35" s="30">
        <v>0</v>
      </c>
    </row>
    <row r="36" spans="1:201" s="30" customFormat="1" ht="14.25" customHeight="1" x14ac:dyDescent="0.25">
      <c r="A36" s="87">
        <v>30</v>
      </c>
      <c r="B36" s="128">
        <v>22.303374999999999</v>
      </c>
      <c r="C36" s="128">
        <v>0</v>
      </c>
      <c r="D36" s="128">
        <v>7.9670260000000299</v>
      </c>
      <c r="E36" s="128">
        <v>6.7715319999999801</v>
      </c>
      <c r="F36" s="128">
        <v>7.5752009999999901</v>
      </c>
      <c r="G36" s="128">
        <v>0</v>
      </c>
      <c r="H36" s="128">
        <v>0</v>
      </c>
      <c r="I36" s="128">
        <v>0</v>
      </c>
      <c r="J36" s="128">
        <v>0</v>
      </c>
      <c r="K36" s="128">
        <v>0</v>
      </c>
      <c r="L36" s="128">
        <v>0</v>
      </c>
      <c r="M36" s="128">
        <v>0</v>
      </c>
      <c r="N36" s="128">
        <v>2.3386729999999698</v>
      </c>
      <c r="O36" s="128">
        <v>2.4217680000000401</v>
      </c>
      <c r="P36" s="128">
        <v>0.14086199999999799</v>
      </c>
      <c r="Q36" s="128">
        <v>0</v>
      </c>
      <c r="R36" s="128">
        <v>7.8069759999998496</v>
      </c>
      <c r="S36" s="128">
        <v>6.5663999999996996</v>
      </c>
      <c r="T36" s="128">
        <v>7.3564160000023504</v>
      </c>
      <c r="U36" s="128">
        <v>0.51522400000000301</v>
      </c>
      <c r="V36" s="128">
        <v>0.13547799999999899</v>
      </c>
      <c r="W36" s="128">
        <v>7.38889999999994E-2</v>
      </c>
      <c r="X36" s="128">
        <v>7.5354000000000795E-2</v>
      </c>
      <c r="Y36" s="128">
        <v>0</v>
      </c>
      <c r="Z36" s="128">
        <v>4.9440999999999798E-2</v>
      </c>
      <c r="AA36" s="128">
        <v>0.121195999999998</v>
      </c>
      <c r="AB36" s="128">
        <v>0.14916600000000099</v>
      </c>
      <c r="AC36" s="128">
        <v>8.8036000000002404E-2</v>
      </c>
      <c r="AD36" s="128">
        <v>5.5997999999998903E-2</v>
      </c>
      <c r="AE36" s="128">
        <v>5.8658499999999898E-2</v>
      </c>
      <c r="AF36" s="128">
        <v>0</v>
      </c>
      <c r="AG36" s="128">
        <v>5.85974999999994E-2</v>
      </c>
      <c r="AH36" s="128">
        <v>1.91846399999997</v>
      </c>
      <c r="AI36" s="128">
        <v>0</v>
      </c>
      <c r="AJ36" s="128">
        <v>3.7499499999999998E-2</v>
      </c>
      <c r="AK36" s="128">
        <v>0</v>
      </c>
      <c r="AL36" s="128">
        <v>0.30880389062500002</v>
      </c>
      <c r="AM36" s="128">
        <v>0.48814399999999097</v>
      </c>
      <c r="AN36" s="128">
        <v>0.37556800000000101</v>
      </c>
      <c r="AO36" s="128">
        <v>0.154975999999998</v>
      </c>
      <c r="AP36" s="128">
        <v>8.1192000000001499E-2</v>
      </c>
      <c r="AQ36" s="128">
        <v>0.32695999999999997</v>
      </c>
      <c r="AR36" s="128">
        <v>4.5328000000000701</v>
      </c>
      <c r="AS36" s="128">
        <v>5.2274999999999801E-2</v>
      </c>
      <c r="AT36" s="128">
        <v>0</v>
      </c>
      <c r="AU36" s="128">
        <v>6.2300000000000501E-2</v>
      </c>
      <c r="AV36" s="128">
        <v>3.4777499999999698E-2</v>
      </c>
      <c r="AW36" s="128">
        <v>1.25363200000004</v>
      </c>
      <c r="AX36" s="128">
        <v>0</v>
      </c>
      <c r="AY36" s="128">
        <v>6.9487000000000507E-2</v>
      </c>
      <c r="AZ36" s="128">
        <v>3.5000000000451299E-6</v>
      </c>
      <c r="BA36" s="128">
        <v>0</v>
      </c>
      <c r="BB36" s="128">
        <v>0</v>
      </c>
      <c r="BC36" s="128">
        <v>0</v>
      </c>
      <c r="BD36" s="128">
        <v>3.4266953124999899E-3</v>
      </c>
      <c r="BE36" s="128">
        <v>0.11817800000000001</v>
      </c>
      <c r="BF36" s="128">
        <v>0</v>
      </c>
      <c r="BG36" s="128">
        <v>1.5959999999999801E-2</v>
      </c>
      <c r="BH36" s="128">
        <v>7.5979999999979996E-3</v>
      </c>
      <c r="BI36" s="128">
        <v>2.5817919999999499</v>
      </c>
      <c r="BJ36" s="128">
        <v>5.4899999999946702E-4</v>
      </c>
      <c r="BK36" s="128">
        <v>7.69789999999997E-2</v>
      </c>
      <c r="BL36" s="128">
        <v>0</v>
      </c>
      <c r="BM36" s="128">
        <v>2.2661440000000002</v>
      </c>
      <c r="BN36" s="128">
        <v>0</v>
      </c>
      <c r="BO36" s="128">
        <v>0.468001000000001</v>
      </c>
      <c r="BP36" s="128">
        <v>0</v>
      </c>
      <c r="BQ36" s="128">
        <v>0</v>
      </c>
      <c r="BR36" s="128">
        <v>0</v>
      </c>
      <c r="BS36" s="128">
        <v>0</v>
      </c>
      <c r="BT36" s="128">
        <v>0.245116000000003</v>
      </c>
      <c r="BU36" s="128">
        <v>0</v>
      </c>
      <c r="BV36" s="128">
        <v>0</v>
      </c>
      <c r="BW36" s="128">
        <v>0</v>
      </c>
      <c r="BX36" s="128">
        <v>0</v>
      </c>
      <c r="BY36" s="128">
        <v>0</v>
      </c>
      <c r="BZ36" s="128">
        <v>1.01662400000001</v>
      </c>
      <c r="CA36" s="128">
        <v>0.35895778125</v>
      </c>
      <c r="CB36" s="128">
        <v>0</v>
      </c>
      <c r="CC36" s="128">
        <v>0</v>
      </c>
      <c r="CD36" s="128">
        <v>0</v>
      </c>
      <c r="CE36" s="128">
        <v>0</v>
      </c>
      <c r="CF36" s="128">
        <v>2.3589000000001199E-2</v>
      </c>
      <c r="CG36" s="128">
        <v>0</v>
      </c>
      <c r="CH36" s="128">
        <v>1.7451250000000099E-2</v>
      </c>
      <c r="CI36" s="128">
        <v>0</v>
      </c>
      <c r="CJ36" s="128">
        <v>0</v>
      </c>
      <c r="CK36" s="128">
        <v>0</v>
      </c>
      <c r="CL36" s="128">
        <v>2.9333999999998601E-2</v>
      </c>
      <c r="CM36" s="128">
        <v>4.2208000000000503</v>
      </c>
      <c r="CN36" s="128">
        <v>5.4914000000000102E-2</v>
      </c>
      <c r="CO36" s="128">
        <v>0.59552800000000194</v>
      </c>
      <c r="CP36" s="128">
        <v>0</v>
      </c>
      <c r="CQ36" s="128">
        <v>0</v>
      </c>
      <c r="CR36" s="128">
        <v>0.15560499999999999</v>
      </c>
      <c r="CS36" s="128">
        <v>0</v>
      </c>
      <c r="CT36" s="128">
        <v>0.19814399999999899</v>
      </c>
      <c r="CU36" s="128">
        <v>0</v>
      </c>
      <c r="CV36" s="128">
        <v>1.45891250000001E-2</v>
      </c>
      <c r="CW36" s="128">
        <v>5.7527999999997803E-2</v>
      </c>
      <c r="CX36" s="128">
        <v>0</v>
      </c>
      <c r="CY36" s="128">
        <v>1.56889999999998E-2</v>
      </c>
      <c r="CZ36" s="128">
        <v>2.59212500000001E-2</v>
      </c>
      <c r="DA36" s="128">
        <v>0.277808</v>
      </c>
      <c r="DB36" s="128">
        <v>0.115437</v>
      </c>
      <c r="DC36" s="128">
        <v>0.15673124999999999</v>
      </c>
      <c r="DD36" s="128">
        <v>2.9228749999999901E-2</v>
      </c>
      <c r="DE36" s="128">
        <v>0</v>
      </c>
      <c r="DF36" s="128">
        <v>0</v>
      </c>
      <c r="DG36" s="128">
        <v>1.6968999999999599E-2</v>
      </c>
      <c r="DH36" s="128">
        <v>2.0362500000000099E-2</v>
      </c>
      <c r="DI36" s="128">
        <v>4.7226880000000602</v>
      </c>
      <c r="DJ36" s="128">
        <v>0</v>
      </c>
      <c r="DK36" s="128">
        <v>6.6878000000002699E-2</v>
      </c>
      <c r="DL36" s="128">
        <v>1.9309468749999999E-2</v>
      </c>
      <c r="DM36" s="128">
        <v>3.4016000000001198E-2</v>
      </c>
      <c r="DN36" s="128">
        <v>3.2075000000009201E-4</v>
      </c>
      <c r="DO36" s="128">
        <v>0.15043199999999499</v>
      </c>
      <c r="DP36" s="128">
        <v>4.37135000000008E-2</v>
      </c>
      <c r="DQ36" s="128">
        <v>0</v>
      </c>
      <c r="DR36" s="128">
        <v>0</v>
      </c>
      <c r="DS36" s="128">
        <v>1.7356159999999901</v>
      </c>
      <c r="DT36" s="128">
        <v>0.380655999999999</v>
      </c>
      <c r="DU36" s="128">
        <v>4.8899999999996201E-4</v>
      </c>
      <c r="DV36" s="128">
        <v>1.119125E-2</v>
      </c>
      <c r="DW36" s="128">
        <v>0</v>
      </c>
      <c r="DX36" s="128">
        <v>8.6495000000001099E-2</v>
      </c>
      <c r="DY36" s="128">
        <v>6.7022500000000198E-3</v>
      </c>
      <c r="DZ36" s="128">
        <v>0.10381599999999799</v>
      </c>
      <c r="EA36" s="128">
        <v>0</v>
      </c>
      <c r="EB36" s="128">
        <v>1.316576</v>
      </c>
      <c r="EC36" s="128">
        <v>0.73635199999998202</v>
      </c>
      <c r="ED36" s="128">
        <v>4.27280000000003E-2</v>
      </c>
      <c r="EE36" s="128">
        <v>0.141236999999999</v>
      </c>
      <c r="EF36" s="128">
        <v>9.7072649999991008</v>
      </c>
      <c r="EG36" s="128">
        <v>0</v>
      </c>
      <c r="EH36" s="128">
        <v>0.469567999999981</v>
      </c>
      <c r="EI36" s="128">
        <v>0.53068799999994098</v>
      </c>
      <c r="EJ36" s="128">
        <v>6.2751999999988997E-2</v>
      </c>
      <c r="EK36" s="128">
        <v>0</v>
      </c>
      <c r="EL36" s="128">
        <v>2.2397439999999702</v>
      </c>
      <c r="EM36" s="128">
        <v>3.5279359999999498</v>
      </c>
      <c r="EN36" s="128">
        <v>0.32025599999997201</v>
      </c>
      <c r="EO36" s="128">
        <v>1.8176000000039501E-2</v>
      </c>
      <c r="EP36" s="128">
        <v>0</v>
      </c>
      <c r="EQ36" s="128">
        <v>0</v>
      </c>
      <c r="ER36" s="129">
        <v>2.5479150000000201</v>
      </c>
      <c r="ES36" s="129">
        <v>0</v>
      </c>
      <c r="ET36" s="129">
        <v>0</v>
      </c>
      <c r="EU36" s="129">
        <v>0</v>
      </c>
      <c r="EV36" s="30">
        <v>0</v>
      </c>
      <c r="EW36" s="30">
        <v>0</v>
      </c>
      <c r="EX36" s="30">
        <v>0</v>
      </c>
      <c r="EY36" s="30">
        <v>0</v>
      </c>
      <c r="EZ36" s="30">
        <v>0</v>
      </c>
      <c r="FA36" s="30">
        <v>0</v>
      </c>
      <c r="FB36" s="30">
        <v>0</v>
      </c>
      <c r="FC36" s="30">
        <v>0</v>
      </c>
      <c r="FD36" s="30">
        <v>0</v>
      </c>
      <c r="FE36" s="30">
        <v>0</v>
      </c>
      <c r="FF36" s="30">
        <v>0</v>
      </c>
      <c r="FG36" s="30">
        <v>0</v>
      </c>
      <c r="FH36" s="30">
        <v>0</v>
      </c>
      <c r="FI36" s="30">
        <v>0</v>
      </c>
      <c r="FJ36" s="30">
        <v>0</v>
      </c>
      <c r="FK36" s="30">
        <v>0</v>
      </c>
      <c r="FL36" s="30">
        <v>0</v>
      </c>
      <c r="FM36" s="30">
        <v>0</v>
      </c>
      <c r="FN36" s="30">
        <v>0</v>
      </c>
      <c r="FO36" s="30">
        <v>0</v>
      </c>
      <c r="FP36" s="30">
        <v>0</v>
      </c>
      <c r="FQ36" s="30">
        <v>0</v>
      </c>
      <c r="FR36" s="30">
        <v>0</v>
      </c>
      <c r="FS36" s="30">
        <v>0</v>
      </c>
      <c r="FT36" s="30">
        <v>0</v>
      </c>
      <c r="FU36" s="30">
        <v>0</v>
      </c>
      <c r="FV36" s="30">
        <v>0</v>
      </c>
      <c r="FW36" s="30">
        <v>0</v>
      </c>
      <c r="FX36" s="30">
        <v>0</v>
      </c>
      <c r="FY36" s="30">
        <v>0</v>
      </c>
      <c r="FZ36" s="30">
        <v>0</v>
      </c>
      <c r="GA36" s="30">
        <v>0</v>
      </c>
      <c r="GB36" s="30">
        <v>0</v>
      </c>
      <c r="GC36" s="30">
        <v>0</v>
      </c>
      <c r="GD36" s="30">
        <v>0</v>
      </c>
      <c r="GE36" s="30">
        <v>0</v>
      </c>
      <c r="GF36" s="30">
        <v>0</v>
      </c>
      <c r="GG36" s="30">
        <v>0</v>
      </c>
      <c r="GH36" s="30">
        <v>0</v>
      </c>
      <c r="GI36" s="30">
        <v>0</v>
      </c>
      <c r="GJ36" s="30">
        <v>0</v>
      </c>
      <c r="GK36" s="30">
        <v>0</v>
      </c>
      <c r="GL36" s="30">
        <v>0</v>
      </c>
      <c r="GM36" s="30">
        <v>0</v>
      </c>
      <c r="GN36" s="30">
        <v>0</v>
      </c>
      <c r="GO36" s="30">
        <v>0</v>
      </c>
      <c r="GP36" s="30">
        <v>0</v>
      </c>
      <c r="GQ36" s="30">
        <v>0</v>
      </c>
      <c r="GR36" s="30">
        <v>0</v>
      </c>
      <c r="GS36" s="30">
        <v>0</v>
      </c>
    </row>
    <row r="37" spans="1:201" s="30" customFormat="1" ht="14.25" customHeight="1" x14ac:dyDescent="0.25">
      <c r="A37" s="87">
        <v>31</v>
      </c>
      <c r="B37" s="88"/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8"/>
      <c r="AK37" s="88"/>
      <c r="AL37" s="88"/>
      <c r="AM37" s="88"/>
      <c r="AN37" s="88"/>
      <c r="AO37" s="88"/>
      <c r="AP37" s="88"/>
      <c r="AQ37" s="88"/>
      <c r="AR37" s="88"/>
      <c r="AS37" s="88"/>
      <c r="AT37" s="88"/>
      <c r="AU37" s="88"/>
      <c r="AV37" s="88"/>
      <c r="AW37" s="88"/>
      <c r="AX37" s="88"/>
      <c r="AY37" s="88"/>
      <c r="AZ37" s="88"/>
      <c r="BA37" s="88"/>
      <c r="BB37" s="88"/>
      <c r="BC37" s="88"/>
      <c r="BD37" s="88"/>
      <c r="BE37" s="88"/>
      <c r="BF37" s="88"/>
      <c r="BG37" s="88"/>
      <c r="BH37" s="88"/>
      <c r="BI37" s="88"/>
      <c r="BJ37" s="88"/>
      <c r="BK37" s="88"/>
      <c r="BL37" s="88"/>
      <c r="BM37" s="88"/>
      <c r="BN37" s="88"/>
      <c r="BO37" s="88"/>
      <c r="BP37" s="88"/>
      <c r="BQ37" s="88"/>
      <c r="BR37" s="88"/>
      <c r="BS37" s="88"/>
      <c r="BT37" s="88"/>
      <c r="BU37" s="88"/>
      <c r="BV37" s="88"/>
      <c r="BW37" s="88"/>
      <c r="BX37" s="88"/>
      <c r="BY37" s="88"/>
      <c r="BZ37" s="88"/>
      <c r="CA37" s="88"/>
      <c r="CB37" s="88"/>
      <c r="CC37" s="88"/>
      <c r="CD37" s="88"/>
      <c r="CE37" s="88"/>
      <c r="CF37" s="88"/>
      <c r="CG37" s="88"/>
      <c r="CH37" s="88"/>
      <c r="CI37" s="88"/>
      <c r="CJ37" s="88"/>
      <c r="CK37" s="88"/>
      <c r="CL37" s="88"/>
      <c r="CM37" s="88"/>
      <c r="CN37" s="88"/>
      <c r="CO37" s="88"/>
      <c r="CP37" s="88"/>
      <c r="CQ37" s="88"/>
      <c r="CR37" s="88"/>
      <c r="CS37" s="88"/>
      <c r="CT37" s="88"/>
      <c r="CU37" s="88"/>
      <c r="CV37" s="88"/>
      <c r="CW37" s="88"/>
      <c r="CX37" s="88"/>
      <c r="CY37" s="88"/>
      <c r="CZ37" s="88"/>
      <c r="DA37" s="88"/>
      <c r="DB37" s="88"/>
      <c r="DC37" s="88"/>
      <c r="DD37" s="88"/>
      <c r="DE37" s="88"/>
      <c r="DF37" s="88"/>
      <c r="DG37" s="88"/>
      <c r="DH37" s="88"/>
      <c r="DI37" s="88"/>
      <c r="DJ37" s="88"/>
      <c r="DK37" s="88"/>
      <c r="DL37" s="88"/>
      <c r="DM37" s="88"/>
      <c r="DN37" s="88"/>
      <c r="DO37" s="88"/>
      <c r="DP37" s="88"/>
      <c r="DQ37" s="88"/>
      <c r="DR37" s="88"/>
      <c r="DS37" s="88"/>
      <c r="DT37" s="88"/>
      <c r="DU37" s="88"/>
      <c r="DV37" s="88"/>
      <c r="DW37" s="88"/>
      <c r="DX37" s="88"/>
      <c r="DY37" s="88"/>
      <c r="DZ37" s="88"/>
      <c r="EA37" s="88"/>
      <c r="EB37" s="88"/>
      <c r="EC37" s="88"/>
      <c r="ED37" s="88"/>
      <c r="EE37" s="88"/>
      <c r="EF37" s="88"/>
      <c r="EG37" s="88"/>
      <c r="EH37" s="88"/>
      <c r="EI37" s="88"/>
      <c r="EJ37" s="88"/>
      <c r="EK37" s="88"/>
      <c r="EL37" s="88"/>
      <c r="EM37" s="88"/>
      <c r="EN37" s="88"/>
      <c r="EO37" s="88"/>
      <c r="EP37" s="88"/>
      <c r="EQ37" s="88"/>
    </row>
    <row r="38" spans="1:201" s="30" customFormat="1" x14ac:dyDescent="0.25">
      <c r="A38" s="89"/>
    </row>
    <row r="39" spans="1:201" s="30" customFormat="1" x14ac:dyDescent="0.25">
      <c r="A39" s="89"/>
    </row>
    <row r="40" spans="1:201" s="30" customFormat="1" ht="12" customHeight="1" x14ac:dyDescent="0.3">
      <c r="A40" s="90" t="s">
        <v>50</v>
      </c>
      <c r="B40" s="91">
        <f t="shared" ref="B40:BM40" si="0">SUM(B7:B37)</f>
        <v>544.43287499999997</v>
      </c>
      <c r="C40" s="91">
        <f t="shared" si="0"/>
        <v>155.41705000000005</v>
      </c>
      <c r="D40" s="91">
        <f t="shared" si="0"/>
        <v>199.33437600000013</v>
      </c>
      <c r="E40" s="91">
        <f t="shared" si="0"/>
        <v>129.22055499999999</v>
      </c>
      <c r="F40" s="91">
        <f t="shared" si="0"/>
        <v>78.314871999999994</v>
      </c>
      <c r="G40" s="91">
        <f t="shared" si="0"/>
        <v>17.17399799999999</v>
      </c>
      <c r="H40" s="91">
        <f t="shared" si="0"/>
        <v>4.0273710000000005</v>
      </c>
      <c r="I40" s="91">
        <f t="shared" si="0"/>
        <v>4.7435829999999983</v>
      </c>
      <c r="J40" s="91">
        <f t="shared" si="0"/>
        <v>1.3901389999999996</v>
      </c>
      <c r="K40" s="91">
        <f t="shared" si="0"/>
        <v>0.97925899999999988</v>
      </c>
      <c r="L40" s="91">
        <f t="shared" si="0"/>
        <v>3.1092139999999988</v>
      </c>
      <c r="M40" s="91">
        <f t="shared" si="0"/>
        <v>17.151282999999982</v>
      </c>
      <c r="N40" s="91">
        <f t="shared" si="0"/>
        <v>110.47305100000005</v>
      </c>
      <c r="O40" s="91">
        <f t="shared" si="0"/>
        <v>111.09342500000014</v>
      </c>
      <c r="P40" s="91">
        <f t="shared" si="0"/>
        <v>7.6628319999999963</v>
      </c>
      <c r="Q40" s="91">
        <f t="shared" si="0"/>
        <v>151.39635199999975</v>
      </c>
      <c r="R40" s="91">
        <f t="shared" si="0"/>
        <v>194.7381759999989</v>
      </c>
      <c r="S40" s="91">
        <f t="shared" si="0"/>
        <v>125.67705599999954</v>
      </c>
      <c r="T40" s="91">
        <f t="shared" si="0"/>
        <v>76.027904000002309</v>
      </c>
      <c r="U40" s="91">
        <f t="shared" si="0"/>
        <v>13.141824</v>
      </c>
      <c r="V40" s="91">
        <f t="shared" si="0"/>
        <v>3.774054</v>
      </c>
      <c r="W40" s="91">
        <f t="shared" si="0"/>
        <v>1.6838770000000007</v>
      </c>
      <c r="X40" s="91">
        <f t="shared" si="0"/>
        <v>1.9131800000000005</v>
      </c>
      <c r="Y40" s="91">
        <f t="shared" si="0"/>
        <v>0</v>
      </c>
      <c r="Z40" s="91">
        <f t="shared" si="0"/>
        <v>1.3473400000000009</v>
      </c>
      <c r="AA40" s="91">
        <f t="shared" si="0"/>
        <v>3.0588079999999991</v>
      </c>
      <c r="AB40" s="91">
        <f t="shared" si="0"/>
        <v>4.7117499999999968</v>
      </c>
      <c r="AC40" s="91">
        <f t="shared" si="0"/>
        <v>3.5413060000000041</v>
      </c>
      <c r="AD40" s="91">
        <f t="shared" si="0"/>
        <v>1.6591389999999999</v>
      </c>
      <c r="AE40" s="91">
        <f t="shared" si="0"/>
        <v>2.9231884999999989</v>
      </c>
      <c r="AF40" s="91">
        <f t="shared" si="0"/>
        <v>0</v>
      </c>
      <c r="AG40" s="91">
        <f t="shared" si="0"/>
        <v>0.53561274999999975</v>
      </c>
      <c r="AH40" s="91">
        <f t="shared" si="0"/>
        <v>51.397759999999998</v>
      </c>
      <c r="AI40" s="91">
        <f t="shared" si="0"/>
        <v>0</v>
      </c>
      <c r="AJ40" s="91">
        <f t="shared" si="0"/>
        <v>1.0602035000000001</v>
      </c>
      <c r="AK40" s="91">
        <f t="shared" si="0"/>
        <v>0</v>
      </c>
      <c r="AL40" s="91">
        <f t="shared" si="0"/>
        <v>8.6217362968750013</v>
      </c>
      <c r="AM40" s="91">
        <f t="shared" si="0"/>
        <v>12.536623999999989</v>
      </c>
      <c r="AN40" s="91">
        <f t="shared" si="0"/>
        <v>10.019431999999995</v>
      </c>
      <c r="AO40" s="91">
        <f t="shared" si="0"/>
        <v>4.0864899999999995</v>
      </c>
      <c r="AP40" s="91">
        <f t="shared" si="0"/>
        <v>2.4404579999999996</v>
      </c>
      <c r="AQ40" s="91">
        <f t="shared" si="0"/>
        <v>8.3326520000000048</v>
      </c>
      <c r="AR40" s="91">
        <f t="shared" si="0"/>
        <v>135.83024</v>
      </c>
      <c r="AS40" s="91">
        <f t="shared" si="0"/>
        <v>1.7098859999999994</v>
      </c>
      <c r="AT40" s="91">
        <f t="shared" si="0"/>
        <v>0</v>
      </c>
      <c r="AU40" s="91">
        <f t="shared" si="0"/>
        <v>1.400092000000001</v>
      </c>
      <c r="AV40" s="91">
        <f t="shared" si="0"/>
        <v>0.86065799999999992</v>
      </c>
      <c r="AW40" s="91">
        <f t="shared" si="0"/>
        <v>48.029248000000045</v>
      </c>
      <c r="AX40" s="91">
        <f t="shared" si="0"/>
        <v>0</v>
      </c>
      <c r="AY40" s="91">
        <f t="shared" si="0"/>
        <v>2.3367729999999995</v>
      </c>
      <c r="AZ40" s="91">
        <f t="shared" si="0"/>
        <v>1.2849999999975381E-4</v>
      </c>
      <c r="BA40" s="91">
        <f t="shared" si="0"/>
        <v>0</v>
      </c>
      <c r="BB40" s="91">
        <f t="shared" si="0"/>
        <v>0</v>
      </c>
      <c r="BC40" s="91">
        <f t="shared" si="0"/>
        <v>0</v>
      </c>
      <c r="BD40" s="91">
        <f t="shared" si="0"/>
        <v>0.1036623920288087</v>
      </c>
      <c r="BE40" s="91">
        <f t="shared" si="0"/>
        <v>4.5285519999999959</v>
      </c>
      <c r="BF40" s="91">
        <f t="shared" si="0"/>
        <v>0</v>
      </c>
      <c r="BG40" s="91">
        <f t="shared" si="0"/>
        <v>0.47568799999999983</v>
      </c>
      <c r="BH40" s="91">
        <f t="shared" si="0"/>
        <v>0.54119400000000084</v>
      </c>
      <c r="BI40" s="91">
        <f t="shared" si="0"/>
        <v>67.333167999999944</v>
      </c>
      <c r="BJ40" s="91">
        <f t="shared" si="0"/>
        <v>5.8973999999999187E-2</v>
      </c>
      <c r="BK40" s="91">
        <f t="shared" si="0"/>
        <v>1.9954485000000002</v>
      </c>
      <c r="BL40" s="91">
        <f t="shared" si="0"/>
        <v>2.3040000000023064E-3</v>
      </c>
      <c r="BM40" s="91">
        <f t="shared" si="0"/>
        <v>44.662335999999982</v>
      </c>
      <c r="BN40" s="91">
        <f t="shared" ref="BN40:CV40" si="1">SUM(BN7:BN37)</f>
        <v>0</v>
      </c>
      <c r="BO40" s="91">
        <f t="shared" si="1"/>
        <v>8.3317330000000016</v>
      </c>
      <c r="BP40" s="91">
        <f t="shared" si="1"/>
        <v>0</v>
      </c>
      <c r="BQ40" s="91">
        <f t="shared" si="1"/>
        <v>0</v>
      </c>
      <c r="BR40" s="91">
        <f t="shared" si="1"/>
        <v>0</v>
      </c>
      <c r="BS40" s="91">
        <f t="shared" si="1"/>
        <v>0</v>
      </c>
      <c r="BT40" s="91">
        <f t="shared" si="1"/>
        <v>5.2186679999999983</v>
      </c>
      <c r="BU40" s="91">
        <f t="shared" si="1"/>
        <v>0</v>
      </c>
      <c r="BV40" s="91">
        <f t="shared" si="1"/>
        <v>0</v>
      </c>
      <c r="BW40" s="91">
        <f t="shared" si="1"/>
        <v>0</v>
      </c>
      <c r="BX40" s="91">
        <f t="shared" si="1"/>
        <v>0</v>
      </c>
      <c r="BY40" s="91">
        <f t="shared" si="1"/>
        <v>6.8399999999990701E-4</v>
      </c>
      <c r="BZ40" s="91">
        <f t="shared" si="1"/>
        <v>20.076736000000022</v>
      </c>
      <c r="CA40" s="91">
        <f t="shared" si="1"/>
        <v>6.7434576874999967</v>
      </c>
      <c r="CB40" s="91">
        <f t="shared" si="1"/>
        <v>0</v>
      </c>
      <c r="CC40" s="91">
        <f t="shared" si="1"/>
        <v>0</v>
      </c>
      <c r="CD40" s="91">
        <f t="shared" si="1"/>
        <v>0</v>
      </c>
      <c r="CE40" s="91">
        <f t="shared" si="1"/>
        <v>0</v>
      </c>
      <c r="CF40" s="91">
        <f t="shared" si="1"/>
        <v>1.0956500000000009</v>
      </c>
      <c r="CG40" s="91">
        <f t="shared" si="1"/>
        <v>0</v>
      </c>
      <c r="CH40" s="91">
        <f t="shared" si="1"/>
        <v>0.19730624999999979</v>
      </c>
      <c r="CI40" s="91">
        <f t="shared" si="1"/>
        <v>0</v>
      </c>
      <c r="CJ40" s="91">
        <f t="shared" si="1"/>
        <v>0</v>
      </c>
      <c r="CK40" s="91">
        <f t="shared" si="1"/>
        <v>0</v>
      </c>
      <c r="CL40" s="91">
        <f t="shared" si="1"/>
        <v>2.1760660000000001</v>
      </c>
      <c r="CM40" s="91">
        <f t="shared" si="1"/>
        <v>126.3993599999999</v>
      </c>
      <c r="CN40" s="91">
        <f t="shared" si="1"/>
        <v>1.373051</v>
      </c>
      <c r="CO40" s="91">
        <f t="shared" si="1"/>
        <v>18.860447999999998</v>
      </c>
      <c r="CP40" s="91">
        <f t="shared" si="1"/>
        <v>0</v>
      </c>
      <c r="CQ40" s="91">
        <f t="shared" si="1"/>
        <v>0</v>
      </c>
      <c r="CR40" s="91">
        <f t="shared" si="1"/>
        <v>3.9197340000000005</v>
      </c>
      <c r="CS40" s="91">
        <f t="shared" si="1"/>
        <v>0</v>
      </c>
      <c r="CT40" s="91">
        <f t="shared" si="1"/>
        <v>3.9594960000000015</v>
      </c>
      <c r="CU40" s="91">
        <f t="shared" si="1"/>
        <v>0</v>
      </c>
      <c r="CV40" s="91">
        <f t="shared" si="1"/>
        <v>0.41698787500000012</v>
      </c>
      <c r="CW40" s="91">
        <f t="shared" ref="CW40:EU40" si="2">SUM(CW7:CW37)</f>
        <v>1.0892920000000004</v>
      </c>
      <c r="CX40" s="91">
        <f t="shared" si="2"/>
        <v>5.8000919999999994</v>
      </c>
      <c r="CY40" s="91">
        <f t="shared" si="2"/>
        <v>0.43904499999999946</v>
      </c>
      <c r="CZ40" s="91">
        <f t="shared" si="2"/>
        <v>0.59332200000000024</v>
      </c>
      <c r="DA40" s="91">
        <f t="shared" si="2"/>
        <v>7.6017919999999961</v>
      </c>
      <c r="DB40" s="91">
        <f t="shared" si="2"/>
        <v>3.1897740000000003</v>
      </c>
      <c r="DC40" s="91">
        <f t="shared" si="2"/>
        <v>5.0983332499999943</v>
      </c>
      <c r="DD40" s="91">
        <f t="shared" si="2"/>
        <v>0.83668543750000002</v>
      </c>
      <c r="DE40" s="91">
        <f t="shared" si="2"/>
        <v>0</v>
      </c>
      <c r="DF40" s="91">
        <f t="shared" si="2"/>
        <v>0</v>
      </c>
      <c r="DG40" s="91">
        <f t="shared" si="2"/>
        <v>0.42970249999999949</v>
      </c>
      <c r="DH40" s="91">
        <f t="shared" si="2"/>
        <v>0.41909800000000019</v>
      </c>
      <c r="DI40" s="91">
        <f t="shared" si="2"/>
        <v>110.19871999999999</v>
      </c>
      <c r="DJ40" s="91">
        <f t="shared" si="2"/>
        <v>0</v>
      </c>
      <c r="DK40" s="91">
        <f t="shared" si="2"/>
        <v>1.7865940000000009</v>
      </c>
      <c r="DL40" s="91">
        <f t="shared" si="2"/>
        <v>0.49615290039062465</v>
      </c>
      <c r="DM40" s="91">
        <f t="shared" si="2"/>
        <v>0.9594290000000002</v>
      </c>
      <c r="DN40" s="91">
        <f t="shared" si="2"/>
        <v>3.6614624999999998E-2</v>
      </c>
      <c r="DO40" s="91">
        <f t="shared" si="2"/>
        <v>15.749728000000006</v>
      </c>
      <c r="DP40" s="91">
        <f t="shared" si="2"/>
        <v>1.0302495000000007</v>
      </c>
      <c r="DQ40" s="91">
        <f t="shared" si="2"/>
        <v>0</v>
      </c>
      <c r="DR40" s="91">
        <f t="shared" si="2"/>
        <v>0</v>
      </c>
      <c r="DS40" s="91">
        <f t="shared" si="2"/>
        <v>30.793696000000015</v>
      </c>
      <c r="DT40" s="91">
        <f t="shared" si="2"/>
        <v>8.1405212812500007</v>
      </c>
      <c r="DU40" s="91">
        <f t="shared" si="2"/>
        <v>0.33624500000000013</v>
      </c>
      <c r="DV40" s="91">
        <f t="shared" si="2"/>
        <v>0.26302624999999985</v>
      </c>
      <c r="DW40" s="91">
        <f t="shared" si="2"/>
        <v>0</v>
      </c>
      <c r="DX40" s="91">
        <f t="shared" si="2"/>
        <v>4.1505515000000015</v>
      </c>
      <c r="DY40" s="91">
        <f t="shared" si="2"/>
        <v>0.17340406250000004</v>
      </c>
      <c r="DZ40" s="91">
        <f t="shared" si="2"/>
        <v>2.6648439999999982</v>
      </c>
      <c r="EA40" s="91">
        <f t="shared" si="2"/>
        <v>0</v>
      </c>
      <c r="EB40" s="91">
        <f t="shared" si="2"/>
        <v>28.787967999999982</v>
      </c>
      <c r="EC40" s="91">
        <f t="shared" si="2"/>
        <v>14.077200000000005</v>
      </c>
      <c r="ED40" s="91">
        <f t="shared" si="2"/>
        <v>0.6617940000000001</v>
      </c>
      <c r="EE40" s="91">
        <f t="shared" si="2"/>
        <v>3.327126499999999</v>
      </c>
      <c r="EF40" s="91">
        <f t="shared" si="2"/>
        <v>321.06004800000034</v>
      </c>
      <c r="EG40" s="91">
        <f t="shared" si="2"/>
        <v>0</v>
      </c>
      <c r="EH40" s="91">
        <f t="shared" si="2"/>
        <v>13.465407999999909</v>
      </c>
      <c r="EI40" s="91">
        <f t="shared" si="2"/>
        <v>18.896384000000015</v>
      </c>
      <c r="EJ40" s="91">
        <f t="shared" si="2"/>
        <v>1.283456000000001</v>
      </c>
      <c r="EK40" s="91">
        <f t="shared" si="2"/>
        <v>0</v>
      </c>
      <c r="EL40" s="91">
        <f t="shared" si="2"/>
        <v>48.869375999999882</v>
      </c>
      <c r="EM40" s="91">
        <f t="shared" si="2"/>
        <v>91.728128000000211</v>
      </c>
      <c r="EN40" s="91">
        <f t="shared" si="2"/>
        <v>56.579584000000075</v>
      </c>
      <c r="EO40" s="91">
        <f t="shared" si="2"/>
        <v>18.202432000000037</v>
      </c>
      <c r="EP40" s="91">
        <f t="shared" si="2"/>
        <v>0</v>
      </c>
      <c r="EQ40" s="91">
        <f t="shared" si="2"/>
        <v>0</v>
      </c>
      <c r="ER40" s="91">
        <f t="shared" si="2"/>
        <v>72.327777999999995</v>
      </c>
      <c r="ES40" s="91">
        <f t="shared" si="2"/>
        <v>20</v>
      </c>
      <c r="ET40" s="91">
        <f t="shared" si="2"/>
        <v>0</v>
      </c>
      <c r="EU40" s="91">
        <f t="shared" si="2"/>
        <v>0</v>
      </c>
    </row>
  </sheetData>
  <mergeCells count="3">
    <mergeCell ref="CR5:CV5"/>
    <mergeCell ref="B5:G5"/>
    <mergeCell ref="A1:A5"/>
  </mergeCells>
  <pageMargins left="0.7" right="0.7" top="0.75" bottom="0.75" header="0.3" footer="0.3"/>
  <headerFooter>
    <oddHeader>&amp;C&amp;"Calibri"&amp;10&amp;KFF0000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112-D27F-4C31-AABB-D89FD8753A1E}">
  <sheetPr codeName="Sheet34"/>
  <dimension ref="B1:GE39"/>
  <sheetViews>
    <sheetView topLeftCell="A2" zoomScale="60" zoomScaleNormal="60" workbookViewId="0">
      <pane xSplit="2" ySplit="5" topLeftCell="C7" activePane="bottomRight" state="frozen"/>
      <selection activeCell="A2" sqref="A2"/>
      <selection pane="topRight" activeCell="C2" sqref="C2"/>
      <selection pane="bottomLeft" activeCell="A8" sqref="A8"/>
      <selection pane="bottomRight" activeCell="F7" sqref="F7"/>
    </sheetView>
  </sheetViews>
  <sheetFormatPr defaultColWidth="12.453125" defaultRowHeight="32.25" customHeight="1" x14ac:dyDescent="0.25"/>
  <cols>
    <col min="1" max="1" width="2.81640625" style="143" customWidth="1"/>
    <col min="2" max="2" width="23.90625" style="143" customWidth="1"/>
    <col min="3" max="29" width="16.81640625" style="143" customWidth="1"/>
    <col min="30" max="30" width="19.1796875" style="143" customWidth="1"/>
    <col min="31" max="31" width="18.7265625" style="143" customWidth="1"/>
    <col min="32" max="36" width="16.81640625" style="143" customWidth="1"/>
    <col min="37" max="43" width="16.81640625" style="144" customWidth="1"/>
    <col min="44" max="44" width="16.81640625" style="143" customWidth="1"/>
    <col min="45" max="54" width="16.81640625" style="144" customWidth="1"/>
    <col min="55" max="183" width="16.81640625" style="143" customWidth="1"/>
    <col min="184" max="16384" width="12.453125" style="143"/>
  </cols>
  <sheetData>
    <row r="1" spans="2:187" ht="32.25" hidden="1" customHeight="1" x14ac:dyDescent="0.25"/>
    <row r="2" spans="2:187" ht="58.75" customHeight="1" x14ac:dyDescent="0.25">
      <c r="B2" s="309">
        <f>DAILY_ENERGY!B2</f>
        <v>45838.291666666664</v>
      </c>
      <c r="C2" s="310"/>
      <c r="D2" s="311"/>
      <c r="E2" s="145"/>
      <c r="F2" s="296" t="s">
        <v>720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297"/>
      <c r="AC2" s="297"/>
      <c r="AD2" s="297"/>
      <c r="AE2" s="297"/>
      <c r="AF2" s="297"/>
      <c r="AG2" s="297"/>
      <c r="AH2" s="297"/>
      <c r="AI2" s="297"/>
      <c r="AJ2" s="297"/>
      <c r="AK2" s="297"/>
      <c r="AL2" s="297"/>
      <c r="AM2" s="297"/>
      <c r="AN2" s="297"/>
      <c r="AO2" s="297"/>
      <c r="AP2" s="297"/>
      <c r="AQ2" s="297"/>
      <c r="AR2" s="297"/>
      <c r="AS2" s="297"/>
      <c r="AT2" s="297"/>
      <c r="AU2" s="297"/>
      <c r="AV2" s="297"/>
      <c r="AW2" s="297"/>
      <c r="AX2" s="297"/>
      <c r="AY2" s="297"/>
      <c r="AZ2" s="297"/>
      <c r="BA2" s="297"/>
      <c r="BB2" s="297"/>
      <c r="BC2" s="297"/>
      <c r="BD2" s="297"/>
      <c r="BE2" s="297"/>
      <c r="BF2" s="297"/>
      <c r="BG2" s="297"/>
      <c r="BH2" s="297"/>
      <c r="BI2" s="297"/>
      <c r="BJ2" s="297"/>
      <c r="BK2" s="297"/>
      <c r="BL2" s="297"/>
      <c r="BM2" s="297"/>
      <c r="BN2" s="297"/>
      <c r="BO2" s="297"/>
      <c r="BP2" s="297"/>
      <c r="BQ2" s="297"/>
      <c r="BR2" s="297"/>
      <c r="BS2" s="297"/>
      <c r="BT2" s="297"/>
      <c r="BU2" s="297"/>
      <c r="BV2" s="297"/>
      <c r="BW2" s="297"/>
      <c r="BX2" s="297"/>
      <c r="BY2" s="297"/>
      <c r="BZ2" s="297"/>
      <c r="CA2" s="297"/>
      <c r="CB2" s="297"/>
      <c r="CC2" s="297"/>
      <c r="CD2" s="297"/>
      <c r="CE2" s="297"/>
      <c r="CF2" s="297"/>
      <c r="CG2" s="297"/>
      <c r="CH2" s="297"/>
      <c r="CI2" s="297"/>
      <c r="CJ2" s="297"/>
      <c r="CK2" s="297"/>
      <c r="CL2" s="297"/>
      <c r="CM2" s="297"/>
      <c r="CN2" s="297"/>
      <c r="CO2" s="297"/>
      <c r="CP2" s="297"/>
      <c r="CQ2" s="297"/>
      <c r="CR2" s="297"/>
      <c r="CS2" s="297"/>
      <c r="CT2" s="297"/>
      <c r="CU2" s="297"/>
      <c r="CV2" s="297"/>
      <c r="CW2" s="297"/>
      <c r="CX2" s="297"/>
      <c r="CY2" s="297"/>
      <c r="CZ2" s="297"/>
      <c r="DA2" s="297"/>
      <c r="DB2" s="297"/>
      <c r="DC2" s="297"/>
      <c r="DD2" s="297"/>
      <c r="DE2" s="297"/>
      <c r="DF2" s="297"/>
      <c r="DG2" s="297"/>
      <c r="DH2" s="297"/>
      <c r="DI2" s="297"/>
      <c r="DJ2" s="297"/>
      <c r="DK2" s="297"/>
      <c r="DL2" s="297"/>
      <c r="DM2" s="297"/>
      <c r="DN2" s="297"/>
      <c r="DO2" s="297"/>
      <c r="DP2" s="297"/>
      <c r="DQ2" s="297"/>
      <c r="DR2" s="297"/>
      <c r="DS2" s="297"/>
      <c r="DT2" s="297"/>
      <c r="DU2" s="297"/>
      <c r="DV2" s="297"/>
      <c r="DW2" s="297"/>
      <c r="DX2" s="297"/>
      <c r="DY2" s="297"/>
      <c r="DZ2" s="297"/>
      <c r="EA2" s="297"/>
      <c r="EB2" s="297"/>
      <c r="EC2" s="297"/>
      <c r="ED2" s="297"/>
      <c r="EE2" s="297"/>
      <c r="EF2" s="297"/>
      <c r="EG2" s="297"/>
      <c r="EH2" s="297"/>
      <c r="EI2" s="297"/>
      <c r="EJ2" s="297"/>
      <c r="EK2" s="297"/>
      <c r="EL2" s="297"/>
      <c r="EM2" s="297"/>
      <c r="EN2" s="297"/>
      <c r="EO2" s="297"/>
      <c r="EP2" s="297"/>
      <c r="EQ2" s="297"/>
      <c r="ER2" s="297"/>
      <c r="ES2" s="297"/>
      <c r="ET2" s="297"/>
      <c r="EU2" s="297"/>
      <c r="EV2" s="297"/>
      <c r="EW2" s="297"/>
      <c r="EX2" s="297"/>
      <c r="EY2" s="297"/>
      <c r="EZ2" s="297"/>
      <c r="FA2" s="297"/>
      <c r="FB2" s="297"/>
      <c r="FC2" s="297"/>
      <c r="FD2" s="297"/>
      <c r="FE2" s="297"/>
      <c r="FF2" s="297"/>
      <c r="FG2" s="297"/>
      <c r="FH2" s="297"/>
      <c r="FI2" s="297"/>
      <c r="FJ2" s="297"/>
      <c r="FK2" s="297"/>
      <c r="FL2" s="297"/>
      <c r="FM2" s="297"/>
      <c r="FN2" s="297"/>
      <c r="FO2" s="297"/>
      <c r="FP2" s="297"/>
      <c r="FQ2" s="297"/>
      <c r="FR2" s="297"/>
      <c r="FS2" s="297"/>
      <c r="FT2" s="297"/>
      <c r="FU2" s="297"/>
      <c r="FV2" s="297"/>
      <c r="FW2" s="297"/>
      <c r="FX2" s="297"/>
      <c r="FY2" s="297"/>
      <c r="FZ2" s="297"/>
      <c r="GA2" s="297"/>
      <c r="GB2" s="297"/>
      <c r="GC2" s="297"/>
      <c r="GD2" s="297"/>
      <c r="GE2" s="297"/>
    </row>
    <row r="3" spans="2:187" s="146" customFormat="1" ht="32.25" customHeight="1" x14ac:dyDescent="0.25">
      <c r="B3" s="293" t="s">
        <v>719</v>
      </c>
      <c r="C3" s="292" t="s">
        <v>484</v>
      </c>
      <c r="D3" s="292"/>
      <c r="E3" s="292"/>
      <c r="F3" s="292"/>
      <c r="G3" s="292"/>
      <c r="H3" s="292"/>
      <c r="I3" s="292"/>
      <c r="J3" s="292"/>
      <c r="K3" s="292"/>
      <c r="L3" s="292"/>
      <c r="M3" s="252" t="s">
        <v>467</v>
      </c>
      <c r="N3" s="252"/>
      <c r="O3" s="252"/>
      <c r="P3" s="252"/>
      <c r="Q3" s="252"/>
      <c r="R3" s="292" t="s">
        <v>465</v>
      </c>
      <c r="S3" s="292"/>
      <c r="T3" s="292"/>
      <c r="U3" s="292"/>
      <c r="V3" s="292"/>
      <c r="W3" s="292"/>
      <c r="X3" s="292"/>
      <c r="Y3" s="292"/>
      <c r="Z3" s="292"/>
      <c r="AA3" s="292"/>
      <c r="AB3" s="292"/>
      <c r="AC3" s="292"/>
      <c r="AD3" s="292"/>
      <c r="AE3" s="292"/>
      <c r="AF3" s="292"/>
      <c r="AG3" s="292"/>
      <c r="AH3" s="292"/>
      <c r="AI3" s="292"/>
      <c r="AJ3" s="292"/>
      <c r="AK3" s="292"/>
      <c r="AL3" s="292"/>
      <c r="AM3" s="292"/>
      <c r="AN3" s="292"/>
      <c r="AO3" s="292"/>
      <c r="AP3" s="292"/>
      <c r="AQ3" s="292"/>
      <c r="AR3" s="292"/>
      <c r="AS3" s="292"/>
      <c r="AT3" s="252" t="s">
        <v>462</v>
      </c>
      <c r="AU3" s="252"/>
      <c r="AV3" s="252"/>
      <c r="AW3" s="252"/>
      <c r="AX3" s="252"/>
      <c r="AY3" s="252"/>
      <c r="AZ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 t="s">
        <v>495</v>
      </c>
      <c r="BR3" s="252"/>
      <c r="BS3" s="252"/>
      <c r="BT3" s="252"/>
      <c r="BU3" s="252"/>
      <c r="BV3" s="252"/>
      <c r="BW3" s="252"/>
      <c r="BX3" s="252"/>
      <c r="BY3" s="252"/>
      <c r="BZ3" s="252"/>
      <c r="CA3" s="252"/>
      <c r="CB3" s="252"/>
      <c r="CC3" s="252"/>
      <c r="CD3" s="252"/>
      <c r="CE3" s="252"/>
      <c r="CF3" s="252"/>
      <c r="CG3" s="252"/>
      <c r="CH3" s="252"/>
      <c r="CI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  <c r="DB3" s="252"/>
      <c r="DC3" s="252"/>
      <c r="DD3" s="252"/>
      <c r="DE3" s="252"/>
      <c r="DF3" s="252"/>
      <c r="DG3" s="252"/>
      <c r="DH3" s="252"/>
      <c r="DI3" s="252"/>
      <c r="DJ3" s="252"/>
      <c r="DK3" s="252"/>
      <c r="DL3" s="252"/>
      <c r="DM3" s="252"/>
      <c r="DN3" s="252"/>
      <c r="DO3" s="252"/>
      <c r="DP3" s="252"/>
      <c r="DQ3" s="252"/>
      <c r="DR3" s="252"/>
      <c r="DS3" s="252"/>
      <c r="DT3" s="252"/>
      <c r="DU3" s="252"/>
      <c r="DV3" s="252"/>
      <c r="DW3" s="252"/>
      <c r="DX3" s="252"/>
      <c r="DY3" s="252"/>
      <c r="DZ3" s="252"/>
      <c r="EA3" s="252"/>
      <c r="EB3" s="252"/>
      <c r="EC3" s="252"/>
      <c r="ED3" s="252"/>
      <c r="EE3" s="252"/>
      <c r="EF3" s="252"/>
      <c r="EG3" s="252"/>
      <c r="EH3" s="252"/>
      <c r="EI3" s="252"/>
      <c r="EJ3" s="252"/>
      <c r="EK3" s="252"/>
      <c r="EL3" s="252"/>
      <c r="EM3" s="252"/>
      <c r="EN3" s="252"/>
      <c r="EO3" s="252"/>
      <c r="EP3" s="252"/>
      <c r="EQ3" s="252"/>
      <c r="ER3" s="252"/>
      <c r="ES3" s="252"/>
      <c r="ET3" s="252"/>
      <c r="EU3" s="252"/>
      <c r="EV3" s="252"/>
      <c r="EW3" s="252"/>
      <c r="EX3" s="252"/>
      <c r="EY3" s="252"/>
      <c r="EZ3" s="252"/>
      <c r="FA3" s="252"/>
      <c r="FB3" s="252"/>
      <c r="FC3" s="252"/>
      <c r="FD3" s="252"/>
      <c r="FE3" s="252"/>
      <c r="FF3" s="252"/>
      <c r="FG3" s="252"/>
      <c r="FH3" s="252"/>
      <c r="FI3" s="252"/>
      <c r="FJ3" s="252"/>
      <c r="FK3" s="252"/>
      <c r="FL3" s="252"/>
      <c r="FM3" s="252"/>
      <c r="FN3" s="252"/>
      <c r="FO3" s="252"/>
      <c r="FP3" s="252"/>
      <c r="FQ3" s="252"/>
      <c r="FR3" s="252" t="s">
        <v>385</v>
      </c>
      <c r="FS3" s="252"/>
      <c r="FT3" s="252"/>
      <c r="FU3" s="252"/>
      <c r="FV3" s="252"/>
      <c r="FW3" s="252"/>
      <c r="FX3" s="252"/>
      <c r="FY3" s="252"/>
      <c r="FZ3" s="252"/>
      <c r="GA3" s="252"/>
      <c r="GB3" s="252" t="s">
        <v>372</v>
      </c>
      <c r="GC3" s="252" t="s">
        <v>371</v>
      </c>
      <c r="GD3" s="252" t="s">
        <v>370</v>
      </c>
      <c r="GE3" s="252" t="s">
        <v>369</v>
      </c>
    </row>
    <row r="4" spans="2:187" s="146" customFormat="1" ht="32.25" hidden="1" customHeight="1" x14ac:dyDescent="0.25">
      <c r="B4" s="294"/>
      <c r="C4" s="252" t="s">
        <v>483</v>
      </c>
      <c r="D4" s="252"/>
      <c r="E4" s="252"/>
      <c r="F4" s="252"/>
      <c r="G4" s="252"/>
      <c r="H4" s="252" t="s">
        <v>476</v>
      </c>
      <c r="I4" s="252" t="s">
        <v>474</v>
      </c>
      <c r="J4" s="252"/>
      <c r="K4" s="252"/>
      <c r="L4" s="252" t="s">
        <v>470</v>
      </c>
      <c r="M4" s="252" t="s">
        <v>466</v>
      </c>
      <c r="N4" s="252"/>
      <c r="O4" s="252"/>
      <c r="P4" s="252"/>
      <c r="Q4" s="252"/>
      <c r="R4" s="292" t="s">
        <v>464</v>
      </c>
      <c r="S4" s="292"/>
      <c r="T4" s="292"/>
      <c r="U4" s="292"/>
      <c r="V4" s="292"/>
      <c r="W4" s="292" t="s">
        <v>458</v>
      </c>
      <c r="X4" s="292"/>
      <c r="Y4" s="292"/>
      <c r="Z4" s="292"/>
      <c r="AA4" s="292"/>
      <c r="AB4" s="292"/>
      <c r="AC4" s="292"/>
      <c r="AD4" s="252" t="s">
        <v>496</v>
      </c>
      <c r="AE4" s="252"/>
      <c r="AF4" s="252" t="s">
        <v>449</v>
      </c>
      <c r="AG4" s="252"/>
      <c r="AH4" s="252"/>
      <c r="AI4" s="252"/>
      <c r="AJ4" s="252"/>
      <c r="AK4" s="252"/>
      <c r="AL4" s="252" t="s">
        <v>442</v>
      </c>
      <c r="AM4" s="252"/>
      <c r="AN4" s="252"/>
      <c r="AO4" s="252" t="s">
        <v>438</v>
      </c>
      <c r="AP4" s="252"/>
      <c r="AQ4" s="252" t="s">
        <v>436</v>
      </c>
      <c r="AR4" s="252"/>
      <c r="AS4" s="252" t="s">
        <v>431</v>
      </c>
      <c r="AT4" s="252" t="s">
        <v>429</v>
      </c>
      <c r="AU4" s="252"/>
      <c r="AV4" s="252"/>
      <c r="AW4" s="252"/>
      <c r="AX4" s="252"/>
      <c r="AY4" s="252"/>
      <c r="AZ4" s="252"/>
      <c r="BA4" s="252"/>
      <c r="BB4" s="252"/>
      <c r="BC4" s="252"/>
      <c r="BD4" s="252"/>
      <c r="BE4" s="252"/>
      <c r="BF4" s="252"/>
      <c r="BG4" s="252" t="s">
        <v>425</v>
      </c>
      <c r="BH4" s="252"/>
      <c r="BI4" s="252"/>
      <c r="BJ4" s="252"/>
      <c r="BK4" s="252"/>
      <c r="BL4" s="252"/>
      <c r="BM4" s="252"/>
      <c r="BN4" s="252"/>
      <c r="BO4" s="252"/>
      <c r="BP4" s="252"/>
      <c r="BQ4" s="252" t="s">
        <v>122</v>
      </c>
      <c r="BR4" s="252"/>
      <c r="BS4" s="252"/>
      <c r="BT4" s="252"/>
      <c r="BU4" s="252"/>
      <c r="BV4" s="252"/>
      <c r="BW4" s="252"/>
      <c r="BX4" s="252"/>
      <c r="BY4" s="252"/>
      <c r="BZ4" s="252"/>
      <c r="CA4" s="252"/>
      <c r="CB4" s="252"/>
      <c r="CC4" s="252"/>
      <c r="CD4" s="252"/>
      <c r="CE4" s="252"/>
      <c r="CF4" s="252"/>
      <c r="CG4" s="252"/>
      <c r="CH4" s="252"/>
      <c r="CI4" s="252"/>
      <c r="CJ4" s="252"/>
      <c r="CK4" s="252"/>
      <c r="CL4" s="252" t="s">
        <v>123</v>
      </c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  <c r="DB4" s="252"/>
      <c r="DC4" s="252"/>
      <c r="DD4" s="252"/>
      <c r="DE4" s="252"/>
      <c r="DF4" s="252"/>
      <c r="DG4" s="252"/>
      <c r="DH4" s="252"/>
      <c r="DI4" s="252"/>
      <c r="DJ4" s="252"/>
      <c r="DK4" s="252"/>
      <c r="DL4" s="252" t="s">
        <v>124</v>
      </c>
      <c r="DM4" s="252"/>
      <c r="DN4" s="252"/>
      <c r="DO4" s="252"/>
      <c r="DP4" s="252"/>
      <c r="DQ4" s="252"/>
      <c r="DR4" s="252"/>
      <c r="DS4" s="252"/>
      <c r="DT4" s="252"/>
      <c r="DU4" s="252"/>
      <c r="DV4" s="252"/>
      <c r="DW4" s="252"/>
      <c r="DX4" s="252"/>
      <c r="DY4" s="252"/>
      <c r="DZ4" s="252"/>
      <c r="EA4" s="252"/>
      <c r="EB4" s="252"/>
      <c r="EC4" s="252"/>
      <c r="ED4" s="252"/>
      <c r="EE4" s="252"/>
      <c r="EF4" s="252"/>
      <c r="EG4" s="252"/>
      <c r="EH4" s="252" t="s">
        <v>125</v>
      </c>
      <c r="EI4" s="252"/>
      <c r="EJ4" s="252"/>
      <c r="EK4" s="252"/>
      <c r="EL4" s="252"/>
      <c r="EM4" s="252"/>
      <c r="EN4" s="252"/>
      <c r="EO4" s="252"/>
      <c r="EP4" s="252"/>
      <c r="EQ4" s="252"/>
      <c r="ER4" s="252"/>
      <c r="ES4" s="252"/>
      <c r="ET4" s="252"/>
      <c r="EU4" s="252"/>
      <c r="EV4" s="252"/>
      <c r="EW4" s="252"/>
      <c r="EX4" s="252"/>
      <c r="EY4" s="252"/>
      <c r="EZ4" s="252"/>
      <c r="FA4" s="252"/>
      <c r="FB4" s="252"/>
      <c r="FC4" s="252"/>
      <c r="FD4" s="252"/>
      <c r="FE4" s="252" t="s">
        <v>126</v>
      </c>
      <c r="FF4" s="252"/>
      <c r="FG4" s="252"/>
      <c r="FH4" s="252"/>
      <c r="FI4" s="252"/>
      <c r="FJ4" s="252"/>
      <c r="FK4" s="252"/>
      <c r="FL4" s="252"/>
      <c r="FM4" s="252"/>
      <c r="FN4" s="252"/>
      <c r="FO4" s="252"/>
      <c r="FP4" s="252"/>
      <c r="FQ4" s="252"/>
      <c r="FR4" s="252" t="s">
        <v>384</v>
      </c>
      <c r="FS4" s="252" t="s">
        <v>383</v>
      </c>
      <c r="FT4" s="252" t="s">
        <v>382</v>
      </c>
      <c r="FU4" s="252"/>
      <c r="FV4" s="252"/>
      <c r="FW4" s="252"/>
      <c r="FX4" s="252" t="s">
        <v>377</v>
      </c>
      <c r="FY4" s="252"/>
      <c r="FZ4" s="252"/>
      <c r="GA4" s="252"/>
      <c r="GB4" s="252"/>
      <c r="GC4" s="252"/>
      <c r="GD4" s="252"/>
      <c r="GE4" s="252"/>
    </row>
    <row r="5" spans="2:187" s="147" customFormat="1" ht="32.25" customHeight="1" x14ac:dyDescent="0.25">
      <c r="B5" s="295"/>
      <c r="C5" s="252"/>
      <c r="D5" s="252"/>
      <c r="E5" s="252"/>
      <c r="F5" s="252"/>
      <c r="G5" s="252"/>
      <c r="H5" s="252"/>
      <c r="I5" s="252"/>
      <c r="J5" s="252"/>
      <c r="K5" s="252"/>
      <c r="L5" s="252"/>
      <c r="M5" s="252"/>
      <c r="N5" s="252"/>
      <c r="O5" s="252"/>
      <c r="P5" s="252"/>
      <c r="Q5" s="252"/>
      <c r="R5" s="292"/>
      <c r="S5" s="292"/>
      <c r="T5" s="292"/>
      <c r="U5" s="292"/>
      <c r="V5" s="292"/>
      <c r="W5" s="292"/>
      <c r="X5" s="292"/>
      <c r="Y5" s="292"/>
      <c r="Z5" s="292"/>
      <c r="AA5" s="292"/>
      <c r="AB5" s="292"/>
      <c r="AC5" s="29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AP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BW5" s="252"/>
      <c r="BX5" s="252"/>
      <c r="BY5" s="252"/>
      <c r="BZ5" s="252"/>
      <c r="CA5" s="252"/>
      <c r="CB5" s="252"/>
      <c r="CC5" s="252"/>
      <c r="CD5" s="252"/>
      <c r="CE5" s="252"/>
      <c r="CF5" s="252"/>
      <c r="CG5" s="252"/>
      <c r="CH5" s="252"/>
      <c r="CI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  <c r="DB5" s="252"/>
      <c r="DC5" s="252"/>
      <c r="DD5" s="252"/>
      <c r="DE5" s="252"/>
      <c r="DF5" s="252"/>
      <c r="DG5" s="252"/>
      <c r="DH5" s="252"/>
      <c r="DI5" s="252"/>
      <c r="DJ5" s="252"/>
      <c r="DK5" s="252"/>
      <c r="DL5" s="252"/>
      <c r="DM5" s="252"/>
      <c r="DN5" s="252"/>
      <c r="DO5" s="252"/>
      <c r="DP5" s="252"/>
      <c r="DQ5" s="252"/>
      <c r="DR5" s="252"/>
      <c r="DS5" s="252"/>
      <c r="DT5" s="252"/>
      <c r="DU5" s="252"/>
      <c r="DV5" s="252"/>
      <c r="DW5" s="252"/>
      <c r="DX5" s="252"/>
      <c r="DY5" s="252"/>
      <c r="DZ5" s="252"/>
      <c r="EA5" s="252"/>
      <c r="EB5" s="252"/>
      <c r="EC5" s="252"/>
      <c r="ED5" s="252"/>
      <c r="EE5" s="252"/>
      <c r="EF5" s="252"/>
      <c r="EG5" s="252"/>
      <c r="EH5" s="252"/>
      <c r="EI5" s="252"/>
      <c r="EJ5" s="252"/>
      <c r="EK5" s="252"/>
      <c r="EL5" s="252"/>
      <c r="EM5" s="252"/>
      <c r="EN5" s="252"/>
      <c r="EO5" s="252"/>
      <c r="EP5" s="252"/>
      <c r="EQ5" s="252"/>
      <c r="ER5" s="252"/>
      <c r="ES5" s="252"/>
      <c r="ET5" s="252"/>
      <c r="EU5" s="252"/>
      <c r="EV5" s="252"/>
      <c r="EW5" s="252"/>
      <c r="EX5" s="252"/>
      <c r="EY5" s="252"/>
      <c r="EZ5" s="252"/>
      <c r="FA5" s="252"/>
      <c r="FB5" s="252"/>
      <c r="FC5" s="252"/>
      <c r="FD5" s="252"/>
      <c r="FE5" s="252"/>
      <c r="FF5" s="252"/>
      <c r="FG5" s="252"/>
      <c r="FH5" s="252"/>
      <c r="FI5" s="252"/>
      <c r="FJ5" s="252"/>
      <c r="FK5" s="252"/>
      <c r="FL5" s="252"/>
      <c r="FM5" s="252"/>
      <c r="FN5" s="252"/>
      <c r="FO5" s="252"/>
      <c r="FP5" s="252"/>
      <c r="FQ5" s="252"/>
      <c r="FR5" s="252"/>
      <c r="FS5" s="252"/>
      <c r="FT5" s="252"/>
      <c r="FU5" s="252"/>
      <c r="FV5" s="252"/>
      <c r="FW5" s="252"/>
      <c r="FX5" s="252"/>
      <c r="FY5" s="252"/>
      <c r="FZ5" s="252"/>
      <c r="GA5" s="252"/>
      <c r="GB5" s="252"/>
      <c r="GC5" s="252"/>
      <c r="GD5" s="252"/>
      <c r="GE5" s="252"/>
    </row>
    <row r="6" spans="2:187" s="147" customFormat="1" ht="50.15" customHeight="1" x14ac:dyDescent="0.25">
      <c r="B6" s="148"/>
      <c r="C6" s="100" t="s">
        <v>482</v>
      </c>
      <c r="D6" s="100" t="s">
        <v>480</v>
      </c>
      <c r="E6" s="100" t="s">
        <v>478</v>
      </c>
      <c r="F6" s="100" t="s">
        <v>477</v>
      </c>
      <c r="G6" s="100" t="s">
        <v>96</v>
      </c>
      <c r="H6" s="100" t="s">
        <v>475</v>
      </c>
      <c r="I6" s="100" t="s">
        <v>473</v>
      </c>
      <c r="J6" s="100" t="s">
        <v>472</v>
      </c>
      <c r="K6" s="100" t="s">
        <v>471</v>
      </c>
      <c r="L6" s="100" t="s">
        <v>469</v>
      </c>
      <c r="M6" s="100" t="s">
        <v>122</v>
      </c>
      <c r="N6" s="100" t="s">
        <v>123</v>
      </c>
      <c r="O6" s="100" t="s">
        <v>124</v>
      </c>
      <c r="P6" s="100" t="s">
        <v>125</v>
      </c>
      <c r="Q6" s="100" t="s">
        <v>126</v>
      </c>
      <c r="R6" s="100" t="s">
        <v>498</v>
      </c>
      <c r="S6" s="100" t="s">
        <v>462</v>
      </c>
      <c r="T6" s="100" t="s">
        <v>461</v>
      </c>
      <c r="U6" s="100" t="s">
        <v>460</v>
      </c>
      <c r="V6" s="100" t="s">
        <v>459</v>
      </c>
      <c r="W6" s="100" t="s">
        <v>457</v>
      </c>
      <c r="X6" s="100" t="s">
        <v>236</v>
      </c>
      <c r="Y6" s="100" t="s">
        <v>456</v>
      </c>
      <c r="Z6" s="100" t="s">
        <v>455</v>
      </c>
      <c r="AA6" s="100" t="s">
        <v>454</v>
      </c>
      <c r="AB6" s="100" t="s">
        <v>656</v>
      </c>
      <c r="AC6" s="100" t="s">
        <v>505</v>
      </c>
      <c r="AD6" s="100" t="s">
        <v>453</v>
      </c>
      <c r="AE6" s="100" t="s">
        <v>451</v>
      </c>
      <c r="AF6" s="100" t="s">
        <v>448</v>
      </c>
      <c r="AG6" s="100" t="s">
        <v>447</v>
      </c>
      <c r="AH6" s="100" t="s">
        <v>446</v>
      </c>
      <c r="AI6" s="100" t="s">
        <v>445</v>
      </c>
      <c r="AJ6" s="100" t="s">
        <v>444</v>
      </c>
      <c r="AK6" s="100" t="s">
        <v>654</v>
      </c>
      <c r="AL6" s="100" t="s">
        <v>441</v>
      </c>
      <c r="AM6" s="100" t="s">
        <v>440</v>
      </c>
      <c r="AN6" s="100" t="s">
        <v>439</v>
      </c>
      <c r="AO6" s="100" t="s">
        <v>425</v>
      </c>
      <c r="AP6" s="100" t="s">
        <v>437</v>
      </c>
      <c r="AQ6" s="100" t="s">
        <v>435</v>
      </c>
      <c r="AR6" s="100" t="s">
        <v>433</v>
      </c>
      <c r="AS6" s="100" t="s">
        <v>431</v>
      </c>
      <c r="AT6" s="100" t="s">
        <v>97</v>
      </c>
      <c r="AU6" s="100" t="s">
        <v>157</v>
      </c>
      <c r="AV6" s="100" t="s">
        <v>158</v>
      </c>
      <c r="AW6" s="100" t="s">
        <v>159</v>
      </c>
      <c r="AX6" s="100" t="s">
        <v>160</v>
      </c>
      <c r="AY6" s="100" t="s">
        <v>161</v>
      </c>
      <c r="AZ6" s="100" t="s">
        <v>162</v>
      </c>
      <c r="BA6" s="100" t="s">
        <v>163</v>
      </c>
      <c r="BB6" s="100" t="s">
        <v>164</v>
      </c>
      <c r="BC6" s="100" t="s">
        <v>165</v>
      </c>
      <c r="BD6" s="100" t="s">
        <v>166</v>
      </c>
      <c r="BE6" s="100" t="s">
        <v>167</v>
      </c>
      <c r="BF6" s="100" t="s">
        <v>168</v>
      </c>
      <c r="BG6" s="100" t="s">
        <v>97</v>
      </c>
      <c r="BH6" s="100" t="s">
        <v>493</v>
      </c>
      <c r="BI6" s="100" t="s">
        <v>151</v>
      </c>
      <c r="BJ6" s="100" t="s">
        <v>24</v>
      </c>
      <c r="BK6" s="100" t="s">
        <v>152</v>
      </c>
      <c r="BL6" s="100" t="s">
        <v>153</v>
      </c>
      <c r="BM6" s="100" t="s">
        <v>154</v>
      </c>
      <c r="BN6" s="100" t="s">
        <v>155</v>
      </c>
      <c r="BO6" s="100" t="s">
        <v>494</v>
      </c>
      <c r="BP6" s="100" t="s">
        <v>156</v>
      </c>
      <c r="BQ6" s="100" t="s">
        <v>169</v>
      </c>
      <c r="BR6" s="100" t="s">
        <v>170</v>
      </c>
      <c r="BS6" s="100" t="s">
        <v>24</v>
      </c>
      <c r="BT6" s="100" t="s">
        <v>171</v>
      </c>
      <c r="BU6" s="100" t="s">
        <v>172</v>
      </c>
      <c r="BV6" s="100" t="s">
        <v>173</v>
      </c>
      <c r="BW6" s="100" t="s">
        <v>24</v>
      </c>
      <c r="BX6" s="100" t="s">
        <v>174</v>
      </c>
      <c r="BY6" s="100" t="s">
        <v>175</v>
      </c>
      <c r="BZ6" s="100" t="s">
        <v>24</v>
      </c>
      <c r="CA6" s="100" t="s">
        <v>24</v>
      </c>
      <c r="CB6" s="100" t="s">
        <v>24</v>
      </c>
      <c r="CC6" s="100" t="s">
        <v>176</v>
      </c>
      <c r="CD6" s="100" t="s">
        <v>167</v>
      </c>
      <c r="CE6" s="100" t="s">
        <v>24</v>
      </c>
      <c r="CF6" s="100" t="s">
        <v>177</v>
      </c>
      <c r="CG6" s="100" t="s">
        <v>178</v>
      </c>
      <c r="CH6" s="100" t="s">
        <v>179</v>
      </c>
      <c r="CI6" s="100" t="s">
        <v>180</v>
      </c>
      <c r="CJ6" s="100" t="s">
        <v>181</v>
      </c>
      <c r="CK6" s="100" t="s">
        <v>182</v>
      </c>
      <c r="CL6" s="100" t="s">
        <v>98</v>
      </c>
      <c r="CM6" s="100" t="s">
        <v>24</v>
      </c>
      <c r="CN6" s="100" t="s">
        <v>99</v>
      </c>
      <c r="CO6" s="100" t="s">
        <v>183</v>
      </c>
      <c r="CP6" s="100" t="s">
        <v>100</v>
      </c>
      <c r="CQ6" s="100" t="s">
        <v>184</v>
      </c>
      <c r="CR6" s="100" t="s">
        <v>185</v>
      </c>
      <c r="CS6" s="100" t="s">
        <v>101</v>
      </c>
      <c r="CT6" s="100" t="s">
        <v>186</v>
      </c>
      <c r="CU6" s="100" t="s">
        <v>187</v>
      </c>
      <c r="CV6" s="100" t="s">
        <v>188</v>
      </c>
      <c r="CW6" s="100" t="s">
        <v>189</v>
      </c>
      <c r="CX6" s="100" t="s">
        <v>190</v>
      </c>
      <c r="CY6" s="100" t="s">
        <v>102</v>
      </c>
      <c r="CZ6" s="100" t="s">
        <v>103</v>
      </c>
      <c r="DA6" s="100" t="s">
        <v>191</v>
      </c>
      <c r="DB6" s="100" t="s">
        <v>192</v>
      </c>
      <c r="DC6" s="100" t="s">
        <v>24</v>
      </c>
      <c r="DD6" s="100" t="s">
        <v>24</v>
      </c>
      <c r="DE6" s="100" t="s">
        <v>104</v>
      </c>
      <c r="DF6" s="100" t="s">
        <v>193</v>
      </c>
      <c r="DG6" s="100" t="s">
        <v>105</v>
      </c>
      <c r="DH6" s="100" t="s">
        <v>194</v>
      </c>
      <c r="DI6" s="100" t="s">
        <v>24</v>
      </c>
      <c r="DJ6" s="100" t="s">
        <v>106</v>
      </c>
      <c r="DK6" s="100" t="s">
        <v>182</v>
      </c>
      <c r="DL6" s="100" t="s">
        <v>107</v>
      </c>
      <c r="DM6" s="100" t="s">
        <v>195</v>
      </c>
      <c r="DN6" s="100" t="s">
        <v>196</v>
      </c>
      <c r="DO6" s="100" t="s">
        <v>24</v>
      </c>
      <c r="DP6" s="100" t="s">
        <v>197</v>
      </c>
      <c r="DQ6" s="100" t="s">
        <v>198</v>
      </c>
      <c r="DR6" s="100" t="s">
        <v>24</v>
      </c>
      <c r="DS6" s="100" t="s">
        <v>199</v>
      </c>
      <c r="DT6" s="100" t="s">
        <v>24</v>
      </c>
      <c r="DU6" s="100" t="s">
        <v>200</v>
      </c>
      <c r="DV6" s="100" t="s">
        <v>108</v>
      </c>
      <c r="DW6" s="100" t="s">
        <v>201</v>
      </c>
      <c r="DX6" s="100" t="s">
        <v>202</v>
      </c>
      <c r="DY6" s="100" t="s">
        <v>109</v>
      </c>
      <c r="DZ6" s="100" t="s">
        <v>203</v>
      </c>
      <c r="EA6" s="100" t="s">
        <v>204</v>
      </c>
      <c r="EB6" s="100" t="s">
        <v>205</v>
      </c>
      <c r="EC6" s="100" t="s">
        <v>206</v>
      </c>
      <c r="ED6" s="100" t="s">
        <v>207</v>
      </c>
      <c r="EE6" s="100" t="s">
        <v>208</v>
      </c>
      <c r="EF6" s="100" t="s">
        <v>110</v>
      </c>
      <c r="EG6" s="100" t="s">
        <v>182</v>
      </c>
      <c r="EH6" s="100" t="s">
        <v>111</v>
      </c>
      <c r="EI6" s="100" t="s">
        <v>209</v>
      </c>
      <c r="EJ6" s="100" t="s">
        <v>210</v>
      </c>
      <c r="EK6" s="100" t="s">
        <v>211</v>
      </c>
      <c r="EL6" s="100" t="s">
        <v>212</v>
      </c>
      <c r="EM6" s="100" t="s">
        <v>112</v>
      </c>
      <c r="EN6" s="100" t="s">
        <v>213</v>
      </c>
      <c r="EO6" s="100" t="s">
        <v>214</v>
      </c>
      <c r="EP6" s="100" t="s">
        <v>215</v>
      </c>
      <c r="EQ6" s="100" t="s">
        <v>216</v>
      </c>
      <c r="ER6" s="100" t="s">
        <v>217</v>
      </c>
      <c r="ES6" s="100" t="s">
        <v>218</v>
      </c>
      <c r="ET6" s="100" t="s">
        <v>219</v>
      </c>
      <c r="EU6" s="100" t="s">
        <v>220</v>
      </c>
      <c r="EV6" s="100" t="s">
        <v>221</v>
      </c>
      <c r="EW6" s="100" t="s">
        <v>113</v>
      </c>
      <c r="EX6" s="100" t="s">
        <v>114</v>
      </c>
      <c r="EY6" s="100" t="s">
        <v>222</v>
      </c>
      <c r="EZ6" s="100" t="s">
        <v>223</v>
      </c>
      <c r="FA6" s="100" t="s">
        <v>224</v>
      </c>
      <c r="FB6" s="100" t="s">
        <v>225</v>
      </c>
      <c r="FC6" s="100" t="s">
        <v>115</v>
      </c>
      <c r="FD6" s="100" t="s">
        <v>182</v>
      </c>
      <c r="FE6" s="100" t="s">
        <v>97</v>
      </c>
      <c r="FF6" s="100" t="s">
        <v>116</v>
      </c>
      <c r="FG6" s="100" t="s">
        <v>226</v>
      </c>
      <c r="FH6" s="100" t="s">
        <v>227</v>
      </c>
      <c r="FI6" s="100" t="s">
        <v>228</v>
      </c>
      <c r="FJ6" s="100" t="s">
        <v>117</v>
      </c>
      <c r="FK6" s="100" t="s">
        <v>118</v>
      </c>
      <c r="FL6" s="100" t="s">
        <v>119</v>
      </c>
      <c r="FM6" s="100" t="s">
        <v>120</v>
      </c>
      <c r="FN6" s="100" t="s">
        <v>121</v>
      </c>
      <c r="FO6" s="100" t="s">
        <v>229</v>
      </c>
      <c r="FP6" s="100" t="s">
        <v>654</v>
      </c>
      <c r="FQ6" s="100" t="s">
        <v>127</v>
      </c>
      <c r="FR6" s="100" t="s">
        <v>384</v>
      </c>
      <c r="FS6" s="100" t="s">
        <v>383</v>
      </c>
      <c r="FT6" s="100" t="s">
        <v>381</v>
      </c>
      <c r="FU6" s="100" t="s">
        <v>380</v>
      </c>
      <c r="FV6" s="100" t="s">
        <v>379</v>
      </c>
      <c r="FW6" s="100" t="s">
        <v>378</v>
      </c>
      <c r="FX6" s="100" t="s">
        <v>376</v>
      </c>
      <c r="FY6" s="100" t="s">
        <v>375</v>
      </c>
      <c r="FZ6" s="100" t="s">
        <v>374</v>
      </c>
      <c r="GA6" s="100" t="s">
        <v>373</v>
      </c>
      <c r="GB6" s="252"/>
      <c r="GC6" s="252"/>
      <c r="GD6" s="252"/>
      <c r="GE6" s="252"/>
    </row>
    <row r="7" spans="2:187" s="150" customFormat="1" ht="32.25" customHeight="1" x14ac:dyDescent="0.25">
      <c r="B7" s="168">
        <v>1</v>
      </c>
      <c r="C7" s="160">
        <f>Monthly_kWh!H7</f>
        <v>1.69679999999994E-2</v>
      </c>
      <c r="D7" s="160">
        <f>Monthly_kWh!I7</f>
        <v>4.4686999999999699E-2</v>
      </c>
      <c r="E7" s="160">
        <f>Monthly_kWh!J7</f>
        <v>1.4229E-2</v>
      </c>
      <c r="F7" s="160">
        <f>Monthly_kWh!K7</f>
        <v>0</v>
      </c>
      <c r="G7" s="160">
        <f>Monthly_kWh!L7</f>
        <v>6.2569999999997402E-3</v>
      </c>
      <c r="H7" s="160">
        <f>Monthly_kWh!U7</f>
        <v>0.30527200000000199</v>
      </c>
      <c r="I7" s="160">
        <f>Monthly_kWh!P7</f>
        <v>0.24823199999999401</v>
      </c>
      <c r="J7" s="160">
        <f>Monthly_kWh!N7</f>
        <v>3.2858700000000498</v>
      </c>
      <c r="K7" s="160">
        <f>Monthly_kWh!O7</f>
        <v>3.3985670000000701</v>
      </c>
      <c r="L7" s="160">
        <f>Monthly_kWh!B7</f>
        <v>8.1270000000000007</v>
      </c>
      <c r="M7" s="160">
        <f>Monthly_kWh!AR7</f>
        <v>3.0881919999999901</v>
      </c>
      <c r="N7" s="160">
        <f>Monthly_kWh!BM7</f>
        <v>0.56424000000001195</v>
      </c>
      <c r="O7" s="160">
        <f>Monthly_kWh!CM7</f>
        <v>2.7351039999998599</v>
      </c>
      <c r="P7" s="160">
        <f>Monthly_kWh!DI7</f>
        <v>1.7400319999999301</v>
      </c>
      <c r="Q7" s="160">
        <f>Monthly_kWh!EF7</f>
        <v>5.74812999999995</v>
      </c>
      <c r="R7" s="119">
        <f>SUM('Zone wise Meter data'!O30:AF30)</f>
        <v>1.2025803749999993</v>
      </c>
      <c r="S7" s="115">
        <f>SUM('Zone wise Meter data'!AG30:AW30)</f>
        <v>1.5978530000000055</v>
      </c>
      <c r="T7" s="115">
        <f>SUM('Zone wise Meter data'!AX30:BA30)</f>
        <v>0.70298749999998766</v>
      </c>
      <c r="U7" s="115">
        <f>SUM('Zone wise Meter data'!BB30:BC30)</f>
        <v>1.2961600000000431</v>
      </c>
      <c r="V7" s="115">
        <f>SUM('Zone wise Meter data'!BD30:BL30)</f>
        <v>5.5908830000001499</v>
      </c>
      <c r="W7" s="115">
        <f>SUM('Zone wise Meter data'!BM30:BX30)</f>
        <v>4.0195750000000099E-2</v>
      </c>
      <c r="X7" s="115">
        <f>SUM('Zone wise Meter data'!BY30:CE30)</f>
        <v>1.187449999999975E-2</v>
      </c>
      <c r="Y7" s="115">
        <f>SUM('Zone wise Meter data'!CF30:CK30)</f>
        <v>0.59346900000000069</v>
      </c>
      <c r="Z7" s="115">
        <f>SUM('Zone wise Meter data'!CL30:CO30)</f>
        <v>0.46412799999998799</v>
      </c>
      <c r="AA7" s="115">
        <f>SUM('Zone wise Meter data'!CP30:DD30)</f>
        <v>0.75238656249999813</v>
      </c>
      <c r="AB7" s="115">
        <f>SUM('Zone wise Meter data'!DE30:DN30)</f>
        <v>0.19342462500000143</v>
      </c>
      <c r="AC7" s="115">
        <f>SUM('Zone wise Meter data'!DO30:ED30)</f>
        <v>0</v>
      </c>
      <c r="AD7" s="160">
        <f>Monthly_kWh!AW7</f>
        <v>0.89523200000007797</v>
      </c>
      <c r="AE7" s="160">
        <f>Monthly_kWh!DS7</f>
        <v>0.40092799999996498</v>
      </c>
      <c r="AF7" s="160">
        <f>Monthly_kWh!EL7</f>
        <v>1.5103999999837499E-2</v>
      </c>
      <c r="AG7" s="160">
        <f>Monthly_kWh!EK7</f>
        <v>0</v>
      </c>
      <c r="AH7" s="160">
        <f>Monthly_kWh!EN7</f>
        <v>1.9765760000000201</v>
      </c>
      <c r="AI7" s="160">
        <f>Monthly_kWh!EO7</f>
        <v>0</v>
      </c>
      <c r="AJ7" s="160">
        <f>Monthly_kWh!EM7</f>
        <v>1.8321920000003</v>
      </c>
      <c r="AK7" s="160">
        <f>Monthly_kWh!ER7</f>
        <v>1.2230350000000001</v>
      </c>
      <c r="AL7" s="160">
        <f>Monthly_kWh!EI7</f>
        <v>0.43910400000004302</v>
      </c>
      <c r="AM7" s="160">
        <f>Monthly_kWh!EJ7+Hourly_kWh!AS7</f>
        <v>2.3409500000004951E-2</v>
      </c>
      <c r="AN7" s="160">
        <f>Monthly_kWh!CX7+Hourly_kWh!CY7+Hourly_kWh!DC7+Hourly_kWh!DD7</f>
        <v>0.18940262500000304</v>
      </c>
      <c r="AO7" s="160">
        <f>SUM(Hourly_kWh!AI7:AQ7)</f>
        <v>7.5341828124993349E-2</v>
      </c>
      <c r="AP7" s="160">
        <f>SUM(Hourly_kWh!V7:AG7)</f>
        <v>2.8999499999998513E-2</v>
      </c>
      <c r="AQ7" s="160">
        <f>Monthly_kWh!DB7</f>
        <v>7.5267999999999405E-2</v>
      </c>
      <c r="AR7" s="160">
        <f>Monthly_kWh!CO7</f>
        <v>0.24037599999999801</v>
      </c>
      <c r="AS7" s="160">
        <f>Monthly_kWh!BJ7</f>
        <v>4.2000000000541597E-5</v>
      </c>
      <c r="AT7" s="160">
        <f>Monthly_kWh!U7</f>
        <v>0.30527200000000199</v>
      </c>
      <c r="AU7" s="160">
        <f>Monthly_kWh!V7</f>
        <v>0.114522000000001</v>
      </c>
      <c r="AV7" s="160">
        <f>Monthly_kWh!W7</f>
        <v>1.04810000000004E-2</v>
      </c>
      <c r="AW7" s="160">
        <f>Monthly_kWh!X7</f>
        <v>4.2380000000001403E-2</v>
      </c>
      <c r="AX7" s="160">
        <f>Monthly_kWh!Y7</f>
        <v>0</v>
      </c>
      <c r="AY7" s="160">
        <f>Monthly_kWh!Z7</f>
        <v>3.8918999999999898E-2</v>
      </c>
      <c r="AZ7" s="160">
        <f>Monthly_kWh!AA7</f>
        <v>8.0300000000001107E-2</v>
      </c>
      <c r="BA7" s="160">
        <f>Monthly_kWh!AB7</f>
        <v>0.14646200000000001</v>
      </c>
      <c r="BB7" s="160">
        <f>Monthly_kWh!AC7</f>
        <v>9.56800000000015E-2</v>
      </c>
      <c r="BC7" s="160">
        <f>Monthly_kWh!AD7</f>
        <v>3.7385000000000397E-2</v>
      </c>
      <c r="BD7" s="160">
        <f>Monthly_kWh!AE7</f>
        <v>5.4767499999999601E-2</v>
      </c>
      <c r="BE7" s="160">
        <f>Monthly_kWh!AF7</f>
        <v>0</v>
      </c>
      <c r="BF7" s="160">
        <f>Monthly_kWh!AG7</f>
        <v>1.45735E-2</v>
      </c>
      <c r="BG7" s="160">
        <f>Monthly_kWh!AH7</f>
        <v>1.2503359999999999</v>
      </c>
      <c r="BH7" s="160">
        <f>Monthly_kWh!AI7</f>
        <v>0</v>
      </c>
      <c r="BI7" s="160">
        <f>Monthly_kWh!AJ7</f>
        <v>2.44085000000007E-2</v>
      </c>
      <c r="BJ7" s="160">
        <f>Monthly_kWh!AK7</f>
        <v>0</v>
      </c>
      <c r="BK7" s="160">
        <f>Monthly_kWh!AL7</f>
        <v>0.18668000000001</v>
      </c>
      <c r="BL7" s="160">
        <f>Monthly_kWh!AM7</f>
        <v>0.35727199999999498</v>
      </c>
      <c r="BM7" s="160">
        <f>Monthly_kWh!AN7</f>
        <v>0.26430399999999599</v>
      </c>
      <c r="BN7" s="160">
        <f>Monthly_kWh!AO7</f>
        <v>9.4808000000000406E-2</v>
      </c>
      <c r="BO7" s="160">
        <f>Monthly_kWh!AP7</f>
        <v>6.6261999999998294E-2</v>
      </c>
      <c r="BP7" s="160">
        <f>Monthly_kWh!AQ7</f>
        <v>0.169072</v>
      </c>
      <c r="BQ7" s="160">
        <f>Monthly_kWh!AR7</f>
        <v>3.0881919999999901</v>
      </c>
      <c r="BR7" s="160">
        <f>Monthly_kWh!AS7</f>
        <v>7.46749999999974E-3</v>
      </c>
      <c r="BS7" s="160">
        <f>Monthly_kWh!AT7</f>
        <v>0</v>
      </c>
      <c r="BT7" s="160">
        <f>Monthly_kWh!AU7</f>
        <v>3.8304000000003703E-2</v>
      </c>
      <c r="BU7" s="160">
        <f>Monthly_kWh!AV7</f>
        <v>1.6184500000000501E-2</v>
      </c>
      <c r="BV7" s="160">
        <f>Monthly_kWh!AW7</f>
        <v>0.89523200000007797</v>
      </c>
      <c r="BW7" s="160">
        <f>Monthly_kWh!AX7</f>
        <v>0</v>
      </c>
      <c r="BX7" s="160">
        <f>Monthly_kWh!AY7</f>
        <v>5.9878999999999599E-2</v>
      </c>
      <c r="BY7" s="160">
        <f>Monthly_kWh!AZ7</f>
        <v>4.9999999998107097E-6</v>
      </c>
      <c r="BZ7" s="160">
        <f>Monthly_kWh!BA7</f>
        <v>0</v>
      </c>
      <c r="CA7" s="160">
        <f>Monthly_kWh!BB7</f>
        <v>0</v>
      </c>
      <c r="CB7" s="160">
        <f>Monthly_kWh!BC7</f>
        <v>0</v>
      </c>
      <c r="CC7" s="160">
        <f>Monthly_kWh!BD7</f>
        <v>2.4871250000000301E-3</v>
      </c>
      <c r="CD7" s="160">
        <f>Monthly_kWh!BE7</f>
        <v>0.136405999999999</v>
      </c>
      <c r="CE7" s="160">
        <f>Monthly_kWh!BF7</f>
        <v>0</v>
      </c>
      <c r="CF7" s="160">
        <f>Monthly_kWh!BG7</f>
        <v>1.04260000000007E-2</v>
      </c>
      <c r="CG7" s="160">
        <f>Monthly_kWh!BH7</f>
        <v>1.85040000000001E-2</v>
      </c>
      <c r="CH7" s="160">
        <f>Monthly_kWh!BI7</f>
        <v>1.59055999999998</v>
      </c>
      <c r="CI7" s="160">
        <f>Monthly_kWh!BJ7</f>
        <v>4.2000000000541597E-5</v>
      </c>
      <c r="CJ7" s="160">
        <f>Monthly_kWh!BK7</f>
        <v>0.17084750000000001</v>
      </c>
      <c r="CK7" s="160">
        <f>Monthly_kWh!BL7</f>
        <v>1.2800000000012801E-4</v>
      </c>
      <c r="CL7" s="160">
        <f>Monthly_kWh!BM7</f>
        <v>0.56424000000001195</v>
      </c>
      <c r="CM7" s="160">
        <f>Monthly_kWh!BN7</f>
        <v>0</v>
      </c>
      <c r="CN7" s="160">
        <f>Monthly_kWh!BO7</f>
        <v>2.8964000000000201E-2</v>
      </c>
      <c r="CO7" s="160">
        <f>Monthly_kWh!BP7</f>
        <v>0</v>
      </c>
      <c r="CP7" s="160">
        <f>Monthly_kWh!BQ7</f>
        <v>0</v>
      </c>
      <c r="CQ7" s="160">
        <f>Monthly_kWh!BR7</f>
        <v>0</v>
      </c>
      <c r="CR7" s="160">
        <f>Monthly_kWh!BS7</f>
        <v>0</v>
      </c>
      <c r="CS7" s="160">
        <f>Monthly_kWh!BT7</f>
        <v>3.1399999999997902E-2</v>
      </c>
      <c r="CT7" s="160">
        <f>Monthly_kWh!BU7</f>
        <v>0</v>
      </c>
      <c r="CU7" s="160">
        <f>Monthly_kWh!BV7</f>
        <v>0</v>
      </c>
      <c r="CV7" s="160">
        <f>Monthly_kWh!BW7</f>
        <v>0</v>
      </c>
      <c r="CW7" s="160">
        <f>Monthly_kWh!BX7</f>
        <v>0</v>
      </c>
      <c r="CX7" s="160">
        <f>Monthly_kWh!BY7</f>
        <v>0</v>
      </c>
      <c r="CY7" s="160">
        <f>Monthly_kWh!BZ7</f>
        <v>0.319280000000006</v>
      </c>
      <c r="CZ7" s="160">
        <f>Monthly_kWh!CA7</f>
        <v>7.5999999999993406E-2</v>
      </c>
      <c r="DA7" s="160">
        <f>Monthly_kWh!CB7</f>
        <v>0</v>
      </c>
      <c r="DB7" s="160">
        <f>Monthly_kWh!CC7</f>
        <v>0</v>
      </c>
      <c r="DC7" s="160">
        <f>Monthly_kWh!CD7</f>
        <v>0</v>
      </c>
      <c r="DD7" s="160">
        <f>Monthly_kWh!CE7</f>
        <v>0</v>
      </c>
      <c r="DE7" s="160">
        <f>Monthly_kWh!CF7</f>
        <v>3.9685000000000401E-2</v>
      </c>
      <c r="DF7" s="160">
        <f>Monthly_kWh!CG7</f>
        <v>0</v>
      </c>
      <c r="DG7" s="160">
        <f>Monthly_kWh!CH7</f>
        <v>1.03927499999998E-2</v>
      </c>
      <c r="DH7" s="160">
        <f>Monthly_kWh!CI7</f>
        <v>0</v>
      </c>
      <c r="DI7" s="160">
        <f>Monthly_kWh!CJ7</f>
        <v>0</v>
      </c>
      <c r="DJ7" s="160">
        <f>Monthly_kWh!CK7</f>
        <v>0</v>
      </c>
      <c r="DK7" s="160">
        <f>Monthly_kWh!CL7</f>
        <v>0.110074000000001</v>
      </c>
      <c r="DL7" s="160">
        <f>Monthly_kWh!CM7</f>
        <v>2.7351039999998599</v>
      </c>
      <c r="DM7" s="160">
        <f>Monthly_kWh!CN7</f>
        <v>3.37984999999996E-2</v>
      </c>
      <c r="DN7" s="160">
        <f>Monthly_kWh!CO7</f>
        <v>0.24037599999999801</v>
      </c>
      <c r="DO7" s="160">
        <f>Monthly_kWh!CP7</f>
        <v>0</v>
      </c>
      <c r="DP7" s="160">
        <f>Monthly_kWh!CQ7</f>
        <v>0</v>
      </c>
      <c r="DQ7" s="160">
        <f>Monthly_kWh!CR7</f>
        <v>9.6103000000001201E-2</v>
      </c>
      <c r="DR7" s="160">
        <f>Monthly_kWh!CS7</f>
        <v>0</v>
      </c>
      <c r="DS7" s="160">
        <f>Monthly_kWh!CT7</f>
        <v>8.6327999999994603E-2</v>
      </c>
      <c r="DT7" s="160">
        <f>Monthly_kWh!CU7</f>
        <v>0</v>
      </c>
      <c r="DU7" s="160">
        <f>Monthly_kWh!CV7</f>
        <v>1.4817499999999499E-3</v>
      </c>
      <c r="DV7" s="160">
        <f>Monthly_kWh!CW7</f>
        <v>0</v>
      </c>
      <c r="DW7" s="160">
        <f>Monthly_kWh!CX7</f>
        <v>0.18693600000000299</v>
      </c>
      <c r="DX7" s="160">
        <f>Monthly_kWh!CY7</f>
        <v>1.19359999999999E-2</v>
      </c>
      <c r="DY7" s="160">
        <f>Monthly_kWh!CZ7</f>
        <v>1.12317499999999E-2</v>
      </c>
      <c r="DZ7" s="160">
        <f>Monthly_kWh!DA7</f>
        <v>0.22833199999999501</v>
      </c>
      <c r="EA7" s="160">
        <f>Monthly_kWh!DB7</f>
        <v>7.5267999999999405E-2</v>
      </c>
      <c r="EB7" s="160">
        <f>Monthly_kWh!DC7</f>
        <v>0.146615999999995</v>
      </c>
      <c r="EC7" s="160">
        <f>Monthly_kWh!DD7</f>
        <v>1.5064375E-2</v>
      </c>
      <c r="ED7" s="160">
        <f>Monthly_kWh!DE7</f>
        <v>0</v>
      </c>
      <c r="EE7" s="160">
        <f>Monthly_kWh!DF7</f>
        <v>0</v>
      </c>
      <c r="EF7" s="160">
        <f>Monthly_kWh!DG7</f>
        <v>0</v>
      </c>
      <c r="EG7" s="160">
        <f>Monthly_kWh!DH7</f>
        <v>6.8770000000002397E-3</v>
      </c>
      <c r="EH7" s="160">
        <f>Monthly_kWh!DI7</f>
        <v>1.7400319999999301</v>
      </c>
      <c r="EI7" s="160">
        <f>Monthly_kWh!DJ7</f>
        <v>0</v>
      </c>
      <c r="EJ7" s="160">
        <f>Monthly_kWh!DK7</f>
        <v>6.56259999999982E-2</v>
      </c>
      <c r="EK7" s="160">
        <f>Monthly_kWh!DL7</f>
        <v>1.14669999999997E-2</v>
      </c>
      <c r="EL7" s="160">
        <f>Monthly_kWh!DM7</f>
        <v>3.0420999999998699E-2</v>
      </c>
      <c r="EM7" s="160">
        <f>Monthly_kWh!DN7</f>
        <v>0</v>
      </c>
      <c r="EN7" s="160">
        <f>Monthly_kWh!DO7</f>
        <v>0.40976000000000601</v>
      </c>
      <c r="EO7" s="160">
        <f>Monthly_kWh!DP7</f>
        <v>1.47634999999999E-2</v>
      </c>
      <c r="EP7" s="160">
        <f>Monthly_kWh!DQ7</f>
        <v>0</v>
      </c>
      <c r="EQ7" s="160">
        <f>Monthly_kWh!DR7</f>
        <v>0</v>
      </c>
      <c r="ER7" s="160">
        <f>Monthly_kWh!DS7</f>
        <v>0.40092799999996498</v>
      </c>
      <c r="ES7" s="160">
        <f>Monthly_kWh!DT7</f>
        <v>0.12710400000000299</v>
      </c>
      <c r="ET7" s="160">
        <f>Monthly_kWh!DU7</f>
        <v>9.7399999999936405E-4</v>
      </c>
      <c r="EU7" s="160">
        <f>Monthly_kWh!DV7</f>
        <v>7.1330000000000603E-3</v>
      </c>
      <c r="EV7" s="160">
        <f>Monthly_kWh!DW7</f>
        <v>0</v>
      </c>
      <c r="EW7" s="160">
        <f>Monthly_kWh!DX7</f>
        <v>0.155694</v>
      </c>
      <c r="EX7" s="160">
        <f>Monthly_kWh!DY7</f>
        <v>3.2530625000000099E-3</v>
      </c>
      <c r="EY7" s="160">
        <f>Monthly_kWh!DZ7</f>
        <v>5.3401999999998402E-2</v>
      </c>
      <c r="EZ7" s="160">
        <f>Monthly_kWh!EA7</f>
        <v>0</v>
      </c>
      <c r="FA7" s="160">
        <f>Monthly_kWh!EB7</f>
        <v>0.26878399999998198</v>
      </c>
      <c r="FB7" s="160">
        <f>Monthly_kWh!EC7</f>
        <v>0.19534400000000601</v>
      </c>
      <c r="FC7" s="160">
        <f>Monthly_kWh!ED7</f>
        <v>2.1078999999999799E-2</v>
      </c>
      <c r="FD7" s="160">
        <f>Monthly_kWh!EE7</f>
        <v>2.74495000000003E-2</v>
      </c>
      <c r="FE7" s="160">
        <f>Monthly_kWh!EF7</f>
        <v>5.74812999999995</v>
      </c>
      <c r="FF7" s="160">
        <f>Monthly_kWh!EG7</f>
        <v>0</v>
      </c>
      <c r="FG7" s="160">
        <f>Monthly_kWh!EH7</f>
        <v>0.23462399999993999</v>
      </c>
      <c r="FH7" s="160">
        <f>Monthly_kWh!EI7</f>
        <v>0.43910400000004302</v>
      </c>
      <c r="FI7" s="160">
        <f>Monthly_kWh!EJ7</f>
        <v>2.1792000000004901E-2</v>
      </c>
      <c r="FJ7" s="160">
        <f>Monthly_kWh!EK7</f>
        <v>0</v>
      </c>
      <c r="FK7" s="160">
        <f>Monthly_kWh!EL7</f>
        <v>1.5103999999837499E-2</v>
      </c>
      <c r="FL7" s="160">
        <f>Monthly_kWh!EM7</f>
        <v>1.8321920000003</v>
      </c>
      <c r="FM7" s="160">
        <f>Monthly_kWh!EN7</f>
        <v>1.9765760000000201</v>
      </c>
      <c r="FN7" s="160">
        <f>Monthly_kWh!EO7</f>
        <v>0</v>
      </c>
      <c r="FO7" s="160">
        <f>Monthly_kWh!EP7</f>
        <v>0</v>
      </c>
      <c r="FP7" s="160">
        <f>Monthly_kWh!ER7</f>
        <v>1.2230350000000001</v>
      </c>
      <c r="FQ7" s="160">
        <f>Monthly_kWh!EQ7</f>
        <v>0</v>
      </c>
      <c r="FR7" s="160">
        <f>Monthly_kWh!M7</f>
        <v>0.111024999999998</v>
      </c>
      <c r="FS7" s="160">
        <f>Monthly_kWh!G7</f>
        <v>0.111412000000001</v>
      </c>
      <c r="FT7" s="160">
        <f>Monthly_kWh!C7</f>
        <v>2.6685540000000301</v>
      </c>
      <c r="FU7" s="160">
        <f>Monthly_kWh!D7</f>
        <v>2.8501509999999799</v>
      </c>
      <c r="FV7" s="160">
        <f>Monthly_kWh!E7</f>
        <v>0</v>
      </c>
      <c r="FW7" s="160">
        <f>Monthly_kWh!F7</f>
        <v>2.7357490000000602</v>
      </c>
      <c r="FX7" s="160">
        <f>Monthly_kWh!Q7</f>
        <v>2.5538559999986301</v>
      </c>
      <c r="FY7" s="160">
        <f>Monthly_kWh!R7</f>
        <v>2.7934719999975601</v>
      </c>
      <c r="FZ7" s="160">
        <f>Monthly_kWh!S7</f>
        <v>0</v>
      </c>
      <c r="GA7" s="160">
        <f>Monthly_kWh!T7</f>
        <v>2.65420799999993</v>
      </c>
      <c r="GB7" s="160">
        <f>SUM(C7:L7)</f>
        <v>15.447082000000115</v>
      </c>
      <c r="GC7" s="160">
        <f>SUM(M7:Q7)</f>
        <v>13.875697999999742</v>
      </c>
      <c r="GD7" s="160">
        <f>GB7-GC7</f>
        <v>1.5713840000003731</v>
      </c>
      <c r="GE7" s="159">
        <f>GD7/GB7</f>
        <v>0.10172691515461375</v>
      </c>
    </row>
    <row r="8" spans="2:187" s="150" customFormat="1" ht="32.25" customHeight="1" x14ac:dyDescent="0.25">
      <c r="B8" s="168">
        <v>2</v>
      </c>
      <c r="C8" s="160">
        <f>Monthly_kWh!H8</f>
        <v>4.6145000000000103E-2</v>
      </c>
      <c r="D8" s="160">
        <f>Monthly_kWh!I8</f>
        <v>4.7158000000000498E-2</v>
      </c>
      <c r="E8" s="160">
        <f>Monthly_kWh!J8</f>
        <v>1.5078999999999799E-2</v>
      </c>
      <c r="F8" s="160">
        <f>Monthly_kWh!K8</f>
        <v>0</v>
      </c>
      <c r="G8" s="160">
        <f>Monthly_kWh!L8</f>
        <v>1.0900000000000401E-2</v>
      </c>
      <c r="H8" s="160">
        <f>Monthly_kWh!U8</f>
        <v>0.49056799999999601</v>
      </c>
      <c r="I8" s="160">
        <f>Monthly_kWh!P8</f>
        <v>0.28270900000000398</v>
      </c>
      <c r="J8" s="160">
        <f>Monthly_kWh!N8</f>
        <v>4.0656310000000504</v>
      </c>
      <c r="K8" s="160">
        <f>Monthly_kWh!O8</f>
        <v>4.1215130000000499</v>
      </c>
      <c r="L8" s="160">
        <f>Monthly_kWh!B8</f>
        <v>18.16825</v>
      </c>
      <c r="M8" s="160">
        <f>Monthly_kWh!AR8</f>
        <v>4.7484799999999696</v>
      </c>
      <c r="N8" s="160">
        <f>Monthly_kWh!BM8</f>
        <v>1.840352</v>
      </c>
      <c r="O8" s="160">
        <f>Monthly_kWh!CM8</f>
        <v>4.0661760000000404</v>
      </c>
      <c r="P8" s="160">
        <f>Monthly_kWh!DI8</f>
        <v>5.3246720000000796</v>
      </c>
      <c r="Q8" s="160">
        <f>Monthly_kWh!EF8</f>
        <v>8.9479659999997203</v>
      </c>
      <c r="R8" s="119">
        <f>SUM('Zone wise Meter data'!O31:AF31)</f>
        <v>1.1451053124999966</v>
      </c>
      <c r="S8" s="115">
        <f>SUM('Zone wise Meter data'!AG31:AW31)</f>
        <v>2.332980500000005</v>
      </c>
      <c r="T8" s="115">
        <f>SUM('Zone wise Meter data'!AX31:BA31)</f>
        <v>1.0132030000000414</v>
      </c>
      <c r="U8" s="115">
        <f>SUM('Zone wise Meter data'!BB31:BC31)</f>
        <v>3.4847040000000202</v>
      </c>
      <c r="V8" s="115">
        <f>SUM('Zone wise Meter data'!BD31:BL31)</f>
        <v>9.0053459999999053</v>
      </c>
      <c r="W8" s="115">
        <f>SUM('Zone wise Meter data'!BM31:BX31)</f>
        <v>5.3297250000001302E-2</v>
      </c>
      <c r="X8" s="115">
        <f>SUM('Zone wise Meter data'!BY31:CE31)</f>
        <v>4.1127375000000299E-2</v>
      </c>
      <c r="Y8" s="115">
        <f>SUM('Zone wise Meter data'!CF31:CK31)</f>
        <v>2.0202650000000086</v>
      </c>
      <c r="Z8" s="115">
        <f>SUM('Zone wise Meter data'!CL31:CO31)</f>
        <v>1.9976480000000301</v>
      </c>
      <c r="AA8" s="115">
        <f>SUM('Zone wise Meter data'!CP31:DD31)</f>
        <v>1.3217034375000132</v>
      </c>
      <c r="AB8" s="115">
        <f>SUM('Zone wise Meter data'!DE31:DN31)</f>
        <v>0.24973362499999752</v>
      </c>
      <c r="AC8" s="115">
        <f>SUM('Zone wise Meter data'!DO31:ED31)</f>
        <v>0</v>
      </c>
      <c r="AD8" s="160">
        <f>Monthly_kWh!AW8</f>
        <v>1.7534719999999899</v>
      </c>
      <c r="AE8" s="160">
        <f>Monthly_kWh!DS8</f>
        <v>1.7312320000000301</v>
      </c>
      <c r="AF8" s="160">
        <f>Monthly_kWh!EL8</f>
        <v>1.23904000000016</v>
      </c>
      <c r="AG8" s="160">
        <f>Monthly_kWh!EK8</f>
        <v>0</v>
      </c>
      <c r="AH8" s="160">
        <f>Monthly_kWh!EN8</f>
        <v>1.27436799999987</v>
      </c>
      <c r="AI8" s="160">
        <f>Monthly_kWh!EO8</f>
        <v>0</v>
      </c>
      <c r="AJ8" s="160">
        <f>Monthly_kWh!EM8</f>
        <v>3.5013119999998699</v>
      </c>
      <c r="AK8" s="160">
        <f>Monthly_kWh!ER8</f>
        <v>1.994629</v>
      </c>
      <c r="AL8" s="160">
        <f>Monthly_kWh!EI8</f>
        <v>0.52262400000006404</v>
      </c>
      <c r="AM8" s="160">
        <f>Monthly_kWh!EJ8+Hourly_kWh!AS8</f>
        <v>3.824849999999546E-2</v>
      </c>
      <c r="AN8" s="160">
        <f>Monthly_kWh!CX8+Hourly_kWh!CY8+Hourly_kWh!DC8+Hourly_kWh!DD8</f>
        <v>0.24830124999999606</v>
      </c>
      <c r="AO8" s="160">
        <f>SUM(Hourly_kWh!AI8:AQ8)</f>
        <v>7.7292734375006916E-2</v>
      </c>
      <c r="AP8" s="160">
        <f>SUM(Hourly_kWh!V8:AG8)</f>
        <v>3.6006000000003091E-2</v>
      </c>
      <c r="AQ8" s="160">
        <f>Monthly_kWh!DB8</f>
        <v>0.12628900000000201</v>
      </c>
      <c r="AR8" s="160">
        <f>Monthly_kWh!CO8</f>
        <v>0.58706800000000203</v>
      </c>
      <c r="AS8" s="160">
        <f>Monthly_kWh!BJ8</f>
        <v>2.7249999999980901E-3</v>
      </c>
      <c r="AT8" s="160">
        <f>Monthly_kWh!U8</f>
        <v>0.49056799999999601</v>
      </c>
      <c r="AU8" s="160">
        <f>Monthly_kWh!V8</f>
        <v>0.128056000000001</v>
      </c>
      <c r="AV8" s="160">
        <f>Monthly_kWh!W8</f>
        <v>6.2398000000000002E-2</v>
      </c>
      <c r="AW8" s="160">
        <f>Monthly_kWh!X8</f>
        <v>6.6516999999999299E-2</v>
      </c>
      <c r="AX8" s="160">
        <f>Monthly_kWh!Y8</f>
        <v>0</v>
      </c>
      <c r="AY8" s="160">
        <f>Monthly_kWh!Z8</f>
        <v>4.6475000000000898E-2</v>
      </c>
      <c r="AZ8" s="160">
        <f>Monthly_kWh!AA8</f>
        <v>0.110659999999999</v>
      </c>
      <c r="BA8" s="160">
        <f>Monthly_kWh!AB8</f>
        <v>0.14740399999999801</v>
      </c>
      <c r="BB8" s="160">
        <f>Monthly_kWh!AC8</f>
        <v>9.1338000000000405E-2</v>
      </c>
      <c r="BC8" s="160">
        <f>Monthly_kWh!AD8</f>
        <v>4.8367499999999501E-2</v>
      </c>
      <c r="BD8" s="160">
        <f>Monthly_kWh!AE8</f>
        <v>8.4655500000000203E-2</v>
      </c>
      <c r="BE8" s="160">
        <f>Monthly_kWh!AF8</f>
        <v>0</v>
      </c>
      <c r="BF8" s="160">
        <f>Monthly_kWh!AG8</f>
        <v>1.56200000000002E-2</v>
      </c>
      <c r="BG8" s="160">
        <f>Monthly_kWh!AH8</f>
        <v>1.8999680000000001</v>
      </c>
      <c r="BH8" s="160">
        <f>Monthly_kWh!AI8</f>
        <v>0</v>
      </c>
      <c r="BI8" s="160">
        <f>Monthly_kWh!AJ8</f>
        <v>3.1619999999999301E-2</v>
      </c>
      <c r="BJ8" s="160">
        <f>Monthly_kWh!AK8</f>
        <v>0</v>
      </c>
      <c r="BK8" s="160">
        <f>Monthly_kWh!AL8</f>
        <v>0.326048</v>
      </c>
      <c r="BL8" s="160">
        <f>Monthly_kWh!AM8</f>
        <v>0.45799999999999802</v>
      </c>
      <c r="BM8" s="160">
        <f>Monthly_kWh!AN8</f>
        <v>0.41523200000000299</v>
      </c>
      <c r="BN8" s="160">
        <f>Monthly_kWh!AO8</f>
        <v>0.113332</v>
      </c>
      <c r="BO8" s="160">
        <f>Monthly_kWh!AP8</f>
        <v>8.1760000000002706E-2</v>
      </c>
      <c r="BP8" s="160">
        <f>Monthly_kWh!AQ8</f>
        <v>0.32807600000000298</v>
      </c>
      <c r="BQ8" s="160">
        <f>Monthly_kWh!AR8</f>
        <v>4.7484799999999696</v>
      </c>
      <c r="BR8" s="160">
        <f>Monthly_kWh!AS8</f>
        <v>5.1539000000000001E-2</v>
      </c>
      <c r="BS8" s="160">
        <f>Monthly_kWh!AT8</f>
        <v>0</v>
      </c>
      <c r="BT8" s="160">
        <f>Monthly_kWh!AU8</f>
        <v>4.3607999999999002E-2</v>
      </c>
      <c r="BU8" s="160">
        <f>Monthly_kWh!AV8</f>
        <v>1.8547499999999498E-2</v>
      </c>
      <c r="BV8" s="160">
        <f>Monthly_kWh!AW8</f>
        <v>1.7534719999999899</v>
      </c>
      <c r="BW8" s="160">
        <f>Monthly_kWh!AX8</f>
        <v>0</v>
      </c>
      <c r="BX8" s="160">
        <f>Monthly_kWh!AY8</f>
        <v>5.8442500000000001E-2</v>
      </c>
      <c r="BY8" s="160">
        <f>Monthly_kWh!AZ8</f>
        <v>1.5499999999946099E-5</v>
      </c>
      <c r="BZ8" s="160">
        <f>Monthly_kWh!BA8</f>
        <v>0</v>
      </c>
      <c r="CA8" s="160">
        <f>Monthly_kWh!BB8</f>
        <v>0</v>
      </c>
      <c r="CB8" s="160">
        <f>Monthly_kWh!BC8</f>
        <v>0</v>
      </c>
      <c r="CC8" s="160">
        <f>Monthly_kWh!BD8</f>
        <v>3.8876249999999501E-3</v>
      </c>
      <c r="CD8" s="160">
        <f>Monthly_kWh!BE8</f>
        <v>0.139321000000001</v>
      </c>
      <c r="CE8" s="160">
        <f>Monthly_kWh!BF8</f>
        <v>0</v>
      </c>
      <c r="CF8" s="160">
        <f>Monthly_kWh!BG8</f>
        <v>1.08629999999987E-2</v>
      </c>
      <c r="CG8" s="160">
        <f>Monthly_kWh!BH8</f>
        <v>4.3896000000000199E-2</v>
      </c>
      <c r="CH8" s="160">
        <f>Monthly_kWh!BI8</f>
        <v>2.36095999999998</v>
      </c>
      <c r="CI8" s="160">
        <f>Monthly_kWh!BJ8</f>
        <v>2.7249999999980901E-3</v>
      </c>
      <c r="CJ8" s="160">
        <f>Monthly_kWh!BK8</f>
        <v>5.0178499999999501E-2</v>
      </c>
      <c r="CK8" s="160">
        <f>Monthly_kWh!BL8</f>
        <v>3.7800000000132199E-4</v>
      </c>
      <c r="CL8" s="160">
        <f>Monthly_kWh!BM8</f>
        <v>1.840352</v>
      </c>
      <c r="CM8" s="160">
        <f>Monthly_kWh!BN8</f>
        <v>0</v>
      </c>
      <c r="CN8" s="160">
        <f>Monthly_kWh!BO8</f>
        <v>4.1329000000001101E-2</v>
      </c>
      <c r="CO8" s="160">
        <f>Monthly_kWh!BP8</f>
        <v>0</v>
      </c>
      <c r="CP8" s="160">
        <f>Monthly_kWh!BQ8</f>
        <v>0</v>
      </c>
      <c r="CQ8" s="160">
        <f>Monthly_kWh!BR8</f>
        <v>0</v>
      </c>
      <c r="CR8" s="160">
        <f>Monthly_kWh!BS8</f>
        <v>0</v>
      </c>
      <c r="CS8" s="160">
        <f>Monthly_kWh!BT8</f>
        <v>0.27624400000000499</v>
      </c>
      <c r="CT8" s="160">
        <f>Monthly_kWh!BU8</f>
        <v>0</v>
      </c>
      <c r="CU8" s="160">
        <f>Monthly_kWh!BV8</f>
        <v>0</v>
      </c>
      <c r="CV8" s="160">
        <f>Monthly_kWh!BW8</f>
        <v>0</v>
      </c>
      <c r="CW8" s="160">
        <f>Monthly_kWh!BX8</f>
        <v>0</v>
      </c>
      <c r="CX8" s="160">
        <f>Monthly_kWh!BY8</f>
        <v>0</v>
      </c>
      <c r="CY8" s="160">
        <f>Monthly_kWh!BZ8</f>
        <v>0.98352800000000695</v>
      </c>
      <c r="CZ8" s="160">
        <f>Monthly_kWh!CA8</f>
        <v>0.30792800000000398</v>
      </c>
      <c r="DA8" s="160">
        <f>Monthly_kWh!CB8</f>
        <v>0</v>
      </c>
      <c r="DB8" s="160">
        <f>Monthly_kWh!CC8</f>
        <v>0</v>
      </c>
      <c r="DC8" s="160">
        <f>Monthly_kWh!CD8</f>
        <v>0</v>
      </c>
      <c r="DD8" s="160">
        <f>Monthly_kWh!CE8</f>
        <v>0</v>
      </c>
      <c r="DE8" s="160">
        <f>Monthly_kWh!CF8</f>
        <v>4.8180999999999599E-2</v>
      </c>
      <c r="DF8" s="160">
        <f>Monthly_kWh!CG8</f>
        <v>0</v>
      </c>
      <c r="DG8" s="160">
        <f>Monthly_kWh!CH8</f>
        <v>2.2502000000000199E-2</v>
      </c>
      <c r="DH8" s="160">
        <f>Monthly_kWh!CI8</f>
        <v>0</v>
      </c>
      <c r="DI8" s="160">
        <f>Monthly_kWh!CJ8</f>
        <v>0</v>
      </c>
      <c r="DJ8" s="160">
        <f>Monthly_kWh!CK8</f>
        <v>0</v>
      </c>
      <c r="DK8" s="160">
        <f>Monthly_kWh!CL8</f>
        <v>0.20181199999999999</v>
      </c>
      <c r="DL8" s="160">
        <f>Monthly_kWh!CM8</f>
        <v>4.0661760000000404</v>
      </c>
      <c r="DM8" s="160">
        <f>Monthly_kWh!CN8</f>
        <v>4.5381999999999999E-2</v>
      </c>
      <c r="DN8" s="160">
        <f>Monthly_kWh!CO8</f>
        <v>0.58706800000000203</v>
      </c>
      <c r="DO8" s="160">
        <f>Monthly_kWh!CP8</f>
        <v>0</v>
      </c>
      <c r="DP8" s="160">
        <f>Monthly_kWh!CQ8</f>
        <v>0</v>
      </c>
      <c r="DQ8" s="160">
        <f>Monthly_kWh!CR8</f>
        <v>0.107775</v>
      </c>
      <c r="DR8" s="160">
        <f>Monthly_kWh!CS8</f>
        <v>0</v>
      </c>
      <c r="DS8" s="160">
        <f>Monthly_kWh!CT8</f>
        <v>0.20339200000000801</v>
      </c>
      <c r="DT8" s="160">
        <f>Monthly_kWh!CU8</f>
        <v>0</v>
      </c>
      <c r="DU8" s="160">
        <f>Monthly_kWh!CV8</f>
        <v>1.86253750000001E-2</v>
      </c>
      <c r="DV8" s="160">
        <f>Monthly_kWh!CW8</f>
        <v>0</v>
      </c>
      <c r="DW8" s="160">
        <f>Monthly_kWh!CX8</f>
        <v>0.24176399999999601</v>
      </c>
      <c r="DX8" s="160">
        <f>Monthly_kWh!CY8</f>
        <v>1.4921999999999901E-2</v>
      </c>
      <c r="DY8" s="160">
        <f>Monthly_kWh!CZ8</f>
        <v>1.1968250000000199E-2</v>
      </c>
      <c r="DZ8" s="160">
        <f>Monthly_kWh!DA8</f>
        <v>0.282640000000001</v>
      </c>
      <c r="EA8" s="160">
        <f>Monthly_kWh!DB8</f>
        <v>0.12628900000000201</v>
      </c>
      <c r="EB8" s="160">
        <f>Monthly_kWh!DC8</f>
        <v>9.1120000000017905E-3</v>
      </c>
      <c r="EC8" s="160">
        <f>Monthly_kWh!DD8</f>
        <v>2.1709812499999901E-2</v>
      </c>
      <c r="ED8" s="160">
        <f>Monthly_kWh!DE8</f>
        <v>0</v>
      </c>
      <c r="EE8" s="160">
        <f>Monthly_kWh!DF8</f>
        <v>0</v>
      </c>
      <c r="EF8" s="160">
        <f>Monthly_kWh!DG8</f>
        <v>0</v>
      </c>
      <c r="EG8" s="160">
        <f>Monthly_kWh!DH8</f>
        <v>7.1564999999997898E-3</v>
      </c>
      <c r="EH8" s="160">
        <f>Monthly_kWh!DI8</f>
        <v>5.3246720000000796</v>
      </c>
      <c r="EI8" s="160">
        <f>Monthly_kWh!DJ8</f>
        <v>0</v>
      </c>
      <c r="EJ8" s="160">
        <f>Monthly_kWh!DK8</f>
        <v>6.5272000000000205E-2</v>
      </c>
      <c r="EK8" s="160">
        <f>Monthly_kWh!DL8</f>
        <v>1.9265999999999998E-2</v>
      </c>
      <c r="EL8" s="160">
        <f>Monthly_kWh!DM8</f>
        <v>4.4378000000000001E-2</v>
      </c>
      <c r="EM8" s="160">
        <f>Monthly_kWh!DN8</f>
        <v>1.93999999999916E-4</v>
      </c>
      <c r="EN8" s="160">
        <f>Monthly_kWh!DO8</f>
        <v>0.74768000000000301</v>
      </c>
      <c r="EO8" s="160">
        <f>Monthly_kWh!DP8</f>
        <v>3.5984500000000502E-2</v>
      </c>
      <c r="EP8" s="160">
        <f>Monthly_kWh!DQ8</f>
        <v>0</v>
      </c>
      <c r="EQ8" s="160">
        <f>Monthly_kWh!DR8</f>
        <v>0</v>
      </c>
      <c r="ER8" s="160">
        <f>Monthly_kWh!DS8</f>
        <v>1.7312320000000301</v>
      </c>
      <c r="ES8" s="160">
        <f>Monthly_kWh!DT8</f>
        <v>0.40438399999999303</v>
      </c>
      <c r="ET8" s="160">
        <f>Monthly_kWh!DU8</f>
        <v>2.30309999999996E-2</v>
      </c>
      <c r="EU8" s="160">
        <f>Monthly_kWh!DV8</f>
        <v>7.0967500000001004E-3</v>
      </c>
      <c r="EV8" s="160">
        <f>Monthly_kWh!DW8</f>
        <v>0</v>
      </c>
      <c r="EW8" s="160">
        <f>Monthly_kWh!DX8</f>
        <v>0.15559049999999999</v>
      </c>
      <c r="EX8" s="160">
        <f>Monthly_kWh!DY8</f>
        <v>3.9664375000000298E-3</v>
      </c>
      <c r="EY8" s="160">
        <f>Monthly_kWh!DZ8</f>
        <v>0.10527800000000199</v>
      </c>
      <c r="EZ8" s="160">
        <f>Monthly_kWh!EA8</f>
        <v>0</v>
      </c>
      <c r="FA8" s="160">
        <f>Monthly_kWh!EB8</f>
        <v>1.37750400000002</v>
      </c>
      <c r="FB8" s="160">
        <f>Monthly_kWh!EC8</f>
        <v>0.62014400000001002</v>
      </c>
      <c r="FC8" s="160">
        <f>Monthly_kWh!ED8</f>
        <v>3.9490250000000102E-2</v>
      </c>
      <c r="FD8" s="160">
        <f>Monthly_kWh!EE8</f>
        <v>2.1848499999999899E-2</v>
      </c>
      <c r="FE8" s="160">
        <f>Monthly_kWh!EF8</f>
        <v>8.9479659999997203</v>
      </c>
      <c r="FF8" s="160">
        <f>Monthly_kWh!EG8</f>
        <v>0</v>
      </c>
      <c r="FG8" s="160">
        <f>Monthly_kWh!EH8</f>
        <v>0.40287999999998197</v>
      </c>
      <c r="FH8" s="160">
        <f>Monthly_kWh!EI8</f>
        <v>0.52262400000006404</v>
      </c>
      <c r="FI8" s="160">
        <f>Monthly_kWh!EJ8</f>
        <v>3.61599999999953E-2</v>
      </c>
      <c r="FJ8" s="160">
        <f>Monthly_kWh!EK8</f>
        <v>0</v>
      </c>
      <c r="FK8" s="160">
        <f>Monthly_kWh!EL8</f>
        <v>1.23904000000016</v>
      </c>
      <c r="FL8" s="160">
        <f>Monthly_kWh!EM8</f>
        <v>3.5013119999998699</v>
      </c>
      <c r="FM8" s="160">
        <f>Monthly_kWh!EN8</f>
        <v>1.27436799999987</v>
      </c>
      <c r="FN8" s="160">
        <f>Monthly_kWh!EO8</f>
        <v>0</v>
      </c>
      <c r="FO8" s="160">
        <f>Monthly_kWh!EP8</f>
        <v>0</v>
      </c>
      <c r="FP8" s="160">
        <f>Monthly_kWh!ER8</f>
        <v>1.994629</v>
      </c>
      <c r="FQ8" s="160">
        <f>Monthly_kWh!EQ8</f>
        <v>0</v>
      </c>
      <c r="FR8" s="160">
        <f>Monthly_kWh!M8</f>
        <v>0.15008400000000299</v>
      </c>
      <c r="FS8" s="160">
        <f>Monthly_kWh!G8</f>
        <v>0.15056699999999901</v>
      </c>
      <c r="FT8" s="160">
        <f>Monthly_kWh!C8</f>
        <v>6.0225899999999797</v>
      </c>
      <c r="FU8" s="160">
        <f>Monthly_kWh!D8</f>
        <v>6.30659400000002</v>
      </c>
      <c r="FV8" s="160">
        <f>Monthly_kWh!E8</f>
        <v>0</v>
      </c>
      <c r="FW8" s="160">
        <f>Monthly_kWh!F8</f>
        <v>5.9779099999999499</v>
      </c>
      <c r="FX8" s="160">
        <f>Monthly_kWh!Q8</f>
        <v>5.8490880000026699</v>
      </c>
      <c r="FY8" s="160">
        <f>Monthly_kWh!R8</f>
        <v>6.1480960000008098</v>
      </c>
      <c r="FZ8" s="160">
        <f>Monthly_kWh!S8</f>
        <v>0</v>
      </c>
      <c r="GA8" s="160">
        <f>Monthly_kWh!T8</f>
        <v>5.8142719999996197</v>
      </c>
      <c r="GB8" s="160">
        <f t="shared" ref="GB8:GB37" si="0">SUM(C8:L8)</f>
        <v>27.247953000000102</v>
      </c>
      <c r="GC8" s="160">
        <f t="shared" ref="GC8:GC37" si="1">SUM(M8:Q8)</f>
        <v>24.927645999999811</v>
      </c>
      <c r="GD8" s="160">
        <f t="shared" ref="GD8:GD37" si="2">GB8-GC8</f>
        <v>2.320307000000291</v>
      </c>
      <c r="GE8" s="159">
        <f t="shared" ref="GE8:GE37" si="3">GD8/GB8</f>
        <v>8.5155277535904531E-2</v>
      </c>
    </row>
    <row r="9" spans="2:187" s="150" customFormat="1" ht="32.25" customHeight="1" x14ac:dyDescent="0.25">
      <c r="B9" s="168">
        <v>3</v>
      </c>
      <c r="C9" s="160">
        <f>Monthly_kWh!H9</f>
        <v>0.37467499999999998</v>
      </c>
      <c r="D9" s="160">
        <f>Monthly_kWh!I9</f>
        <v>0.64582700000000004</v>
      </c>
      <c r="E9" s="160">
        <f>Monthly_kWh!J9</f>
        <v>0.20646700000000001</v>
      </c>
      <c r="F9" s="160">
        <f>Monthly_kWh!K9</f>
        <v>0</v>
      </c>
      <c r="G9" s="160">
        <f>Monthly_kWh!L9</f>
        <v>4.8598000000000099E-2</v>
      </c>
      <c r="H9" s="160">
        <f>Monthly_kWh!U9</f>
        <v>0.50228800000000695</v>
      </c>
      <c r="I9" s="160">
        <f>Monthly_kWh!P9</f>
        <v>0.21279900000000401</v>
      </c>
      <c r="J9" s="160">
        <f>Monthly_kWh!N9</f>
        <v>2.9752869999999798</v>
      </c>
      <c r="K9" s="160">
        <f>Monthly_kWh!O9</f>
        <v>2.97051199999999</v>
      </c>
      <c r="L9" s="160">
        <f>Monthly_kWh!B9</f>
        <v>17.604749999999999</v>
      </c>
      <c r="M9" s="160">
        <f>Monthly_kWh!AR9</f>
        <v>4.9978560000000103</v>
      </c>
      <c r="N9" s="160">
        <f>Monthly_kWh!BM9</f>
        <v>1.72667200000001</v>
      </c>
      <c r="O9" s="160">
        <f>Monthly_kWh!CM9</f>
        <v>3.8279680000000602</v>
      </c>
      <c r="P9" s="160">
        <f>Monthly_kWh!DI9</f>
        <v>5.1778560000000198</v>
      </c>
      <c r="Q9" s="160">
        <f>Monthly_kWh!EF9</f>
        <v>7.9478920000001398</v>
      </c>
      <c r="R9" s="119">
        <f>SUM('Zone wise Meter data'!O32:AF32)</f>
        <v>1.1837708750000004</v>
      </c>
      <c r="S9" s="115">
        <f>SUM('Zone wise Meter data'!AG32:AW32)</f>
        <v>2.3094224999999917</v>
      </c>
      <c r="T9" s="115">
        <f>SUM('Zone wise Meter data'!AX32:BA32)</f>
        <v>0.89898499999995263</v>
      </c>
      <c r="U9" s="115">
        <f>SUM('Zone wise Meter data'!BB32:BC32)</f>
        <v>3.4647679999999901</v>
      </c>
      <c r="V9" s="115">
        <f>SUM('Zone wise Meter data'!BD32:BL32)</f>
        <v>7.9570439999999607</v>
      </c>
      <c r="W9" s="115">
        <f>SUM('Zone wise Meter data'!BM32:BX32)</f>
        <v>5.4287249999999801E-2</v>
      </c>
      <c r="X9" s="115">
        <f>SUM('Zone wise Meter data'!BY32:CE32)</f>
        <v>3.9742249999999799E-2</v>
      </c>
      <c r="Y9" s="115">
        <f>SUM('Zone wise Meter data'!CF32:CK32)</f>
        <v>1.9381779999999997</v>
      </c>
      <c r="Z9" s="115">
        <f>SUM('Zone wise Meter data'!CL32:CO32)</f>
        <v>1.9384320000000059</v>
      </c>
      <c r="AA9" s="115">
        <f>SUM('Zone wise Meter data'!CP32:DD32)</f>
        <v>1.3822653437499972</v>
      </c>
      <c r="AB9" s="115">
        <f>SUM('Zone wise Meter data'!DE32:DN32)</f>
        <v>0.23159675000000055</v>
      </c>
      <c r="AC9" s="115">
        <f>SUM('Zone wise Meter data'!DO32:ED32)</f>
        <v>0</v>
      </c>
      <c r="AD9" s="160">
        <f>Monthly_kWh!AW9</f>
        <v>1.88390400000003</v>
      </c>
      <c r="AE9" s="160">
        <f>Monthly_kWh!DS9</f>
        <v>1.5808639999999601</v>
      </c>
      <c r="AF9" s="160">
        <f>Monthly_kWh!EL9</f>
        <v>7.1679999998650601E-3</v>
      </c>
      <c r="AG9" s="160">
        <f>Monthly_kWh!EK9</f>
        <v>0</v>
      </c>
      <c r="AH9" s="160">
        <f>Monthly_kWh!EN9</f>
        <v>1.6816640000001799</v>
      </c>
      <c r="AI9" s="160">
        <f>Monthly_kWh!EO9</f>
        <v>0</v>
      </c>
      <c r="AJ9" s="160">
        <f>Monthly_kWh!EM9</f>
        <v>3.2819199999999</v>
      </c>
      <c r="AK9" s="160">
        <f>Monthly_kWh!ER9</f>
        <v>2.1242020000000101</v>
      </c>
      <c r="AL9" s="160">
        <f>Monthly_kWh!EI9</f>
        <v>0.44940799999994901</v>
      </c>
      <c r="AM9" s="160">
        <f>Monthly_kWh!EJ9+Hourly_kWh!AS9</f>
        <v>2.6606000000013428E-2</v>
      </c>
      <c r="AN9" s="160">
        <f>Monthly_kWh!CX9+Hourly_kWh!CY9+Hourly_kWh!DC9+Hourly_kWh!DD9</f>
        <v>0.23220762500000075</v>
      </c>
      <c r="AO9" s="160">
        <f>SUM(Hourly_kWh!AI9:AQ9)</f>
        <v>8.176846874998861E-2</v>
      </c>
      <c r="AP9" s="160">
        <f>SUM(Hourly_kWh!V9:AG9)</f>
        <v>3.8933499999999732E-2</v>
      </c>
      <c r="AQ9" s="160">
        <f>Monthly_kWh!DB9</f>
        <v>0.12020599999999999</v>
      </c>
      <c r="AR9" s="160">
        <f>Monthly_kWh!CO9</f>
        <v>0.44995600000000002</v>
      </c>
      <c r="AS9" s="160">
        <f>Monthly_kWh!BJ9</f>
        <v>1.4399999999881199E-4</v>
      </c>
      <c r="AT9" s="160">
        <f>Monthly_kWh!U9</f>
        <v>0.50228800000000695</v>
      </c>
      <c r="AU9" s="160">
        <f>Monthly_kWh!V9</f>
        <v>0.12228800000000099</v>
      </c>
      <c r="AV9" s="160">
        <f>Monthly_kWh!W9</f>
        <v>5.8008000000000899E-2</v>
      </c>
      <c r="AW9" s="160">
        <f>Monthly_kWh!X9</f>
        <v>7.4849999999999597E-2</v>
      </c>
      <c r="AX9" s="160">
        <f>Monthly_kWh!Y9</f>
        <v>0</v>
      </c>
      <c r="AY9" s="160">
        <f>Monthly_kWh!Z9</f>
        <v>4.9728000000000001E-2</v>
      </c>
      <c r="AZ9" s="160">
        <f>Monthly_kWh!AA9</f>
        <v>0.11204599999999899</v>
      </c>
      <c r="BA9" s="160">
        <f>Monthly_kWh!AB9</f>
        <v>0.14488200000000301</v>
      </c>
      <c r="BB9" s="160">
        <f>Monthly_kWh!AC9</f>
        <v>9.5897999999998304E-2</v>
      </c>
      <c r="BC9" s="160">
        <f>Monthly_kWh!AD9</f>
        <v>4.8812500000000397E-2</v>
      </c>
      <c r="BD9" s="160">
        <f>Monthly_kWh!AE9</f>
        <v>6.0660999999999597E-2</v>
      </c>
      <c r="BE9" s="160">
        <f>Monthly_kWh!AF9</f>
        <v>0</v>
      </c>
      <c r="BF9" s="160">
        <f>Monthly_kWh!AG9</f>
        <v>1.13309999999998E-2</v>
      </c>
      <c r="BG9" s="160">
        <f>Monthly_kWh!AH9</f>
        <v>1.8739840000000101</v>
      </c>
      <c r="BH9" s="160">
        <f>Monthly_kWh!AI9</f>
        <v>0</v>
      </c>
      <c r="BI9" s="160">
        <f>Monthly_kWh!AJ9</f>
        <v>3.9760500000000802E-2</v>
      </c>
      <c r="BJ9" s="160">
        <f>Monthly_kWh!AK9</f>
        <v>0</v>
      </c>
      <c r="BK9" s="160">
        <f>Monthly_kWh!AL9</f>
        <v>0.31319999999999498</v>
      </c>
      <c r="BL9" s="160">
        <f>Monthly_kWh!AM9</f>
        <v>0.44940800000000503</v>
      </c>
      <c r="BM9" s="160">
        <f>Monthly_kWh!AN9</f>
        <v>0.412351999999999</v>
      </c>
      <c r="BN9" s="160">
        <f>Monthly_kWh!AO9</f>
        <v>0.10613</v>
      </c>
      <c r="BO9" s="160">
        <f>Monthly_kWh!AP9</f>
        <v>8.0499999999997102E-2</v>
      </c>
      <c r="BP9" s="160">
        <f>Monthly_kWh!AQ9</f>
        <v>0.33355199999999702</v>
      </c>
      <c r="BQ9" s="160">
        <f>Monthly_kWh!AR9</f>
        <v>4.9978560000000103</v>
      </c>
      <c r="BR9" s="160">
        <f>Monthly_kWh!AS9</f>
        <v>4.3688999999999603E-2</v>
      </c>
      <c r="BS9" s="160">
        <f>Monthly_kWh!AT9</f>
        <v>0</v>
      </c>
      <c r="BT9" s="160">
        <f>Monthly_kWh!AU9</f>
        <v>4.4083999999998E-2</v>
      </c>
      <c r="BU9" s="160">
        <f>Monthly_kWh!AV9</f>
        <v>2.8443499999999799E-2</v>
      </c>
      <c r="BV9" s="160">
        <f>Monthly_kWh!AW9</f>
        <v>1.88390400000003</v>
      </c>
      <c r="BW9" s="160">
        <f>Monthly_kWh!AX9</f>
        <v>0</v>
      </c>
      <c r="BX9" s="160">
        <f>Monthly_kWh!AY9</f>
        <v>5.13380000000003E-2</v>
      </c>
      <c r="BY9" s="160">
        <f>Monthly_kWh!AZ9</f>
        <v>0</v>
      </c>
      <c r="BZ9" s="160">
        <f>Monthly_kWh!BA9</f>
        <v>0</v>
      </c>
      <c r="CA9" s="160">
        <f>Monthly_kWh!BB9</f>
        <v>0</v>
      </c>
      <c r="CB9" s="160">
        <f>Monthly_kWh!BC9</f>
        <v>0</v>
      </c>
      <c r="CC9" s="160">
        <f>Monthly_kWh!BD9</f>
        <v>2.6852500000000799E-3</v>
      </c>
      <c r="CD9" s="160">
        <f>Monthly_kWh!BE9</f>
        <v>0.27191199999999899</v>
      </c>
      <c r="CE9" s="160">
        <f>Monthly_kWh!BF9</f>
        <v>0</v>
      </c>
      <c r="CF9" s="160">
        <f>Monthly_kWh!BG9</f>
        <v>1.12670000000001E-2</v>
      </c>
      <c r="CG9" s="160">
        <f>Monthly_kWh!BH9</f>
        <v>1.7820000000000401E-2</v>
      </c>
      <c r="CH9" s="160">
        <f>Monthly_kWh!BI9</f>
        <v>2.3859679999999899</v>
      </c>
      <c r="CI9" s="160">
        <f>Monthly_kWh!BJ9</f>
        <v>1.4399999999881199E-4</v>
      </c>
      <c r="CJ9" s="160">
        <f>Monthly_kWh!BK9</f>
        <v>4.5702000000000402E-2</v>
      </c>
      <c r="CK9" s="160">
        <f>Monthly_kWh!BL9</f>
        <v>8.8000000001642307E-5</v>
      </c>
      <c r="CL9" s="160">
        <f>Monthly_kWh!BM9</f>
        <v>1.72667200000001</v>
      </c>
      <c r="CM9" s="160">
        <f>Monthly_kWh!BN9</f>
        <v>0</v>
      </c>
      <c r="CN9" s="160">
        <f>Monthly_kWh!BO9</f>
        <v>4.2339000000000099E-2</v>
      </c>
      <c r="CO9" s="160">
        <f>Monthly_kWh!BP9</f>
        <v>0</v>
      </c>
      <c r="CP9" s="160">
        <f>Monthly_kWh!BQ9</f>
        <v>0</v>
      </c>
      <c r="CQ9" s="160">
        <f>Monthly_kWh!BR9</f>
        <v>0</v>
      </c>
      <c r="CR9" s="160">
        <f>Monthly_kWh!BS9</f>
        <v>0</v>
      </c>
      <c r="CS9" s="160">
        <f>Monthly_kWh!BT9</f>
        <v>0.27489599999999798</v>
      </c>
      <c r="CT9" s="160">
        <f>Monthly_kWh!BU9</f>
        <v>0</v>
      </c>
      <c r="CU9" s="160">
        <f>Monthly_kWh!BV9</f>
        <v>0</v>
      </c>
      <c r="CV9" s="160">
        <f>Monthly_kWh!BW9</f>
        <v>0</v>
      </c>
      <c r="CW9" s="160">
        <f>Monthly_kWh!BX9</f>
        <v>0</v>
      </c>
      <c r="CX9" s="160">
        <f>Monthly_kWh!BY9</f>
        <v>0</v>
      </c>
      <c r="CY9" s="160">
        <f>Monthly_kWh!BZ9</f>
        <v>0.92685599999998702</v>
      </c>
      <c r="CZ9" s="160">
        <f>Monthly_kWh!CA9</f>
        <v>0.286192</v>
      </c>
      <c r="DA9" s="160">
        <f>Monthly_kWh!CB9</f>
        <v>0</v>
      </c>
      <c r="DB9" s="160">
        <f>Monthly_kWh!CC9</f>
        <v>0</v>
      </c>
      <c r="DC9" s="160">
        <f>Monthly_kWh!CD9</f>
        <v>0</v>
      </c>
      <c r="DD9" s="160">
        <f>Monthly_kWh!CE9</f>
        <v>0</v>
      </c>
      <c r="DE9" s="160">
        <f>Monthly_kWh!CF9</f>
        <v>4.4890000000000499E-2</v>
      </c>
      <c r="DF9" s="160">
        <f>Monthly_kWh!CG9</f>
        <v>0</v>
      </c>
      <c r="DG9" s="160">
        <f>Monthly_kWh!CH9</f>
        <v>1.91262499999998E-2</v>
      </c>
      <c r="DH9" s="160">
        <f>Monthly_kWh!CI9</f>
        <v>0</v>
      </c>
      <c r="DI9" s="160">
        <f>Monthly_kWh!CJ9</f>
        <v>0</v>
      </c>
      <c r="DJ9" s="160">
        <f>Monthly_kWh!CK9</f>
        <v>0</v>
      </c>
      <c r="DK9" s="160">
        <f>Monthly_kWh!CL9</f>
        <v>0.17868799999999799</v>
      </c>
      <c r="DL9" s="160">
        <f>Monthly_kWh!CM9</f>
        <v>3.8279680000000602</v>
      </c>
      <c r="DM9" s="160">
        <f>Monthly_kWh!CN9</f>
        <v>4.4058500000000202E-2</v>
      </c>
      <c r="DN9" s="160">
        <f>Monthly_kWh!CO9</f>
        <v>0.44995600000000002</v>
      </c>
      <c r="DO9" s="160">
        <f>Monthly_kWh!CP9</f>
        <v>0</v>
      </c>
      <c r="DP9" s="160">
        <f>Monthly_kWh!CQ9</f>
        <v>0</v>
      </c>
      <c r="DQ9" s="160">
        <f>Monthly_kWh!CR9</f>
        <v>9.1118999999999103E-2</v>
      </c>
      <c r="DR9" s="160">
        <f>Monthly_kWh!CS9</f>
        <v>0</v>
      </c>
      <c r="DS9" s="160">
        <f>Monthly_kWh!CT9</f>
        <v>0.201515999999998</v>
      </c>
      <c r="DT9" s="160">
        <f>Monthly_kWh!CU9</f>
        <v>0</v>
      </c>
      <c r="DU9" s="160">
        <f>Monthly_kWh!CV9</f>
        <v>2.0615999999999999E-2</v>
      </c>
      <c r="DV9" s="160">
        <f>Monthly_kWh!CW9</f>
        <v>0</v>
      </c>
      <c r="DW9" s="160">
        <f>Monthly_kWh!CX9</f>
        <v>0.221972000000001</v>
      </c>
      <c r="DX9" s="160">
        <f>Monthly_kWh!CY9</f>
        <v>1.34890000000001E-2</v>
      </c>
      <c r="DY9" s="160">
        <f>Monthly_kWh!CZ9</f>
        <v>1.19482499999997E-2</v>
      </c>
      <c r="DZ9" s="160">
        <f>Monthly_kWh!DA9</f>
        <v>0.29192800000000602</v>
      </c>
      <c r="EA9" s="160">
        <f>Monthly_kWh!DB9</f>
        <v>0.12020599999999999</v>
      </c>
      <c r="EB9" s="160">
        <f>Monthly_kWh!DC9</f>
        <v>1.1947999999996701E-2</v>
      </c>
      <c r="EC9" s="160">
        <f>Monthly_kWh!DD9</f>
        <v>2.1543375E-2</v>
      </c>
      <c r="ED9" s="160">
        <f>Monthly_kWh!DE9</f>
        <v>0</v>
      </c>
      <c r="EE9" s="160">
        <f>Monthly_kWh!DF9</f>
        <v>0</v>
      </c>
      <c r="EF9" s="160">
        <f>Monthly_kWh!DG9</f>
        <v>0</v>
      </c>
      <c r="EG9" s="160">
        <f>Monthly_kWh!DH9</f>
        <v>8.0075000000006096E-3</v>
      </c>
      <c r="EH9" s="160">
        <f>Monthly_kWh!DI9</f>
        <v>5.1778560000000198</v>
      </c>
      <c r="EI9" s="160">
        <f>Monthly_kWh!DJ9</f>
        <v>0</v>
      </c>
      <c r="EJ9" s="160">
        <f>Monthly_kWh!DK9</f>
        <v>6.5044000000000296E-2</v>
      </c>
      <c r="EK9" s="160">
        <f>Monthly_kWh!DL9</f>
        <v>1.8892000000000998E-2</v>
      </c>
      <c r="EL9" s="160">
        <f>Monthly_kWh!DM9</f>
        <v>4.3361000000000899E-2</v>
      </c>
      <c r="EM9" s="160">
        <f>Monthly_kWh!DN9</f>
        <v>1.8750000000400399E-6</v>
      </c>
      <c r="EN9" s="160">
        <f>Monthly_kWh!DO9</f>
        <v>0.76158399999999904</v>
      </c>
      <c r="EO9" s="160">
        <f>Monthly_kWh!DP9</f>
        <v>4.2244499999999803E-2</v>
      </c>
      <c r="EP9" s="160">
        <f>Monthly_kWh!DQ9</f>
        <v>0</v>
      </c>
      <c r="EQ9" s="160">
        <f>Monthly_kWh!DR9</f>
        <v>0</v>
      </c>
      <c r="ER9" s="160">
        <f>Monthly_kWh!DS9</f>
        <v>1.5808639999999601</v>
      </c>
      <c r="ES9" s="160">
        <f>Monthly_kWh!DT9</f>
        <v>0.40534400000001403</v>
      </c>
      <c r="ET9" s="160">
        <f>Monthly_kWh!DU9</f>
        <v>2.3330000000001402E-2</v>
      </c>
      <c r="EU9" s="160">
        <f>Monthly_kWh!DV9</f>
        <v>8.0132499999998608E-3</v>
      </c>
      <c r="EV9" s="160">
        <f>Monthly_kWh!DW9</f>
        <v>0</v>
      </c>
      <c r="EW9" s="160">
        <f>Monthly_kWh!DX9</f>
        <v>0.183674</v>
      </c>
      <c r="EX9" s="160">
        <f>Monthly_kWh!DY9</f>
        <v>3.3179687499999598E-3</v>
      </c>
      <c r="EY9" s="160">
        <f>Monthly_kWh!DZ9</f>
        <v>0.11866399999999901</v>
      </c>
      <c r="EZ9" s="160">
        <f>Monthly_kWh!EA9</f>
        <v>0</v>
      </c>
      <c r="FA9" s="160">
        <f>Monthly_kWh!EB9</f>
        <v>1.377488</v>
      </c>
      <c r="FB9" s="160">
        <f>Monthly_kWh!EC9</f>
        <v>0.56094400000000599</v>
      </c>
      <c r="FC9" s="160">
        <f>Monthly_kWh!ED9</f>
        <v>3.9919750000000101E-2</v>
      </c>
      <c r="FD9" s="160">
        <f>Monthly_kWh!EE9</f>
        <v>1.9777000000000398E-2</v>
      </c>
      <c r="FE9" s="160">
        <f>Monthly_kWh!EF9</f>
        <v>7.9478920000001398</v>
      </c>
      <c r="FF9" s="160">
        <f>Monthly_kWh!EG9</f>
        <v>0</v>
      </c>
      <c r="FG9" s="160">
        <f>Monthly_kWh!EH9</f>
        <v>0.382207999999991</v>
      </c>
      <c r="FH9" s="160">
        <f>Monthly_kWh!EI9</f>
        <v>0.44940799999994901</v>
      </c>
      <c r="FI9" s="160">
        <f>Monthly_kWh!EJ9</f>
        <v>2.3680000000013E-2</v>
      </c>
      <c r="FJ9" s="160">
        <f>Monthly_kWh!EK9</f>
        <v>0</v>
      </c>
      <c r="FK9" s="160">
        <f>Monthly_kWh!EL9</f>
        <v>7.1679999998650601E-3</v>
      </c>
      <c r="FL9" s="160">
        <f>Monthly_kWh!EM9</f>
        <v>3.2819199999999</v>
      </c>
      <c r="FM9" s="160">
        <f>Monthly_kWh!EN9</f>
        <v>1.6816640000001799</v>
      </c>
      <c r="FN9" s="160">
        <f>Monthly_kWh!EO9</f>
        <v>0</v>
      </c>
      <c r="FO9" s="160">
        <f>Monthly_kWh!EP9</f>
        <v>0</v>
      </c>
      <c r="FP9" s="160">
        <f>Monthly_kWh!ER9</f>
        <v>2.1242020000000101</v>
      </c>
      <c r="FQ9" s="160">
        <f>Monthly_kWh!EQ9</f>
        <v>0</v>
      </c>
      <c r="FR9" s="160">
        <f>Monthly_kWh!M9</f>
        <v>1.70316499999999</v>
      </c>
      <c r="FS9" s="160">
        <f>Monthly_kWh!G9</f>
        <v>1.7058949999999999</v>
      </c>
      <c r="FT9" s="160">
        <f>Monthly_kWh!C9</f>
        <v>6.3520390000000502</v>
      </c>
      <c r="FU9" s="160">
        <f>Monthly_kWh!D9</f>
        <v>6.6411210000000596</v>
      </c>
      <c r="FV9" s="160">
        <f>Monthly_kWh!E9</f>
        <v>0</v>
      </c>
      <c r="FW9" s="160">
        <f>Monthly_kWh!F9</f>
        <v>6.3104160000000302</v>
      </c>
      <c r="FX9" s="160">
        <f>Monthly_kWh!Q9</f>
        <v>6.1890559999992503</v>
      </c>
      <c r="FY9" s="160">
        <f>Monthly_kWh!R9</f>
        <v>6.5146879999992997</v>
      </c>
      <c r="FZ9" s="160">
        <f>Monthly_kWh!S9</f>
        <v>0</v>
      </c>
      <c r="GA9" s="160">
        <f>Monthly_kWh!T9</f>
        <v>6.1337600000006196</v>
      </c>
      <c r="GB9" s="160">
        <f t="shared" si="0"/>
        <v>25.541202999999982</v>
      </c>
      <c r="GC9" s="160">
        <f t="shared" si="1"/>
        <v>23.678244000000241</v>
      </c>
      <c r="GD9" s="160">
        <f t="shared" si="2"/>
        <v>1.8629589999997407</v>
      </c>
      <c r="GE9" s="159">
        <f t="shared" si="3"/>
        <v>7.2939359982368182E-2</v>
      </c>
    </row>
    <row r="10" spans="2:187" s="150" customFormat="1" ht="32.25" customHeight="1" x14ac:dyDescent="0.25">
      <c r="B10" s="168">
        <v>4</v>
      </c>
      <c r="C10" s="160">
        <f>Monthly_kWh!H10</f>
        <v>0</v>
      </c>
      <c r="D10" s="160">
        <f>Monthly_kWh!I10</f>
        <v>0</v>
      </c>
      <c r="E10" s="160">
        <f>Monthly_kWh!J10</f>
        <v>0</v>
      </c>
      <c r="F10" s="160">
        <f>Monthly_kWh!K10</f>
        <v>0</v>
      </c>
      <c r="G10" s="160">
        <f>Monthly_kWh!L10</f>
        <v>0</v>
      </c>
      <c r="H10" s="160">
        <f>Monthly_kWh!U10</f>
        <v>0.49175199999999097</v>
      </c>
      <c r="I10" s="160">
        <f>Monthly_kWh!P10</f>
        <v>0.29871199999999498</v>
      </c>
      <c r="J10" s="160">
        <f>Monthly_kWh!N10</f>
        <v>3.5916350000000001</v>
      </c>
      <c r="K10" s="160">
        <f>Monthly_kWh!O10</f>
        <v>4.1061239999999097</v>
      </c>
      <c r="L10" s="160">
        <f>Monthly_kWh!B10</f>
        <v>17.876000000000001</v>
      </c>
      <c r="M10" s="160">
        <f>Monthly_kWh!AR10</f>
        <v>4.8586879999999697</v>
      </c>
      <c r="N10" s="160">
        <f>Monthly_kWh!BM10</f>
        <v>1.83256</v>
      </c>
      <c r="O10" s="160">
        <f>Monthly_kWh!CM10</f>
        <v>3.9700479999999101</v>
      </c>
      <c r="P10" s="160">
        <f>Monthly_kWh!DI10</f>
        <v>5.3452799999998897</v>
      </c>
      <c r="Q10" s="160">
        <f>Monthly_kWh!EF10</f>
        <v>7.9501080000000002</v>
      </c>
      <c r="R10" s="119">
        <f>SUM('Zone wise Meter data'!O33:AF33)</f>
        <v>1.1762761250000102</v>
      </c>
      <c r="S10" s="115">
        <f>SUM('Zone wise Meter data'!AG33:AW33)</f>
        <v>2.3818259999999953</v>
      </c>
      <c r="T10" s="115">
        <f>SUM('Zone wise Meter data'!AX33:BA33)</f>
        <v>0.96157699999998703</v>
      </c>
      <c r="U10" s="115">
        <f>SUM('Zone wise Meter data'!BB33:BC33)</f>
        <v>3.5565439999999198</v>
      </c>
      <c r="V10" s="115">
        <f>SUM('Zone wise Meter data'!BD33:BL33)</f>
        <v>7.9980250000002071</v>
      </c>
      <c r="W10" s="115">
        <f>SUM('Zone wise Meter data'!BM33:BX33)</f>
        <v>5.4171749999998797E-2</v>
      </c>
      <c r="X10" s="115">
        <f>SUM('Zone wise Meter data'!BY33:CE33)</f>
        <v>5.3444375000000197E-2</v>
      </c>
      <c r="Y10" s="115">
        <f>SUM('Zone wise Meter data'!CF33:CK33)</f>
        <v>2.0281370000000138</v>
      </c>
      <c r="Z10" s="115">
        <f>SUM('Zone wise Meter data'!CL33:CO33)</f>
        <v>2.0434079999999959</v>
      </c>
      <c r="AA10" s="115">
        <f>SUM('Zone wise Meter data'!CP33:DD33)</f>
        <v>1.3974907812499942</v>
      </c>
      <c r="AB10" s="115">
        <f>SUM('Zone wise Meter data'!DE33:DN33)</f>
        <v>0.22701162500000102</v>
      </c>
      <c r="AC10" s="115">
        <f>SUM('Zone wise Meter data'!DO33:ED33)</f>
        <v>0</v>
      </c>
      <c r="AD10" s="160">
        <f>Monthly_kWh!AW10</f>
        <v>1.91884799999991</v>
      </c>
      <c r="AE10" s="160">
        <f>Monthly_kWh!DS10</f>
        <v>1.63769600000001</v>
      </c>
      <c r="AF10" s="160">
        <f>Monthly_kWh!EL10</f>
        <v>0.120959999999968</v>
      </c>
      <c r="AG10" s="160">
        <f>Monthly_kWh!EK10</f>
        <v>0</v>
      </c>
      <c r="AH10" s="160">
        <f>Monthly_kWh!EN10</f>
        <v>1.66886400000021</v>
      </c>
      <c r="AI10" s="160">
        <f>Monthly_kWh!EO10</f>
        <v>0</v>
      </c>
      <c r="AJ10" s="160">
        <f>Monthly_kWh!EM10</f>
        <v>3.3886720000000401</v>
      </c>
      <c r="AK10" s="160">
        <f>Monthly_kWh!ER10</f>
        <v>1.85330999999999</v>
      </c>
      <c r="AL10" s="160">
        <f>Monthly_kWh!EI10</f>
        <v>0.48063999999999402</v>
      </c>
      <c r="AM10" s="160">
        <f>Monthly_kWh!EJ10+Hourly_kWh!AS10</f>
        <v>3.6357999999967049E-2</v>
      </c>
      <c r="AN10" s="160">
        <f>Monthly_kWh!CX10+Hourly_kWh!CY10+Hourly_kWh!DC10+Hourly_kWh!DD10</f>
        <v>0.22794762500000437</v>
      </c>
      <c r="AO10" s="160">
        <f>SUM(Hourly_kWh!AI10:AQ10)</f>
        <v>7.8777984375004523E-2</v>
      </c>
      <c r="AP10" s="160">
        <f>SUM(Hourly_kWh!V10:AG10)</f>
        <v>4.0846000000001936E-2</v>
      </c>
      <c r="AQ10" s="160">
        <f>Monthly_kWh!DB10</f>
        <v>0.124323</v>
      </c>
      <c r="AR10" s="160">
        <f>Monthly_kWh!CO10</f>
        <v>0.55444400000000404</v>
      </c>
      <c r="AS10" s="160">
        <f>Monthly_kWh!BJ10</f>
        <v>2.0010000000034701E-3</v>
      </c>
      <c r="AT10" s="160">
        <f>Monthly_kWh!U10</f>
        <v>0.49175199999999097</v>
      </c>
      <c r="AU10" s="160">
        <f>Monthly_kWh!V10</f>
        <v>0.123801999999998</v>
      </c>
      <c r="AV10" s="160">
        <f>Monthly_kWh!W10</f>
        <v>6.6499999999999601E-2</v>
      </c>
      <c r="AW10" s="160">
        <f>Monthly_kWh!X10</f>
        <v>8.0547000000001007E-2</v>
      </c>
      <c r="AX10" s="160">
        <f>Monthly_kWh!Y10</f>
        <v>0</v>
      </c>
      <c r="AY10" s="160">
        <f>Monthly_kWh!Z10</f>
        <v>5.0720999999999399E-2</v>
      </c>
      <c r="AZ10" s="160">
        <f>Monthly_kWh!AA10</f>
        <v>0.11218399999999901</v>
      </c>
      <c r="BA10" s="160">
        <f>Monthly_kWh!AB10</f>
        <v>0.14723</v>
      </c>
      <c r="BB10" s="160">
        <f>Monthly_kWh!AC10</f>
        <v>9.7616000000002104E-2</v>
      </c>
      <c r="BC10" s="160">
        <f>Monthly_kWh!AD10</f>
        <v>5.2209499999999999E-2</v>
      </c>
      <c r="BD10" s="160">
        <f>Monthly_kWh!AE10</f>
        <v>6.3676000000000094E-2</v>
      </c>
      <c r="BE10" s="160">
        <f>Monthly_kWh!AF10</f>
        <v>0</v>
      </c>
      <c r="BF10" s="160">
        <f>Monthly_kWh!AG10</f>
        <v>1.45427499999999E-2</v>
      </c>
      <c r="BG10" s="160">
        <f>Monthly_kWh!AH10</f>
        <v>1.91430400000002</v>
      </c>
      <c r="BH10" s="160">
        <f>Monthly_kWh!AI10</f>
        <v>0</v>
      </c>
      <c r="BI10" s="160">
        <f>Monthly_kWh!AJ10</f>
        <v>4.5447999999999503E-2</v>
      </c>
      <c r="BJ10" s="160">
        <f>Monthly_kWh!AK10</f>
        <v>0</v>
      </c>
      <c r="BK10" s="160">
        <f>Monthly_kWh!AL10</f>
        <v>0.32583999999999902</v>
      </c>
      <c r="BL10" s="160">
        <f>Monthly_kWh!AM10</f>
        <v>0.45747199999999599</v>
      </c>
      <c r="BM10" s="160">
        <f>Monthly_kWh!AN10</f>
        <v>0.41071999999999798</v>
      </c>
      <c r="BN10" s="160">
        <f>Monthly_kWh!AO10</f>
        <v>0.109127999999998</v>
      </c>
      <c r="BO10" s="160">
        <f>Monthly_kWh!AP10</f>
        <v>8.2252000000000394E-2</v>
      </c>
      <c r="BP10" s="160">
        <f>Monthly_kWh!AQ10</f>
        <v>0.33482800000000201</v>
      </c>
      <c r="BQ10" s="160">
        <f>Monthly_kWh!AR10</f>
        <v>4.8586879999999697</v>
      </c>
      <c r="BR10" s="160">
        <f>Monthly_kWh!AS10</f>
        <v>3.6905E-2</v>
      </c>
      <c r="BS10" s="160">
        <f>Monthly_kWh!AT10</f>
        <v>0</v>
      </c>
      <c r="BT10" s="160">
        <f>Monthly_kWh!AU10</f>
        <v>4.3227999999999198E-2</v>
      </c>
      <c r="BU10" s="160">
        <f>Monthly_kWh!AV10</f>
        <v>2.8489500000000102E-2</v>
      </c>
      <c r="BV10" s="160">
        <f>Monthly_kWh!AW10</f>
        <v>1.91884799999991</v>
      </c>
      <c r="BW10" s="160">
        <f>Monthly_kWh!AX10</f>
        <v>0</v>
      </c>
      <c r="BX10" s="160">
        <f>Monthly_kWh!AY10</f>
        <v>5.6489499999999603E-2</v>
      </c>
      <c r="BY10" s="160">
        <f>Monthly_kWh!AZ10</f>
        <v>5.5000000003246896E-6</v>
      </c>
      <c r="BZ10" s="160">
        <f>Monthly_kWh!BA10</f>
        <v>0</v>
      </c>
      <c r="CA10" s="160">
        <f>Monthly_kWh!BB10</f>
        <v>0</v>
      </c>
      <c r="CB10" s="160">
        <f>Monthly_kWh!BC10</f>
        <v>0</v>
      </c>
      <c r="CC10" s="160">
        <f>Monthly_kWh!BD10</f>
        <v>3.2986249999999999E-3</v>
      </c>
      <c r="CD10" s="160">
        <f>Monthly_kWh!BE10</f>
        <v>0.12595300000000101</v>
      </c>
      <c r="CE10" s="160">
        <f>Monthly_kWh!BF10</f>
        <v>0</v>
      </c>
      <c r="CF10" s="160">
        <f>Monthly_kWh!BG10</f>
        <v>1.0127999999999899E-2</v>
      </c>
      <c r="CG10" s="160">
        <f>Monthly_kWh!BH10</f>
        <v>1.0654000000002399E-2</v>
      </c>
      <c r="CH10" s="160">
        <f>Monthly_kWh!BI10</f>
        <v>2.3655520000000401</v>
      </c>
      <c r="CI10" s="160">
        <f>Monthly_kWh!BJ10</f>
        <v>2.0010000000034701E-3</v>
      </c>
      <c r="CJ10" s="160">
        <f>Monthly_kWh!BK10</f>
        <v>5.3650499999999803E-2</v>
      </c>
      <c r="CK10" s="160">
        <f>Monthly_kWh!BL10</f>
        <v>3.1999999997367501E-5</v>
      </c>
      <c r="CL10" s="160">
        <f>Monthly_kWh!BM10</f>
        <v>1.83256</v>
      </c>
      <c r="CM10" s="160">
        <f>Monthly_kWh!BN10</f>
        <v>0</v>
      </c>
      <c r="CN10" s="160">
        <f>Monthly_kWh!BO10</f>
        <v>4.22769999999986E-2</v>
      </c>
      <c r="CO10" s="160">
        <f>Monthly_kWh!BP10</f>
        <v>0</v>
      </c>
      <c r="CP10" s="160">
        <f>Monthly_kWh!BQ10</f>
        <v>0</v>
      </c>
      <c r="CQ10" s="160">
        <f>Monthly_kWh!BR10</f>
        <v>0</v>
      </c>
      <c r="CR10" s="160">
        <f>Monthly_kWh!BS10</f>
        <v>0</v>
      </c>
      <c r="CS10" s="160">
        <f>Monthly_kWh!BT10</f>
        <v>0.27310800000000102</v>
      </c>
      <c r="CT10" s="160">
        <f>Monthly_kWh!BU10</f>
        <v>0</v>
      </c>
      <c r="CU10" s="160">
        <f>Monthly_kWh!BV10</f>
        <v>0</v>
      </c>
      <c r="CV10" s="160">
        <f>Monthly_kWh!BW10</f>
        <v>0</v>
      </c>
      <c r="CW10" s="160">
        <f>Monthly_kWh!BX10</f>
        <v>0</v>
      </c>
      <c r="CX10" s="160">
        <f>Monthly_kWh!BY10</f>
        <v>0</v>
      </c>
      <c r="CY10" s="160">
        <f>Monthly_kWh!BZ10</f>
        <v>0.99520800000000498</v>
      </c>
      <c r="CZ10" s="160">
        <f>Monthly_kWh!CA10</f>
        <v>0.316056000000003</v>
      </c>
      <c r="DA10" s="160">
        <f>Monthly_kWh!CB10</f>
        <v>0</v>
      </c>
      <c r="DB10" s="160">
        <f>Monthly_kWh!CC10</f>
        <v>0</v>
      </c>
      <c r="DC10" s="160">
        <f>Monthly_kWh!CD10</f>
        <v>0</v>
      </c>
      <c r="DD10" s="160">
        <f>Monthly_kWh!CE10</f>
        <v>0</v>
      </c>
      <c r="DE10" s="160">
        <f>Monthly_kWh!CF10</f>
        <v>3.7629000000000801E-2</v>
      </c>
      <c r="DF10" s="160">
        <f>Monthly_kWh!CG10</f>
        <v>0</v>
      </c>
      <c r="DG10" s="160">
        <f>Monthly_kWh!CH10</f>
        <v>3.1294250000000197E-2</v>
      </c>
      <c r="DH10" s="160">
        <f>Monthly_kWh!CI10</f>
        <v>0</v>
      </c>
      <c r="DI10" s="160">
        <f>Monthly_kWh!CJ10</f>
        <v>0</v>
      </c>
      <c r="DJ10" s="160">
        <f>Monthly_kWh!CK10</f>
        <v>0</v>
      </c>
      <c r="DK10" s="160">
        <f>Monthly_kWh!CL10</f>
        <v>0.20203000000000099</v>
      </c>
      <c r="DL10" s="160">
        <f>Monthly_kWh!CM10</f>
        <v>3.9700479999999101</v>
      </c>
      <c r="DM10" s="160">
        <f>Monthly_kWh!CN10</f>
        <v>4.5799500000000201E-2</v>
      </c>
      <c r="DN10" s="160">
        <f>Monthly_kWh!CO10</f>
        <v>0.55444400000000404</v>
      </c>
      <c r="DO10" s="160">
        <f>Monthly_kWh!CP10</f>
        <v>0</v>
      </c>
      <c r="DP10" s="160">
        <f>Monthly_kWh!CQ10</f>
        <v>0</v>
      </c>
      <c r="DQ10" s="160">
        <f>Monthly_kWh!CR10</f>
        <v>0.11056100000000101</v>
      </c>
      <c r="DR10" s="160">
        <f>Monthly_kWh!CS10</f>
        <v>0</v>
      </c>
      <c r="DS10" s="160">
        <f>Monthly_kWh!CT10</f>
        <v>0.20188399999999301</v>
      </c>
      <c r="DT10" s="160">
        <f>Monthly_kWh!CU10</f>
        <v>0</v>
      </c>
      <c r="DU10" s="160">
        <f>Monthly_kWh!CV10</f>
        <v>2.2150125E-2</v>
      </c>
      <c r="DV10" s="160">
        <f>Monthly_kWh!CW10</f>
        <v>0</v>
      </c>
      <c r="DW10" s="160">
        <f>Monthly_kWh!CX10</f>
        <v>0.217752000000004</v>
      </c>
      <c r="DX10" s="160">
        <f>Monthly_kWh!CY10</f>
        <v>9.1759999999998492E-3</v>
      </c>
      <c r="DY10" s="160">
        <f>Monthly_kWh!CZ10</f>
        <v>1.18947500000002E-2</v>
      </c>
      <c r="DZ10" s="160">
        <f>Monthly_kWh!DA10</f>
        <v>0.28745199999999499</v>
      </c>
      <c r="EA10" s="160">
        <f>Monthly_kWh!DB10</f>
        <v>0.124323</v>
      </c>
      <c r="EB10" s="160">
        <f>Monthly_kWh!DC10</f>
        <v>0.113656000000006</v>
      </c>
      <c r="EC10" s="160">
        <f>Monthly_kWh!DD10</f>
        <v>1.65198750000001E-2</v>
      </c>
      <c r="ED10" s="160">
        <f>Monthly_kWh!DE10</f>
        <v>0</v>
      </c>
      <c r="EE10" s="160">
        <f>Monthly_kWh!DF10</f>
        <v>0</v>
      </c>
      <c r="EF10" s="160">
        <f>Monthly_kWh!DG10</f>
        <v>0</v>
      </c>
      <c r="EG10" s="160">
        <f>Monthly_kWh!DH10</f>
        <v>1.0394999999999901E-2</v>
      </c>
      <c r="EH10" s="160">
        <f>Monthly_kWh!DI10</f>
        <v>5.3452799999998897</v>
      </c>
      <c r="EI10" s="160">
        <f>Monthly_kWh!DJ10</f>
        <v>0</v>
      </c>
      <c r="EJ10" s="160">
        <f>Monthly_kWh!DK10</f>
        <v>6.4270000000000493E-2</v>
      </c>
      <c r="EK10" s="160">
        <f>Monthly_kWh!DL10</f>
        <v>1.91169999999996E-2</v>
      </c>
      <c r="EL10" s="160">
        <f>Monthly_kWh!DM10</f>
        <v>4.7820999999999003E-2</v>
      </c>
      <c r="EM10" s="160">
        <f>Monthly_kWh!DN10</f>
        <v>0</v>
      </c>
      <c r="EN10" s="160">
        <f>Monthly_kWh!DO10</f>
        <v>0.80571199999999998</v>
      </c>
      <c r="EO10" s="160">
        <f>Monthly_kWh!DP10</f>
        <v>4.0714999999999599E-2</v>
      </c>
      <c r="EP10" s="160">
        <f>Monthly_kWh!DQ10</f>
        <v>0</v>
      </c>
      <c r="EQ10" s="160">
        <f>Monthly_kWh!DR10</f>
        <v>0</v>
      </c>
      <c r="ER10" s="160">
        <f>Monthly_kWh!DS10</f>
        <v>1.63769600000001</v>
      </c>
      <c r="ES10" s="160">
        <f>Monthly_kWh!DT10</f>
        <v>0.40613600000000399</v>
      </c>
      <c r="ET10" s="160">
        <f>Monthly_kWh!DU10</f>
        <v>2.0111E-2</v>
      </c>
      <c r="EU10" s="160">
        <f>Monthly_kWh!DV10</f>
        <v>6.9712499999998699E-3</v>
      </c>
      <c r="EV10" s="160">
        <f>Monthly_kWh!DW10</f>
        <v>0</v>
      </c>
      <c r="EW10" s="160">
        <f>Monthly_kWh!DX10</f>
        <v>0.185289500000001</v>
      </c>
      <c r="EX10" s="160">
        <f>Monthly_kWh!DY10</f>
        <v>3.6475312500000002E-3</v>
      </c>
      <c r="EY10" s="160">
        <f>Monthly_kWh!DZ10</f>
        <v>0.101672000000001</v>
      </c>
      <c r="EZ10" s="160">
        <f>Monthly_kWh!EA10</f>
        <v>0</v>
      </c>
      <c r="FA10" s="160">
        <f>Monthly_kWh!EB10</f>
        <v>1.44136</v>
      </c>
      <c r="FB10" s="160">
        <f>Monthly_kWh!EC10</f>
        <v>0.60204799999999603</v>
      </c>
      <c r="FC10" s="160">
        <f>Monthly_kWh!ED10</f>
        <v>3.14884999999996E-2</v>
      </c>
      <c r="FD10" s="160">
        <f>Monthly_kWh!EE10</f>
        <v>1.9370499999999999E-2</v>
      </c>
      <c r="FE10" s="160">
        <f>Monthly_kWh!EF10</f>
        <v>7.9501080000000002</v>
      </c>
      <c r="FF10" s="160">
        <f>Monthly_kWh!EG10</f>
        <v>0</v>
      </c>
      <c r="FG10" s="160">
        <f>Monthly_kWh!EH10</f>
        <v>0.41132800000002601</v>
      </c>
      <c r="FH10" s="160">
        <f>Monthly_kWh!EI10</f>
        <v>0.48063999999999402</v>
      </c>
      <c r="FI10" s="160">
        <f>Monthly_kWh!EJ10</f>
        <v>3.2703999999967003E-2</v>
      </c>
      <c r="FJ10" s="160">
        <f>Monthly_kWh!EK10</f>
        <v>0</v>
      </c>
      <c r="FK10" s="160">
        <f>Monthly_kWh!EL10</f>
        <v>0.120959999999968</v>
      </c>
      <c r="FL10" s="160">
        <f>Monthly_kWh!EM10</f>
        <v>3.3886720000000401</v>
      </c>
      <c r="FM10" s="160">
        <f>Monthly_kWh!EN10</f>
        <v>1.66886400000021</v>
      </c>
      <c r="FN10" s="160">
        <f>Monthly_kWh!EO10</f>
        <v>0</v>
      </c>
      <c r="FO10" s="160">
        <f>Monthly_kWh!EP10</f>
        <v>0</v>
      </c>
      <c r="FP10" s="160">
        <f>Monthly_kWh!ER10</f>
        <v>1.85330999999999</v>
      </c>
      <c r="FQ10" s="160">
        <f>Monthly_kWh!EQ10</f>
        <v>0</v>
      </c>
      <c r="FR10" s="160">
        <f>Monthly_kWh!M10</f>
        <v>0</v>
      </c>
      <c r="FS10" s="160">
        <f>Monthly_kWh!G10</f>
        <v>0</v>
      </c>
      <c r="FT10" s="160">
        <f>Monthly_kWh!C10</f>
        <v>5.9006209999999397</v>
      </c>
      <c r="FU10" s="160">
        <f>Monthly_kWh!D10</f>
        <v>6.1726489999999803</v>
      </c>
      <c r="FV10" s="160">
        <f>Monthly_kWh!E10</f>
        <v>0</v>
      </c>
      <c r="FW10" s="160">
        <f>Monthly_kWh!F10</f>
        <v>5.8627520000000004</v>
      </c>
      <c r="FX10" s="160">
        <f>Monthly_kWh!Q10</f>
        <v>5.7180159999989</v>
      </c>
      <c r="FY10" s="160">
        <f>Monthly_kWh!R10</f>
        <v>6.0088319999995301</v>
      </c>
      <c r="FZ10" s="160">
        <f>Monthly_kWh!S10</f>
        <v>0</v>
      </c>
      <c r="GA10" s="160">
        <f>Monthly_kWh!T10</f>
        <v>5.6872960000000603</v>
      </c>
      <c r="GB10" s="160">
        <f t="shared" si="0"/>
        <v>26.364222999999896</v>
      </c>
      <c r="GC10" s="160">
        <f t="shared" si="1"/>
        <v>23.956683999999768</v>
      </c>
      <c r="GD10" s="160">
        <f t="shared" si="2"/>
        <v>2.4075390000001278</v>
      </c>
      <c r="GE10" s="159">
        <f t="shared" si="3"/>
        <v>9.1318412835460286E-2</v>
      </c>
    </row>
    <row r="11" spans="2:187" s="150" customFormat="1" ht="32.25" customHeight="1" x14ac:dyDescent="0.25">
      <c r="B11" s="168">
        <v>5</v>
      </c>
      <c r="C11" s="160">
        <f>Monthly_kWh!H11</f>
        <v>0</v>
      </c>
      <c r="D11" s="160">
        <f>Monthly_kWh!I11</f>
        <v>0</v>
      </c>
      <c r="E11" s="160">
        <f>Monthly_kWh!J11</f>
        <v>0</v>
      </c>
      <c r="F11" s="160">
        <f>Monthly_kWh!K11</f>
        <v>0</v>
      </c>
      <c r="G11" s="160">
        <f>Monthly_kWh!L11</f>
        <v>0</v>
      </c>
      <c r="H11" s="160">
        <f>Monthly_kWh!U11</f>
        <v>0.45230400000001197</v>
      </c>
      <c r="I11" s="160">
        <f>Monthly_kWh!P11</f>
        <v>0.35817000000000099</v>
      </c>
      <c r="J11" s="160">
        <f>Monthly_kWh!N11</f>
        <v>5.1853289999999097</v>
      </c>
      <c r="K11" s="160">
        <f>Monthly_kWh!O11</f>
        <v>5.0786840000000701</v>
      </c>
      <c r="L11" s="160">
        <f>Monthly_kWh!B11</f>
        <v>17.007375</v>
      </c>
      <c r="M11" s="160">
        <f>Monthly_kWh!AR11</f>
        <v>5.1368320000000303</v>
      </c>
      <c r="N11" s="160">
        <f>Monthly_kWh!BM11</f>
        <v>1.6988479999999999</v>
      </c>
      <c r="O11" s="160">
        <f>Monthly_kWh!CM11</f>
        <v>4.28287999999998</v>
      </c>
      <c r="P11" s="160">
        <f>Monthly_kWh!DI11</f>
        <v>5.3171200000000498</v>
      </c>
      <c r="Q11" s="160">
        <f>Monthly_kWh!EF11</f>
        <v>9.2183190000005197</v>
      </c>
      <c r="R11" s="119">
        <f>SUM('Zone wise Meter data'!O34:AF34)</f>
        <v>1.2242583124999993</v>
      </c>
      <c r="S11" s="115">
        <f>SUM('Zone wise Meter data'!AG34:AW34)</f>
        <v>2.3437655000000026</v>
      </c>
      <c r="T11" s="115">
        <f>SUM('Zone wise Meter data'!AX34:BA34)</f>
        <v>1.1155885000000447</v>
      </c>
      <c r="U11" s="115">
        <f>SUM('Zone wise Meter data'!BB34:BC34)</f>
        <v>3.8659840000000898</v>
      </c>
      <c r="V11" s="115">
        <f>SUM('Zone wise Meter data'!BD34:BL34)</f>
        <v>9.165759999999878</v>
      </c>
      <c r="W11" s="115">
        <f>SUM('Zone wise Meter data'!BM34:BX34)</f>
        <v>5.41737500000012E-2</v>
      </c>
      <c r="X11" s="115">
        <f>SUM('Zone wise Meter data'!BY34:CE34)</f>
        <v>2.484799999999978E-2</v>
      </c>
      <c r="Y11" s="115">
        <f>SUM('Zone wise Meter data'!CF34:CK34)</f>
        <v>1.9354319999999863</v>
      </c>
      <c r="Z11" s="115">
        <f>SUM('Zone wise Meter data'!CL34:CO34)</f>
        <v>2.05776</v>
      </c>
      <c r="AA11" s="115">
        <f>SUM('Zone wise Meter data'!CP34:DD34)</f>
        <v>1.3821863750000003</v>
      </c>
      <c r="AB11" s="115">
        <f>SUM('Zone wise Meter data'!DE34:DN34)</f>
        <v>0.22693962500000558</v>
      </c>
      <c r="AC11" s="115">
        <f>SUM('Zone wise Meter data'!DO34:ED34)</f>
        <v>0</v>
      </c>
      <c r="AD11" s="160">
        <f>Monthly_kWh!AW11</f>
        <v>2.2730240000000799</v>
      </c>
      <c r="AE11" s="160">
        <f>Monthly_kWh!DS11</f>
        <v>1.5929600000000099</v>
      </c>
      <c r="AF11" s="160">
        <f>Monthly_kWh!EL11</f>
        <v>5.1200000000335404E-3</v>
      </c>
      <c r="AG11" s="160">
        <f>Monthly_kWh!EK11</f>
        <v>0</v>
      </c>
      <c r="AH11" s="160">
        <f>Monthly_kWh!EN11</f>
        <v>1.8370559999998499</v>
      </c>
      <c r="AI11" s="160">
        <f>Monthly_kWh!EO11</f>
        <v>0.62566400000002897</v>
      </c>
      <c r="AJ11" s="160">
        <f>Monthly_kWh!EM11</f>
        <v>3.6451839999999698</v>
      </c>
      <c r="AK11" s="160">
        <f>Monthly_kWh!ER11</f>
        <v>2.0414530000000002</v>
      </c>
      <c r="AL11" s="160">
        <f>Monthly_kWh!EI11</f>
        <v>0.61996799999997199</v>
      </c>
      <c r="AM11" s="160">
        <f>Monthly_kWh!EJ11+Hourly_kWh!AS11</f>
        <v>4.3735500000035045E-2</v>
      </c>
      <c r="AN11" s="160">
        <f>Monthly_kWh!CX11+Hourly_kWh!CY11+Hourly_kWh!DC11+Hourly_kWh!DD11</f>
        <v>0.24033287499999578</v>
      </c>
      <c r="AO11" s="160">
        <f>SUM(Hourly_kWh!AI11:AQ11)</f>
        <v>7.974945312500295E-2</v>
      </c>
      <c r="AP11" s="160">
        <f>SUM(Hourly_kWh!V11:AG11)</f>
        <v>4.1311499999995505E-2</v>
      </c>
      <c r="AQ11" s="160">
        <f>Monthly_kWh!DB11</f>
        <v>0.129574999999999</v>
      </c>
      <c r="AR11" s="160">
        <f>Monthly_kWh!CO11</f>
        <v>0.63020799999999599</v>
      </c>
      <c r="AS11" s="160">
        <f>Monthly_kWh!BJ11</f>
        <v>9.1099999999855197E-4</v>
      </c>
      <c r="AT11" s="160">
        <f>Monthly_kWh!U11</f>
        <v>0.45230400000001197</v>
      </c>
      <c r="AU11" s="160">
        <f>Monthly_kWh!V11</f>
        <v>0.120260000000002</v>
      </c>
      <c r="AV11" s="160">
        <f>Monthly_kWh!W11</f>
        <v>7.1260999999999797E-2</v>
      </c>
      <c r="AW11" s="160">
        <f>Monthly_kWh!X11</f>
        <v>7.9757999999999996E-2</v>
      </c>
      <c r="AX11" s="160">
        <f>Monthly_kWh!Y11</f>
        <v>0</v>
      </c>
      <c r="AY11" s="160">
        <f>Monthly_kWh!Z11</f>
        <v>4.0611999999999399E-2</v>
      </c>
      <c r="AZ11" s="160">
        <f>Monthly_kWh!AA11</f>
        <v>0.110950000000003</v>
      </c>
      <c r="BA11" s="160">
        <f>Monthly_kWh!AB11</f>
        <v>0.150527999999998</v>
      </c>
      <c r="BB11" s="160">
        <f>Monthly_kWh!AC11</f>
        <v>0.110948</v>
      </c>
      <c r="BC11" s="160">
        <f>Monthly_kWh!AD11</f>
        <v>5.07849999999994E-2</v>
      </c>
      <c r="BD11" s="160">
        <f>Monthly_kWh!AE11</f>
        <v>9.0038500000000396E-2</v>
      </c>
      <c r="BE11" s="160">
        <f>Monthly_kWh!AF11</f>
        <v>0</v>
      </c>
      <c r="BF11" s="160">
        <f>Monthly_kWh!AG11</f>
        <v>1.35175000000003E-2</v>
      </c>
      <c r="BG11" s="160">
        <f>Monthly_kWh!AH11</f>
        <v>1.8588479999999701</v>
      </c>
      <c r="BH11" s="160">
        <f>Monthly_kWh!AI11</f>
        <v>0</v>
      </c>
      <c r="BI11" s="160">
        <f>Monthly_kWh!AJ11</f>
        <v>4.16559999999997E-2</v>
      </c>
      <c r="BJ11" s="160">
        <f>Monthly_kWh!AK11</f>
        <v>0</v>
      </c>
      <c r="BK11" s="160">
        <f>Monthly_kWh!AL11</f>
        <v>0.31445599999999302</v>
      </c>
      <c r="BL11" s="160">
        <f>Monthly_kWh!AM11</f>
        <v>0.45679200000000703</v>
      </c>
      <c r="BM11" s="160">
        <f>Monthly_kWh!AN11</f>
        <v>0.38635200000000203</v>
      </c>
      <c r="BN11" s="160">
        <f>Monthly_kWh!AO11</f>
        <v>0.101863999999999</v>
      </c>
      <c r="BO11" s="160">
        <f>Monthly_kWh!AP11</f>
        <v>8.4683999999999302E-2</v>
      </c>
      <c r="BP11" s="160">
        <f>Monthly_kWh!AQ11</f>
        <v>0.33294800000000202</v>
      </c>
      <c r="BQ11" s="160">
        <f>Monthly_kWh!AR11</f>
        <v>5.1368320000000303</v>
      </c>
      <c r="BR11" s="160">
        <f>Monthly_kWh!AS11</f>
        <v>4.3492500000000198E-2</v>
      </c>
      <c r="BS11" s="160">
        <f>Monthly_kWh!AT11</f>
        <v>0</v>
      </c>
      <c r="BT11" s="160">
        <f>Monthly_kWh!AU11</f>
        <v>4.40560000000048E-2</v>
      </c>
      <c r="BU11" s="160">
        <f>Monthly_kWh!AV11</f>
        <v>2.20560000000001E-2</v>
      </c>
      <c r="BV11" s="160">
        <f>Monthly_kWh!AW11</f>
        <v>2.2730240000000799</v>
      </c>
      <c r="BW11" s="160">
        <f>Monthly_kWh!AX11</f>
        <v>0</v>
      </c>
      <c r="BX11" s="160">
        <f>Monthly_kWh!AY11</f>
        <v>6.3349000000000502E-2</v>
      </c>
      <c r="BY11" s="160">
        <f>Monthly_kWh!AZ11</f>
        <v>0</v>
      </c>
      <c r="BZ11" s="160">
        <f>Monthly_kWh!BA11</f>
        <v>0</v>
      </c>
      <c r="CA11" s="160">
        <f>Monthly_kWh!BB11</f>
        <v>0</v>
      </c>
      <c r="CB11" s="160">
        <f>Monthly_kWh!BC11</f>
        <v>0</v>
      </c>
      <c r="CC11" s="160">
        <f>Monthly_kWh!BD11</f>
        <v>3.8736249999999899E-3</v>
      </c>
      <c r="CD11" s="160">
        <f>Monthly_kWh!BE11</f>
        <v>0.122389999999999</v>
      </c>
      <c r="CE11" s="160">
        <f>Monthly_kWh!BF11</f>
        <v>0</v>
      </c>
      <c r="CF11" s="160">
        <f>Monthly_kWh!BG11</f>
        <v>1.01800000000001E-2</v>
      </c>
      <c r="CG11" s="160">
        <f>Monthly_kWh!BH11</f>
        <v>1.9477999999999399E-2</v>
      </c>
      <c r="CH11" s="160">
        <f>Monthly_kWh!BI11</f>
        <v>2.2839679999999598</v>
      </c>
      <c r="CI11" s="160">
        <f>Monthly_kWh!BJ11</f>
        <v>9.1099999999855197E-4</v>
      </c>
      <c r="CJ11" s="160">
        <f>Monthly_kWh!BK11</f>
        <v>4.9101000000000297E-2</v>
      </c>
      <c r="CK11" s="160">
        <f>Monthly_kWh!BL11</f>
        <v>1.5800000000254499E-4</v>
      </c>
      <c r="CL11" s="160">
        <f>Monthly_kWh!BM11</f>
        <v>1.6988479999999999</v>
      </c>
      <c r="CM11" s="160">
        <f>Monthly_kWh!BN11</f>
        <v>0</v>
      </c>
      <c r="CN11" s="160">
        <f>Monthly_kWh!BO11</f>
        <v>4.2193000000001001E-2</v>
      </c>
      <c r="CO11" s="160">
        <f>Monthly_kWh!BP11</f>
        <v>0</v>
      </c>
      <c r="CP11" s="160">
        <f>Monthly_kWh!BQ11</f>
        <v>0</v>
      </c>
      <c r="CQ11" s="160">
        <f>Monthly_kWh!BR11</f>
        <v>0</v>
      </c>
      <c r="CR11" s="160">
        <f>Monthly_kWh!BS11</f>
        <v>0</v>
      </c>
      <c r="CS11" s="160">
        <f>Monthly_kWh!BT11</f>
        <v>0.22426800000000199</v>
      </c>
      <c r="CT11" s="160">
        <f>Monthly_kWh!BU11</f>
        <v>0</v>
      </c>
      <c r="CU11" s="160">
        <f>Monthly_kWh!BV11</f>
        <v>0</v>
      </c>
      <c r="CV11" s="160">
        <f>Monthly_kWh!BW11</f>
        <v>0</v>
      </c>
      <c r="CW11" s="160">
        <f>Monthly_kWh!BX11</f>
        <v>0</v>
      </c>
      <c r="CX11" s="160">
        <f>Monthly_kWh!BY11</f>
        <v>0</v>
      </c>
      <c r="CY11" s="160">
        <f>Monthly_kWh!BZ11</f>
        <v>0.98096800000000395</v>
      </c>
      <c r="CZ11" s="160">
        <f>Monthly_kWh!CA11</f>
        <v>0.29116799999999898</v>
      </c>
      <c r="DA11" s="160">
        <f>Monthly_kWh!CB11</f>
        <v>0</v>
      </c>
      <c r="DB11" s="160">
        <f>Monthly_kWh!CC11</f>
        <v>0</v>
      </c>
      <c r="DC11" s="160">
        <f>Monthly_kWh!CD11</f>
        <v>0</v>
      </c>
      <c r="DD11" s="160">
        <f>Monthly_kWh!CE11</f>
        <v>0</v>
      </c>
      <c r="DE11" s="160">
        <f>Monthly_kWh!CF11</f>
        <v>3.8691999999999303E-2</v>
      </c>
      <c r="DF11" s="160">
        <f>Monthly_kWh!CG11</f>
        <v>0</v>
      </c>
      <c r="DG11" s="160">
        <f>Monthly_kWh!CH11</f>
        <v>2.5607499999997802E-3</v>
      </c>
      <c r="DH11" s="160">
        <f>Monthly_kWh!CI11</f>
        <v>0</v>
      </c>
      <c r="DI11" s="160">
        <f>Monthly_kWh!CJ11</f>
        <v>0</v>
      </c>
      <c r="DJ11" s="160">
        <f>Monthly_kWh!CK11</f>
        <v>0</v>
      </c>
      <c r="DK11" s="160">
        <f>Monthly_kWh!CL11</f>
        <v>0.16237600000000199</v>
      </c>
      <c r="DL11" s="160">
        <f>Monthly_kWh!CM11</f>
        <v>4.28287999999998</v>
      </c>
      <c r="DM11" s="160">
        <f>Monthly_kWh!CN11</f>
        <v>4.14334999999992E-2</v>
      </c>
      <c r="DN11" s="160">
        <f>Monthly_kWh!CO11</f>
        <v>0.63020799999999599</v>
      </c>
      <c r="DO11" s="160">
        <f>Monthly_kWh!CP11</f>
        <v>0</v>
      </c>
      <c r="DP11" s="160">
        <f>Monthly_kWh!CQ11</f>
        <v>0</v>
      </c>
      <c r="DQ11" s="160">
        <f>Monthly_kWh!CR11</f>
        <v>0.119266</v>
      </c>
      <c r="DR11" s="160">
        <f>Monthly_kWh!CS11</f>
        <v>0</v>
      </c>
      <c r="DS11" s="160">
        <f>Monthly_kWh!CT11</f>
        <v>0.181148000000007</v>
      </c>
      <c r="DT11" s="160">
        <f>Monthly_kWh!CU11</f>
        <v>0</v>
      </c>
      <c r="DU11" s="160">
        <f>Monthly_kWh!CV11</f>
        <v>2.2287250000000002E-2</v>
      </c>
      <c r="DV11" s="160">
        <f>Monthly_kWh!CW11</f>
        <v>0</v>
      </c>
      <c r="DW11" s="160">
        <f>Monthly_kWh!CX11</f>
        <v>0.230123999999996</v>
      </c>
      <c r="DX11" s="160">
        <f>Monthly_kWh!CY11</f>
        <v>1.39469999999999E-2</v>
      </c>
      <c r="DY11" s="160">
        <f>Monthly_kWh!CZ11</f>
        <v>1.19807500000002E-2</v>
      </c>
      <c r="DZ11" s="160">
        <f>Monthly_kWh!DA11</f>
        <v>0.2515</v>
      </c>
      <c r="EA11" s="160">
        <f>Monthly_kWh!DB11</f>
        <v>0.129574999999999</v>
      </c>
      <c r="EB11" s="160">
        <f>Monthly_kWh!DC11</f>
        <v>0.15444000000000099</v>
      </c>
      <c r="EC11" s="160">
        <f>Monthly_kWh!DD11</f>
        <v>2.1360312499999898E-2</v>
      </c>
      <c r="ED11" s="160">
        <f>Monthly_kWh!DE11</f>
        <v>0</v>
      </c>
      <c r="EE11" s="160">
        <f>Monthly_kWh!DF11</f>
        <v>0</v>
      </c>
      <c r="EF11" s="160">
        <f>Monthly_kWh!DG11</f>
        <v>0</v>
      </c>
      <c r="EG11" s="160">
        <f>Monthly_kWh!DH11</f>
        <v>1.1283499999999299E-2</v>
      </c>
      <c r="EH11" s="160">
        <f>Monthly_kWh!DI11</f>
        <v>5.3171200000000498</v>
      </c>
      <c r="EI11" s="160">
        <f>Monthly_kWh!DJ11</f>
        <v>0</v>
      </c>
      <c r="EJ11" s="160">
        <f>Monthly_kWh!DK11</f>
        <v>6.3748000000000402E-2</v>
      </c>
      <c r="EK11" s="160">
        <f>Monthly_kWh!DL11</f>
        <v>1.8157000000000399E-2</v>
      </c>
      <c r="EL11" s="160">
        <f>Monthly_kWh!DM11</f>
        <v>4.5391000000000403E-2</v>
      </c>
      <c r="EM11" s="160">
        <f>Monthly_kWh!DN11</f>
        <v>2.9550000000000398E-4</v>
      </c>
      <c r="EN11" s="160">
        <f>Monthly_kWh!DO11</f>
        <v>0.81380799999999498</v>
      </c>
      <c r="EO11" s="160">
        <f>Monthly_kWh!DP11</f>
        <v>4.0376000000000203E-2</v>
      </c>
      <c r="EP11" s="160">
        <f>Monthly_kWh!DQ11</f>
        <v>0</v>
      </c>
      <c r="EQ11" s="160">
        <f>Monthly_kWh!DR11</f>
        <v>0</v>
      </c>
      <c r="ER11" s="160">
        <f>Monthly_kWh!DS11</f>
        <v>1.5929600000000099</v>
      </c>
      <c r="ES11" s="160">
        <f>Monthly_kWh!DT11</f>
        <v>0.40033599999998198</v>
      </c>
      <c r="ET11" s="160">
        <f>Monthly_kWh!DU11</f>
        <v>1.2910999999999E-2</v>
      </c>
      <c r="EU11" s="160">
        <f>Monthly_kWh!DV11</f>
        <v>8.1832500000000898E-3</v>
      </c>
      <c r="EV11" s="160">
        <f>Monthly_kWh!DW11</f>
        <v>0</v>
      </c>
      <c r="EW11" s="160">
        <f>Monthly_kWh!DX11</f>
        <v>0.18015900000000001</v>
      </c>
      <c r="EX11" s="160">
        <f>Monthly_kWh!DY11</f>
        <v>3.60537500000002E-3</v>
      </c>
      <c r="EY11" s="160">
        <f>Monthly_kWh!DZ11</f>
        <v>0.10370599999999899</v>
      </c>
      <c r="EZ11" s="160">
        <f>Monthly_kWh!EA11</f>
        <v>0</v>
      </c>
      <c r="FA11" s="160">
        <f>Monthly_kWh!EB11</f>
        <v>1.434944</v>
      </c>
      <c r="FB11" s="160">
        <f>Monthly_kWh!EC11</f>
        <v>0.62281600000000004</v>
      </c>
      <c r="FC11" s="160">
        <f>Monthly_kWh!ED11</f>
        <v>3.7994250000000097E-2</v>
      </c>
      <c r="FD11" s="160">
        <f>Monthly_kWh!EE11</f>
        <v>2.0474499999999701E-2</v>
      </c>
      <c r="FE11" s="160">
        <f>Monthly_kWh!EF11</f>
        <v>9.2183190000005197</v>
      </c>
      <c r="FF11" s="160">
        <f>Monthly_kWh!EG11</f>
        <v>0</v>
      </c>
      <c r="FG11" s="160">
        <f>Monthly_kWh!EH11</f>
        <v>0.41222400000003701</v>
      </c>
      <c r="FH11" s="160">
        <f>Monthly_kWh!EI11</f>
        <v>0.61996799999997199</v>
      </c>
      <c r="FI11" s="160">
        <f>Monthly_kWh!EJ11</f>
        <v>3.9904000000035501E-2</v>
      </c>
      <c r="FJ11" s="160">
        <f>Monthly_kWh!EK11</f>
        <v>0</v>
      </c>
      <c r="FK11" s="160">
        <f>Monthly_kWh!EL11</f>
        <v>5.1200000000335404E-3</v>
      </c>
      <c r="FL11" s="160">
        <f>Monthly_kWh!EM11</f>
        <v>3.6451839999999698</v>
      </c>
      <c r="FM11" s="160">
        <f>Monthly_kWh!EN11</f>
        <v>1.8370559999998499</v>
      </c>
      <c r="FN11" s="160">
        <f>Monthly_kWh!EO11</f>
        <v>0.62566400000002897</v>
      </c>
      <c r="FO11" s="160">
        <f>Monthly_kWh!EP11</f>
        <v>0</v>
      </c>
      <c r="FP11" s="160">
        <f>Monthly_kWh!ER11</f>
        <v>2.0414530000000002</v>
      </c>
      <c r="FQ11" s="160">
        <f>Monthly_kWh!EQ11</f>
        <v>0</v>
      </c>
      <c r="FR11" s="160">
        <f>Monthly_kWh!M11</f>
        <v>0</v>
      </c>
      <c r="FS11" s="160">
        <f>Monthly_kWh!G11</f>
        <v>0</v>
      </c>
      <c r="FT11" s="160">
        <f>Monthly_kWh!C11</f>
        <v>5.5877660000000402</v>
      </c>
      <c r="FU11" s="160">
        <f>Monthly_kWh!D11</f>
        <v>5.8483269999999798</v>
      </c>
      <c r="FV11" s="160">
        <f>Monthly_kWh!E11</f>
        <v>0</v>
      </c>
      <c r="FW11" s="160">
        <f>Monthly_kWh!F11</f>
        <v>5.5612729999999697</v>
      </c>
      <c r="FX11" s="160">
        <f>Monthly_kWh!Q11</f>
        <v>5.44153600000209</v>
      </c>
      <c r="FY11" s="160">
        <f>Monthly_kWh!R11</f>
        <v>5.71596800000043</v>
      </c>
      <c r="FZ11" s="160">
        <f>Monthly_kWh!S11</f>
        <v>0</v>
      </c>
      <c r="GA11" s="160">
        <f>Monthly_kWh!T11</f>
        <v>5.4169600000022902</v>
      </c>
      <c r="GB11" s="160">
        <f t="shared" si="0"/>
        <v>28.081861999999994</v>
      </c>
      <c r="GC11" s="160">
        <f t="shared" si="1"/>
        <v>25.653999000000578</v>
      </c>
      <c r="GD11" s="160">
        <f t="shared" si="2"/>
        <v>2.4278629999994159</v>
      </c>
      <c r="GE11" s="159">
        <f t="shared" si="3"/>
        <v>8.6456624564262036E-2</v>
      </c>
    </row>
    <row r="12" spans="2:187" s="150" customFormat="1" ht="32.25" customHeight="1" x14ac:dyDescent="0.25">
      <c r="B12" s="168">
        <v>6</v>
      </c>
      <c r="C12" s="160">
        <f>Monthly_kWh!H12</f>
        <v>0</v>
      </c>
      <c r="D12" s="160">
        <f>Monthly_kWh!I12</f>
        <v>0</v>
      </c>
      <c r="E12" s="160">
        <f>Monthly_kWh!J12</f>
        <v>0</v>
      </c>
      <c r="F12" s="160">
        <f>Monthly_kWh!K12</f>
        <v>0</v>
      </c>
      <c r="G12" s="160">
        <f>Monthly_kWh!L12</f>
        <v>0</v>
      </c>
      <c r="H12" s="160">
        <f>Monthly_kWh!U12</f>
        <v>0.47173599999999299</v>
      </c>
      <c r="I12" s="160">
        <f>Monthly_kWh!P12</f>
        <v>0.34160599999999902</v>
      </c>
      <c r="J12" s="160">
        <f>Monthly_kWh!N12</f>
        <v>3.9998209999999998</v>
      </c>
      <c r="K12" s="160">
        <f>Monthly_kWh!O12</f>
        <v>4.9926990000000204</v>
      </c>
      <c r="L12" s="160">
        <f>Monthly_kWh!B12</f>
        <v>21.329499999999999</v>
      </c>
      <c r="M12" s="160">
        <f>Monthly_kWh!AR12</f>
        <v>5.2995839999999799</v>
      </c>
      <c r="N12" s="160">
        <f>Monthly_kWh!BM12</f>
        <v>1.81753599999999</v>
      </c>
      <c r="O12" s="160">
        <f>Monthly_kWh!CM12</f>
        <v>4.5890560000000296</v>
      </c>
      <c r="P12" s="160">
        <f>Monthly_kWh!DI12</f>
        <v>5.0567039999999697</v>
      </c>
      <c r="Q12" s="160">
        <f>Monthly_kWh!EF12</f>
        <v>11.867503000000401</v>
      </c>
      <c r="R12" s="119">
        <f>SUM('Zone wise Meter data'!O35:AF35)</f>
        <v>1.3213191875000028</v>
      </c>
      <c r="S12" s="115">
        <f>SUM('Zone wise Meter data'!AG35:AW35)</f>
        <v>2.4085410000000098</v>
      </c>
      <c r="T12" s="115">
        <f>SUM('Zone wise Meter data'!AX35:BA35)</f>
        <v>1.3346320000000049</v>
      </c>
      <c r="U12" s="115">
        <f>SUM('Zone wise Meter data'!BB35:BC35)</f>
        <v>3.7735040000000102</v>
      </c>
      <c r="V12" s="115">
        <f>SUM('Zone wise Meter data'!BD35:BL35)</f>
        <v>11.689785999999996</v>
      </c>
      <c r="W12" s="115">
        <f>SUM('Zone wise Meter data'!BM35:BX35)</f>
        <v>5.3983000000000503E-2</v>
      </c>
      <c r="X12" s="115">
        <f>SUM('Zone wise Meter data'!BY35:CE35)</f>
        <v>2.3586000000000319E-2</v>
      </c>
      <c r="Y12" s="115">
        <f>SUM('Zone wise Meter data'!CF35:CK35)</f>
        <v>2.0283240000000009</v>
      </c>
      <c r="Z12" s="115">
        <f>SUM('Zone wise Meter data'!CL35:CO35)</f>
        <v>1.914975999999968</v>
      </c>
      <c r="AA12" s="115">
        <f>SUM('Zone wise Meter data'!CP35:DD35)</f>
        <v>1.3116506562500052</v>
      </c>
      <c r="AB12" s="115">
        <f>SUM('Zone wise Meter data'!DE35:DN35)</f>
        <v>0.24814837499999651</v>
      </c>
      <c r="AC12" s="115">
        <f>SUM('Zone wise Meter data'!DO35:ED35)</f>
        <v>0</v>
      </c>
      <c r="AD12" s="160">
        <f>Monthly_kWh!AW12</f>
        <v>2.3000319999999901</v>
      </c>
      <c r="AE12" s="160">
        <f>Monthly_kWh!DS12</f>
        <v>1.4734720000000201</v>
      </c>
      <c r="AF12" s="160">
        <f>Monthly_kWh!EL12</f>
        <v>2.6224640000000399</v>
      </c>
      <c r="AG12" s="160">
        <f>Monthly_kWh!EK12</f>
        <v>0</v>
      </c>
      <c r="AH12" s="160">
        <f>Monthly_kWh!EN12</f>
        <v>2.0441599999999198</v>
      </c>
      <c r="AI12" s="160">
        <f>Monthly_kWh!EO12</f>
        <v>1.1607679999999601</v>
      </c>
      <c r="AJ12" s="160">
        <f>Monthly_kWh!EM12</f>
        <v>2.36416000000008</v>
      </c>
      <c r="AK12" s="160">
        <f>Monthly_kWh!ER12</f>
        <v>2.4303349999999999</v>
      </c>
      <c r="AL12" s="160">
        <f>Monthly_kWh!EI12</f>
        <v>0.72550400000000104</v>
      </c>
      <c r="AM12" s="160">
        <f>Monthly_kWh!EJ12+Hourly_kWh!AS12</f>
        <v>4.4934999999987284E-2</v>
      </c>
      <c r="AN12" s="160">
        <f>Monthly_kWh!CX12+Hourly_kWh!CY12+Hourly_kWh!DC12+Hourly_kWh!DD12</f>
        <v>0.26912900000000411</v>
      </c>
      <c r="AO12" s="160">
        <f>SUM(Hourly_kWh!AI12:AQ12)</f>
        <v>8.1482531250007095E-2</v>
      </c>
      <c r="AP12" s="160">
        <f>SUM(Hourly_kWh!V12:AG12)</f>
        <v>4.0404500000006394E-2</v>
      </c>
      <c r="AQ12" s="160">
        <f>Monthly_kWh!DB12</f>
        <v>0.131135</v>
      </c>
      <c r="AR12" s="160">
        <f>Monthly_kWh!CO12</f>
        <v>0.65812799999999805</v>
      </c>
      <c r="AS12" s="160">
        <f>Monthly_kWh!BJ12</f>
        <v>3.3039999999999702E-3</v>
      </c>
      <c r="AT12" s="160">
        <f>Monthly_kWh!U12</f>
        <v>0.47173599999999299</v>
      </c>
      <c r="AU12" s="160">
        <f>Monthly_kWh!V12</f>
        <v>0.121753999999999</v>
      </c>
      <c r="AV12" s="160">
        <f>Monthly_kWh!W12</f>
        <v>6.2485999999999799E-2</v>
      </c>
      <c r="AW12" s="160">
        <f>Monthly_kWh!X12</f>
        <v>7.7233999999998901E-2</v>
      </c>
      <c r="AX12" s="160">
        <f>Monthly_kWh!Y12</f>
        <v>0</v>
      </c>
      <c r="AY12" s="160">
        <f>Monthly_kWh!Z12</f>
        <v>4.7367000000001297E-2</v>
      </c>
      <c r="AZ12" s="160">
        <f>Monthly_kWh!AA12</f>
        <v>0.113028</v>
      </c>
      <c r="BA12" s="160">
        <f>Monthly_kWh!AB12</f>
        <v>0.15610400000000299</v>
      </c>
      <c r="BB12" s="160">
        <f>Monthly_kWh!AC12</f>
        <v>0.116228</v>
      </c>
      <c r="BC12" s="160">
        <f>Monthly_kWh!AD12</f>
        <v>5.0034000000000099E-2</v>
      </c>
      <c r="BD12" s="160">
        <f>Monthly_kWh!AE12</f>
        <v>0.1153435</v>
      </c>
      <c r="BE12" s="160">
        <f>Monthly_kWh!AF12</f>
        <v>0</v>
      </c>
      <c r="BF12" s="160">
        <f>Monthly_kWh!AG12</f>
        <v>1.4107249999999899E-2</v>
      </c>
      <c r="BG12" s="160">
        <f>Monthly_kWh!AH12</f>
        <v>1.903008</v>
      </c>
      <c r="BH12" s="160">
        <f>Monthly_kWh!AI12</f>
        <v>0</v>
      </c>
      <c r="BI12" s="160">
        <f>Monthly_kWh!AJ12</f>
        <v>4.5196500000000299E-2</v>
      </c>
      <c r="BJ12" s="160">
        <f>Monthly_kWh!AK12</f>
        <v>0</v>
      </c>
      <c r="BK12" s="160">
        <f>Monthly_kWh!AL12</f>
        <v>0.32163200000000802</v>
      </c>
      <c r="BL12" s="160">
        <f>Monthly_kWh!AM12</f>
        <v>0.482399999999998</v>
      </c>
      <c r="BM12" s="160">
        <f>Monthly_kWh!AN12</f>
        <v>0.38578400000000101</v>
      </c>
      <c r="BN12" s="160">
        <f>Monthly_kWh!AO12</f>
        <v>0.108913999999999</v>
      </c>
      <c r="BO12" s="160">
        <f>Monthly_kWh!AP12</f>
        <v>8.3899999999999905E-2</v>
      </c>
      <c r="BP12" s="160">
        <f>Monthly_kWh!AQ12</f>
        <v>0.33371600000000301</v>
      </c>
      <c r="BQ12" s="160">
        <f>Monthly_kWh!AR12</f>
        <v>5.2995839999999799</v>
      </c>
      <c r="BR12" s="160">
        <f>Monthly_kWh!AS12</f>
        <v>5.9079999999999799E-2</v>
      </c>
      <c r="BS12" s="160">
        <f>Monthly_kWh!AT12</f>
        <v>0</v>
      </c>
      <c r="BT12" s="160">
        <f>Monthly_kWh!AU12</f>
        <v>4.31319999999999E-2</v>
      </c>
      <c r="BU12" s="160">
        <f>Monthly_kWh!AV12</f>
        <v>4.4909500000000199E-2</v>
      </c>
      <c r="BV12" s="160">
        <f>Monthly_kWh!AW12</f>
        <v>2.3000319999999901</v>
      </c>
      <c r="BW12" s="160">
        <f>Monthly_kWh!AX12</f>
        <v>0</v>
      </c>
      <c r="BX12" s="160">
        <f>Monthly_kWh!AY12</f>
        <v>6.4871000000000095E-2</v>
      </c>
      <c r="BY12" s="160">
        <f>Monthly_kWh!AZ12</f>
        <v>6.49999999957629E-6</v>
      </c>
      <c r="BZ12" s="160">
        <f>Monthly_kWh!BA12</f>
        <v>0</v>
      </c>
      <c r="CA12" s="160">
        <f>Monthly_kWh!BB12</f>
        <v>0</v>
      </c>
      <c r="CB12" s="160">
        <f>Monthly_kWh!BC12</f>
        <v>0</v>
      </c>
      <c r="CC12" s="160">
        <f>Monthly_kWh!BD12</f>
        <v>3.8343749999998301E-3</v>
      </c>
      <c r="CD12" s="160">
        <f>Monthly_kWh!BE12</f>
        <v>0.118732000000001</v>
      </c>
      <c r="CE12" s="160">
        <f>Monthly_kWh!BF12</f>
        <v>0</v>
      </c>
      <c r="CF12" s="160">
        <f>Monthly_kWh!BG12</f>
        <v>1.13730000000007E-2</v>
      </c>
      <c r="CG12" s="160">
        <f>Monthly_kWh!BH12</f>
        <v>1.8867999999997699E-2</v>
      </c>
      <c r="CH12" s="160">
        <f>Monthly_kWh!BI12</f>
        <v>2.3779360000000298</v>
      </c>
      <c r="CI12" s="160">
        <f>Monthly_kWh!BJ12</f>
        <v>3.3039999999999702E-3</v>
      </c>
      <c r="CJ12" s="160">
        <f>Monthly_kWh!BK12</f>
        <v>4.2657000000000202E-2</v>
      </c>
      <c r="CK12" s="160">
        <f>Monthly_kWh!BL12</f>
        <v>1.3999999999825301E-4</v>
      </c>
      <c r="CL12" s="160">
        <f>Monthly_kWh!BM12</f>
        <v>1.81753599999999</v>
      </c>
      <c r="CM12" s="160">
        <f>Monthly_kWh!BN12</f>
        <v>0</v>
      </c>
      <c r="CN12" s="160">
        <f>Monthly_kWh!BO12</f>
        <v>4.1916000000000501E-2</v>
      </c>
      <c r="CO12" s="160">
        <f>Monthly_kWh!BP12</f>
        <v>0</v>
      </c>
      <c r="CP12" s="160">
        <f>Monthly_kWh!BQ12</f>
        <v>0</v>
      </c>
      <c r="CQ12" s="160">
        <f>Monthly_kWh!BR12</f>
        <v>0</v>
      </c>
      <c r="CR12" s="160">
        <f>Monthly_kWh!BS12</f>
        <v>0</v>
      </c>
      <c r="CS12" s="160">
        <f>Monthly_kWh!BT12</f>
        <v>0.26191599999999898</v>
      </c>
      <c r="CT12" s="160">
        <f>Monthly_kWh!BU12</f>
        <v>0</v>
      </c>
      <c r="CU12" s="160">
        <f>Monthly_kWh!BV12</f>
        <v>0</v>
      </c>
      <c r="CV12" s="160">
        <f>Monthly_kWh!BW12</f>
        <v>0</v>
      </c>
      <c r="CW12" s="160">
        <f>Monthly_kWh!BX12</f>
        <v>0</v>
      </c>
      <c r="CX12" s="160">
        <f>Monthly_kWh!BY12</f>
        <v>0</v>
      </c>
      <c r="CY12" s="160">
        <f>Monthly_kWh!BZ12</f>
        <v>0.97492799999999102</v>
      </c>
      <c r="CZ12" s="160">
        <f>Monthly_kWh!CA12</f>
        <v>0.32083199999999601</v>
      </c>
      <c r="DA12" s="160">
        <f>Monthly_kWh!CB12</f>
        <v>0</v>
      </c>
      <c r="DB12" s="160">
        <f>Monthly_kWh!CC12</f>
        <v>0</v>
      </c>
      <c r="DC12" s="160">
        <f>Monthly_kWh!CD12</f>
        <v>0</v>
      </c>
      <c r="DD12" s="160">
        <f>Monthly_kWh!CE12</f>
        <v>0</v>
      </c>
      <c r="DE12" s="160">
        <f>Monthly_kWh!CF12</f>
        <v>6.9919999999999802E-2</v>
      </c>
      <c r="DF12" s="160">
        <f>Monthly_kWh!CG12</f>
        <v>0</v>
      </c>
      <c r="DG12" s="160">
        <f>Monthly_kWh!CH12</f>
        <v>2.10325000000022E-3</v>
      </c>
      <c r="DH12" s="160">
        <f>Monthly_kWh!CI12</f>
        <v>0</v>
      </c>
      <c r="DI12" s="160">
        <f>Monthly_kWh!CJ12</f>
        <v>0</v>
      </c>
      <c r="DJ12" s="160">
        <f>Monthly_kWh!CK12</f>
        <v>0</v>
      </c>
      <c r="DK12" s="160">
        <f>Monthly_kWh!CL12</f>
        <v>0.15827999999999801</v>
      </c>
      <c r="DL12" s="160">
        <f>Monthly_kWh!CM12</f>
        <v>4.5890560000000296</v>
      </c>
      <c r="DM12" s="160">
        <f>Monthly_kWh!CN12</f>
        <v>4.3082500000000599E-2</v>
      </c>
      <c r="DN12" s="160">
        <f>Monthly_kWh!CO12</f>
        <v>0.65812799999999805</v>
      </c>
      <c r="DO12" s="160">
        <f>Monthly_kWh!CP12</f>
        <v>0</v>
      </c>
      <c r="DP12" s="160">
        <f>Monthly_kWh!CQ12</f>
        <v>0</v>
      </c>
      <c r="DQ12" s="160">
        <f>Monthly_kWh!CR12</f>
        <v>0.13753899999999999</v>
      </c>
      <c r="DR12" s="160">
        <f>Monthly_kWh!CS12</f>
        <v>0</v>
      </c>
      <c r="DS12" s="160">
        <f>Monthly_kWh!CT12</f>
        <v>0.117872000000006</v>
      </c>
      <c r="DT12" s="160">
        <f>Monthly_kWh!CU12</f>
        <v>0</v>
      </c>
      <c r="DU12" s="160">
        <f>Monthly_kWh!CV12</f>
        <v>2.1482750000000099E-2</v>
      </c>
      <c r="DV12" s="160">
        <f>Monthly_kWh!CW12</f>
        <v>0</v>
      </c>
      <c r="DW12" s="160">
        <f>Monthly_kWh!CX12</f>
        <v>0.258720000000004</v>
      </c>
      <c r="DX12" s="160">
        <f>Monthly_kWh!CY12</f>
        <v>1.6941999999999999E-2</v>
      </c>
      <c r="DY12" s="160">
        <f>Monthly_kWh!CZ12</f>
        <v>1.2067E-2</v>
      </c>
      <c r="DZ12" s="160">
        <f>Monthly_kWh!DA12</f>
        <v>0.278635999999999</v>
      </c>
      <c r="EA12" s="160">
        <f>Monthly_kWh!DB12</f>
        <v>0.131135</v>
      </c>
      <c r="EB12" s="160">
        <f>Monthly_kWh!DC12</f>
        <v>0.19176399999999899</v>
      </c>
      <c r="EC12" s="160">
        <f>Monthly_kWh!DD12</f>
        <v>2.54934375E-2</v>
      </c>
      <c r="ED12" s="160">
        <f>Monthly_kWh!DE12</f>
        <v>0</v>
      </c>
      <c r="EE12" s="160">
        <f>Monthly_kWh!DF12</f>
        <v>0</v>
      </c>
      <c r="EF12" s="160">
        <f>Monthly_kWh!DG12</f>
        <v>0</v>
      </c>
      <c r="EG12" s="160">
        <f>Monthly_kWh!DH12</f>
        <v>1.1339500000000099E-2</v>
      </c>
      <c r="EH12" s="160">
        <f>Monthly_kWh!DI12</f>
        <v>5.0567039999999697</v>
      </c>
      <c r="EI12" s="160">
        <f>Monthly_kWh!DJ12</f>
        <v>0</v>
      </c>
      <c r="EJ12" s="160">
        <f>Monthly_kWh!DK12</f>
        <v>6.4025999999998404E-2</v>
      </c>
      <c r="EK12" s="160">
        <f>Monthly_kWh!DL12</f>
        <v>1.93709999999996E-2</v>
      </c>
      <c r="EL12" s="160">
        <f>Monthly_kWh!DM12</f>
        <v>4.2628000000000603E-2</v>
      </c>
      <c r="EM12" s="160">
        <f>Monthly_kWh!DN12</f>
        <v>0</v>
      </c>
      <c r="EN12" s="160">
        <f>Monthly_kWh!DO12</f>
        <v>0.78995199999999999</v>
      </c>
      <c r="EO12" s="160">
        <f>Monthly_kWh!DP12</f>
        <v>4.3953000000000103E-2</v>
      </c>
      <c r="EP12" s="160">
        <f>Monthly_kWh!DQ12</f>
        <v>0</v>
      </c>
      <c r="EQ12" s="160">
        <f>Monthly_kWh!DR12</f>
        <v>0</v>
      </c>
      <c r="ER12" s="160">
        <f>Monthly_kWh!DS12</f>
        <v>1.4734720000000201</v>
      </c>
      <c r="ES12" s="160">
        <f>Monthly_kWh!DT12</f>
        <v>0.40072800000001502</v>
      </c>
      <c r="ET12" s="160">
        <f>Monthly_kWh!DU12</f>
        <v>2.0995000000000999E-2</v>
      </c>
      <c r="EU12" s="160">
        <f>Monthly_kWh!DV12</f>
        <v>9.1487500000000405E-3</v>
      </c>
      <c r="EV12" s="160">
        <f>Monthly_kWh!DW12</f>
        <v>0</v>
      </c>
      <c r="EW12" s="160">
        <f>Monthly_kWh!DX12</f>
        <v>0.1881275</v>
      </c>
      <c r="EX12" s="160">
        <f>Monthly_kWh!DY12</f>
        <v>4.8679062499999998E-3</v>
      </c>
      <c r="EY12" s="160">
        <f>Monthly_kWh!DZ12</f>
        <v>0.106929999999998</v>
      </c>
      <c r="EZ12" s="160">
        <f>Monthly_kWh!EA12</f>
        <v>0</v>
      </c>
      <c r="FA12" s="160">
        <f>Monthly_kWh!EB12</f>
        <v>1.28177599999998</v>
      </c>
      <c r="FB12" s="160">
        <f>Monthly_kWh!EC12</f>
        <v>0.63319999999998799</v>
      </c>
      <c r="FC12" s="160">
        <f>Monthly_kWh!ED12</f>
        <v>2.9804500000000001E-2</v>
      </c>
      <c r="FD12" s="160">
        <f>Monthly_kWh!EE12</f>
        <v>2.17675000000002E-2</v>
      </c>
      <c r="FE12" s="160">
        <f>Monthly_kWh!EF12</f>
        <v>11.867503000000401</v>
      </c>
      <c r="FF12" s="160">
        <f>Monthly_kWh!EG12</f>
        <v>0</v>
      </c>
      <c r="FG12" s="160">
        <f>Monthly_kWh!EH12</f>
        <v>0.50886400000001697</v>
      </c>
      <c r="FH12" s="160">
        <f>Monthly_kWh!EI12</f>
        <v>0.72550400000000104</v>
      </c>
      <c r="FI12" s="160">
        <f>Monthly_kWh!EJ12</f>
        <v>4.1183999999987002E-2</v>
      </c>
      <c r="FJ12" s="160">
        <f>Monthly_kWh!EK12</f>
        <v>0</v>
      </c>
      <c r="FK12" s="160">
        <f>Monthly_kWh!EL12</f>
        <v>2.6224640000000399</v>
      </c>
      <c r="FL12" s="160">
        <f>Monthly_kWh!EM12</f>
        <v>2.36416000000008</v>
      </c>
      <c r="FM12" s="160">
        <f>Monthly_kWh!EN12</f>
        <v>2.0441599999999198</v>
      </c>
      <c r="FN12" s="160">
        <f>Monthly_kWh!EO12</f>
        <v>1.1607679999999601</v>
      </c>
      <c r="FO12" s="160">
        <f>Monthly_kWh!EP12</f>
        <v>0</v>
      </c>
      <c r="FP12" s="160">
        <f>Monthly_kWh!ER12</f>
        <v>2.4303349999999999</v>
      </c>
      <c r="FQ12" s="160">
        <f>Monthly_kWh!EQ12</f>
        <v>0</v>
      </c>
      <c r="FR12" s="160">
        <f>Monthly_kWh!M12</f>
        <v>0</v>
      </c>
      <c r="FS12" s="160">
        <f>Monthly_kWh!G12</f>
        <v>0</v>
      </c>
      <c r="FT12" s="160">
        <f>Monthly_kWh!C12</f>
        <v>7.0232219999999801</v>
      </c>
      <c r="FU12" s="160">
        <f>Monthly_kWh!D12</f>
        <v>7.3347600000000197</v>
      </c>
      <c r="FV12" s="160">
        <f>Monthly_kWh!E12</f>
        <v>0</v>
      </c>
      <c r="FW12" s="160">
        <f>Monthly_kWh!F12</f>
        <v>6.9555290000000101</v>
      </c>
      <c r="FX12" s="160">
        <f>Monthly_kWh!Q12</f>
        <v>6.8505599999989499</v>
      </c>
      <c r="FY12" s="160">
        <f>Monthly_kWh!R12</f>
        <v>7.1598080000003401</v>
      </c>
      <c r="FZ12" s="160">
        <f>Monthly_kWh!S12</f>
        <v>0</v>
      </c>
      <c r="GA12" s="160">
        <f>Monthly_kWh!T12</f>
        <v>6.7809279999964902</v>
      </c>
      <c r="GB12" s="160">
        <f t="shared" si="0"/>
        <v>31.135362000000011</v>
      </c>
      <c r="GC12" s="160">
        <f t="shared" si="1"/>
        <v>28.630383000000368</v>
      </c>
      <c r="GD12" s="160">
        <f t="shared" si="2"/>
        <v>2.5049789999996435</v>
      </c>
      <c r="GE12" s="159">
        <f t="shared" si="3"/>
        <v>8.045446845935636E-2</v>
      </c>
    </row>
    <row r="13" spans="2:187" s="150" customFormat="1" ht="32.25" customHeight="1" x14ac:dyDescent="0.25">
      <c r="B13" s="168">
        <v>7</v>
      </c>
      <c r="C13" s="160">
        <f>Monthly_kWh!H13</f>
        <v>7.9410000000006403E-3</v>
      </c>
      <c r="D13" s="160">
        <f>Monthly_kWh!I13</f>
        <v>0.17169999999999999</v>
      </c>
      <c r="E13" s="160">
        <f>Monthly_kWh!J13</f>
        <v>0.46612599999999998</v>
      </c>
      <c r="F13" s="160">
        <f>Monthly_kWh!K13</f>
        <v>0</v>
      </c>
      <c r="G13" s="160">
        <f>Monthly_kWh!L13</f>
        <v>1.4827779999999999</v>
      </c>
      <c r="H13" s="160">
        <f>Monthly_kWh!U13</f>
        <v>0.47504000000000701</v>
      </c>
      <c r="I13" s="160">
        <f>Monthly_kWh!P13</f>
        <v>0.29591500000000098</v>
      </c>
      <c r="J13" s="160">
        <f>Monthly_kWh!N13</f>
        <v>3.96171700000014</v>
      </c>
      <c r="K13" s="160">
        <f>Monthly_kWh!O13</f>
        <v>2.9670690000000399</v>
      </c>
      <c r="L13" s="160">
        <f>Monthly_kWh!B13</f>
        <v>19.872375000000002</v>
      </c>
      <c r="M13" s="160">
        <f>Monthly_kWh!AR13</f>
        <v>5.4921600000000099</v>
      </c>
      <c r="N13" s="160">
        <f>Monthly_kWh!BM13</f>
        <v>1.5324960000000101</v>
      </c>
      <c r="O13" s="160">
        <f>Monthly_kWh!CM13</f>
        <v>4.7941120000000401</v>
      </c>
      <c r="P13" s="160">
        <f>Monthly_kWh!DI13</f>
        <v>4.8672000000000297</v>
      </c>
      <c r="Q13" s="160">
        <f>Monthly_kWh!EF13</f>
        <v>11.5212189999993</v>
      </c>
      <c r="R13" s="119">
        <f>SUM('Zone wise Meter data'!O36:AF36)</f>
        <v>1.5440518124999929</v>
      </c>
      <c r="S13" s="115">
        <f>SUM('Zone wise Meter data'!AG36:AW36)</f>
        <v>2.3768979999999731</v>
      </c>
      <c r="T13" s="115">
        <f>SUM('Zone wise Meter data'!AX36:BA36)</f>
        <v>1.1417200000000363</v>
      </c>
      <c r="U13" s="115">
        <f>SUM('Zone wise Meter data'!BB36:BC36)</f>
        <v>3.62256000000002</v>
      </c>
      <c r="V13" s="115">
        <f>SUM('Zone wise Meter data'!BD36:BL36)</f>
        <v>11.682423000000137</v>
      </c>
      <c r="W13" s="115">
        <f>SUM('Zone wise Meter data'!BM36:BX36)</f>
        <v>5.3639499999999597E-2</v>
      </c>
      <c r="X13" s="115">
        <f>SUM('Zone wise Meter data'!BY36:CE36)</f>
        <v>2.1540750000000251E-2</v>
      </c>
      <c r="Y13" s="115">
        <f>SUM('Zone wise Meter data'!CF36:CK36)</f>
        <v>1.768487000000017</v>
      </c>
      <c r="Z13" s="115">
        <f>SUM('Zone wise Meter data'!CL36:CO36)</f>
        <v>1.9490079999999947</v>
      </c>
      <c r="AA13" s="115">
        <f>SUM('Zone wise Meter data'!CP36:DD36)</f>
        <v>1.1190322187499813</v>
      </c>
      <c r="AB13" s="115">
        <f>SUM('Zone wise Meter data'!DE36:DN36)</f>
        <v>0.22782525000000187</v>
      </c>
      <c r="AC13" s="115">
        <f>SUM('Zone wise Meter data'!DO36:ED36)</f>
        <v>0</v>
      </c>
      <c r="AD13" s="160">
        <f>Monthly_kWh!AW13</f>
        <v>2.2790400000000099</v>
      </c>
      <c r="AE13" s="160">
        <f>Monthly_kWh!DS13</f>
        <v>1.34352000000001</v>
      </c>
      <c r="AF13" s="160">
        <f>Monthly_kWh!EL13</f>
        <v>2.9112319999999299</v>
      </c>
      <c r="AG13" s="160">
        <f>Monthly_kWh!EK13</f>
        <v>0</v>
      </c>
      <c r="AH13" s="160">
        <f>Monthly_kWh!EN13</f>
        <v>0</v>
      </c>
      <c r="AI13" s="160">
        <f>Monthly_kWh!EO13</f>
        <v>1.291968</v>
      </c>
      <c r="AJ13" s="160">
        <f>Monthly_kWh!EM13</f>
        <v>3.7542400000002099</v>
      </c>
      <c r="AK13" s="160">
        <f>Monthly_kWh!ER13</f>
        <v>2.50198399999999</v>
      </c>
      <c r="AL13" s="160">
        <f>Monthly_kWh!EI13</f>
        <v>0.58688000000006502</v>
      </c>
      <c r="AM13" s="160">
        <f>Monthly_kWh!EJ13+Hourly_kWh!AS13</f>
        <v>4.9240499999984734E-2</v>
      </c>
      <c r="AN13" s="160">
        <f>Monthly_kWh!CX13+Hourly_kWh!CY13+Hourly_kWh!DC13+Hourly_kWh!DD13</f>
        <v>0.27861612499999999</v>
      </c>
      <c r="AO13" s="160">
        <f>SUM(Hourly_kWh!AI13:AQ13)</f>
        <v>8.1136890624983249E-2</v>
      </c>
      <c r="AP13" s="160">
        <f>SUM(Hourly_kWh!V13:AG13)</f>
        <v>4.1157499999996183E-2</v>
      </c>
      <c r="AQ13" s="160">
        <f>Monthly_kWh!DB13</f>
        <v>0.13204300000000099</v>
      </c>
      <c r="AR13" s="160">
        <f>Monthly_kWh!CO13</f>
        <v>0.83169600000000099</v>
      </c>
      <c r="AS13" s="160">
        <f>Monthly_kWh!BJ13</f>
        <v>2.4699999999988598E-3</v>
      </c>
      <c r="AT13" s="160">
        <f>Monthly_kWh!U13</f>
        <v>0.47504000000000701</v>
      </c>
      <c r="AU13" s="160">
        <f>Monthly_kWh!V13</f>
        <v>0.123457999999999</v>
      </c>
      <c r="AV13" s="160">
        <f>Monthly_kWh!W13</f>
        <v>5.53419999999996E-2</v>
      </c>
      <c r="AW13" s="160">
        <f>Monthly_kWh!X13</f>
        <v>6.2813999999999495E-2</v>
      </c>
      <c r="AX13" s="160">
        <f>Monthly_kWh!Y13</f>
        <v>0</v>
      </c>
      <c r="AY13" s="160">
        <f>Monthly_kWh!Z13</f>
        <v>4.6637999999999701E-2</v>
      </c>
      <c r="AZ13" s="160">
        <f>Monthly_kWh!AA13</f>
        <v>0.107067999999998</v>
      </c>
      <c r="BA13" s="160">
        <f>Monthly_kWh!AB13</f>
        <v>0.15859999999999999</v>
      </c>
      <c r="BB13" s="160">
        <f>Monthly_kWh!AC13</f>
        <v>0.121388</v>
      </c>
      <c r="BC13" s="160">
        <f>Monthly_kWh!AD13</f>
        <v>5.0415000000000099E-2</v>
      </c>
      <c r="BD13" s="160">
        <f>Monthly_kWh!AE13</f>
        <v>0.1073585</v>
      </c>
      <c r="BE13" s="160">
        <f>Monthly_kWh!AF13</f>
        <v>0</v>
      </c>
      <c r="BF13" s="160">
        <f>Monthly_kWh!AG13</f>
        <v>1.1829999999999801E-2</v>
      </c>
      <c r="BG13" s="160">
        <f>Monthly_kWh!AH13</f>
        <v>1.88838400000003</v>
      </c>
      <c r="BH13" s="160">
        <f>Monthly_kWh!AI13</f>
        <v>0</v>
      </c>
      <c r="BI13" s="160">
        <f>Monthly_kWh!AJ13</f>
        <v>4.1970000000000098E-2</v>
      </c>
      <c r="BJ13" s="160">
        <f>Monthly_kWh!AK13</f>
        <v>0</v>
      </c>
      <c r="BK13" s="160">
        <f>Monthly_kWh!AL13</f>
        <v>0.323703999999992</v>
      </c>
      <c r="BL13" s="160">
        <f>Monthly_kWh!AM13</f>
        <v>0.472687999999991</v>
      </c>
      <c r="BM13" s="160">
        <f>Monthly_kWh!AN13</f>
        <v>0.38627199999999101</v>
      </c>
      <c r="BN13" s="160">
        <f>Monthly_kWh!AO13</f>
        <v>0.111670000000004</v>
      </c>
      <c r="BO13" s="160">
        <f>Monthly_kWh!AP13</f>
        <v>8.2026000000002597E-2</v>
      </c>
      <c r="BP13" s="160">
        <f>Monthly_kWh!AQ13</f>
        <v>0.32657599999999598</v>
      </c>
      <c r="BQ13" s="160">
        <f>Monthly_kWh!AR13</f>
        <v>5.4921600000000099</v>
      </c>
      <c r="BR13" s="160">
        <f>Monthly_kWh!AS13</f>
        <v>6.2776000000000401E-2</v>
      </c>
      <c r="BS13" s="160">
        <f>Monthly_kWh!AT13</f>
        <v>0</v>
      </c>
      <c r="BT13" s="160">
        <f>Monthly_kWh!AU13</f>
        <v>4.1615999999997703E-2</v>
      </c>
      <c r="BU13" s="160">
        <f>Monthly_kWh!AV13</f>
        <v>3.5477000000000203E-2</v>
      </c>
      <c r="BV13" s="160">
        <f>Monthly_kWh!AW13</f>
        <v>2.2790400000000099</v>
      </c>
      <c r="BW13" s="160">
        <f>Monthly_kWh!AX13</f>
        <v>0</v>
      </c>
      <c r="BX13" s="160">
        <f>Monthly_kWh!AY13</f>
        <v>7.6892000000000002E-2</v>
      </c>
      <c r="BY13" s="160">
        <f>Monthly_kWh!AZ13</f>
        <v>1.1500000000275199E-5</v>
      </c>
      <c r="BZ13" s="160">
        <f>Monthly_kWh!BA13</f>
        <v>0</v>
      </c>
      <c r="CA13" s="160">
        <f>Monthly_kWh!BB13</f>
        <v>0</v>
      </c>
      <c r="CB13" s="160">
        <f>Monthly_kWh!BC13</f>
        <v>0</v>
      </c>
      <c r="CC13" s="160">
        <f>Monthly_kWh!BD13</f>
        <v>3.1007500000002101E-3</v>
      </c>
      <c r="CD13" s="160">
        <f>Monthly_kWh!BE13</f>
        <v>0.31612099999999899</v>
      </c>
      <c r="CE13" s="160">
        <f>Monthly_kWh!BF13</f>
        <v>0</v>
      </c>
      <c r="CF13" s="160">
        <f>Monthly_kWh!BG13</f>
        <v>1.0863999999999799E-2</v>
      </c>
      <c r="CG13" s="160">
        <f>Monthly_kWh!BH13</f>
        <v>1.1624000000001199E-2</v>
      </c>
      <c r="CH13" s="160">
        <f>Monthly_kWh!BI13</f>
        <v>2.3880320000000101</v>
      </c>
      <c r="CI13" s="160">
        <f>Monthly_kWh!BJ13</f>
        <v>2.4699999999988598E-3</v>
      </c>
      <c r="CJ13" s="160">
        <f>Monthly_kWh!BK13</f>
        <v>4.4574499999999503E-2</v>
      </c>
      <c r="CK13" s="160">
        <f>Monthly_kWh!BL13</f>
        <v>6.1999999999784504E-5</v>
      </c>
      <c r="CL13" s="160">
        <f>Monthly_kWh!BM13</f>
        <v>1.5324960000000101</v>
      </c>
      <c r="CM13" s="160">
        <f>Monthly_kWh!BN13</f>
        <v>0</v>
      </c>
      <c r="CN13" s="160">
        <f>Monthly_kWh!BO13</f>
        <v>4.1555999999999899E-2</v>
      </c>
      <c r="CO13" s="160">
        <f>Monthly_kWh!BP13</f>
        <v>0</v>
      </c>
      <c r="CP13" s="160">
        <f>Monthly_kWh!BQ13</f>
        <v>0</v>
      </c>
      <c r="CQ13" s="160">
        <f>Monthly_kWh!BR13</f>
        <v>0</v>
      </c>
      <c r="CR13" s="160">
        <f>Monthly_kWh!BS13</f>
        <v>0</v>
      </c>
      <c r="CS13" s="160">
        <f>Monthly_kWh!BT13</f>
        <v>0.24157999999999899</v>
      </c>
      <c r="CT13" s="160">
        <f>Monthly_kWh!BU13</f>
        <v>0</v>
      </c>
      <c r="CU13" s="160">
        <f>Monthly_kWh!BV13</f>
        <v>0</v>
      </c>
      <c r="CV13" s="160">
        <f>Monthly_kWh!BW13</f>
        <v>0</v>
      </c>
      <c r="CW13" s="160">
        <f>Monthly_kWh!BX13</f>
        <v>0</v>
      </c>
      <c r="CX13" s="160">
        <f>Monthly_kWh!BY13</f>
        <v>0</v>
      </c>
      <c r="CY13" s="160">
        <f>Monthly_kWh!BZ13</f>
        <v>0.81473600000001101</v>
      </c>
      <c r="CZ13" s="160">
        <f>Monthly_kWh!CA13</f>
        <v>0.296520000000001</v>
      </c>
      <c r="DA13" s="160">
        <f>Monthly_kWh!CB13</f>
        <v>0</v>
      </c>
      <c r="DB13" s="160">
        <f>Monthly_kWh!CC13</f>
        <v>0</v>
      </c>
      <c r="DC13" s="160">
        <f>Monthly_kWh!CD13</f>
        <v>0</v>
      </c>
      <c r="DD13" s="160">
        <f>Monthly_kWh!CE13</f>
        <v>0</v>
      </c>
      <c r="DE13" s="160">
        <f>Monthly_kWh!CF13</f>
        <v>3.5474999999999902E-2</v>
      </c>
      <c r="DF13" s="160">
        <f>Monthly_kWh!CG13</f>
        <v>0</v>
      </c>
      <c r="DG13" s="160">
        <f>Monthly_kWh!CH13</f>
        <v>6.90500000000149E-4</v>
      </c>
      <c r="DH13" s="160">
        <f>Monthly_kWh!CI13</f>
        <v>0</v>
      </c>
      <c r="DI13" s="160">
        <f>Monthly_kWh!CJ13</f>
        <v>0</v>
      </c>
      <c r="DJ13" s="160">
        <f>Monthly_kWh!CK13</f>
        <v>0</v>
      </c>
      <c r="DK13" s="160">
        <f>Monthly_kWh!CL13</f>
        <v>0.144372000000001</v>
      </c>
      <c r="DL13" s="160">
        <f>Monthly_kWh!CM13</f>
        <v>4.7941120000000401</v>
      </c>
      <c r="DM13" s="160">
        <f>Monthly_kWh!CN13</f>
        <v>4.6980999999999697E-2</v>
      </c>
      <c r="DN13" s="160">
        <f>Monthly_kWh!CO13</f>
        <v>0.83169600000000099</v>
      </c>
      <c r="DO13" s="160">
        <f>Monthly_kWh!CP13</f>
        <v>0</v>
      </c>
      <c r="DP13" s="160">
        <f>Monthly_kWh!CQ13</f>
        <v>0</v>
      </c>
      <c r="DQ13" s="160">
        <f>Monthly_kWh!CR13</f>
        <v>0.141346</v>
      </c>
      <c r="DR13" s="160">
        <f>Monthly_kWh!CS13</f>
        <v>0</v>
      </c>
      <c r="DS13" s="160">
        <f>Monthly_kWh!CT13</f>
        <v>9.7199999999020303E-4</v>
      </c>
      <c r="DT13" s="160">
        <f>Monthly_kWh!CU13</f>
        <v>0</v>
      </c>
      <c r="DU13" s="160">
        <f>Monthly_kWh!CV13</f>
        <v>2.0850250000000101E-2</v>
      </c>
      <c r="DV13" s="160">
        <f>Monthly_kWh!CW13</f>
        <v>0</v>
      </c>
      <c r="DW13" s="160">
        <f>Monthly_kWh!CX13</f>
        <v>0.268096</v>
      </c>
      <c r="DX13" s="160">
        <f>Monthly_kWh!CY13</f>
        <v>1.83290000000003E-2</v>
      </c>
      <c r="DY13" s="160">
        <f>Monthly_kWh!CZ13</f>
        <v>1.20834999999997E-2</v>
      </c>
      <c r="DZ13" s="160">
        <f>Monthly_kWh!DA13</f>
        <v>0.25926000000000499</v>
      </c>
      <c r="EA13" s="160">
        <f>Monthly_kWh!DB13</f>
        <v>0.13204300000000099</v>
      </c>
      <c r="EB13" s="160">
        <f>Monthly_kWh!DC13</f>
        <v>0.210755999999996</v>
      </c>
      <c r="EC13" s="160">
        <f>Monthly_kWh!DD13</f>
        <v>3.1672312500000001E-2</v>
      </c>
      <c r="ED13" s="160">
        <f>Monthly_kWh!DE13</f>
        <v>0</v>
      </c>
      <c r="EE13" s="160">
        <f>Monthly_kWh!DF13</f>
        <v>0</v>
      </c>
      <c r="EF13" s="160">
        <f>Monthly_kWh!DG13</f>
        <v>0</v>
      </c>
      <c r="EG13" s="160">
        <f>Monthly_kWh!DH13</f>
        <v>8.9730000000001198E-3</v>
      </c>
      <c r="EH13" s="160">
        <f>Monthly_kWh!DI13</f>
        <v>4.8672000000000297</v>
      </c>
      <c r="EI13" s="160">
        <f>Monthly_kWh!DJ13</f>
        <v>0</v>
      </c>
      <c r="EJ13" s="160">
        <f>Monthly_kWh!DK13</f>
        <v>6.3850000000002197E-2</v>
      </c>
      <c r="EK13" s="160">
        <f>Monthly_kWh!DL13</f>
        <v>1.8648999999999898E-2</v>
      </c>
      <c r="EL13" s="160">
        <f>Monthly_kWh!DM13</f>
        <v>4.26330000000004E-2</v>
      </c>
      <c r="EM13" s="160">
        <f>Monthly_kWh!DN13</f>
        <v>1.6050000000000799E-4</v>
      </c>
      <c r="EN13" s="160">
        <f>Monthly_kWh!DO13</f>
        <v>0.77291199999999105</v>
      </c>
      <c r="EO13" s="160">
        <f>Monthly_kWh!DP13</f>
        <v>3.8003500000000301E-2</v>
      </c>
      <c r="EP13" s="160">
        <f>Monthly_kWh!DQ13</f>
        <v>0</v>
      </c>
      <c r="EQ13" s="160">
        <f>Monthly_kWh!DR13</f>
        <v>0</v>
      </c>
      <c r="ER13" s="160">
        <f>Monthly_kWh!DS13</f>
        <v>1.34352000000001</v>
      </c>
      <c r="ES13" s="160">
        <f>Monthly_kWh!DT13</f>
        <v>0.38017600000000601</v>
      </c>
      <c r="ET13" s="160">
        <f>Monthly_kWh!DU13</f>
        <v>1.8964999999999701E-2</v>
      </c>
      <c r="EU13" s="160">
        <f>Monthly_kWh!DV13</f>
        <v>9.1387499999999698E-3</v>
      </c>
      <c r="EV13" s="160">
        <f>Monthly_kWh!DW13</f>
        <v>0</v>
      </c>
      <c r="EW13" s="160">
        <f>Monthly_kWh!DX13</f>
        <v>0.14285999999999999</v>
      </c>
      <c r="EX13" s="160">
        <f>Monthly_kWh!DY13</f>
        <v>4.7909687500000096E-3</v>
      </c>
      <c r="EY13" s="160">
        <f>Monthly_kWh!DZ13</f>
        <v>0.10183399999999999</v>
      </c>
      <c r="EZ13" s="160">
        <f>Monthly_kWh!EA13</f>
        <v>0</v>
      </c>
      <c r="FA13" s="160">
        <f>Monthly_kWh!EB13</f>
        <v>1.3728959999999999</v>
      </c>
      <c r="FB13" s="160">
        <f>Monthly_kWh!EC13</f>
        <v>0.57611199999999496</v>
      </c>
      <c r="FC13" s="160">
        <f>Monthly_kWh!ED13</f>
        <v>2.9395500000000099E-2</v>
      </c>
      <c r="FD13" s="160">
        <f>Monthly_kWh!EE13</f>
        <v>2.0487499999999801E-2</v>
      </c>
      <c r="FE13" s="160">
        <f>Monthly_kWh!EF13</f>
        <v>11.5212189999993</v>
      </c>
      <c r="FF13" s="160">
        <f>Monthly_kWh!EG13</f>
        <v>0</v>
      </c>
      <c r="FG13" s="160">
        <f>Monthly_kWh!EH13</f>
        <v>0.44601599999998598</v>
      </c>
      <c r="FH13" s="160">
        <f>Monthly_kWh!EI13</f>
        <v>0.58688000000006502</v>
      </c>
      <c r="FI13" s="160">
        <f>Monthly_kWh!EJ13</f>
        <v>4.6047999999984802E-2</v>
      </c>
      <c r="FJ13" s="160">
        <f>Monthly_kWh!EK13</f>
        <v>0</v>
      </c>
      <c r="FK13" s="160">
        <f>Monthly_kWh!EL13</f>
        <v>2.9112319999999299</v>
      </c>
      <c r="FL13" s="160">
        <f>Monthly_kWh!EM13</f>
        <v>3.7542400000002099</v>
      </c>
      <c r="FM13" s="160">
        <f>Monthly_kWh!EN13</f>
        <v>0</v>
      </c>
      <c r="FN13" s="160">
        <f>Monthly_kWh!EO13</f>
        <v>1.291968</v>
      </c>
      <c r="FO13" s="160">
        <f>Monthly_kWh!EP13</f>
        <v>0</v>
      </c>
      <c r="FP13" s="160">
        <f>Monthly_kWh!ER13</f>
        <v>2.50198399999999</v>
      </c>
      <c r="FQ13" s="160">
        <f>Monthly_kWh!EQ13</f>
        <v>0</v>
      </c>
      <c r="FR13" s="160">
        <f>Monthly_kWh!M13</f>
        <v>3.0906150000000001</v>
      </c>
      <c r="FS13" s="160">
        <f>Monthly_kWh!G13</f>
        <v>3.0890240000000002</v>
      </c>
      <c r="FT13" s="160">
        <f>Monthly_kWh!C13</f>
        <v>7.57841099999996</v>
      </c>
      <c r="FU13" s="160">
        <f>Monthly_kWh!D13</f>
        <v>7.9145850000000504</v>
      </c>
      <c r="FV13" s="160">
        <f>Monthly_kWh!E13</f>
        <v>0</v>
      </c>
      <c r="FW13" s="160">
        <f>Monthly_kWh!F13</f>
        <v>7.5073449999999902</v>
      </c>
      <c r="FX13" s="160">
        <f>Monthly_kWh!Q13</f>
        <v>7.3953279999986998</v>
      </c>
      <c r="FY13" s="160">
        <f>Monthly_kWh!R13</f>
        <v>7.7107199999991298</v>
      </c>
      <c r="FZ13" s="160">
        <f>Monthly_kWh!S13</f>
        <v>0</v>
      </c>
      <c r="GA13" s="160">
        <f>Monthly_kWh!T13</f>
        <v>7.2888320000020004</v>
      </c>
      <c r="GB13" s="160">
        <f t="shared" si="0"/>
        <v>29.700661000000188</v>
      </c>
      <c r="GC13" s="160">
        <f t="shared" si="1"/>
        <v>28.207186999999387</v>
      </c>
      <c r="GD13" s="160">
        <f t="shared" si="2"/>
        <v>1.493474000000802</v>
      </c>
      <c r="GE13" s="159">
        <f t="shared" si="3"/>
        <v>5.0284200745592582E-2</v>
      </c>
    </row>
    <row r="14" spans="2:187" s="150" customFormat="1" ht="32.25" customHeight="1" x14ac:dyDescent="0.25">
      <c r="B14" s="168">
        <v>8</v>
      </c>
      <c r="C14" s="160">
        <f>Monthly_kWh!H14</f>
        <v>8.3078999999999695E-2</v>
      </c>
      <c r="D14" s="160">
        <f>Monthly_kWh!I14</f>
        <v>1.6953339999999999</v>
      </c>
      <c r="E14" s="160">
        <f>Monthly_kWh!J14</f>
        <v>0.54139599999999999</v>
      </c>
      <c r="F14" s="160">
        <f>Monthly_kWh!K14</f>
        <v>0</v>
      </c>
      <c r="G14" s="160">
        <f>Monthly_kWh!L14</f>
        <v>7.1799999999990803E-3</v>
      </c>
      <c r="H14" s="160">
        <f>Monthly_kWh!U14</f>
        <v>0.27674399999999399</v>
      </c>
      <c r="I14" s="160">
        <f>Monthly_kWh!P14</f>
        <v>0.323904999999996</v>
      </c>
      <c r="J14" s="160">
        <f>Monthly_kWh!N14</f>
        <v>3.4989769999998499</v>
      </c>
      <c r="K14" s="160">
        <f>Monthly_kWh!O14</f>
        <v>2.9859669999999601</v>
      </c>
      <c r="L14" s="160">
        <f>Monthly_kWh!B14</f>
        <v>8.0449999999999999</v>
      </c>
      <c r="M14" s="160">
        <f>Monthly_kWh!AR14</f>
        <v>3.4043199999999798</v>
      </c>
      <c r="N14" s="160">
        <f>Monthly_kWh!BM14</f>
        <v>0.36311999999998101</v>
      </c>
      <c r="O14" s="160">
        <f>Monthly_kWh!CM14</f>
        <v>3.8865920000000602</v>
      </c>
      <c r="P14" s="160">
        <f>Monthly_kWh!DI14</f>
        <v>1.97420799999998</v>
      </c>
      <c r="Q14" s="160">
        <f>Monthly_kWh!EF14</f>
        <v>7.2317580000008101</v>
      </c>
      <c r="R14" s="119">
        <f>SUM('Zone wise Meter data'!O37:AF37)</f>
        <v>1.4495829999999976</v>
      </c>
      <c r="S14" s="115">
        <f>SUM('Zone wise Meter data'!AG37:AW37)</f>
        <v>1.6421820000000027</v>
      </c>
      <c r="T14" s="115">
        <f>SUM('Zone wise Meter data'!AX37:BA37)</f>
        <v>0.85804199999992647</v>
      </c>
      <c r="U14" s="115">
        <f>SUM('Zone wise Meter data'!BB37:BC37)</f>
        <v>1.7597759999999871</v>
      </c>
      <c r="V14" s="115">
        <f>SUM('Zone wise Meter data'!BD37:BL37)</f>
        <v>7.126675000000426</v>
      </c>
      <c r="W14" s="115">
        <f>SUM('Zone wise Meter data'!BM37:BX37)</f>
        <v>9.6004500000002477E-2</v>
      </c>
      <c r="X14" s="115">
        <f>SUM('Zone wise Meter data'!BY37:CE37)</f>
        <v>2.7289999999997603E-3</v>
      </c>
      <c r="Y14" s="115">
        <f>SUM('Zone wise Meter data'!CF37:CK37)</f>
        <v>0.33616799999996649</v>
      </c>
      <c r="Z14" s="115">
        <f>SUM('Zone wise Meter data'!CL37:CO37)</f>
        <v>0.49080000000000701</v>
      </c>
      <c r="AA14" s="115">
        <f>SUM('Zone wise Meter data'!CP37:DD37)</f>
        <v>0.73674806250001346</v>
      </c>
      <c r="AB14" s="115">
        <f>SUM('Zone wise Meter data'!DE37:DN37)</f>
        <v>0.18515999999999522</v>
      </c>
      <c r="AC14" s="115">
        <f>SUM('Zone wise Meter data'!DO37:ED37)</f>
        <v>0</v>
      </c>
      <c r="AD14" s="160">
        <f>Monthly_kWh!AW14</f>
        <v>1.09299199999998</v>
      </c>
      <c r="AE14" s="160">
        <f>Monthly_kWh!DS14</f>
        <v>0.66678400000000704</v>
      </c>
      <c r="AF14" s="160">
        <f>Monthly_kWh!EL14</f>
        <v>1.46713600000021</v>
      </c>
      <c r="AG14" s="160">
        <f>Monthly_kWh!EK14</f>
        <v>0</v>
      </c>
      <c r="AH14" s="160">
        <f>Monthly_kWh!EN14</f>
        <v>0.172288000000208</v>
      </c>
      <c r="AI14" s="160">
        <f>Monthly_kWh!EO14</f>
        <v>0.72070399999995505</v>
      </c>
      <c r="AJ14" s="160">
        <f>Monthly_kWh!EM14</f>
        <v>2.36236800000006</v>
      </c>
      <c r="AK14" s="160">
        <f>Monthly_kWh!ER14</f>
        <v>1.65754</v>
      </c>
      <c r="AL14" s="160">
        <f>Monthly_kWh!EI14</f>
        <v>0.63897599999995702</v>
      </c>
      <c r="AM14" s="160">
        <f>Monthly_kWh!EJ14+Hourly_kWh!AS14</f>
        <v>4.4726500000019889E-2</v>
      </c>
      <c r="AN14" s="160">
        <f>Monthly_kWh!CX14+Hourly_kWh!CY14+Hourly_kWh!DC14+Hourly_kWh!DD14</f>
        <v>0.27811624999999895</v>
      </c>
      <c r="AO14" s="160">
        <f>SUM(Hourly_kWh!AI14:AQ14)</f>
        <v>8.2492875000007515E-2</v>
      </c>
      <c r="AP14" s="160">
        <f>SUM(Hourly_kWh!V14:AG14)</f>
        <v>4.3047500000000127E-2</v>
      </c>
      <c r="AQ14" s="160">
        <f>Monthly_kWh!DB14</f>
        <v>0.11576299999999901</v>
      </c>
      <c r="AR14" s="160">
        <f>Monthly_kWh!CO14</f>
        <v>0.44747999999999899</v>
      </c>
      <c r="AS14" s="160">
        <f>Monthly_kWh!BJ14</f>
        <v>1.5560000000007801E-3</v>
      </c>
      <c r="AT14" s="160">
        <f>Monthly_kWh!U14</f>
        <v>0.27674399999999399</v>
      </c>
      <c r="AU14" s="160">
        <f>Monthly_kWh!V14</f>
        <v>0.123822000000001</v>
      </c>
      <c r="AV14" s="160">
        <f>Monthly_kWh!W14</f>
        <v>1.9763000000001099E-2</v>
      </c>
      <c r="AW14" s="160">
        <f>Monthly_kWh!X14</f>
        <v>1.9728000000000599E-2</v>
      </c>
      <c r="AX14" s="160">
        <f>Monthly_kWh!Y14</f>
        <v>0</v>
      </c>
      <c r="AY14" s="160">
        <f>Monthly_kWh!Z14</f>
        <v>4.3725999999999501E-2</v>
      </c>
      <c r="AZ14" s="160">
        <f>Monthly_kWh!AA14</f>
        <v>8.0657999999999702E-2</v>
      </c>
      <c r="BA14" s="160">
        <f>Monthly_kWh!AB14</f>
        <v>0.16543999999999701</v>
      </c>
      <c r="BB14" s="160">
        <f>Monthly_kWh!AC14</f>
        <v>0.124327999999998</v>
      </c>
      <c r="BC14" s="160">
        <f>Monthly_kWh!AD14</f>
        <v>4.19365000000003E-2</v>
      </c>
      <c r="BD14" s="160">
        <f>Monthly_kWh!AE14</f>
        <v>0.102492499999999</v>
      </c>
      <c r="BE14" s="160">
        <f>Monthly_kWh!AF14</f>
        <v>0</v>
      </c>
      <c r="BF14" s="160">
        <f>Monthly_kWh!AG14</f>
        <v>7.0472500000002799E-3</v>
      </c>
      <c r="BG14" s="160">
        <f>Monthly_kWh!AH14</f>
        <v>1.2358719999999701</v>
      </c>
      <c r="BH14" s="160">
        <f>Monthly_kWh!AI14</f>
        <v>0</v>
      </c>
      <c r="BI14" s="160">
        <f>Monthly_kWh!AJ14</f>
        <v>3.06344999999997E-2</v>
      </c>
      <c r="BJ14" s="160">
        <f>Monthly_kWh!AK14</f>
        <v>0</v>
      </c>
      <c r="BK14" s="160">
        <f>Monthly_kWh!AL14</f>
        <v>0.206680000000006</v>
      </c>
      <c r="BL14" s="160">
        <f>Monthly_kWh!AM14</f>
        <v>0.32784800000000303</v>
      </c>
      <c r="BM14" s="160">
        <f>Monthly_kWh!AN14</f>
        <v>0.19658400000000101</v>
      </c>
      <c r="BN14" s="160">
        <f>Monthly_kWh!AO14</f>
        <v>0.120821999999997</v>
      </c>
      <c r="BO14" s="160">
        <f>Monthly_kWh!AP14</f>
        <v>8.8159999999998503E-2</v>
      </c>
      <c r="BP14" s="160">
        <f>Monthly_kWh!AQ14</f>
        <v>0.16741199999999901</v>
      </c>
      <c r="BQ14" s="160">
        <f>Monthly_kWh!AR14</f>
        <v>3.4043199999999798</v>
      </c>
      <c r="BR14" s="160">
        <f>Monthly_kWh!AS14</f>
        <v>1.6154000000000199E-2</v>
      </c>
      <c r="BS14" s="160">
        <f>Monthly_kWh!AT14</f>
        <v>0</v>
      </c>
      <c r="BT14" s="160">
        <f>Monthly_kWh!AU14</f>
        <v>3.8295999999995403E-2</v>
      </c>
      <c r="BU14" s="160">
        <f>Monthly_kWh!AV14</f>
        <v>1.8949000000000101E-2</v>
      </c>
      <c r="BV14" s="160">
        <f>Monthly_kWh!AW14</f>
        <v>1.09299199999998</v>
      </c>
      <c r="BW14" s="160">
        <f>Monthly_kWh!AX14</f>
        <v>0</v>
      </c>
      <c r="BX14" s="160">
        <f>Monthly_kWh!AY14</f>
        <v>9.1435999999999906E-2</v>
      </c>
      <c r="BY14" s="160">
        <f>Monthly_kWh!AZ14</f>
        <v>0</v>
      </c>
      <c r="BZ14" s="160">
        <f>Monthly_kWh!BA14</f>
        <v>0</v>
      </c>
      <c r="CA14" s="160">
        <f>Monthly_kWh!BB14</f>
        <v>0</v>
      </c>
      <c r="CB14" s="160">
        <f>Monthly_kWh!BC14</f>
        <v>0</v>
      </c>
      <c r="CC14" s="160">
        <f>Monthly_kWh!BD14</f>
        <v>0</v>
      </c>
      <c r="CD14" s="160">
        <f>Monthly_kWh!BE14</f>
        <v>0.31537300000000101</v>
      </c>
      <c r="CE14" s="160">
        <f>Monthly_kWh!BF14</f>
        <v>0</v>
      </c>
      <c r="CF14" s="160">
        <f>Monthly_kWh!BG14</f>
        <v>1.0707E-2</v>
      </c>
      <c r="CG14" s="160">
        <f>Monthly_kWh!BH14</f>
        <v>7.1720000000006197E-3</v>
      </c>
      <c r="CH14" s="160">
        <f>Monthly_kWh!BI14</f>
        <v>1.6073280000000001</v>
      </c>
      <c r="CI14" s="160">
        <f>Monthly_kWh!BJ14</f>
        <v>1.5560000000007801E-3</v>
      </c>
      <c r="CJ14" s="160">
        <f>Monthly_kWh!BK14</f>
        <v>4.0468000000000601E-2</v>
      </c>
      <c r="CK14" s="160">
        <f>Monthly_kWh!BL14</f>
        <v>3.3999999999423401E-5</v>
      </c>
      <c r="CL14" s="160">
        <f>Monthly_kWh!BM14</f>
        <v>0.36311999999998101</v>
      </c>
      <c r="CM14" s="160">
        <f>Monthly_kWh!BN14</f>
        <v>0</v>
      </c>
      <c r="CN14" s="160">
        <f>Monthly_kWh!BO14</f>
        <v>7.5628000000000001E-2</v>
      </c>
      <c r="CO14" s="160">
        <f>Monthly_kWh!BP14</f>
        <v>0</v>
      </c>
      <c r="CP14" s="160">
        <f>Monthly_kWh!BQ14</f>
        <v>0</v>
      </c>
      <c r="CQ14" s="160">
        <f>Monthly_kWh!BR14</f>
        <v>0</v>
      </c>
      <c r="CR14" s="160">
        <f>Monthly_kWh!BS14</f>
        <v>0</v>
      </c>
      <c r="CS14" s="160">
        <f>Monthly_kWh!BT14</f>
        <v>1.4983999999998301E-2</v>
      </c>
      <c r="CT14" s="160">
        <f>Monthly_kWh!BU14</f>
        <v>0</v>
      </c>
      <c r="CU14" s="160">
        <f>Monthly_kWh!BV14</f>
        <v>0</v>
      </c>
      <c r="CV14" s="160">
        <f>Monthly_kWh!BW14</f>
        <v>0</v>
      </c>
      <c r="CW14" s="160">
        <f>Monthly_kWh!BX14</f>
        <v>0</v>
      </c>
      <c r="CX14" s="160">
        <f>Monthly_kWh!BY14</f>
        <v>0</v>
      </c>
      <c r="CY14" s="160">
        <f>Monthly_kWh!BZ14</f>
        <v>0.20690399999999401</v>
      </c>
      <c r="CZ14" s="160">
        <f>Monthly_kWh!CA14</f>
        <v>2.19120000000004E-2</v>
      </c>
      <c r="DA14" s="160">
        <f>Monthly_kWh!CB14</f>
        <v>0</v>
      </c>
      <c r="DB14" s="160">
        <f>Monthly_kWh!CC14</f>
        <v>0</v>
      </c>
      <c r="DC14" s="160">
        <f>Monthly_kWh!CD14</f>
        <v>0</v>
      </c>
      <c r="DD14" s="160">
        <f>Monthly_kWh!CE14</f>
        <v>0</v>
      </c>
      <c r="DE14" s="160">
        <f>Monthly_kWh!CF14</f>
        <v>2.2304000000000102E-2</v>
      </c>
      <c r="DF14" s="160">
        <f>Monthly_kWh!CG14</f>
        <v>0</v>
      </c>
      <c r="DG14" s="160">
        <f>Monthly_kWh!CH14</f>
        <v>1.70849999999989E-3</v>
      </c>
      <c r="DH14" s="160">
        <f>Monthly_kWh!CI14</f>
        <v>0</v>
      </c>
      <c r="DI14" s="160">
        <f>Monthly_kWh!CJ14</f>
        <v>0</v>
      </c>
      <c r="DJ14" s="160">
        <f>Monthly_kWh!CK14</f>
        <v>0</v>
      </c>
      <c r="DK14" s="160">
        <f>Monthly_kWh!CL14</f>
        <v>5.52659999999996E-2</v>
      </c>
      <c r="DL14" s="160">
        <f>Monthly_kWh!CM14</f>
        <v>3.8865920000000602</v>
      </c>
      <c r="DM14" s="160">
        <f>Monthly_kWh!CN14</f>
        <v>2.3765000000000001E-2</v>
      </c>
      <c r="DN14" s="160">
        <f>Monthly_kWh!CO14</f>
        <v>0.44747999999999899</v>
      </c>
      <c r="DO14" s="160">
        <f>Monthly_kWh!CP14</f>
        <v>0</v>
      </c>
      <c r="DP14" s="160">
        <f>Monthly_kWh!CQ14</f>
        <v>0</v>
      </c>
      <c r="DQ14" s="160">
        <f>Monthly_kWh!CR14</f>
        <v>0.15013699999999899</v>
      </c>
      <c r="DR14" s="160">
        <f>Monthly_kWh!CS14</f>
        <v>0</v>
      </c>
      <c r="DS14" s="160">
        <f>Monthly_kWh!CT14</f>
        <v>8.5692000000008803E-2</v>
      </c>
      <c r="DT14" s="160">
        <f>Monthly_kWh!CU14</f>
        <v>0</v>
      </c>
      <c r="DU14" s="160">
        <f>Monthly_kWh!CV14</f>
        <v>1.02049999999987E-3</v>
      </c>
      <c r="DV14" s="160">
        <f>Monthly_kWh!CW14</f>
        <v>3.7000000000020402E-3</v>
      </c>
      <c r="DW14" s="160">
        <f>Monthly_kWh!CX14</f>
        <v>0.26763199999999898</v>
      </c>
      <c r="DX14" s="160">
        <f>Monthly_kWh!CY14</f>
        <v>1.8155999999999801E-2</v>
      </c>
      <c r="DY14" s="160">
        <f>Monthly_kWh!CZ14</f>
        <v>1.5412E-2</v>
      </c>
      <c r="DZ14" s="160">
        <f>Monthly_kWh!DA14</f>
        <v>0.18339599999999501</v>
      </c>
      <c r="EA14" s="160">
        <f>Monthly_kWh!DB14</f>
        <v>0.11576299999999901</v>
      </c>
      <c r="EB14" s="160">
        <f>Monthly_kWh!DC14</f>
        <v>0.19911200000000001</v>
      </c>
      <c r="EC14" s="160">
        <f>Monthly_kWh!DD14</f>
        <v>3.0714250000000099E-2</v>
      </c>
      <c r="ED14" s="160">
        <f>Monthly_kWh!DE14</f>
        <v>0</v>
      </c>
      <c r="EE14" s="160">
        <f>Monthly_kWh!DF14</f>
        <v>0</v>
      </c>
      <c r="EF14" s="160">
        <f>Monthly_kWh!DG14</f>
        <v>1.2645000000004499E-3</v>
      </c>
      <c r="EG14" s="160">
        <f>Monthly_kWh!DH14</f>
        <v>5.74750000000002E-3</v>
      </c>
      <c r="EH14" s="160">
        <f>Monthly_kWh!DI14</f>
        <v>1.97420799999998</v>
      </c>
      <c r="EI14" s="160">
        <f>Monthly_kWh!DJ14</f>
        <v>0</v>
      </c>
      <c r="EJ14" s="160">
        <f>Monthly_kWh!DK14</f>
        <v>6.4099999999999796E-2</v>
      </c>
      <c r="EK14" s="160">
        <f>Monthly_kWh!DL14</f>
        <v>1.26179999999998E-2</v>
      </c>
      <c r="EL14" s="160">
        <f>Monthly_kWh!DM14</f>
        <v>3.3317999999999501E-2</v>
      </c>
      <c r="EM14" s="160">
        <f>Monthly_kWh!DN14</f>
        <v>8.3749999999938E-5</v>
      </c>
      <c r="EN14" s="160">
        <f>Monthly_kWh!DO14</f>
        <v>0.45438400000000501</v>
      </c>
      <c r="EO14" s="160">
        <f>Monthly_kWh!DP14</f>
        <v>1.25024999999992E-2</v>
      </c>
      <c r="EP14" s="160">
        <f>Monthly_kWh!DQ14</f>
        <v>0</v>
      </c>
      <c r="EQ14" s="160">
        <f>Monthly_kWh!DR14</f>
        <v>0</v>
      </c>
      <c r="ER14" s="160">
        <f>Monthly_kWh!DS14</f>
        <v>0.66678400000000704</v>
      </c>
      <c r="ES14" s="160">
        <f>Monthly_kWh!DT14</f>
        <v>7.0063999999973703E-2</v>
      </c>
      <c r="ET14" s="160">
        <f>Monthly_kWh!DU14</f>
        <v>4.1299999999999697E-4</v>
      </c>
      <c r="EU14" s="160">
        <f>Monthly_kWh!DV14</f>
        <v>5.6727499999999998E-3</v>
      </c>
      <c r="EV14" s="160">
        <f>Monthly_kWh!DW14</f>
        <v>0</v>
      </c>
      <c r="EW14" s="160">
        <f>Monthly_kWh!DX14</f>
        <v>0.11147749999999999</v>
      </c>
      <c r="EX14" s="160">
        <f>Monthly_kWh!DY14</f>
        <v>4.4440625000000096E-3</v>
      </c>
      <c r="EY14" s="160">
        <f>Monthly_kWh!DZ14</f>
        <v>5.49700000000009E-2</v>
      </c>
      <c r="EZ14" s="160">
        <f>Monthly_kWh!EA14</f>
        <v>0</v>
      </c>
      <c r="FA14" s="160">
        <f>Monthly_kWh!EB14</f>
        <v>0.34390400000000898</v>
      </c>
      <c r="FB14" s="160">
        <f>Monthly_kWh!EC14</f>
        <v>0.146895999999998</v>
      </c>
      <c r="FC14" s="160">
        <f>Monthly_kWh!ED14</f>
        <v>7.10849999999974E-3</v>
      </c>
      <c r="FD14" s="160">
        <f>Monthly_kWh!EE14</f>
        <v>2.52865E-2</v>
      </c>
      <c r="FE14" s="160">
        <f>Monthly_kWh!EF14</f>
        <v>7.2317580000008101</v>
      </c>
      <c r="FF14" s="160">
        <f>Monthly_kWh!EG14</f>
        <v>0</v>
      </c>
      <c r="FG14" s="160">
        <f>Monthly_kWh!EH14</f>
        <v>0.16230399999994899</v>
      </c>
      <c r="FH14" s="160">
        <f>Monthly_kWh!EI14</f>
        <v>0.63897599999995702</v>
      </c>
      <c r="FI14" s="160">
        <f>Monthly_kWh!EJ14</f>
        <v>4.0608000000020197E-2</v>
      </c>
      <c r="FJ14" s="160">
        <f>Monthly_kWh!EK14</f>
        <v>0</v>
      </c>
      <c r="FK14" s="160">
        <f>Monthly_kWh!EL14</f>
        <v>1.46713600000021</v>
      </c>
      <c r="FL14" s="160">
        <f>Monthly_kWh!EM14</f>
        <v>2.36236800000006</v>
      </c>
      <c r="FM14" s="160">
        <f>Monthly_kWh!EN14</f>
        <v>0.172288000000208</v>
      </c>
      <c r="FN14" s="160">
        <f>Monthly_kWh!EO14</f>
        <v>0.72070399999995505</v>
      </c>
      <c r="FO14" s="160">
        <f>Monthly_kWh!EP14</f>
        <v>0</v>
      </c>
      <c r="FP14" s="160">
        <f>Monthly_kWh!ER14</f>
        <v>1.65754</v>
      </c>
      <c r="FQ14" s="160">
        <f>Monthly_kWh!EQ14</f>
        <v>0</v>
      </c>
      <c r="FR14" s="160">
        <f>Monthly_kWh!M14</f>
        <v>3.4441790000000001</v>
      </c>
      <c r="FS14" s="160">
        <f>Monthly_kWh!G14</f>
        <v>3.450691</v>
      </c>
      <c r="FT14" s="160">
        <f>Monthly_kWh!C14</f>
        <v>3.7862610000000201</v>
      </c>
      <c r="FU14" s="160">
        <f>Monthly_kWh!D14</f>
        <v>4.0142799999998697</v>
      </c>
      <c r="FV14" s="160">
        <f>Monthly_kWh!E14</f>
        <v>1.1348770000000199</v>
      </c>
      <c r="FW14" s="160">
        <f>Monthly_kWh!F14</f>
        <v>2.5508030000000299</v>
      </c>
      <c r="FX14" s="160">
        <f>Monthly_kWh!Q14</f>
        <v>3.69459199999983</v>
      </c>
      <c r="FY14" s="160">
        <f>Monthly_kWh!R14</f>
        <v>3.9321600000002901</v>
      </c>
      <c r="FZ14" s="160">
        <f>Monthly_kWh!S14</f>
        <v>1.10233599999992</v>
      </c>
      <c r="GA14" s="160">
        <f>Monthly_kWh!T14</f>
        <v>2.4637440000005899</v>
      </c>
      <c r="GB14" s="160">
        <f t="shared" si="0"/>
        <v>17.457581999999796</v>
      </c>
      <c r="GC14" s="160">
        <f t="shared" si="1"/>
        <v>16.859998000000811</v>
      </c>
      <c r="GD14" s="160">
        <f t="shared" si="2"/>
        <v>0.59758399999898515</v>
      </c>
      <c r="GE14" s="159">
        <f t="shared" si="3"/>
        <v>3.4230628273663105E-2</v>
      </c>
    </row>
    <row r="15" spans="2:187" s="150" customFormat="1" ht="32.25" customHeight="1" x14ac:dyDescent="0.25">
      <c r="B15" s="168">
        <v>9</v>
      </c>
      <c r="C15" s="160">
        <f>Monthly_kWh!H15</f>
        <v>0</v>
      </c>
      <c r="D15" s="160">
        <f>Monthly_kWh!I15</f>
        <v>0</v>
      </c>
      <c r="E15" s="160">
        <f>Monthly_kWh!J15</f>
        <v>0</v>
      </c>
      <c r="F15" s="160">
        <f>Monthly_kWh!K15</f>
        <v>0</v>
      </c>
      <c r="G15" s="160">
        <f>Monthly_kWh!L15</f>
        <v>0</v>
      </c>
      <c r="H15" s="160">
        <f>Monthly_kWh!U15</f>
        <v>0.49419199999999802</v>
      </c>
      <c r="I15" s="160">
        <f>Monthly_kWh!P15</f>
        <v>0.34177700000000799</v>
      </c>
      <c r="J15" s="160">
        <f>Monthly_kWh!N15</f>
        <v>5.2878340000000899</v>
      </c>
      <c r="K15" s="160">
        <f>Monthly_kWh!O15</f>
        <v>5.0684340000000203</v>
      </c>
      <c r="L15" s="160">
        <f>Monthly_kWh!B15</f>
        <v>23.287875</v>
      </c>
      <c r="M15" s="160">
        <f>Monthly_kWh!AR15</f>
        <v>5.2915199999999896</v>
      </c>
      <c r="N15" s="160">
        <f>Monthly_kWh!BM15</f>
        <v>2.1555360000000099</v>
      </c>
      <c r="O15" s="160">
        <f>Monthly_kWh!CM15</f>
        <v>5.23507199999995</v>
      </c>
      <c r="P15" s="160">
        <f>Monthly_kWh!DI15</f>
        <v>5.10169600000006</v>
      </c>
      <c r="Q15" s="160">
        <f>Monthly_kWh!EF15</f>
        <v>14.106240000000099</v>
      </c>
      <c r="R15" s="119">
        <f>SUM('Zone wise Meter data'!O38:AF38)</f>
        <v>1.3798718125000011</v>
      </c>
      <c r="S15" s="115">
        <f>SUM('Zone wise Meter data'!AG38:AW38)</f>
        <v>2.4299755000000176</v>
      </c>
      <c r="T15" s="115">
        <f>SUM('Zone wise Meter data'!AX38:BA38)</f>
        <v>1.5108075000000585</v>
      </c>
      <c r="U15" s="115">
        <f>SUM('Zone wise Meter data'!BB38:BC38)</f>
        <v>3.6174719999999603</v>
      </c>
      <c r="V15" s="115">
        <f>SUM('Zone wise Meter data'!BD38:BL38)</f>
        <v>14.006893999999477</v>
      </c>
      <c r="W15" s="115">
        <f>SUM('Zone wise Meter data'!BM38:BX38)</f>
        <v>0.34725924999999325</v>
      </c>
      <c r="X15" s="115">
        <f>SUM('Zone wise Meter data'!BY38:CE38)</f>
        <v>2.2497500000000101E-2</v>
      </c>
      <c r="Y15" s="115">
        <f>SUM('Zone wise Meter data'!CF38:CK38)</f>
        <v>2.1505130000000108</v>
      </c>
      <c r="Z15" s="115">
        <f>SUM('Zone wise Meter data'!CL38:CO38)</f>
        <v>1.9197920000000319</v>
      </c>
      <c r="AA15" s="115">
        <f>SUM('Zone wise Meter data'!CP38:DD38)</f>
        <v>1.3207429374999773</v>
      </c>
      <c r="AB15" s="115">
        <f>SUM('Zone wise Meter data'!DE38:DN38)</f>
        <v>0.28333710687256364</v>
      </c>
      <c r="AC15" s="115">
        <f>SUM('Zone wise Meter data'!DO38:ED38)</f>
        <v>0</v>
      </c>
      <c r="AD15" s="160">
        <f>Monthly_kWh!AW15</f>
        <v>2.09542399999998</v>
      </c>
      <c r="AE15" s="160">
        <f>Monthly_kWh!DS15</f>
        <v>1.5220479999999801</v>
      </c>
      <c r="AF15" s="160">
        <f>Monthly_kWh!EL15</f>
        <v>2.6030079999998201</v>
      </c>
      <c r="AG15" s="160">
        <f>Monthly_kWh!EK15</f>
        <v>0</v>
      </c>
      <c r="AH15" s="160">
        <f>Monthly_kWh!EN15</f>
        <v>2.2476799999999502</v>
      </c>
      <c r="AI15" s="160">
        <f>Monthly_kWh!EO15</f>
        <v>1.2139520000000601</v>
      </c>
      <c r="AJ15" s="160">
        <f>Monthly_kWh!EM15</f>
        <v>4.09830399999964</v>
      </c>
      <c r="AK15" s="160">
        <f>Monthly_kWh!ER15</f>
        <v>2.546198</v>
      </c>
      <c r="AL15" s="160">
        <f>Monthly_kWh!EI15</f>
        <v>0.646656000000007</v>
      </c>
      <c r="AM15" s="160">
        <f>Monthly_kWh!EJ15+Hourly_kWh!AS15</f>
        <v>8.719150000001899E-2</v>
      </c>
      <c r="AN15" s="160">
        <f>Monthly_kWh!CX15+Hourly_kWh!CY15+Hourly_kWh!DC15+Hourly_kWh!DD15</f>
        <v>0.28120000000000017</v>
      </c>
      <c r="AO15" s="160">
        <f>SUM(Hourly_kWh!AI15:AQ15)</f>
        <v>8.1332406250002931E-2</v>
      </c>
      <c r="AP15" s="160">
        <f>SUM(Hourly_kWh!V15:AG15)</f>
        <v>3.8053999999998922E-2</v>
      </c>
      <c r="AQ15" s="160">
        <f>Monthly_kWh!DB15</f>
        <v>0.132076000000001</v>
      </c>
      <c r="AR15" s="160">
        <f>Monthly_kWh!CO15</f>
        <v>0.88087600000000099</v>
      </c>
      <c r="AS15" s="160">
        <f>Monthly_kWh!BJ15</f>
        <v>6.2810000000013098E-3</v>
      </c>
      <c r="AT15" s="160">
        <f>Monthly_kWh!U15</f>
        <v>0.49419199999999802</v>
      </c>
      <c r="AU15" s="160">
        <f>Monthly_kWh!V15</f>
        <v>0.123093999999998</v>
      </c>
      <c r="AV15" s="160">
        <f>Monthly_kWh!W15</f>
        <v>6.2538999999999206E-2</v>
      </c>
      <c r="AW15" s="160">
        <f>Monthly_kWh!X15</f>
        <v>4.7748000000000297E-2</v>
      </c>
      <c r="AX15" s="160">
        <f>Monthly_kWh!Y15</f>
        <v>0</v>
      </c>
      <c r="AY15" s="160">
        <f>Monthly_kWh!Z15</f>
        <v>4.6020000000000401E-2</v>
      </c>
      <c r="AZ15" s="160">
        <f>Monthly_kWh!AA15</f>
        <v>0.114812000000001</v>
      </c>
      <c r="BA15" s="160">
        <f>Monthly_kWh!AB15</f>
        <v>0.166822000000003</v>
      </c>
      <c r="BB15" s="160">
        <f>Monthly_kWh!AC15</f>
        <v>0.129222000000002</v>
      </c>
      <c r="BC15" s="160">
        <f>Monthly_kWh!AD15</f>
        <v>5.1626499999999402E-2</v>
      </c>
      <c r="BD15" s="160">
        <f>Monthly_kWh!AE15</f>
        <v>0.13682449999999999</v>
      </c>
      <c r="BE15" s="160">
        <f>Monthly_kWh!AF15</f>
        <v>0</v>
      </c>
      <c r="BF15" s="160">
        <f>Monthly_kWh!AG15</f>
        <v>1.22295000000001E-2</v>
      </c>
      <c r="BG15" s="160">
        <f>Monthly_kWh!AH15</f>
        <v>1.9502080000000299</v>
      </c>
      <c r="BH15" s="160">
        <f>Monthly_kWh!AI15</f>
        <v>0</v>
      </c>
      <c r="BI15" s="160">
        <f>Monthly_kWh!AJ15</f>
        <v>4.4162E-2</v>
      </c>
      <c r="BJ15" s="160">
        <f>Monthly_kWh!AK15</f>
        <v>0</v>
      </c>
      <c r="BK15" s="160">
        <f>Monthly_kWh!AL15</f>
        <v>0.33092000000000599</v>
      </c>
      <c r="BL15" s="160">
        <f>Monthly_kWh!AM15</f>
        <v>0.49392799999999698</v>
      </c>
      <c r="BM15" s="160">
        <f>Monthly_kWh!AN15</f>
        <v>0.36893600000000498</v>
      </c>
      <c r="BN15" s="160">
        <f>Monthly_kWh!AO15</f>
        <v>0.14574000000000401</v>
      </c>
      <c r="BO15" s="160">
        <f>Monthly_kWh!AP15</f>
        <v>8.4880000000001801E-2</v>
      </c>
      <c r="BP15" s="160">
        <f>Monthly_kWh!AQ15</f>
        <v>0.32978800000000102</v>
      </c>
      <c r="BQ15" s="160">
        <f>Monthly_kWh!AR15</f>
        <v>5.2915199999999896</v>
      </c>
      <c r="BR15" s="160">
        <f>Monthly_kWh!AS15</f>
        <v>8.68395E-2</v>
      </c>
      <c r="BS15" s="160">
        <f>Monthly_kWh!AT15</f>
        <v>0</v>
      </c>
      <c r="BT15" s="160">
        <f>Monthly_kWh!AU15</f>
        <v>4.3068000000005199E-2</v>
      </c>
      <c r="BU15" s="160">
        <f>Monthly_kWh!AV15</f>
        <v>4.5586999999999399E-2</v>
      </c>
      <c r="BV15" s="160">
        <f>Monthly_kWh!AW15</f>
        <v>2.09542399999998</v>
      </c>
      <c r="BW15" s="160">
        <f>Monthly_kWh!AX15</f>
        <v>0</v>
      </c>
      <c r="BX15" s="160">
        <f>Monthly_kWh!AY15</f>
        <v>0.10236149999999999</v>
      </c>
      <c r="BY15" s="160">
        <f>Monthly_kWh!AZ15</f>
        <v>0</v>
      </c>
      <c r="BZ15" s="160">
        <f>Monthly_kWh!BA15</f>
        <v>0</v>
      </c>
      <c r="CA15" s="160">
        <f>Monthly_kWh!BB15</f>
        <v>0</v>
      </c>
      <c r="CB15" s="160">
        <f>Monthly_kWh!BC15</f>
        <v>0</v>
      </c>
      <c r="CC15" s="160">
        <f>Monthly_kWh!BD15</f>
        <v>3.9381068725585899E-3</v>
      </c>
      <c r="CD15" s="160">
        <f>Monthly_kWh!BE15</f>
        <v>0.11603999999999801</v>
      </c>
      <c r="CE15" s="160">
        <f>Monthly_kWh!BF15</f>
        <v>0</v>
      </c>
      <c r="CF15" s="160">
        <f>Monthly_kWh!BG15</f>
        <v>1.98970000000003E-2</v>
      </c>
      <c r="CG15" s="160">
        <f>Monthly_kWh!BH15</f>
        <v>3.7572000000000799E-2</v>
      </c>
      <c r="CH15" s="160">
        <f>Monthly_kWh!BI15</f>
        <v>2.4481599999999699</v>
      </c>
      <c r="CI15" s="160">
        <f>Monthly_kWh!BJ15</f>
        <v>6.2810000000013098E-3</v>
      </c>
      <c r="CJ15" s="160">
        <f>Monthly_kWh!BK15</f>
        <v>5.8876499999999297E-2</v>
      </c>
      <c r="CK15" s="160">
        <f>Monthly_kWh!BL15</f>
        <v>6.1999999999784504E-5</v>
      </c>
      <c r="CL15" s="160">
        <f>Monthly_kWh!BM15</f>
        <v>2.1555360000000099</v>
      </c>
      <c r="CM15" s="160">
        <f>Monthly_kWh!BN15</f>
        <v>0</v>
      </c>
      <c r="CN15" s="160">
        <f>Monthly_kWh!BO15</f>
        <v>0.26692499999999902</v>
      </c>
      <c r="CO15" s="160">
        <f>Monthly_kWh!BP15</f>
        <v>0</v>
      </c>
      <c r="CP15" s="160">
        <f>Monthly_kWh!BQ15</f>
        <v>0</v>
      </c>
      <c r="CQ15" s="160">
        <f>Monthly_kWh!BR15</f>
        <v>0</v>
      </c>
      <c r="CR15" s="160">
        <f>Monthly_kWh!BS15</f>
        <v>0</v>
      </c>
      <c r="CS15" s="160">
        <f>Monthly_kWh!BT15</f>
        <v>0.243423999999997</v>
      </c>
      <c r="CT15" s="160">
        <f>Monthly_kWh!BU15</f>
        <v>0</v>
      </c>
      <c r="CU15" s="160">
        <f>Monthly_kWh!BV15</f>
        <v>0</v>
      </c>
      <c r="CV15" s="160">
        <f>Monthly_kWh!BW15</f>
        <v>0</v>
      </c>
      <c r="CW15" s="160">
        <f>Monthly_kWh!BX15</f>
        <v>0</v>
      </c>
      <c r="CX15" s="160">
        <f>Monthly_kWh!BY15</f>
        <v>0</v>
      </c>
      <c r="CY15" s="160">
        <f>Monthly_kWh!BZ15</f>
        <v>1.018224</v>
      </c>
      <c r="CZ15" s="160">
        <f>Monthly_kWh!CA15</f>
        <v>0.43967200000000201</v>
      </c>
      <c r="DA15" s="160">
        <f>Monthly_kWh!CB15</f>
        <v>0</v>
      </c>
      <c r="DB15" s="160">
        <f>Monthly_kWh!CC15</f>
        <v>0</v>
      </c>
      <c r="DC15" s="160">
        <f>Monthly_kWh!CD15</f>
        <v>0</v>
      </c>
      <c r="DD15" s="160">
        <f>Monthly_kWh!CE15</f>
        <v>0</v>
      </c>
      <c r="DE15" s="160">
        <f>Monthly_kWh!CF15</f>
        <v>3.46170000000008E-2</v>
      </c>
      <c r="DF15" s="160">
        <f>Monthly_kWh!CG15</f>
        <v>0</v>
      </c>
      <c r="DG15" s="160">
        <f>Monthly_kWh!CH15</f>
        <v>5.3925000000010204E-4</v>
      </c>
      <c r="DH15" s="160">
        <f>Monthly_kWh!CI15</f>
        <v>0</v>
      </c>
      <c r="DI15" s="160">
        <f>Monthly_kWh!CJ15</f>
        <v>0</v>
      </c>
      <c r="DJ15" s="160">
        <f>Monthly_kWh!CK15</f>
        <v>0</v>
      </c>
      <c r="DK15" s="160">
        <f>Monthly_kWh!CL15</f>
        <v>5.7432000000002099E-2</v>
      </c>
      <c r="DL15" s="160">
        <f>Monthly_kWh!CM15</f>
        <v>5.23507199999995</v>
      </c>
      <c r="DM15" s="160">
        <f>Monthly_kWh!CN15</f>
        <v>3.4144000000000403E-2</v>
      </c>
      <c r="DN15" s="160">
        <f>Monthly_kWh!CO15</f>
        <v>0.88087600000000099</v>
      </c>
      <c r="DO15" s="160">
        <f>Monthly_kWh!CP15</f>
        <v>0</v>
      </c>
      <c r="DP15" s="160">
        <f>Monthly_kWh!CQ15</f>
        <v>0</v>
      </c>
      <c r="DQ15" s="160">
        <f>Monthly_kWh!CR15</f>
        <v>0.14551</v>
      </c>
      <c r="DR15" s="160">
        <f>Monthly_kWh!CS15</f>
        <v>0</v>
      </c>
      <c r="DS15" s="160">
        <f>Monthly_kWh!CT15</f>
        <v>0.19976399999998801</v>
      </c>
      <c r="DT15" s="160">
        <f>Monthly_kWh!CU15</f>
        <v>0</v>
      </c>
      <c r="DU15" s="160">
        <f>Monthly_kWh!CV15</f>
        <v>2.1958249999999999E-2</v>
      </c>
      <c r="DV15" s="160">
        <f>Monthly_kWh!CW15</f>
        <v>3.9151999999994302E-2</v>
      </c>
      <c r="DW15" s="160">
        <f>Monthly_kWh!CX15</f>
        <v>0.27050800000000003</v>
      </c>
      <c r="DX15" s="160">
        <f>Monthly_kWh!CY15</f>
        <v>1.8265E-2</v>
      </c>
      <c r="DY15" s="160">
        <f>Monthly_kWh!CZ15</f>
        <v>2.40452499999999E-2</v>
      </c>
      <c r="DZ15" s="160">
        <f>Monthly_kWh!DA15</f>
        <v>0.28480000000000399</v>
      </c>
      <c r="EA15" s="160">
        <f>Monthly_kWh!DB15</f>
        <v>0.132076000000001</v>
      </c>
      <c r="EB15" s="160">
        <f>Monthly_kWh!DC15</f>
        <v>0.201875999999999</v>
      </c>
      <c r="EC15" s="160">
        <f>Monthly_kWh!DD15</f>
        <v>2.7759812499999901E-2</v>
      </c>
      <c r="ED15" s="160">
        <f>Monthly_kWh!DE15</f>
        <v>0</v>
      </c>
      <c r="EE15" s="160">
        <f>Monthly_kWh!DF15</f>
        <v>0</v>
      </c>
      <c r="EF15" s="160">
        <f>Monthly_kWh!DG15</f>
        <v>1.7136999999999999E-2</v>
      </c>
      <c r="EG15" s="160">
        <f>Monthly_kWh!DH15</f>
        <v>1.0435000000000199E-2</v>
      </c>
      <c r="EH15" s="160">
        <f>Monthly_kWh!DI15</f>
        <v>5.10169600000006</v>
      </c>
      <c r="EI15" s="160">
        <f>Monthly_kWh!DJ15</f>
        <v>0</v>
      </c>
      <c r="EJ15" s="160">
        <f>Monthly_kWh!DK15</f>
        <v>6.5020000000000494E-2</v>
      </c>
      <c r="EK15" s="160">
        <f>Monthly_kWh!DL15</f>
        <v>1.9256999999999601E-2</v>
      </c>
      <c r="EL15" s="160">
        <f>Monthly_kWh!DM15</f>
        <v>4.8997999999999202E-2</v>
      </c>
      <c r="EM15" s="160">
        <f>Monthly_kWh!DN15</f>
        <v>3.4518750000000998E-4</v>
      </c>
      <c r="EN15" s="160">
        <f>Monthly_kWh!DO15</f>
        <v>0.73395199999998795</v>
      </c>
      <c r="EO15" s="160">
        <f>Monthly_kWh!DP15</f>
        <v>4.0913000000000602E-2</v>
      </c>
      <c r="EP15" s="160">
        <f>Monthly_kWh!DQ15</f>
        <v>0</v>
      </c>
      <c r="EQ15" s="160">
        <f>Monthly_kWh!DR15</f>
        <v>0</v>
      </c>
      <c r="ER15" s="160">
        <f>Monthly_kWh!DS15</f>
        <v>1.5220479999999801</v>
      </c>
      <c r="ES15" s="160">
        <f>Monthly_kWh!DT15</f>
        <v>0.41457600000001099</v>
      </c>
      <c r="ET15" s="160">
        <f>Monthly_kWh!DU15</f>
        <v>1.6755999999999101E-2</v>
      </c>
      <c r="EU15" s="160">
        <f>Monthly_kWh!DV15</f>
        <v>8.6172499999999097E-3</v>
      </c>
      <c r="EV15" s="160">
        <f>Monthly_kWh!DW15</f>
        <v>0</v>
      </c>
      <c r="EW15" s="160">
        <f>Monthly_kWh!DX15</f>
        <v>0.20067850000000001</v>
      </c>
      <c r="EX15" s="160">
        <f>Monthly_kWh!DY15</f>
        <v>4.3984999999999701E-3</v>
      </c>
      <c r="EY15" s="160">
        <f>Monthly_kWh!DZ15</f>
        <v>8.9096000000001396E-2</v>
      </c>
      <c r="EZ15" s="160">
        <f>Monthly_kWh!EA15</f>
        <v>0</v>
      </c>
      <c r="FA15" s="160">
        <f>Monthly_kWh!EB15</f>
        <v>1.2625600000000099</v>
      </c>
      <c r="FB15" s="160">
        <f>Monthly_kWh!EC15</f>
        <v>0.65723200000002202</v>
      </c>
      <c r="FC15" s="160">
        <f>Monthly_kWh!ED15</f>
        <v>2.6222500000000301E-2</v>
      </c>
      <c r="FD15" s="160">
        <f>Monthly_kWh!EE15</f>
        <v>7.1005000000000401E-2</v>
      </c>
      <c r="FE15" s="160">
        <f>Monthly_kWh!EF15</f>
        <v>14.106240000000099</v>
      </c>
      <c r="FF15" s="160">
        <f>Monthly_kWh!EG15</f>
        <v>0</v>
      </c>
      <c r="FG15" s="160">
        <f>Monthly_kWh!EH15</f>
        <v>0.69401600000003305</v>
      </c>
      <c r="FH15" s="160">
        <f>Monthly_kWh!EI15</f>
        <v>0.646656000000007</v>
      </c>
      <c r="FI15" s="160">
        <f>Monthly_kWh!EJ15</f>
        <v>8.3296000000018494E-2</v>
      </c>
      <c r="FJ15" s="160">
        <f>Monthly_kWh!EK15</f>
        <v>0</v>
      </c>
      <c r="FK15" s="160">
        <f>Monthly_kWh!EL15</f>
        <v>2.6030079999998201</v>
      </c>
      <c r="FL15" s="160">
        <f>Monthly_kWh!EM15</f>
        <v>4.09830399999964</v>
      </c>
      <c r="FM15" s="160">
        <f>Monthly_kWh!EN15</f>
        <v>2.2476799999999502</v>
      </c>
      <c r="FN15" s="160">
        <f>Monthly_kWh!EO15</f>
        <v>1.2139520000000601</v>
      </c>
      <c r="FO15" s="160">
        <f>Monthly_kWh!EP15</f>
        <v>0</v>
      </c>
      <c r="FP15" s="160">
        <f>Monthly_kWh!ER15</f>
        <v>2.546198</v>
      </c>
      <c r="FQ15" s="160">
        <f>Monthly_kWh!EQ15</f>
        <v>0</v>
      </c>
      <c r="FR15" s="160">
        <f>Monthly_kWh!M15</f>
        <v>0</v>
      </c>
      <c r="FS15" s="160">
        <f>Monthly_kWh!G15</f>
        <v>0</v>
      </c>
      <c r="FT15" s="160">
        <f>Monthly_kWh!C15</f>
        <v>7.9684829999999902</v>
      </c>
      <c r="FU15" s="160">
        <f>Monthly_kWh!D15</f>
        <v>8.3464380000000293</v>
      </c>
      <c r="FV15" s="160">
        <f>Monthly_kWh!E15</f>
        <v>7.0034150000000199</v>
      </c>
      <c r="FW15" s="160">
        <f>Monthly_kWh!F15</f>
        <v>0</v>
      </c>
      <c r="FX15" s="160">
        <f>Monthly_kWh!Q15</f>
        <v>7.7701120000019701</v>
      </c>
      <c r="FY15" s="160">
        <f>Monthly_kWh!R15</f>
        <v>8.1530880000027501</v>
      </c>
      <c r="FZ15" s="160">
        <f>Monthly_kWh!S15</f>
        <v>6.8177919999998302</v>
      </c>
      <c r="GA15" s="160">
        <f>Monthly_kWh!T15</f>
        <v>0</v>
      </c>
      <c r="GB15" s="160">
        <f t="shared" si="0"/>
        <v>34.480112000000119</v>
      </c>
      <c r="GC15" s="160">
        <f t="shared" si="1"/>
        <v>31.890064000000109</v>
      </c>
      <c r="GD15" s="160">
        <f t="shared" si="2"/>
        <v>2.5900480000000101</v>
      </c>
      <c r="GE15" s="159">
        <f t="shared" si="3"/>
        <v>7.5117157392064191E-2</v>
      </c>
    </row>
    <row r="16" spans="2:187" s="150" customFormat="1" ht="32.25" customHeight="1" x14ac:dyDescent="0.25">
      <c r="B16" s="168">
        <v>10</v>
      </c>
      <c r="C16" s="160">
        <f>Monthly_kWh!H16</f>
        <v>0</v>
      </c>
      <c r="D16" s="160">
        <f>Monthly_kWh!I16</f>
        <v>0</v>
      </c>
      <c r="E16" s="160">
        <f>Monthly_kWh!J16</f>
        <v>0</v>
      </c>
      <c r="F16" s="160">
        <f>Monthly_kWh!K16</f>
        <v>0</v>
      </c>
      <c r="G16" s="160">
        <f>Monthly_kWh!L16</f>
        <v>0</v>
      </c>
      <c r="H16" s="160">
        <f>Monthly_kWh!U16</f>
        <v>0.50024000000000501</v>
      </c>
      <c r="I16" s="160">
        <f>Monthly_kWh!P16</f>
        <v>0.35530199999999501</v>
      </c>
      <c r="J16" s="160">
        <f>Monthly_kWh!N16</f>
        <v>5.5505779999999696</v>
      </c>
      <c r="K16" s="160">
        <f>Monthly_kWh!O16</f>
        <v>5.3643579999999202</v>
      </c>
      <c r="L16" s="160">
        <f>Monthly_kWh!B16</f>
        <v>22.856375</v>
      </c>
      <c r="M16" s="160">
        <f>Monthly_kWh!AR16</f>
        <v>5.5862080000000001</v>
      </c>
      <c r="N16" s="160">
        <f>Monthly_kWh!BM16</f>
        <v>2.1505280000000102</v>
      </c>
      <c r="O16" s="160">
        <f>Monthly_kWh!CM16</f>
        <v>5.1388159999999097</v>
      </c>
      <c r="P16" s="160">
        <f>Monthly_kWh!DI16</f>
        <v>5.0418559999999397</v>
      </c>
      <c r="Q16" s="160">
        <f>Monthly_kWh!EF16</f>
        <v>14.112642999999499</v>
      </c>
      <c r="R16" s="119">
        <f>SUM('Zone wise Meter data'!O39:AF39)</f>
        <v>1.5773096249999994</v>
      </c>
      <c r="S16" s="115">
        <f>SUM('Zone wise Meter data'!AG39:AW39)</f>
        <v>2.4686609999999969</v>
      </c>
      <c r="T16" s="115">
        <f>SUM('Zone wise Meter data'!AX39:BA39)</f>
        <v>1.4836694999999658</v>
      </c>
      <c r="U16" s="115">
        <f>SUM('Zone wise Meter data'!BB39:BC39)</f>
        <v>3.6388160000000198</v>
      </c>
      <c r="V16" s="115">
        <f>SUM('Zone wise Meter data'!BD39:BL39)</f>
        <v>14.011020000000054</v>
      </c>
      <c r="W16" s="115">
        <f>SUM('Zone wise Meter data'!BM39:BX39)</f>
        <v>0.54926600000000514</v>
      </c>
      <c r="X16" s="115">
        <f>SUM('Zone wise Meter data'!BY39:CE39)</f>
        <v>2.0671250000000176E-2</v>
      </c>
      <c r="Y16" s="115">
        <f>SUM('Zone wise Meter data'!CF39:CK39)</f>
        <v>1.5895270000000044</v>
      </c>
      <c r="Z16" s="115">
        <f>SUM('Zone wise Meter data'!CL39:CO39)</f>
        <v>2.0211359999999821</v>
      </c>
      <c r="AA16" s="115">
        <f>SUM('Zone wise Meter data'!CP39:DD39)</f>
        <v>1.3416414375000074</v>
      </c>
      <c r="AB16" s="115">
        <f>SUM('Zone wise Meter data'!DE39:DN39)</f>
        <v>0.25324187597655962</v>
      </c>
      <c r="AC16" s="115">
        <f>SUM('Zone wise Meter data'!DO39:ED39)</f>
        <v>0</v>
      </c>
      <c r="AD16" s="160">
        <f>Monthly_kWh!AW16</f>
        <v>2.2816000000000298</v>
      </c>
      <c r="AE16" s="160">
        <f>Monthly_kWh!DS16</f>
        <v>1.35721599999999</v>
      </c>
      <c r="AF16" s="160">
        <f>Monthly_kWh!EL16</f>
        <v>2.6869760000001901</v>
      </c>
      <c r="AG16" s="160">
        <f>Monthly_kWh!EK16</f>
        <v>0</v>
      </c>
      <c r="AH16" s="160">
        <f>Monthly_kWh!EN16</f>
        <v>2.0497919999998002</v>
      </c>
      <c r="AI16" s="160">
        <f>Monthly_kWh!EO16</f>
        <v>1.26790399999993</v>
      </c>
      <c r="AJ16" s="160">
        <f>Monthly_kWh!EM16</f>
        <v>4.01561600000014</v>
      </c>
      <c r="AK16" s="160">
        <f>Monthly_kWh!ER16</f>
        <v>2.7027729999999899</v>
      </c>
      <c r="AL16" s="160">
        <f>Monthly_kWh!EI16</f>
        <v>0.65491199999996796</v>
      </c>
      <c r="AM16" s="160">
        <f>Monthly_kWh!EJ16+Hourly_kWh!AS16</f>
        <v>6.8698999999963234E-2</v>
      </c>
      <c r="AN16" s="160">
        <f>Monthly_kWh!CX16+Hourly_kWh!CY16+Hourly_kWh!DC16+Hourly_kWh!DD16</f>
        <v>0.28322237499999869</v>
      </c>
      <c r="AO16" s="160">
        <f>SUM(Hourly_kWh!AI16:AQ16)</f>
        <v>7.8995031249995018E-2</v>
      </c>
      <c r="AP16" s="160">
        <f>SUM(Hourly_kWh!V16:AG16)</f>
        <v>3.6383999999998196E-2</v>
      </c>
      <c r="AQ16" s="160">
        <f>Monthly_kWh!DB16</f>
        <v>0.122470999999999</v>
      </c>
      <c r="AR16" s="160">
        <f>Monthly_kWh!CO16</f>
        <v>0.91181200000000495</v>
      </c>
      <c r="AS16" s="160">
        <f>Monthly_kWh!BJ16</f>
        <v>3.6479999999983201E-3</v>
      </c>
      <c r="AT16" s="160">
        <f>Monthly_kWh!U16</f>
        <v>0.50024000000000501</v>
      </c>
      <c r="AU16" s="160">
        <f>Monthly_kWh!V16</f>
        <v>0.1235</v>
      </c>
      <c r="AV16" s="160">
        <f>Monthly_kWh!W16</f>
        <v>6.6244000000001094E-2</v>
      </c>
      <c r="AW16" s="160">
        <f>Monthly_kWh!X16</f>
        <v>6.5117999999999995E-2</v>
      </c>
      <c r="AX16" s="160">
        <f>Monthly_kWh!Y16</f>
        <v>0</v>
      </c>
      <c r="AY16" s="160">
        <f>Monthly_kWh!Z16</f>
        <v>4.2009000000000199E-2</v>
      </c>
      <c r="AZ16" s="160">
        <f>Monthly_kWh!AA16</f>
        <v>0.114163999999999</v>
      </c>
      <c r="BA16" s="160">
        <f>Monthly_kWh!AB16</f>
        <v>0.168626</v>
      </c>
      <c r="BB16" s="160">
        <f>Monthly_kWh!AC16</f>
        <v>0.124897999999998</v>
      </c>
      <c r="BC16" s="160">
        <f>Monthly_kWh!AD16</f>
        <v>6.7729000000000802E-2</v>
      </c>
      <c r="BD16" s="160">
        <f>Monthly_kWh!AE16</f>
        <v>0.1476285</v>
      </c>
      <c r="BE16" s="160">
        <f>Monthly_kWh!AF16</f>
        <v>0</v>
      </c>
      <c r="BF16" s="160">
        <f>Monthly_kWh!AG16</f>
        <v>1.49954999999999E-2</v>
      </c>
      <c r="BG16" s="160">
        <f>Monthly_kWh!AH16</f>
        <v>1.9634239999999701</v>
      </c>
      <c r="BH16" s="160">
        <f>Monthly_kWh!AI16</f>
        <v>0</v>
      </c>
      <c r="BI16" s="160">
        <f>Monthly_kWh!AJ16</f>
        <v>4.6810999999999901E-2</v>
      </c>
      <c r="BJ16" s="160">
        <f>Monthly_kWh!AK16</f>
        <v>0</v>
      </c>
      <c r="BK16" s="160">
        <f>Monthly_kWh!AL16</f>
        <v>0.33282399999998802</v>
      </c>
      <c r="BL16" s="160">
        <f>Monthly_kWh!AM16</f>
        <v>0.49547200000000702</v>
      </c>
      <c r="BM16" s="160">
        <f>Monthly_kWh!AN16</f>
        <v>0.37184800000000001</v>
      </c>
      <c r="BN16" s="160">
        <f>Monthly_kWh!AO16</f>
        <v>0.15398999999999999</v>
      </c>
      <c r="BO16" s="160">
        <f>Monthly_kWh!AP16</f>
        <v>8.5746000000000294E-2</v>
      </c>
      <c r="BP16" s="160">
        <f>Monthly_kWh!AQ16</f>
        <v>0.32459200000000299</v>
      </c>
      <c r="BQ16" s="160">
        <f>Monthly_kWh!AR16</f>
        <v>5.5862080000000001</v>
      </c>
      <c r="BR16" s="160">
        <f>Monthly_kWh!AS16</f>
        <v>8.3349499999999702E-2</v>
      </c>
      <c r="BS16" s="160">
        <f>Monthly_kWh!AT16</f>
        <v>0</v>
      </c>
      <c r="BT16" s="160">
        <f>Monthly_kWh!AU16</f>
        <v>4.3475999999998301E-2</v>
      </c>
      <c r="BU16" s="160">
        <f>Monthly_kWh!AV16</f>
        <v>3.85685000000002E-2</v>
      </c>
      <c r="BV16" s="160">
        <f>Monthly_kWh!AW16</f>
        <v>2.2816000000000298</v>
      </c>
      <c r="BW16" s="160">
        <f>Monthly_kWh!AX16</f>
        <v>0</v>
      </c>
      <c r="BX16" s="160">
        <f>Monthly_kWh!AY16</f>
        <v>7.8362499999999904E-2</v>
      </c>
      <c r="BY16" s="160">
        <f>Monthly_kWh!AZ16</f>
        <v>1.0500000000135399E-5</v>
      </c>
      <c r="BZ16" s="160">
        <f>Monthly_kWh!BA16</f>
        <v>0</v>
      </c>
      <c r="CA16" s="160">
        <f>Monthly_kWh!BB16</f>
        <v>0</v>
      </c>
      <c r="CB16" s="160">
        <f>Monthly_kWh!BC16</f>
        <v>0</v>
      </c>
      <c r="CC16" s="160">
        <f>Monthly_kWh!BD16</f>
        <v>3.3948759765625E-3</v>
      </c>
      <c r="CD16" s="160">
        <f>Monthly_kWh!BE16</f>
        <v>0.11700000000000101</v>
      </c>
      <c r="CE16" s="160">
        <f>Monthly_kWh!BF16</f>
        <v>0</v>
      </c>
      <c r="CF16" s="160">
        <f>Monthly_kWh!BG16</f>
        <v>2.2707999999999701E-2</v>
      </c>
      <c r="CG16" s="160">
        <f>Monthly_kWh!BH16</f>
        <v>1.65739999999985E-2</v>
      </c>
      <c r="CH16" s="160">
        <f>Monthly_kWh!BI16</f>
        <v>2.4786880000000302</v>
      </c>
      <c r="CI16" s="160">
        <f>Monthly_kWh!BJ16</f>
        <v>3.6479999999983201E-3</v>
      </c>
      <c r="CJ16" s="160">
        <f>Monthly_kWh!BK16</f>
        <v>0.19056300000000001</v>
      </c>
      <c r="CK16" s="160">
        <f>Monthly_kWh!BL16</f>
        <v>1.3400000000274301E-4</v>
      </c>
      <c r="CL16" s="160">
        <f>Monthly_kWh!BM16</f>
        <v>2.1505280000000102</v>
      </c>
      <c r="CM16" s="160">
        <f>Monthly_kWh!BN16</f>
        <v>0</v>
      </c>
      <c r="CN16" s="160">
        <f>Monthly_kWh!BO16</f>
        <v>0.44059200000000098</v>
      </c>
      <c r="CO16" s="160">
        <f>Monthly_kWh!BP16</f>
        <v>0</v>
      </c>
      <c r="CP16" s="160">
        <f>Monthly_kWh!BQ16</f>
        <v>0</v>
      </c>
      <c r="CQ16" s="160">
        <f>Monthly_kWh!BR16</f>
        <v>0</v>
      </c>
      <c r="CR16" s="160">
        <f>Monthly_kWh!BS16</f>
        <v>0</v>
      </c>
      <c r="CS16" s="160">
        <f>Monthly_kWh!BT16</f>
        <v>0.12801600000000199</v>
      </c>
      <c r="CT16" s="160">
        <f>Monthly_kWh!BU16</f>
        <v>0</v>
      </c>
      <c r="CU16" s="160">
        <f>Monthly_kWh!BV16</f>
        <v>0</v>
      </c>
      <c r="CV16" s="160">
        <f>Monthly_kWh!BW16</f>
        <v>0</v>
      </c>
      <c r="CW16" s="160">
        <f>Monthly_kWh!BX16</f>
        <v>0</v>
      </c>
      <c r="CX16" s="160">
        <f>Monthly_kWh!BY16</f>
        <v>0</v>
      </c>
      <c r="CY16" s="160">
        <f>Monthly_kWh!BZ16</f>
        <v>1.0172479999999999</v>
      </c>
      <c r="CZ16" s="160">
        <f>Monthly_kWh!CA16</f>
        <v>0.40659200000000301</v>
      </c>
      <c r="DA16" s="160">
        <f>Monthly_kWh!CB16</f>
        <v>0</v>
      </c>
      <c r="DB16" s="160">
        <f>Monthly_kWh!CC16</f>
        <v>0</v>
      </c>
      <c r="DC16" s="160">
        <f>Monthly_kWh!CD16</f>
        <v>0</v>
      </c>
      <c r="DD16" s="160">
        <f>Monthly_kWh!CE16</f>
        <v>0</v>
      </c>
      <c r="DE16" s="160">
        <f>Monthly_kWh!CF16</f>
        <v>3.7670999999999601E-2</v>
      </c>
      <c r="DF16" s="160">
        <f>Monthly_kWh!CG16</f>
        <v>0</v>
      </c>
      <c r="DG16" s="160">
        <f>Monthly_kWh!CH16</f>
        <v>3.5724999999997602E-4</v>
      </c>
      <c r="DH16" s="160">
        <f>Monthly_kWh!CI16</f>
        <v>0</v>
      </c>
      <c r="DI16" s="160">
        <f>Monthly_kWh!CJ16</f>
        <v>0</v>
      </c>
      <c r="DJ16" s="160">
        <f>Monthly_kWh!CK16</f>
        <v>0</v>
      </c>
      <c r="DK16" s="160">
        <f>Monthly_kWh!CL16</f>
        <v>4.8593999999997799E-2</v>
      </c>
      <c r="DL16" s="160">
        <f>Monthly_kWh!CM16</f>
        <v>5.1388159999999097</v>
      </c>
      <c r="DM16" s="160">
        <f>Monthly_kWh!CN16</f>
        <v>5.0582999999999601E-2</v>
      </c>
      <c r="DN16" s="160">
        <f>Monthly_kWh!CO16</f>
        <v>0.91181200000000495</v>
      </c>
      <c r="DO16" s="160">
        <f>Monthly_kWh!CP16</f>
        <v>0</v>
      </c>
      <c r="DP16" s="160">
        <f>Monthly_kWh!CQ16</f>
        <v>0</v>
      </c>
      <c r="DQ16" s="160">
        <f>Monthly_kWh!CR16</f>
        <v>0.126633</v>
      </c>
      <c r="DR16" s="160">
        <f>Monthly_kWh!CS16</f>
        <v>0</v>
      </c>
      <c r="DS16" s="160">
        <f>Monthly_kWh!CT16</f>
        <v>0.20466400000000801</v>
      </c>
      <c r="DT16" s="160">
        <f>Monthly_kWh!CU16</f>
        <v>0</v>
      </c>
      <c r="DU16" s="160">
        <f>Monthly_kWh!CV16</f>
        <v>2.03140000000002E-2</v>
      </c>
      <c r="DV16" s="160">
        <f>Monthly_kWh!CW16</f>
        <v>6.9396000000004704E-2</v>
      </c>
      <c r="DW16" s="160">
        <f>Monthly_kWh!CX16</f>
        <v>0.27296799999999899</v>
      </c>
      <c r="DX16" s="160">
        <f>Monthly_kWh!CY16</f>
        <v>1.8402000000000002E-2</v>
      </c>
      <c r="DY16" s="160">
        <f>Monthly_kWh!CZ16</f>
        <v>2.20395E-2</v>
      </c>
      <c r="DZ16" s="160">
        <f>Monthly_kWh!DA16</f>
        <v>0.25367599999999901</v>
      </c>
      <c r="EA16" s="160">
        <f>Monthly_kWh!DB16</f>
        <v>0.122470999999999</v>
      </c>
      <c r="EB16" s="160">
        <f>Monthly_kWh!DC16</f>
        <v>0.21551600000000101</v>
      </c>
      <c r="EC16" s="160">
        <f>Monthly_kWh!DD16</f>
        <v>2.6654125000000001E-2</v>
      </c>
      <c r="ED16" s="160">
        <f>Monthly_kWh!DE16</f>
        <v>0</v>
      </c>
      <c r="EE16" s="160">
        <f>Monthly_kWh!DF16</f>
        <v>0</v>
      </c>
      <c r="EF16" s="160">
        <f>Monthly_kWh!DG16</f>
        <v>1.7238499999999501E-2</v>
      </c>
      <c r="EG16" s="160">
        <f>Monthly_kWh!DH16</f>
        <v>1.04654999999996E-2</v>
      </c>
      <c r="EH16" s="160">
        <f>Monthly_kWh!DI16</f>
        <v>5.0418559999999397</v>
      </c>
      <c r="EI16" s="160">
        <f>Monthly_kWh!DJ16</f>
        <v>0</v>
      </c>
      <c r="EJ16" s="160">
        <f>Monthly_kWh!DK16</f>
        <v>6.5281999999999799E-2</v>
      </c>
      <c r="EK16" s="160">
        <f>Monthly_kWh!DL16</f>
        <v>1.9223999999999498E-2</v>
      </c>
      <c r="EL16" s="160">
        <f>Monthly_kWh!DM16</f>
        <v>4.4004000000001001E-2</v>
      </c>
      <c r="EM16" s="160">
        <f>Monthly_kWh!DN16</f>
        <v>9.2443750000004198E-4</v>
      </c>
      <c r="EN16" s="160">
        <f>Monthly_kWh!DO16</f>
        <v>0.75497599999999898</v>
      </c>
      <c r="EO16" s="160">
        <f>Monthly_kWh!DP16</f>
        <v>3.4234500000000202E-2</v>
      </c>
      <c r="EP16" s="160">
        <f>Monthly_kWh!DQ16</f>
        <v>0</v>
      </c>
      <c r="EQ16" s="160">
        <f>Monthly_kWh!DR16</f>
        <v>0</v>
      </c>
      <c r="ER16" s="160">
        <f>Monthly_kWh!DS16</f>
        <v>1.35721599999999</v>
      </c>
      <c r="ES16" s="160">
        <f>Monthly_kWh!DT16</f>
        <v>0</v>
      </c>
      <c r="ET16" s="160">
        <f>Monthly_kWh!DU16</f>
        <v>7.40799999999986E-3</v>
      </c>
      <c r="EU16" s="160">
        <f>Monthly_kWh!DV16</f>
        <v>8.3342500000003206E-3</v>
      </c>
      <c r="EV16" s="160">
        <f>Monthly_kWh!DW16</f>
        <v>0</v>
      </c>
      <c r="EW16" s="160">
        <f>Monthly_kWh!DX16</f>
        <v>0.189635</v>
      </c>
      <c r="EX16" s="160">
        <f>Monthly_kWh!DY16</f>
        <v>4.0622499999999903E-3</v>
      </c>
      <c r="EY16" s="160">
        <f>Monthly_kWh!DZ16</f>
        <v>0.10571800000000001</v>
      </c>
      <c r="EZ16" s="160">
        <f>Monthly_kWh!EA16</f>
        <v>0</v>
      </c>
      <c r="FA16" s="160">
        <f>Monthly_kWh!EB16</f>
        <v>1.3264319999999801</v>
      </c>
      <c r="FB16" s="160">
        <f>Monthly_kWh!EC16</f>
        <v>0.69470400000000199</v>
      </c>
      <c r="FC16" s="160">
        <f>Monthly_kWh!ED16</f>
        <v>3.1684999999999998E-2</v>
      </c>
      <c r="FD16" s="160">
        <f>Monthly_kWh!EE16</f>
        <v>0.1402525</v>
      </c>
      <c r="FE16" s="160">
        <f>Monthly_kWh!EF16</f>
        <v>14.112642999999499</v>
      </c>
      <c r="FF16" s="160">
        <f>Monthly_kWh!EG16</f>
        <v>0</v>
      </c>
      <c r="FG16" s="160">
        <f>Monthly_kWh!EH16</f>
        <v>0.68019200000003399</v>
      </c>
      <c r="FH16" s="160">
        <f>Monthly_kWh!EI16</f>
        <v>0.65491199999996796</v>
      </c>
      <c r="FI16" s="160">
        <f>Monthly_kWh!EJ16</f>
        <v>6.5215999999963997E-2</v>
      </c>
      <c r="FJ16" s="160">
        <f>Monthly_kWh!EK16</f>
        <v>0</v>
      </c>
      <c r="FK16" s="160">
        <f>Monthly_kWh!EL16</f>
        <v>2.6869760000001901</v>
      </c>
      <c r="FL16" s="160">
        <f>Monthly_kWh!EM16</f>
        <v>4.01561600000014</v>
      </c>
      <c r="FM16" s="160">
        <f>Monthly_kWh!EN16</f>
        <v>2.0497919999998002</v>
      </c>
      <c r="FN16" s="160">
        <f>Monthly_kWh!EO16</f>
        <v>1.26790399999993</v>
      </c>
      <c r="FO16" s="160">
        <f>Monthly_kWh!EP16</f>
        <v>0</v>
      </c>
      <c r="FP16" s="160">
        <f>Monthly_kWh!ER16</f>
        <v>2.7027729999999899</v>
      </c>
      <c r="FQ16" s="160">
        <f>Monthly_kWh!EQ16</f>
        <v>0</v>
      </c>
      <c r="FR16" s="160">
        <f>Monthly_kWh!M16</f>
        <v>0</v>
      </c>
      <c r="FS16" s="160">
        <f>Monthly_kWh!G16</f>
        <v>0</v>
      </c>
      <c r="FT16" s="160">
        <f>Monthly_kWh!C16</f>
        <v>7.8076540000000696</v>
      </c>
      <c r="FU16" s="160">
        <f>Monthly_kWh!D16</f>
        <v>8.1797350000000506</v>
      </c>
      <c r="FV16" s="160">
        <f>Monthly_kWh!E16</f>
        <v>6.8704379999999796</v>
      </c>
      <c r="FW16" s="160">
        <f>Monthly_kWh!F16</f>
        <v>0</v>
      </c>
      <c r="FX16" s="160">
        <f>Monthly_kWh!Q16</f>
        <v>7.63699199999974</v>
      </c>
      <c r="FY16" s="160">
        <f>Monthly_kWh!R16</f>
        <v>7.9974399999991901</v>
      </c>
      <c r="FZ16" s="160">
        <f>Monthly_kWh!S16</f>
        <v>6.6954240000004601</v>
      </c>
      <c r="GA16" s="160">
        <f>Monthly_kWh!T16</f>
        <v>0</v>
      </c>
      <c r="GB16" s="160">
        <f t="shared" si="0"/>
        <v>34.62685299999989</v>
      </c>
      <c r="GC16" s="160">
        <f t="shared" si="1"/>
        <v>32.030050999999361</v>
      </c>
      <c r="GD16" s="160">
        <f t="shared" si="2"/>
        <v>2.5968020000005296</v>
      </c>
      <c r="GE16" s="159">
        <f t="shared" si="3"/>
        <v>7.4993878305964962E-2</v>
      </c>
    </row>
    <row r="17" spans="2:187" s="150" customFormat="1" ht="32.25" customHeight="1" x14ac:dyDescent="0.25">
      <c r="B17" s="168">
        <v>11</v>
      </c>
      <c r="C17" s="160">
        <f>Monthly_kWh!H17</f>
        <v>7.8497999999999707E-2</v>
      </c>
      <c r="D17" s="160">
        <f>Monthly_kWh!I17</f>
        <v>7.9806999999998907E-2</v>
      </c>
      <c r="E17" s="160">
        <f>Monthly_kWh!J17</f>
        <v>2.5794999999999998E-2</v>
      </c>
      <c r="F17" s="160">
        <f>Monthly_kWh!K17</f>
        <v>0</v>
      </c>
      <c r="G17" s="160">
        <f>Monthly_kWh!L17</f>
        <v>3.0134000000000299E-2</v>
      </c>
      <c r="H17" s="160">
        <f>Monthly_kWh!U17</f>
        <v>0.49491999999999298</v>
      </c>
      <c r="I17" s="160">
        <f>Monthly_kWh!P17</f>
        <v>0.33801299999999701</v>
      </c>
      <c r="J17" s="160">
        <f>Monthly_kWh!N17</f>
        <v>5.1781140000000496</v>
      </c>
      <c r="K17" s="160">
        <f>Monthly_kWh!O17</f>
        <v>5.0226169999999701</v>
      </c>
      <c r="L17" s="160">
        <f>Monthly_kWh!B17</f>
        <v>26.819749999999999</v>
      </c>
      <c r="M17" s="160">
        <f>Monthly_kWh!AR17</f>
        <v>5.5864640000000403</v>
      </c>
      <c r="N17" s="160">
        <f>Monthly_kWh!BM17</f>
        <v>2.1904319999999902</v>
      </c>
      <c r="O17" s="160">
        <f>Monthly_kWh!CM17</f>
        <v>5.6444160000000902</v>
      </c>
      <c r="P17" s="160">
        <f>Monthly_kWh!DI17</f>
        <v>5.1646080000000403</v>
      </c>
      <c r="Q17" s="160">
        <f>Monthly_kWh!EF17</f>
        <v>16.793402999999699</v>
      </c>
      <c r="R17" s="119">
        <f>SUM('Zone wise Meter data'!O40:AF40)</f>
        <v>1.4938668750000019</v>
      </c>
      <c r="S17" s="115">
        <f>SUM('Zone wise Meter data'!AG40:AW40)</f>
        <v>2.5838520000000007</v>
      </c>
      <c r="T17" s="115">
        <f>SUM('Zone wise Meter data'!AX40:BA40)</f>
        <v>1.5009655000000788</v>
      </c>
      <c r="U17" s="115">
        <f>SUM('Zone wise Meter data'!BB40:BC40)</f>
        <v>3.6462719999998998</v>
      </c>
      <c r="V17" s="115">
        <f>SUM('Zone wise Meter data'!BD40:BL40)</f>
        <v>16.93211500000028</v>
      </c>
      <c r="W17" s="115">
        <f>SUM('Zone wise Meter data'!BM40:BX40)</f>
        <v>0.49772700000000047</v>
      </c>
      <c r="X17" s="115">
        <f>SUM('Zone wise Meter data'!BY40:CE40)</f>
        <v>1.9004499999999692E-2</v>
      </c>
      <c r="Y17" s="115">
        <f>SUM('Zone wise Meter data'!CF40:CK40)</f>
        <v>2.0684829687499988</v>
      </c>
      <c r="Z17" s="115">
        <f>SUM('Zone wise Meter data'!CL40:CO40)</f>
        <v>2.0622879999999939</v>
      </c>
      <c r="AA17" s="115">
        <f>SUM('Zone wise Meter data'!CP40:DD40)</f>
        <v>1.3662807812500228</v>
      </c>
      <c r="AB17" s="115">
        <f>SUM('Zone wise Meter data'!DE40:DN40)</f>
        <v>0.29408757812500325</v>
      </c>
      <c r="AC17" s="115">
        <f>SUM('Zone wise Meter data'!DO40:ED40)</f>
        <v>0</v>
      </c>
      <c r="AD17" s="160">
        <f>Monthly_kWh!AW17</f>
        <v>2.2177919999999198</v>
      </c>
      <c r="AE17" s="160">
        <f>Monthly_kWh!DS17</f>
        <v>1.42847999999998</v>
      </c>
      <c r="AF17" s="160">
        <f>Monthly_kWh!EL17</f>
        <v>3.9585279999998901</v>
      </c>
      <c r="AG17" s="160">
        <f>Monthly_kWh!EK17</f>
        <v>0</v>
      </c>
      <c r="AH17" s="160">
        <f>Monthly_kWh!EN17</f>
        <v>3.4649600000002501</v>
      </c>
      <c r="AI17" s="160">
        <f>Monthly_kWh!EO17</f>
        <v>2.1363200000000702</v>
      </c>
      <c r="AJ17" s="160">
        <f>Monthly_kWh!EM17</f>
        <v>2.57868800000006</v>
      </c>
      <c r="AK17" s="160">
        <f>Monthly_kWh!ER17</f>
        <v>3.30655400000001</v>
      </c>
      <c r="AL17" s="160">
        <f>Monthly_kWh!EI17</f>
        <v>0.75366400000007205</v>
      </c>
      <c r="AM17" s="160">
        <f>Monthly_kWh!EJ17+Hourly_kWh!AS17</f>
        <v>7.5109000000020701E-2</v>
      </c>
      <c r="AN17" s="160">
        <f>Monthly_kWh!CX17+Hourly_kWh!CY17+Hourly_kWh!DC17+Hourly_kWh!DD17</f>
        <v>0.29029499999999997</v>
      </c>
      <c r="AO17" s="160">
        <f>SUM(Hourly_kWh!AI17:AQ17)</f>
        <v>7.5952499999993706E-2</v>
      </c>
      <c r="AP17" s="160">
        <f>SUM(Hourly_kWh!V17:AG17)</f>
        <v>3.8105000000000722E-2</v>
      </c>
      <c r="AQ17" s="160">
        <f>Monthly_kWh!DB17</f>
        <v>0.13269300000000001</v>
      </c>
      <c r="AR17" s="160">
        <f>Monthly_kWh!CO17</f>
        <v>1.067572</v>
      </c>
      <c r="AS17" s="160">
        <f>Monthly_kWh!BJ17</f>
        <v>7.3400000000134501E-4</v>
      </c>
      <c r="AT17" s="160">
        <f>Monthly_kWh!U17</f>
        <v>0.49491999999999298</v>
      </c>
      <c r="AU17" s="160">
        <f>Monthly_kWh!V17</f>
        <v>0.12466400000000299</v>
      </c>
      <c r="AV17" s="160">
        <f>Monthly_kWh!W17</f>
        <v>6.8236999999999895E-2</v>
      </c>
      <c r="AW17" s="160">
        <f>Monthly_kWh!X17</f>
        <v>7.0050999999999405E-2</v>
      </c>
      <c r="AX17" s="160">
        <f>Monthly_kWh!Y17</f>
        <v>0</v>
      </c>
      <c r="AY17" s="160">
        <f>Monthly_kWh!Z17</f>
        <v>4.21820000000004E-2</v>
      </c>
      <c r="AZ17" s="160">
        <f>Monthly_kWh!AA17</f>
        <v>0.108556</v>
      </c>
      <c r="BA17" s="160">
        <f>Monthly_kWh!AB17</f>
        <v>0.16894799999999999</v>
      </c>
      <c r="BB17" s="160">
        <f>Monthly_kWh!AC17</f>
        <v>0.14704800000000201</v>
      </c>
      <c r="BC17" s="160">
        <f>Monthly_kWh!AD17</f>
        <v>8.0139000000000002E-2</v>
      </c>
      <c r="BD17" s="160">
        <f>Monthly_kWh!AE17</f>
        <v>0.1584795</v>
      </c>
      <c r="BE17" s="160">
        <f>Monthly_kWh!AF17</f>
        <v>0</v>
      </c>
      <c r="BF17" s="160">
        <f>Monthly_kWh!AG17</f>
        <v>1.5750499999999799E-2</v>
      </c>
      <c r="BG17" s="160">
        <f>Monthly_kWh!AH17</f>
        <v>1.9830079999999799</v>
      </c>
      <c r="BH17" s="160">
        <f>Monthly_kWh!AI17</f>
        <v>0</v>
      </c>
      <c r="BI17" s="160">
        <f>Monthly_kWh!AJ17</f>
        <v>4.7315500000000697E-2</v>
      </c>
      <c r="BJ17" s="160">
        <f>Monthly_kWh!AK17</f>
        <v>0</v>
      </c>
      <c r="BK17" s="160">
        <f>Monthly_kWh!AL17</f>
        <v>0.33546400000000198</v>
      </c>
      <c r="BL17" s="160">
        <f>Monthly_kWh!AM17</f>
        <v>0.48411199999999599</v>
      </c>
      <c r="BM17" s="160">
        <f>Monthly_kWh!AN17</f>
        <v>0.39818400000000098</v>
      </c>
      <c r="BN17" s="160">
        <f>Monthly_kWh!AO17</f>
        <v>0.141343999999997</v>
      </c>
      <c r="BO17" s="160">
        <f>Monthly_kWh!AP17</f>
        <v>8.4351999999999094E-2</v>
      </c>
      <c r="BP17" s="160">
        <f>Monthly_kWh!AQ17</f>
        <v>0.33744800000000202</v>
      </c>
      <c r="BQ17" s="160">
        <f>Monthly_kWh!AR17</f>
        <v>5.5864640000000403</v>
      </c>
      <c r="BR17" s="160">
        <f>Monthly_kWh!AS17</f>
        <v>8.6213500000000401E-2</v>
      </c>
      <c r="BS17" s="160">
        <f>Monthly_kWh!AT17</f>
        <v>0</v>
      </c>
      <c r="BT17" s="160">
        <f>Monthly_kWh!AU17</f>
        <v>4.3928000000001098E-2</v>
      </c>
      <c r="BU17" s="160">
        <f>Monthly_kWh!AV17</f>
        <v>2.9283000000000399E-2</v>
      </c>
      <c r="BV17" s="160">
        <f>Monthly_kWh!AW17</f>
        <v>2.2177919999999198</v>
      </c>
      <c r="BW17" s="160">
        <f>Monthly_kWh!AX17</f>
        <v>0</v>
      </c>
      <c r="BX17" s="160">
        <f>Monthly_kWh!AY17</f>
        <v>0.106562</v>
      </c>
      <c r="BY17" s="160">
        <f>Monthly_kWh!AZ17</f>
        <v>1.49999999994321E-5</v>
      </c>
      <c r="BZ17" s="160">
        <f>Monthly_kWh!BA17</f>
        <v>0</v>
      </c>
      <c r="CA17" s="160">
        <f>Monthly_kWh!BB17</f>
        <v>0</v>
      </c>
      <c r="CB17" s="160">
        <f>Monthly_kWh!BC17</f>
        <v>0</v>
      </c>
      <c r="CC17" s="160">
        <f>Monthly_kWh!BD17</f>
        <v>3.6455781249999999E-3</v>
      </c>
      <c r="CD17" s="160">
        <f>Monthly_kWh!BE17</f>
        <v>0.141234000000001</v>
      </c>
      <c r="CE17" s="160">
        <f>Monthly_kWh!BF17</f>
        <v>0</v>
      </c>
      <c r="CF17" s="160">
        <f>Monthly_kWh!BG17</f>
        <v>2.2771000000000499E-2</v>
      </c>
      <c r="CG17" s="160">
        <f>Monthly_kWh!BH17</f>
        <v>6.6562000000001106E-2</v>
      </c>
      <c r="CH17" s="160">
        <f>Monthly_kWh!BI17</f>
        <v>2.5540799999999999</v>
      </c>
      <c r="CI17" s="160">
        <f>Monthly_kWh!BJ17</f>
        <v>7.3400000000134501E-4</v>
      </c>
      <c r="CJ17" s="160">
        <f>Monthly_kWh!BK17</f>
        <v>7.1506000000000305E-2</v>
      </c>
      <c r="CK17" s="160">
        <f>Monthly_kWh!BL17</f>
        <v>1.05999999998829E-4</v>
      </c>
      <c r="CL17" s="160">
        <f>Monthly_kWh!BM17</f>
        <v>2.1904319999999902</v>
      </c>
      <c r="CM17" s="160">
        <f>Monthly_kWh!BN17</f>
        <v>0</v>
      </c>
      <c r="CN17" s="160">
        <f>Monthly_kWh!BO17</f>
        <v>0.38217499999999999</v>
      </c>
      <c r="CO17" s="160">
        <f>Monthly_kWh!BP17</f>
        <v>0</v>
      </c>
      <c r="CP17" s="160">
        <f>Monthly_kWh!BQ17</f>
        <v>0</v>
      </c>
      <c r="CQ17" s="160">
        <f>Monthly_kWh!BR17</f>
        <v>0</v>
      </c>
      <c r="CR17" s="160">
        <f>Monthly_kWh!BS17</f>
        <v>0</v>
      </c>
      <c r="CS17" s="160">
        <f>Monthly_kWh!BT17</f>
        <v>0.232100000000003</v>
      </c>
      <c r="CT17" s="160">
        <f>Monthly_kWh!BU17</f>
        <v>0</v>
      </c>
      <c r="CU17" s="160">
        <f>Monthly_kWh!BV17</f>
        <v>0</v>
      </c>
      <c r="CV17" s="160">
        <f>Monthly_kWh!BW17</f>
        <v>0</v>
      </c>
      <c r="CW17" s="160">
        <f>Monthly_kWh!BX17</f>
        <v>0</v>
      </c>
      <c r="CX17" s="160">
        <f>Monthly_kWh!BY17</f>
        <v>0</v>
      </c>
      <c r="CY17" s="160">
        <f>Monthly_kWh!BZ17</f>
        <v>0.97012000000000898</v>
      </c>
      <c r="CZ17" s="160">
        <f>Monthly_kWh!CA17</f>
        <v>0.41369599999998702</v>
      </c>
      <c r="DA17" s="160">
        <f>Monthly_kWh!CB17</f>
        <v>0</v>
      </c>
      <c r="DB17" s="160">
        <f>Monthly_kWh!CC17</f>
        <v>0</v>
      </c>
      <c r="DC17" s="160">
        <f>Monthly_kWh!CD17</f>
        <v>0</v>
      </c>
      <c r="DD17" s="160">
        <f>Monthly_kWh!CE17</f>
        <v>0</v>
      </c>
      <c r="DE17" s="160">
        <f>Monthly_kWh!CF17</f>
        <v>4.4689E-2</v>
      </c>
      <c r="DF17" s="160">
        <f>Monthly_kWh!CG17</f>
        <v>0</v>
      </c>
      <c r="DG17" s="160">
        <f>Monthly_kWh!CH17</f>
        <v>4.2999999999793197E-5</v>
      </c>
      <c r="DH17" s="160">
        <f>Monthly_kWh!CI17</f>
        <v>0</v>
      </c>
      <c r="DI17" s="160">
        <f>Monthly_kWh!CJ17</f>
        <v>0</v>
      </c>
      <c r="DJ17" s="160">
        <f>Monthly_kWh!CK17</f>
        <v>0</v>
      </c>
      <c r="DK17" s="160">
        <f>Monthly_kWh!CL17</f>
        <v>2.6921999999998999E-2</v>
      </c>
      <c r="DL17" s="160">
        <f>Monthly_kWh!CM17</f>
        <v>5.6444160000000902</v>
      </c>
      <c r="DM17" s="160">
        <f>Monthly_kWh!CN17</f>
        <v>4.6091500000000202E-2</v>
      </c>
      <c r="DN17" s="160">
        <f>Monthly_kWh!CO17</f>
        <v>1.067572</v>
      </c>
      <c r="DO17" s="160">
        <f>Monthly_kWh!CP17</f>
        <v>0</v>
      </c>
      <c r="DP17" s="160">
        <f>Monthly_kWh!CQ17</f>
        <v>0</v>
      </c>
      <c r="DQ17" s="160">
        <f>Monthly_kWh!CR17</f>
        <v>0.193328000000001</v>
      </c>
      <c r="DR17" s="160">
        <f>Monthly_kWh!CS17</f>
        <v>0</v>
      </c>
      <c r="DS17" s="160">
        <f>Monthly_kWh!CT17</f>
        <v>0.201328000000004</v>
      </c>
      <c r="DT17" s="160">
        <f>Monthly_kWh!CU17</f>
        <v>0</v>
      </c>
      <c r="DU17" s="160">
        <f>Monthly_kWh!CV17</f>
        <v>1.8961499999999899E-2</v>
      </c>
      <c r="DV17" s="160">
        <f>Monthly_kWh!CW17</f>
        <v>6.1664000000000399E-2</v>
      </c>
      <c r="DW17" s="160">
        <f>Monthly_kWh!CX17</f>
        <v>0.28118799999999999</v>
      </c>
      <c r="DX17" s="160">
        <f>Monthly_kWh!CY17</f>
        <v>1.94619999999999E-2</v>
      </c>
      <c r="DY17" s="160">
        <f>Monthly_kWh!CZ17</f>
        <v>2.5781500000000301E-2</v>
      </c>
      <c r="DZ17" s="160">
        <f>Monthly_kWh!DA17</f>
        <v>0.2868</v>
      </c>
      <c r="EA17" s="160">
        <f>Monthly_kWh!DB17</f>
        <v>0.13269300000000001</v>
      </c>
      <c r="EB17" s="160">
        <f>Monthly_kWh!DC17</f>
        <v>0.204675999999999</v>
      </c>
      <c r="EC17" s="160">
        <f>Monthly_kWh!DD17</f>
        <v>3.2791375000000102E-2</v>
      </c>
      <c r="ED17" s="160">
        <f>Monthly_kWh!DE17</f>
        <v>0</v>
      </c>
      <c r="EE17" s="160">
        <f>Monthly_kWh!DF17</f>
        <v>0</v>
      </c>
      <c r="EF17" s="160">
        <f>Monthly_kWh!DG17</f>
        <v>2.8106499999999798E-2</v>
      </c>
      <c r="EG17" s="160">
        <f>Monthly_kWh!DH17</f>
        <v>1.03335000000007E-2</v>
      </c>
      <c r="EH17" s="160">
        <f>Monthly_kWh!DI17</f>
        <v>5.1646080000000403</v>
      </c>
      <c r="EI17" s="160">
        <f>Monthly_kWh!DJ17</f>
        <v>0</v>
      </c>
      <c r="EJ17" s="160">
        <f>Monthly_kWh!DK17</f>
        <v>6.4949999999999605E-2</v>
      </c>
      <c r="EK17" s="160">
        <f>Monthly_kWh!DL17</f>
        <v>1.9174000000001402E-2</v>
      </c>
      <c r="EL17" s="160">
        <f>Monthly_kWh!DM17</f>
        <v>4.3758999999999701E-2</v>
      </c>
      <c r="EM17" s="160">
        <f>Monthly_kWh!DN17</f>
        <v>4.3185000000000003E-3</v>
      </c>
      <c r="EN17" s="160">
        <f>Monthly_kWh!DO17</f>
        <v>0.72320000000002005</v>
      </c>
      <c r="EO17" s="160">
        <f>Monthly_kWh!DP17</f>
        <v>4.0278499999999398E-2</v>
      </c>
      <c r="EP17" s="160">
        <f>Monthly_kWh!DQ17</f>
        <v>0</v>
      </c>
      <c r="EQ17" s="160">
        <f>Monthly_kWh!DR17</f>
        <v>0</v>
      </c>
      <c r="ER17" s="160">
        <f>Monthly_kWh!DS17</f>
        <v>1.42847999999998</v>
      </c>
      <c r="ES17" s="160">
        <f>Monthly_kWh!DT17</f>
        <v>0.40787796874999999</v>
      </c>
      <c r="ET17" s="160">
        <f>Monthly_kWh!DU17</f>
        <v>1.56039999999997E-2</v>
      </c>
      <c r="EU17" s="160">
        <f>Monthly_kWh!DV17</f>
        <v>1.09049999999997E-2</v>
      </c>
      <c r="EV17" s="160">
        <f>Monthly_kWh!DW17</f>
        <v>0</v>
      </c>
      <c r="EW17" s="160">
        <f>Monthly_kWh!DX17</f>
        <v>0.22941700000000001</v>
      </c>
      <c r="EX17" s="160">
        <f>Monthly_kWh!DY17</f>
        <v>4.3732812500000299E-3</v>
      </c>
      <c r="EY17" s="160">
        <f>Monthly_kWh!DZ17</f>
        <v>0.105432</v>
      </c>
      <c r="EZ17" s="160">
        <f>Monthly_kWh!EA17</f>
        <v>0</v>
      </c>
      <c r="FA17" s="160">
        <f>Monthly_kWh!EB17</f>
        <v>1.364384</v>
      </c>
      <c r="FB17" s="160">
        <f>Monthly_kWh!EC17</f>
        <v>0.69790399999999397</v>
      </c>
      <c r="FC17" s="160">
        <f>Monthly_kWh!ED17</f>
        <v>3.1424500000000001E-2</v>
      </c>
      <c r="FD17" s="160">
        <f>Monthly_kWh!EE17</f>
        <v>0.13050999999999899</v>
      </c>
      <c r="FE17" s="160">
        <f>Monthly_kWh!EF17</f>
        <v>16.793402999999699</v>
      </c>
      <c r="FF17" s="160">
        <f>Monthly_kWh!EG17</f>
        <v>0</v>
      </c>
      <c r="FG17" s="160">
        <f>Monthly_kWh!EH17</f>
        <v>0.588351999999986</v>
      </c>
      <c r="FH17" s="160">
        <f>Monthly_kWh!EI17</f>
        <v>0.75366400000007205</v>
      </c>
      <c r="FI17" s="160">
        <f>Monthly_kWh!EJ17</f>
        <v>7.2736000000020298E-2</v>
      </c>
      <c r="FJ17" s="160">
        <f>Monthly_kWh!EK17</f>
        <v>0</v>
      </c>
      <c r="FK17" s="160">
        <f>Monthly_kWh!EL17</f>
        <v>3.9585279999998901</v>
      </c>
      <c r="FL17" s="160">
        <f>Monthly_kWh!EM17</f>
        <v>2.57868800000006</v>
      </c>
      <c r="FM17" s="160">
        <f>Monthly_kWh!EN17</f>
        <v>3.4649600000002501</v>
      </c>
      <c r="FN17" s="160">
        <f>Monthly_kWh!EO17</f>
        <v>2.1363200000000702</v>
      </c>
      <c r="FO17" s="160">
        <f>Monthly_kWh!EP17</f>
        <v>0</v>
      </c>
      <c r="FP17" s="160">
        <f>Monthly_kWh!ER17</f>
        <v>3.30655400000001</v>
      </c>
      <c r="FQ17" s="160">
        <f>Monthly_kWh!EQ17</f>
        <v>0</v>
      </c>
      <c r="FR17" s="160">
        <f>Monthly_kWh!M17</f>
        <v>0.26789300000000099</v>
      </c>
      <c r="FS17" s="160">
        <f>Monthly_kWh!G17</f>
        <v>0.26843800000000301</v>
      </c>
      <c r="FT17" s="160">
        <f>Monthly_kWh!C17</f>
        <v>9.2927229999999703</v>
      </c>
      <c r="FU17" s="160">
        <f>Monthly_kWh!D17</f>
        <v>9.7034579999999604</v>
      </c>
      <c r="FV17" s="160">
        <f>Monthly_kWh!E17</f>
        <v>8.1266660000000002</v>
      </c>
      <c r="FW17" s="160">
        <f>Monthly_kWh!F17</f>
        <v>0</v>
      </c>
      <c r="FX17" s="160">
        <f>Monthly_kWh!Q17</f>
        <v>9.0705920000000297</v>
      </c>
      <c r="FY17" s="160">
        <f>Monthly_kWh!R17</f>
        <v>9.4760959999985097</v>
      </c>
      <c r="FZ17" s="160">
        <f>Monthly_kWh!S17</f>
        <v>7.9334399999997904</v>
      </c>
      <c r="GA17" s="160">
        <f>Monthly_kWh!T17</f>
        <v>0</v>
      </c>
      <c r="GB17" s="160">
        <f t="shared" si="0"/>
        <v>38.067648000000005</v>
      </c>
      <c r="GC17" s="160">
        <f t="shared" si="1"/>
        <v>35.379322999999857</v>
      </c>
      <c r="GD17" s="160">
        <f t="shared" si="2"/>
        <v>2.6883250000001482</v>
      </c>
      <c r="GE17" s="159">
        <f t="shared" si="3"/>
        <v>7.0619676844761933E-2</v>
      </c>
    </row>
    <row r="18" spans="2:187" s="150" customFormat="1" ht="32.25" customHeight="1" x14ac:dyDescent="0.25">
      <c r="B18" s="168">
        <v>12</v>
      </c>
      <c r="C18" s="160">
        <f>Monthly_kWh!H18</f>
        <v>0.285030000000001</v>
      </c>
      <c r="D18" s="160">
        <f>Monthly_kWh!I18</f>
        <v>0.28819800000000101</v>
      </c>
      <c r="E18" s="160">
        <f>Monthly_kWh!J18</f>
        <v>9.3198999999999796E-2</v>
      </c>
      <c r="F18" s="160">
        <f>Monthly_kWh!K18</f>
        <v>0</v>
      </c>
      <c r="G18" s="160">
        <f>Monthly_kWh!L18</f>
        <v>3.4049999999999699E-2</v>
      </c>
      <c r="H18" s="160">
        <f>Monthly_kWh!U18</f>
        <v>0.51009600000000399</v>
      </c>
      <c r="I18" s="160">
        <f>Monthly_kWh!P18</f>
        <v>0.31290300000000598</v>
      </c>
      <c r="J18" s="160">
        <f>Monthly_kWh!N18</f>
        <v>4.6981940000000604</v>
      </c>
      <c r="K18" s="160">
        <f>Monthly_kWh!O18</f>
        <v>4.5344610000000802</v>
      </c>
      <c r="L18" s="160">
        <f>Monthly_kWh!B18</f>
        <v>28.837624999999999</v>
      </c>
      <c r="M18" s="160">
        <f>Monthly_kWh!AR18</f>
        <v>6.1035199999999499</v>
      </c>
      <c r="N18" s="160">
        <f>Monthly_kWh!BM18</f>
        <v>2.4038400000000002</v>
      </c>
      <c r="O18" s="160">
        <f>Monthly_kWh!CM18</f>
        <v>5.7392640000000501</v>
      </c>
      <c r="P18" s="160">
        <f>Monthly_kWh!DI18</f>
        <v>4.8234880000000002</v>
      </c>
      <c r="Q18" s="160">
        <f>Monthly_kWh!EF18</f>
        <v>17.909742000000701</v>
      </c>
      <c r="R18" s="119">
        <f>SUM('Zone wise Meter data'!O41:AF41)</f>
        <v>1.5063351249999952</v>
      </c>
      <c r="S18" s="115">
        <f>SUM('Zone wise Meter data'!AG41:AW41)</f>
        <v>2.567063999999986</v>
      </c>
      <c r="T18" s="115">
        <f>SUM('Zone wise Meter data'!AX41:BA41)</f>
        <v>1.6339734999999849</v>
      </c>
      <c r="U18" s="115">
        <f>SUM('Zone wise Meter data'!BB41:BC41)</f>
        <v>3.78873600000008</v>
      </c>
      <c r="V18" s="115">
        <f>SUM('Zone wise Meter data'!BD41:BL41)</f>
        <v>17.871131999999974</v>
      </c>
      <c r="W18" s="115">
        <f>SUM('Zone wise Meter data'!BM41:BX41)</f>
        <v>0.6829497499999988</v>
      </c>
      <c r="X18" s="115">
        <f>SUM('Zone wise Meter data'!BY41:CE41)</f>
        <v>2.3173750000000031E-2</v>
      </c>
      <c r="Y18" s="115">
        <f>SUM('Zone wise Meter data'!CF41:CK41)</f>
        <v>2.1528225625000035</v>
      </c>
      <c r="Z18" s="115">
        <f>SUM('Zone wise Meter data'!CL41:CO41)</f>
        <v>2.0606239999999891</v>
      </c>
      <c r="AA18" s="115">
        <f>SUM('Zone wise Meter data'!CP41:DD41)</f>
        <v>1.4367833437499871</v>
      </c>
      <c r="AB18" s="115">
        <f>SUM('Zone wise Meter data'!DE41:DN41)</f>
        <v>0.25803009960937201</v>
      </c>
      <c r="AC18" s="115">
        <f>SUM('Zone wise Meter data'!DO41:ED41)</f>
        <v>0</v>
      </c>
      <c r="AD18" s="160">
        <f>Monthly_kWh!AW18</f>
        <v>2.7685760000000501</v>
      </c>
      <c r="AE18" s="160">
        <f>Monthly_kWh!DS18</f>
        <v>1.0201600000000299</v>
      </c>
      <c r="AF18" s="160">
        <f>Monthly_kWh!EL18</f>
        <v>3.9587839999999201</v>
      </c>
      <c r="AG18" s="160">
        <f>Monthly_kWh!EK18</f>
        <v>0</v>
      </c>
      <c r="AH18" s="160">
        <f>Monthly_kWh!EN18</f>
        <v>2.3782400000000101</v>
      </c>
      <c r="AI18" s="160">
        <f>Monthly_kWh!EO18</f>
        <v>2.2913919999999699</v>
      </c>
      <c r="AJ18" s="160">
        <f>Monthly_kWh!EM18</f>
        <v>4.13235200000008</v>
      </c>
      <c r="AK18" s="160">
        <f>Monthly_kWh!ER18</f>
        <v>3.6441979999999901</v>
      </c>
      <c r="AL18" s="160">
        <f>Monthly_kWh!EI18</f>
        <v>0.87622399999997902</v>
      </c>
      <c r="AM18" s="160">
        <f>Monthly_kWh!EJ18+Hourly_kWh!AS18</f>
        <v>7.7936500000001602E-2</v>
      </c>
      <c r="AN18" s="160">
        <f>Monthly_kWh!CX18+Hourly_kWh!CY18+Hourly_kWh!DC18+Hourly_kWh!DD18</f>
        <v>0.28620024999999816</v>
      </c>
      <c r="AO18" s="160">
        <f>SUM(Hourly_kWh!AI18:AQ18)</f>
        <v>7.24435937500158E-2</v>
      </c>
      <c r="AP18" s="160">
        <f>SUM(Hourly_kWh!V18:AG18)</f>
        <v>3.6612999999999118E-2</v>
      </c>
      <c r="AQ18" s="160">
        <f>Monthly_kWh!DB18</f>
        <v>0.12041399999999999</v>
      </c>
      <c r="AR18" s="160">
        <f>Monthly_kWh!CO18</f>
        <v>1.0564119999999999</v>
      </c>
      <c r="AS18" s="160">
        <f>Monthly_kWh!BJ18</f>
        <v>1.77300000000002E-3</v>
      </c>
      <c r="AT18" s="160">
        <f>Monthly_kWh!U18</f>
        <v>0.51009600000000399</v>
      </c>
      <c r="AU18" s="160">
        <f>Monthly_kWh!V18</f>
        <v>0.127333999999998</v>
      </c>
      <c r="AV18" s="160">
        <f>Monthly_kWh!W18</f>
        <v>6.5663999999999903E-2</v>
      </c>
      <c r="AW18" s="160">
        <f>Monthly_kWh!X18</f>
        <v>6.6275000000001E-2</v>
      </c>
      <c r="AX18" s="160">
        <f>Monthly_kWh!Y18</f>
        <v>0</v>
      </c>
      <c r="AY18" s="160">
        <f>Monthly_kWh!Z18</f>
        <v>4.4954999999999898E-2</v>
      </c>
      <c r="AZ18" s="160">
        <f>Monthly_kWh!AA18</f>
        <v>0.112898000000001</v>
      </c>
      <c r="BA18" s="160">
        <f>Monthly_kWh!AB18</f>
        <v>0.16982999999999701</v>
      </c>
      <c r="BB18" s="160">
        <f>Monthly_kWh!AC18</f>
        <v>0.153579999999998</v>
      </c>
      <c r="BC18" s="160">
        <f>Monthly_kWh!AD18</f>
        <v>8.2250499999999796E-2</v>
      </c>
      <c r="BD18" s="160">
        <f>Monthly_kWh!AE18</f>
        <v>0.14941849999999901</v>
      </c>
      <c r="BE18" s="160">
        <f>Monthly_kWh!AF18</f>
        <v>0</v>
      </c>
      <c r="BF18" s="160">
        <f>Monthly_kWh!AG18</f>
        <v>1.472775E-2</v>
      </c>
      <c r="BG18" s="160">
        <f>Monthly_kWh!AH18</f>
        <v>1.95513600000004</v>
      </c>
      <c r="BH18" s="160">
        <f>Monthly_kWh!AI18</f>
        <v>0</v>
      </c>
      <c r="BI18" s="160">
        <f>Monthly_kWh!AJ18</f>
        <v>4.4384999999999203E-2</v>
      </c>
      <c r="BJ18" s="160">
        <f>Monthly_kWh!AK18</f>
        <v>0</v>
      </c>
      <c r="BK18" s="160">
        <f>Monthly_kWh!AL18</f>
        <v>0.341031999999998</v>
      </c>
      <c r="BL18" s="160">
        <f>Monthly_kWh!AM18</f>
        <v>0.452759999999998</v>
      </c>
      <c r="BM18" s="160">
        <f>Monthly_kWh!AN18</f>
        <v>0.38398399999999799</v>
      </c>
      <c r="BN18" s="160">
        <f>Monthly_kWh!AO18</f>
        <v>0.15703599999999801</v>
      </c>
      <c r="BO18" s="160">
        <f>Monthly_kWh!AP18</f>
        <v>8.7533999999998002E-2</v>
      </c>
      <c r="BP18" s="160">
        <f>Monthly_kWh!AQ18</f>
        <v>0.32941199999999798</v>
      </c>
      <c r="BQ18" s="160">
        <f>Monthly_kWh!AR18</f>
        <v>6.1035199999999499</v>
      </c>
      <c r="BR18" s="160">
        <f>Monthly_kWh!AS18</f>
        <v>8.4053499999999601E-2</v>
      </c>
      <c r="BS18" s="160">
        <f>Monthly_kWh!AT18</f>
        <v>0</v>
      </c>
      <c r="BT18" s="160">
        <f>Monthly_kWh!AU18</f>
        <v>4.4840000000000699E-2</v>
      </c>
      <c r="BU18" s="160">
        <f>Monthly_kWh!AV18</f>
        <v>4.7759499999999698E-2</v>
      </c>
      <c r="BV18" s="160">
        <f>Monthly_kWh!AW18</f>
        <v>2.7685760000000501</v>
      </c>
      <c r="BW18" s="160">
        <f>Monthly_kWh!AX18</f>
        <v>0</v>
      </c>
      <c r="BX18" s="160">
        <f>Monthly_kWh!AY18</f>
        <v>9.5741499999999896E-2</v>
      </c>
      <c r="BY18" s="160">
        <f>Monthly_kWh!AZ18</f>
        <v>2.4999999999053599E-6</v>
      </c>
      <c r="BZ18" s="160">
        <f>Monthly_kWh!BA18</f>
        <v>0</v>
      </c>
      <c r="CA18" s="160">
        <f>Monthly_kWh!BB18</f>
        <v>0</v>
      </c>
      <c r="CB18" s="160">
        <f>Monthly_kWh!BC18</f>
        <v>0</v>
      </c>
      <c r="CC18" s="160">
        <f>Monthly_kWh!BD18</f>
        <v>3.4130996093749998E-3</v>
      </c>
      <c r="CD18" s="160">
        <f>Monthly_kWh!BE18</f>
        <v>0.169485999999999</v>
      </c>
      <c r="CE18" s="160">
        <f>Monthly_kWh!BF18</f>
        <v>0</v>
      </c>
      <c r="CF18" s="160">
        <f>Monthly_kWh!BG18</f>
        <v>2.0014999999998999E-2</v>
      </c>
      <c r="CG18" s="160">
        <f>Monthly_kWh!BH18</f>
        <v>1.2323999999999599E-2</v>
      </c>
      <c r="CH18" s="160">
        <f>Monthly_kWh!BI18</f>
        <v>2.5728320000000102</v>
      </c>
      <c r="CI18" s="160">
        <f>Monthly_kWh!BJ18</f>
        <v>1.77300000000002E-3</v>
      </c>
      <c r="CJ18" s="160">
        <f>Monthly_kWh!BK18</f>
        <v>5.18815000000004E-2</v>
      </c>
      <c r="CK18" s="160">
        <f>Monthly_kWh!BL18</f>
        <v>6.6000000000343602E-5</v>
      </c>
      <c r="CL18" s="160">
        <f>Monthly_kWh!BM18</f>
        <v>2.4038400000000002</v>
      </c>
      <c r="CM18" s="160">
        <f>Monthly_kWh!BN18</f>
        <v>0</v>
      </c>
      <c r="CN18" s="160">
        <f>Monthly_kWh!BO18</f>
        <v>0.53492600000000001</v>
      </c>
      <c r="CO18" s="160">
        <f>Monthly_kWh!BP18</f>
        <v>0</v>
      </c>
      <c r="CP18" s="160">
        <f>Monthly_kWh!BQ18</f>
        <v>0</v>
      </c>
      <c r="CQ18" s="160">
        <f>Monthly_kWh!BR18</f>
        <v>0</v>
      </c>
      <c r="CR18" s="160">
        <f>Monthly_kWh!BS18</f>
        <v>0</v>
      </c>
      <c r="CS18" s="160">
        <f>Monthly_kWh!BT18</f>
        <v>0.335979999999999</v>
      </c>
      <c r="CT18" s="160">
        <f>Monthly_kWh!BU18</f>
        <v>0</v>
      </c>
      <c r="CU18" s="160">
        <f>Monthly_kWh!BV18</f>
        <v>0</v>
      </c>
      <c r="CV18" s="160">
        <f>Monthly_kWh!BW18</f>
        <v>0</v>
      </c>
      <c r="CW18" s="160">
        <f>Monthly_kWh!BX18</f>
        <v>0</v>
      </c>
      <c r="CX18" s="160">
        <f>Monthly_kWh!BY18</f>
        <v>0</v>
      </c>
      <c r="CY18" s="160">
        <f>Monthly_kWh!BZ18</f>
        <v>0.91073599999999999</v>
      </c>
      <c r="CZ18" s="160">
        <f>Monthly_kWh!CA18</f>
        <v>0.42774400000000401</v>
      </c>
      <c r="DA18" s="160">
        <f>Monthly_kWh!CB18</f>
        <v>0</v>
      </c>
      <c r="DB18" s="160">
        <f>Monthly_kWh!CC18</f>
        <v>0</v>
      </c>
      <c r="DC18" s="160">
        <f>Monthly_kWh!CD18</f>
        <v>0</v>
      </c>
      <c r="DD18" s="160">
        <f>Monthly_kWh!CE18</f>
        <v>0</v>
      </c>
      <c r="DE18" s="160">
        <f>Monthly_kWh!CF18</f>
        <v>8.3973000000000297E-2</v>
      </c>
      <c r="DF18" s="160">
        <f>Monthly_kWh!CG18</f>
        <v>0</v>
      </c>
      <c r="DG18" s="160">
        <f>Monthly_kWh!CH18</f>
        <v>2.1884999999999301E-3</v>
      </c>
      <c r="DH18" s="160">
        <f>Monthly_kWh!CI18</f>
        <v>0</v>
      </c>
      <c r="DI18" s="160">
        <f>Monthly_kWh!CJ18</f>
        <v>0</v>
      </c>
      <c r="DJ18" s="160">
        <f>Monthly_kWh!CK18</f>
        <v>0</v>
      </c>
      <c r="DK18" s="160">
        <f>Monthly_kWh!CL18</f>
        <v>3.6686000000003098E-2</v>
      </c>
      <c r="DL18" s="160">
        <f>Monthly_kWh!CM18</f>
        <v>5.7392640000000501</v>
      </c>
      <c r="DM18" s="160">
        <f>Monthly_kWh!CN18</f>
        <v>4.7457500000000201E-2</v>
      </c>
      <c r="DN18" s="160">
        <f>Monthly_kWh!CO18</f>
        <v>1.0564119999999999</v>
      </c>
      <c r="DO18" s="160">
        <f>Monthly_kWh!CP18</f>
        <v>0</v>
      </c>
      <c r="DP18" s="160">
        <f>Monthly_kWh!CQ18</f>
        <v>0</v>
      </c>
      <c r="DQ18" s="160">
        <f>Monthly_kWh!CR18</f>
        <v>0.19784099999999899</v>
      </c>
      <c r="DR18" s="160">
        <f>Monthly_kWh!CS18</f>
        <v>0</v>
      </c>
      <c r="DS18" s="160">
        <f>Monthly_kWh!CT18</f>
        <v>0.20706399999998801</v>
      </c>
      <c r="DT18" s="160">
        <f>Monthly_kWh!CU18</f>
        <v>0</v>
      </c>
      <c r="DU18" s="160">
        <f>Monthly_kWh!CV18</f>
        <v>2.0985250000000101E-2</v>
      </c>
      <c r="DV18" s="160">
        <f>Monthly_kWh!CW18</f>
        <v>7.5071999999998695E-2</v>
      </c>
      <c r="DW18" s="160">
        <f>Monthly_kWh!CX18</f>
        <v>0.27677599999999802</v>
      </c>
      <c r="DX18" s="160">
        <f>Monthly_kWh!CY18</f>
        <v>1.8870000000000199E-2</v>
      </c>
      <c r="DY18" s="160">
        <f>Monthly_kWh!CZ18</f>
        <v>2.9284749999999998E-2</v>
      </c>
      <c r="DZ18" s="160">
        <f>Monthly_kWh!DA18</f>
        <v>0.28934000000000298</v>
      </c>
      <c r="EA18" s="160">
        <f>Monthly_kWh!DB18</f>
        <v>0.12041399999999999</v>
      </c>
      <c r="EB18" s="160">
        <f>Monthly_kWh!DC18</f>
        <v>0.20682</v>
      </c>
      <c r="EC18" s="160">
        <f>Monthly_kWh!DD18</f>
        <v>3.2938375000000103E-2</v>
      </c>
      <c r="ED18" s="160">
        <f>Monthly_kWh!DE18</f>
        <v>0</v>
      </c>
      <c r="EE18" s="160">
        <f>Monthly_kWh!DF18</f>
        <v>0</v>
      </c>
      <c r="EF18" s="160">
        <f>Monthly_kWh!DG18</f>
        <v>4.3667000000000102E-2</v>
      </c>
      <c r="EG18" s="160">
        <f>Monthly_kWh!DH18</f>
        <v>1.10049999999999E-2</v>
      </c>
      <c r="EH18" s="160">
        <f>Monthly_kWh!DI18</f>
        <v>4.8234880000000002</v>
      </c>
      <c r="EI18" s="160">
        <f>Monthly_kWh!DJ18</f>
        <v>0</v>
      </c>
      <c r="EJ18" s="160">
        <f>Monthly_kWh!DK18</f>
        <v>6.4889999999998296E-2</v>
      </c>
      <c r="EK18" s="160">
        <f>Monthly_kWh!DL18</f>
        <v>1.91199999999991E-2</v>
      </c>
      <c r="EL18" s="160">
        <f>Monthly_kWh!DM18</f>
        <v>4.5666000000000699E-2</v>
      </c>
      <c r="EM18" s="160">
        <f>Monthly_kWh!DN18</f>
        <v>3.7659374999999798E-3</v>
      </c>
      <c r="EN18" s="160">
        <f>Monthly_kWh!DO18</f>
        <v>0.79625599999999996</v>
      </c>
      <c r="EO18" s="160">
        <f>Monthly_kWh!DP18</f>
        <v>3.2505500000000097E-2</v>
      </c>
      <c r="EP18" s="160">
        <f>Monthly_kWh!DQ18</f>
        <v>0</v>
      </c>
      <c r="EQ18" s="160">
        <f>Monthly_kWh!DR18</f>
        <v>0</v>
      </c>
      <c r="ER18" s="160">
        <f>Monthly_kWh!DS18</f>
        <v>1.0201600000000299</v>
      </c>
      <c r="ES18" s="160">
        <f>Monthly_kWh!DT18</f>
        <v>0.39438956250000001</v>
      </c>
      <c r="ET18" s="160">
        <f>Monthly_kWh!DU18</f>
        <v>2.3174000000000899E-2</v>
      </c>
      <c r="EU18" s="160">
        <f>Monthly_kWh!DV18</f>
        <v>1.1191000000000201E-2</v>
      </c>
      <c r="EV18" s="160">
        <f>Monthly_kWh!DW18</f>
        <v>0</v>
      </c>
      <c r="EW18" s="160">
        <f>Monthly_kWh!DX18</f>
        <v>0.204177</v>
      </c>
      <c r="EX18" s="160">
        <f>Monthly_kWh!DY18</f>
        <v>5.2169062499999898E-3</v>
      </c>
      <c r="EY18" s="160">
        <f>Monthly_kWh!DZ18</f>
        <v>0.126445999999998</v>
      </c>
      <c r="EZ18" s="160">
        <f>Monthly_kWh!EA18</f>
        <v>0</v>
      </c>
      <c r="FA18" s="160">
        <f>Monthly_kWh!EB18</f>
        <v>1.4125760000000001</v>
      </c>
      <c r="FB18" s="160">
        <f>Monthly_kWh!EC18</f>
        <v>0.64804799999998897</v>
      </c>
      <c r="FC18" s="160">
        <f>Monthly_kWh!ED18</f>
        <v>2.6987000000000101E-2</v>
      </c>
      <c r="FD18" s="160">
        <f>Monthly_kWh!EE18</f>
        <v>0.14298150000000001</v>
      </c>
      <c r="FE18" s="160">
        <f>Monthly_kWh!EF18</f>
        <v>17.909742000000701</v>
      </c>
      <c r="FF18" s="160">
        <f>Monthly_kWh!EG18</f>
        <v>0</v>
      </c>
      <c r="FG18" s="160">
        <f>Monthly_kWh!EH18</f>
        <v>0.59865600000000496</v>
      </c>
      <c r="FH18" s="160">
        <f>Monthly_kWh!EI18</f>
        <v>0.87622399999997902</v>
      </c>
      <c r="FI18" s="160">
        <f>Monthly_kWh!EJ18</f>
        <v>7.50400000000013E-2</v>
      </c>
      <c r="FJ18" s="160">
        <f>Monthly_kWh!EK18</f>
        <v>0</v>
      </c>
      <c r="FK18" s="160">
        <f>Monthly_kWh!EL18</f>
        <v>3.9587839999999201</v>
      </c>
      <c r="FL18" s="160">
        <f>Monthly_kWh!EM18</f>
        <v>4.13235200000008</v>
      </c>
      <c r="FM18" s="160">
        <f>Monthly_kWh!EN18</f>
        <v>2.3782400000000101</v>
      </c>
      <c r="FN18" s="160">
        <f>Monthly_kWh!EO18</f>
        <v>2.2913919999999699</v>
      </c>
      <c r="FO18" s="160">
        <f>Monthly_kWh!EP18</f>
        <v>0</v>
      </c>
      <c r="FP18" s="160">
        <f>Monthly_kWh!ER18</f>
        <v>3.6441979999999901</v>
      </c>
      <c r="FQ18" s="160">
        <f>Monthly_kWh!EQ18</f>
        <v>0</v>
      </c>
      <c r="FR18" s="160">
        <f>Monthly_kWh!M18</f>
        <v>0.895451000000001</v>
      </c>
      <c r="FS18" s="160">
        <f>Monthly_kWh!G18</f>
        <v>0.89685299999999701</v>
      </c>
      <c r="FT18" s="160">
        <f>Monthly_kWh!C18</f>
        <v>10.167475</v>
      </c>
      <c r="FU18" s="160">
        <f>Monthly_kWh!D18</f>
        <v>10.629795000000099</v>
      </c>
      <c r="FV18" s="160">
        <f>Monthly_kWh!E18</f>
        <v>8.9456030000000109</v>
      </c>
      <c r="FW18" s="160">
        <f>Monthly_kWh!F18</f>
        <v>0</v>
      </c>
      <c r="FX18" s="160">
        <f>Monthly_kWh!Q18</f>
        <v>9.9102720000009903</v>
      </c>
      <c r="FY18" s="160">
        <f>Monthly_kWh!R18</f>
        <v>10.393599999999401</v>
      </c>
      <c r="FZ18" s="160">
        <f>Monthly_kWh!S18</f>
        <v>8.7219199999999493</v>
      </c>
      <c r="GA18" s="160">
        <f>Monthly_kWh!T18</f>
        <v>0</v>
      </c>
      <c r="GB18" s="160">
        <f t="shared" si="0"/>
        <v>39.593756000000155</v>
      </c>
      <c r="GC18" s="160">
        <f t="shared" si="1"/>
        <v>36.979854000000699</v>
      </c>
      <c r="GD18" s="160">
        <f t="shared" si="2"/>
        <v>2.6139019999994559</v>
      </c>
      <c r="GE18" s="159">
        <f t="shared" si="3"/>
        <v>6.6018035773101336E-2</v>
      </c>
    </row>
    <row r="19" spans="2:187" s="150" customFormat="1" ht="32.25" customHeight="1" x14ac:dyDescent="0.25">
      <c r="B19" s="168">
        <v>13</v>
      </c>
      <c r="C19" s="160">
        <f>Monthly_kWh!H19</f>
        <v>0</v>
      </c>
      <c r="D19" s="160">
        <f>Monthly_kWh!I19</f>
        <v>0</v>
      </c>
      <c r="E19" s="160">
        <f>Monthly_kWh!J19</f>
        <v>0</v>
      </c>
      <c r="F19" s="160">
        <f>Monthly_kWh!K19</f>
        <v>0</v>
      </c>
      <c r="G19" s="160">
        <f>Monthly_kWh!L19</f>
        <v>0</v>
      </c>
      <c r="H19" s="160">
        <f>Monthly_kWh!U19</f>
        <v>0.51713599999999404</v>
      </c>
      <c r="I19" s="160">
        <f>Monthly_kWh!P19</f>
        <v>0.29762900000000098</v>
      </c>
      <c r="J19" s="160">
        <f>Monthly_kWh!N19</f>
        <v>4.4961779999998699</v>
      </c>
      <c r="K19" s="160">
        <f>Monthly_kWh!O19</f>
        <v>4.32190600000001</v>
      </c>
      <c r="L19" s="160">
        <f>Monthly_kWh!B19</f>
        <v>28.132625000000001</v>
      </c>
      <c r="M19" s="160">
        <f>Monthly_kWh!AR19</f>
        <v>6.2426880000000402</v>
      </c>
      <c r="N19" s="160">
        <f>Monthly_kWh!BM19</f>
        <v>2.3851199999999699</v>
      </c>
      <c r="O19" s="160">
        <f>Monthly_kWh!CM19</f>
        <v>5.4033919999999398</v>
      </c>
      <c r="P19" s="160">
        <f>Monthly_kWh!DI19</f>
        <v>4.5625599999999604</v>
      </c>
      <c r="Q19" s="160">
        <f>Monthly_kWh!EF19</f>
        <v>16.4865119999995</v>
      </c>
      <c r="R19" s="119">
        <f>SUM('Zone wise Meter data'!O42:AF42)</f>
        <v>1.4260496249999959</v>
      </c>
      <c r="S19" s="115">
        <f>SUM('Zone wise Meter data'!AG42:AW42)</f>
        <v>2.582561499999998</v>
      </c>
      <c r="T19" s="115">
        <f>SUM('Zone wise Meter data'!AX42:BA42)</f>
        <v>1.7192215000000188</v>
      </c>
      <c r="U19" s="115">
        <f>SUM('Zone wise Meter data'!BB42:BC42)</f>
        <v>3.640224000000051</v>
      </c>
      <c r="V19" s="115">
        <f>SUM('Zone wise Meter data'!BD42:BL42)</f>
        <v>16.205766000000132</v>
      </c>
      <c r="W19" s="115">
        <f>SUM('Zone wise Meter data'!BM42:BX42)</f>
        <v>0.64383000000000123</v>
      </c>
      <c r="X19" s="115">
        <f>SUM('Zone wise Meter data'!BY42:CE42)</f>
        <v>1.955325000000015E-2</v>
      </c>
      <c r="Y19" s="115">
        <f>SUM('Zone wise Meter data'!CF42:CK42)</f>
        <v>2.124693375000005</v>
      </c>
      <c r="Z19" s="115">
        <f>SUM('Zone wise Meter data'!CL42:CO42)</f>
        <v>2.0679360000000031</v>
      </c>
      <c r="AA19" s="115">
        <f>SUM('Zone wise Meter data'!CP42:DD42)</f>
        <v>1.4391540625000094</v>
      </c>
      <c r="AB19" s="115">
        <f>SUM('Zone wise Meter data'!DE42:DN42)</f>
        <v>0.25693500097655936</v>
      </c>
      <c r="AC19" s="115">
        <f>SUM('Zone wise Meter data'!DO42:ED42)</f>
        <v>0</v>
      </c>
      <c r="AD19" s="160">
        <f>Monthly_kWh!AW19</f>
        <v>2.8969600000000399</v>
      </c>
      <c r="AE19" s="160">
        <f>Monthly_kWh!DS19</f>
        <v>0.74326400000001103</v>
      </c>
      <c r="AF19" s="160">
        <f>Monthly_kWh!EL19</f>
        <v>2.3018240000001202</v>
      </c>
      <c r="AG19" s="160">
        <f>Monthly_kWh!EK19</f>
        <v>0</v>
      </c>
      <c r="AH19" s="160">
        <f>Monthly_kWh!EN19</f>
        <v>2.7161599999999502</v>
      </c>
      <c r="AI19" s="160">
        <f>Monthly_kWh!EO19</f>
        <v>2.2477440000000102</v>
      </c>
      <c r="AJ19" s="160">
        <f>Monthly_kWh!EM19</f>
        <v>4.2654720000000497</v>
      </c>
      <c r="AK19" s="160">
        <f>Monthly_kWh!ER19</f>
        <v>3.3402910000000099</v>
      </c>
      <c r="AL19" s="160">
        <f>Monthly_kWh!EI19</f>
        <v>0.93664000000001102</v>
      </c>
      <c r="AM19" s="160">
        <f>Monthly_kWh!EJ19+Hourly_kWh!AS19</f>
        <v>6.9668499999996136E-2</v>
      </c>
      <c r="AN19" s="160">
        <f>Monthly_kWh!CX19+Hourly_kWh!CY19+Hourly_kWh!DC19+Hourly_kWh!DD19</f>
        <v>0.28215850000000114</v>
      </c>
      <c r="AO19" s="160">
        <f>SUM(Hourly_kWh!AI19:AQ19)</f>
        <v>7.024124999997905E-2</v>
      </c>
      <c r="AP19" s="160">
        <f>SUM(Hourly_kWh!V19:AG19)</f>
        <v>3.6564000000002039E-2</v>
      </c>
      <c r="AQ19" s="160">
        <f>Monthly_kWh!DB19</f>
        <v>0.115414999999999</v>
      </c>
      <c r="AR19" s="160">
        <f>Monthly_kWh!CO19</f>
        <v>0.92886399999999703</v>
      </c>
      <c r="AS19" s="160">
        <f>Monthly_kWh!BJ19</f>
        <v>4.9299999999874401E-4</v>
      </c>
      <c r="AT19" s="160">
        <f>Monthly_kWh!U19</f>
        <v>0.51713599999999404</v>
      </c>
      <c r="AU19" s="160">
        <f>Monthly_kWh!V19</f>
        <v>0.138298000000002</v>
      </c>
      <c r="AV19" s="160">
        <f>Monthly_kWh!W19</f>
        <v>6.9065000000000196E-2</v>
      </c>
      <c r="AW19" s="160">
        <f>Monthly_kWh!X19</f>
        <v>7.09759999999999E-2</v>
      </c>
      <c r="AX19" s="160">
        <f>Monthly_kWh!Y19</f>
        <v>0</v>
      </c>
      <c r="AY19" s="160">
        <f>Monthly_kWh!Z19</f>
        <v>4.2987999999999402E-2</v>
      </c>
      <c r="AZ19" s="160">
        <f>Monthly_kWh!AA19</f>
        <v>0.113778</v>
      </c>
      <c r="BA19" s="160">
        <f>Monthly_kWh!AB19</f>
        <v>0.164439999999999</v>
      </c>
      <c r="BB19" s="160">
        <f>Monthly_kWh!AC19</f>
        <v>0.15230400000000099</v>
      </c>
      <c r="BC19" s="160">
        <f>Monthly_kWh!AD19</f>
        <v>7.9743999999999801E-2</v>
      </c>
      <c r="BD19" s="160">
        <f>Monthly_kWh!AE19</f>
        <v>0.15165500000000101</v>
      </c>
      <c r="BE19" s="160">
        <f>Monthly_kWh!AF19</f>
        <v>0</v>
      </c>
      <c r="BF19" s="160">
        <f>Monthly_kWh!AG19</f>
        <v>1.7509249999999799E-2</v>
      </c>
      <c r="BG19" s="160">
        <f>Monthly_kWh!AH19</f>
        <v>1.99571199999997</v>
      </c>
      <c r="BH19" s="160">
        <f>Monthly_kWh!AI19</f>
        <v>0</v>
      </c>
      <c r="BI19" s="160">
        <f>Monthly_kWh!AJ19</f>
        <v>4.6156999999999997E-2</v>
      </c>
      <c r="BJ19" s="160">
        <f>Monthly_kWh!AK19</f>
        <v>0</v>
      </c>
      <c r="BK19" s="160">
        <f>Monthly_kWh!AL19</f>
        <v>0.33981599999999901</v>
      </c>
      <c r="BL19" s="160">
        <f>Monthly_kWh!AM19</f>
        <v>0.49593599999999999</v>
      </c>
      <c r="BM19" s="160">
        <f>Monthly_kWh!AN19</f>
        <v>0.39782400000000001</v>
      </c>
      <c r="BN19" s="160">
        <f>Monthly_kWh!AO19</f>
        <v>0.140900000000002</v>
      </c>
      <c r="BO19" s="160">
        <f>Monthly_kWh!AP19</f>
        <v>8.6866000000000596E-2</v>
      </c>
      <c r="BP19" s="160">
        <f>Monthly_kWh!AQ19</f>
        <v>0.33455999999999603</v>
      </c>
      <c r="BQ19" s="160">
        <f>Monthly_kWh!AR19</f>
        <v>6.2426880000000402</v>
      </c>
      <c r="BR19" s="160">
        <f>Monthly_kWh!AS19</f>
        <v>9.3013499999999597E-2</v>
      </c>
      <c r="BS19" s="160">
        <f>Monthly_kWh!AT19</f>
        <v>0</v>
      </c>
      <c r="BT19" s="160">
        <f>Monthly_kWh!AU19</f>
        <v>4.57759999999965E-2</v>
      </c>
      <c r="BU19" s="160">
        <f>Monthly_kWh!AV19</f>
        <v>3.8287500000000002E-2</v>
      </c>
      <c r="BV19" s="160">
        <f>Monthly_kWh!AW19</f>
        <v>2.8969600000000399</v>
      </c>
      <c r="BW19" s="160">
        <f>Monthly_kWh!AX19</f>
        <v>0</v>
      </c>
      <c r="BX19" s="160">
        <f>Monthly_kWh!AY19</f>
        <v>8.9940500000000007E-2</v>
      </c>
      <c r="BY19" s="160">
        <f>Monthly_kWh!AZ19</f>
        <v>1.1500000000275199E-5</v>
      </c>
      <c r="BZ19" s="160">
        <f>Monthly_kWh!BA19</f>
        <v>0</v>
      </c>
      <c r="CA19" s="160">
        <f>Monthly_kWh!BB19</f>
        <v>0</v>
      </c>
      <c r="CB19" s="160">
        <f>Monthly_kWh!BC19</f>
        <v>0</v>
      </c>
      <c r="CC19" s="160">
        <f>Monthly_kWh!BD19</f>
        <v>3.5060009765625001E-3</v>
      </c>
      <c r="CD19" s="160">
        <f>Monthly_kWh!BE19</f>
        <v>0.11036599999999901</v>
      </c>
      <c r="CE19" s="160">
        <f>Monthly_kWh!BF19</f>
        <v>0</v>
      </c>
      <c r="CF19" s="160">
        <f>Monthly_kWh!BG19</f>
        <v>1.6839000000000898E-2</v>
      </c>
      <c r="CG19" s="160">
        <f>Monthly_kWh!BH19</f>
        <v>2.22939999999987E-2</v>
      </c>
      <c r="CH19" s="160">
        <f>Monthly_kWh!BI19</f>
        <v>2.6326079999999501</v>
      </c>
      <c r="CI19" s="160">
        <f>Monthly_kWh!BJ19</f>
        <v>4.9299999999874401E-4</v>
      </c>
      <c r="CJ19" s="160">
        <f>Monthly_kWh!BK19</f>
        <v>4.9515499999999199E-2</v>
      </c>
      <c r="CK19" s="160">
        <f>Monthly_kWh!BL19</f>
        <v>7.7999999998468197E-5</v>
      </c>
      <c r="CL19" s="160">
        <f>Monthly_kWh!BM19</f>
        <v>2.3851199999999699</v>
      </c>
      <c r="CM19" s="160">
        <f>Monthly_kWh!BN19</f>
        <v>0</v>
      </c>
      <c r="CN19" s="160">
        <f>Monthly_kWh!BO19</f>
        <v>0.52390599999999798</v>
      </c>
      <c r="CO19" s="160">
        <f>Monthly_kWh!BP19</f>
        <v>0</v>
      </c>
      <c r="CP19" s="160">
        <f>Monthly_kWh!BQ19</f>
        <v>0</v>
      </c>
      <c r="CQ19" s="160">
        <f>Monthly_kWh!BR19</f>
        <v>0</v>
      </c>
      <c r="CR19" s="160">
        <f>Monthly_kWh!BS19</f>
        <v>0</v>
      </c>
      <c r="CS19" s="160">
        <f>Monthly_kWh!BT19</f>
        <v>0.20922399999999899</v>
      </c>
      <c r="CT19" s="160">
        <f>Monthly_kWh!BU19</f>
        <v>0</v>
      </c>
      <c r="CU19" s="160">
        <f>Monthly_kWh!BV19</f>
        <v>0</v>
      </c>
      <c r="CV19" s="160">
        <f>Monthly_kWh!BW19</f>
        <v>0</v>
      </c>
      <c r="CW19" s="160">
        <f>Monthly_kWh!BX19</f>
        <v>0</v>
      </c>
      <c r="CX19" s="160">
        <f>Monthly_kWh!BY19</f>
        <v>0</v>
      </c>
      <c r="CY19" s="160">
        <f>Monthly_kWh!BZ19</f>
        <v>1.0332479999999999</v>
      </c>
      <c r="CZ19" s="160">
        <f>Monthly_kWh!CA19</f>
        <v>0.40824000000000599</v>
      </c>
      <c r="DA19" s="160">
        <f>Monthly_kWh!CB19</f>
        <v>0</v>
      </c>
      <c r="DB19" s="160">
        <f>Monthly_kWh!CC19</f>
        <v>0</v>
      </c>
      <c r="DC19" s="160">
        <f>Monthly_kWh!CD19</f>
        <v>0</v>
      </c>
      <c r="DD19" s="160">
        <f>Monthly_kWh!CE19</f>
        <v>0</v>
      </c>
      <c r="DE19" s="160">
        <f>Monthly_kWh!CF19</f>
        <v>7.7389000000000194E-2</v>
      </c>
      <c r="DF19" s="160">
        <f>Monthly_kWh!CG19</f>
        <v>0</v>
      </c>
      <c r="DG19" s="160">
        <f>Monthly_kWh!CH19</f>
        <v>2.1002500000002499E-3</v>
      </c>
      <c r="DH19" s="160">
        <f>Monthly_kWh!CI19</f>
        <v>0</v>
      </c>
      <c r="DI19" s="160">
        <f>Monthly_kWh!CJ19</f>
        <v>0</v>
      </c>
      <c r="DJ19" s="160">
        <f>Monthly_kWh!CK19</f>
        <v>0</v>
      </c>
      <c r="DK19" s="160">
        <f>Monthly_kWh!CL19</f>
        <v>4.0939999999999102E-2</v>
      </c>
      <c r="DL19" s="160">
        <f>Monthly_kWh!CM19</f>
        <v>5.4033919999999398</v>
      </c>
      <c r="DM19" s="160">
        <f>Monthly_kWh!CN19</f>
        <v>4.5859499999998797E-2</v>
      </c>
      <c r="DN19" s="160">
        <f>Monthly_kWh!CO19</f>
        <v>0.92886399999999703</v>
      </c>
      <c r="DO19" s="160">
        <f>Monthly_kWh!CP19</f>
        <v>0</v>
      </c>
      <c r="DP19" s="160">
        <f>Monthly_kWh!CQ19</f>
        <v>0</v>
      </c>
      <c r="DQ19" s="160">
        <f>Monthly_kWh!CR19</f>
        <v>0.16578800000000099</v>
      </c>
      <c r="DR19" s="160">
        <f>Monthly_kWh!CS19</f>
        <v>0</v>
      </c>
      <c r="DS19" s="160">
        <f>Monthly_kWh!CT19</f>
        <v>0.20360800000000301</v>
      </c>
      <c r="DT19" s="160">
        <f>Monthly_kWh!CU19</f>
        <v>0</v>
      </c>
      <c r="DU19" s="160">
        <f>Monthly_kWh!CV19</f>
        <v>1.7452999999999899E-2</v>
      </c>
      <c r="DV19" s="160">
        <f>Monthly_kWh!CW19</f>
        <v>7.4136000000002894E-2</v>
      </c>
      <c r="DW19" s="160">
        <f>Monthly_kWh!CX19</f>
        <v>0.27239600000000103</v>
      </c>
      <c r="DX19" s="160">
        <f>Monthly_kWh!CY19</f>
        <v>1.9452000000000001E-2</v>
      </c>
      <c r="DY19" s="160">
        <f>Monthly_kWh!CZ19</f>
        <v>1.9602499999999998E-2</v>
      </c>
      <c r="DZ19" s="160">
        <f>Monthly_kWh!DA19</f>
        <v>0.28999599999999498</v>
      </c>
      <c r="EA19" s="160">
        <f>Monthly_kWh!DB19</f>
        <v>0.115414999999999</v>
      </c>
      <c r="EB19" s="160">
        <f>Monthly_kWh!DC19</f>
        <v>0.19885599999999901</v>
      </c>
      <c r="EC19" s="160">
        <f>Monthly_kWh!DD19</f>
        <v>3.2058374999999903E-2</v>
      </c>
      <c r="ED19" s="160">
        <f>Monthly_kWh!DE19</f>
        <v>0</v>
      </c>
      <c r="EE19" s="160">
        <f>Monthly_kWh!DF19</f>
        <v>0</v>
      </c>
      <c r="EF19" s="160">
        <f>Monthly_kWh!DG19</f>
        <v>2.6185500000000399E-2</v>
      </c>
      <c r="EG19" s="160">
        <f>Monthly_kWh!DH19</f>
        <v>1.0291999999999701E-2</v>
      </c>
      <c r="EH19" s="160">
        <f>Monthly_kWh!DI19</f>
        <v>4.5625599999999604</v>
      </c>
      <c r="EI19" s="160">
        <f>Monthly_kWh!DJ19</f>
        <v>0</v>
      </c>
      <c r="EJ19" s="160">
        <f>Monthly_kWh!DK19</f>
        <v>6.4674000000000106E-2</v>
      </c>
      <c r="EK19" s="160">
        <f>Monthly_kWh!DL19</f>
        <v>1.9180000000000402E-2</v>
      </c>
      <c r="EL19" s="160">
        <f>Monthly_kWh!DM19</f>
        <v>4.6366999999999998E-2</v>
      </c>
      <c r="EM19" s="160">
        <f>Monthly_kWh!DN19</f>
        <v>4.6138125000000398E-3</v>
      </c>
      <c r="EN19" s="160">
        <f>Monthly_kWh!DO19</f>
        <v>0.76032000000000699</v>
      </c>
      <c r="EO19" s="160">
        <f>Monthly_kWh!DP19</f>
        <v>3.8109000000000399E-2</v>
      </c>
      <c r="EP19" s="160">
        <f>Monthly_kWh!DQ19</f>
        <v>0</v>
      </c>
      <c r="EQ19" s="160">
        <f>Monthly_kWh!DR19</f>
        <v>0</v>
      </c>
      <c r="ER19" s="160">
        <f>Monthly_kWh!DS19</f>
        <v>0.74326400000001103</v>
      </c>
      <c r="ES19" s="160">
        <f>Monthly_kWh!DT19</f>
        <v>0.396592375</v>
      </c>
      <c r="ET19" s="160">
        <f>Monthly_kWh!DU19</f>
        <v>1.2162999999999299E-2</v>
      </c>
      <c r="EU19" s="160">
        <f>Monthly_kWh!DV19</f>
        <v>1.02722499999999E-2</v>
      </c>
      <c r="EV19" s="160">
        <f>Monthly_kWh!DW19</f>
        <v>0</v>
      </c>
      <c r="EW19" s="160">
        <f>Monthly_kWh!DX19</f>
        <v>0.24926400000000001</v>
      </c>
      <c r="EX19" s="160">
        <f>Monthly_kWh!DY19</f>
        <v>1.7702249999999999E-2</v>
      </c>
      <c r="EY19" s="160">
        <f>Monthly_kWh!DZ19</f>
        <v>0.11529200000000001</v>
      </c>
      <c r="EZ19" s="160">
        <f>Monthly_kWh!EA19</f>
        <v>0</v>
      </c>
      <c r="FA19" s="160">
        <f>Monthly_kWh!EB19</f>
        <v>1.3515360000000101</v>
      </c>
      <c r="FB19" s="160">
        <f>Monthly_kWh!EC19</f>
        <v>0.71639999999999304</v>
      </c>
      <c r="FC19" s="160">
        <f>Monthly_kWh!ED19</f>
        <v>2.7809749999999901E-2</v>
      </c>
      <c r="FD19" s="160">
        <f>Monthly_kWh!EE19</f>
        <v>0.12975999999999999</v>
      </c>
      <c r="FE19" s="160">
        <f>Monthly_kWh!EF19</f>
        <v>16.4865119999995</v>
      </c>
      <c r="FF19" s="160">
        <f>Monthly_kWh!EG19</f>
        <v>0</v>
      </c>
      <c r="FG19" s="160">
        <f>Monthly_kWh!EH19</f>
        <v>0.62310400000001198</v>
      </c>
      <c r="FH19" s="160">
        <f>Monthly_kWh!EI19</f>
        <v>0.93664000000001102</v>
      </c>
      <c r="FI19" s="160">
        <f>Monthly_kWh!EJ19</f>
        <v>6.6463999999996304E-2</v>
      </c>
      <c r="FJ19" s="160">
        <f>Monthly_kWh!EK19</f>
        <v>0</v>
      </c>
      <c r="FK19" s="160">
        <f>Monthly_kWh!EL19</f>
        <v>2.3018240000001202</v>
      </c>
      <c r="FL19" s="160">
        <f>Monthly_kWh!EM19</f>
        <v>4.2654720000000497</v>
      </c>
      <c r="FM19" s="160">
        <f>Monthly_kWh!EN19</f>
        <v>2.7161599999999502</v>
      </c>
      <c r="FN19" s="160">
        <f>Monthly_kWh!EO19</f>
        <v>2.2477440000000102</v>
      </c>
      <c r="FO19" s="160">
        <f>Monthly_kWh!EP19</f>
        <v>0</v>
      </c>
      <c r="FP19" s="160">
        <f>Monthly_kWh!ER19</f>
        <v>3.3402910000000099</v>
      </c>
      <c r="FQ19" s="160">
        <f>Monthly_kWh!EQ19</f>
        <v>0</v>
      </c>
      <c r="FR19" s="160">
        <f>Monthly_kWh!M19</f>
        <v>0</v>
      </c>
      <c r="FS19" s="160">
        <f>Monthly_kWh!G19</f>
        <v>0</v>
      </c>
      <c r="FT19" s="160">
        <f>Monthly_kWh!C19</f>
        <v>9.6339070000000202</v>
      </c>
      <c r="FU19" s="160">
        <f>Monthly_kWh!D19</f>
        <v>10.0684660000001</v>
      </c>
      <c r="FV19" s="160">
        <f>Monthly_kWh!E19</f>
        <v>8.4616209999999796</v>
      </c>
      <c r="FW19" s="160">
        <f>Monthly_kWh!F19</f>
        <v>0</v>
      </c>
      <c r="FX19" s="160">
        <f>Monthly_kWh!Q19</f>
        <v>9.4167039999992994</v>
      </c>
      <c r="FY19" s="160">
        <f>Monthly_kWh!R19</f>
        <v>9.8140160000002705</v>
      </c>
      <c r="FZ19" s="160">
        <f>Monthly_kWh!S19</f>
        <v>8.2534400000004098</v>
      </c>
      <c r="GA19" s="160">
        <f>Monthly_kWh!T19</f>
        <v>0</v>
      </c>
      <c r="GB19" s="160">
        <f t="shared" si="0"/>
        <v>37.765473999999877</v>
      </c>
      <c r="GC19" s="160">
        <f t="shared" si="1"/>
        <v>35.080271999999411</v>
      </c>
      <c r="GD19" s="160">
        <f t="shared" si="2"/>
        <v>2.6852020000004657</v>
      </c>
      <c r="GE19" s="159">
        <f t="shared" si="3"/>
        <v>7.1102033566438877E-2</v>
      </c>
    </row>
    <row r="20" spans="2:187" s="150" customFormat="1" ht="32.25" customHeight="1" x14ac:dyDescent="0.25">
      <c r="B20" s="168">
        <v>14</v>
      </c>
      <c r="C20" s="160">
        <f>Monthly_kWh!H20</f>
        <v>0</v>
      </c>
      <c r="D20" s="160">
        <f>Monthly_kWh!I20</f>
        <v>0</v>
      </c>
      <c r="E20" s="160">
        <f>Monthly_kWh!J20</f>
        <v>0</v>
      </c>
      <c r="F20" s="160">
        <f>Monthly_kWh!K20</f>
        <v>0</v>
      </c>
      <c r="G20" s="160">
        <f>Monthly_kWh!L20</f>
        <v>0</v>
      </c>
      <c r="H20" s="160">
        <f>Monthly_kWh!U20</f>
        <v>0.50347200000000203</v>
      </c>
      <c r="I20" s="160">
        <f>Monthly_kWh!P20</f>
        <v>0.30140399999999801</v>
      </c>
      <c r="J20" s="160">
        <f>Monthly_kWh!N20</f>
        <v>4.5310250000001098</v>
      </c>
      <c r="K20" s="160">
        <f>Monthly_kWh!O20</f>
        <v>4.3744659999998703</v>
      </c>
      <c r="L20" s="160">
        <f>Monthly_kWh!B20</f>
        <v>26.031624999999998</v>
      </c>
      <c r="M20" s="160">
        <f>Monthly_kWh!AR20</f>
        <v>5.3481600000000098</v>
      </c>
      <c r="N20" s="160">
        <f>Monthly_kWh!BM20</f>
        <v>1.80680000000001</v>
      </c>
      <c r="O20" s="160">
        <f>Monthly_kWh!CM20</f>
        <v>5.1473920000000799</v>
      </c>
      <c r="P20" s="160">
        <f>Monthly_kWh!DI20</f>
        <v>4.8355840000000399</v>
      </c>
      <c r="Q20" s="160">
        <f>Monthly_kWh!EF20</f>
        <v>15.995734999999501</v>
      </c>
      <c r="R20" s="119">
        <f>SUM('Zone wise Meter data'!O43:AF43)</f>
        <v>1.4751503750000063</v>
      </c>
      <c r="S20" s="115">
        <f>SUM('Zone wise Meter data'!AG43:AW43)</f>
        <v>2.4791590000000028</v>
      </c>
      <c r="T20" s="115">
        <f>SUM('Zone wise Meter data'!AX43:BA43)</f>
        <v>1.6821640000000375</v>
      </c>
      <c r="U20" s="115">
        <f>SUM('Zone wise Meter data'!BB43:BC43)</f>
        <v>3.3301440000000202</v>
      </c>
      <c r="V20" s="115">
        <f>SUM('Zone wise Meter data'!BD43:BL43)</f>
        <v>15.6967609999997</v>
      </c>
      <c r="W20" s="115">
        <f>SUM('Zone wise Meter data'!BM43:BX43)</f>
        <v>0.285836499999995</v>
      </c>
      <c r="X20" s="115">
        <f>SUM('Zone wise Meter data'!BY43:CE43)</f>
        <v>2.1479124999999891E-2</v>
      </c>
      <c r="Y20" s="115">
        <f>SUM('Zone wise Meter data'!CF43:CK43)</f>
        <v>1.8726404999999926</v>
      </c>
      <c r="Z20" s="115">
        <f>SUM('Zone wise Meter data'!CL43:CO43)</f>
        <v>1.8924800000000019</v>
      </c>
      <c r="AA20" s="115">
        <f>SUM('Zone wise Meter data'!CP43:DD43)</f>
        <v>1.3387426875000019</v>
      </c>
      <c r="AB20" s="115">
        <f>SUM('Zone wise Meter data'!DE43:DN43)</f>
        <v>0.225392597656251</v>
      </c>
      <c r="AC20" s="115">
        <f>SUM('Zone wise Meter data'!DO43:ED43)</f>
        <v>0</v>
      </c>
      <c r="AD20" s="160">
        <f>Monthly_kWh!AW20</f>
        <v>2.11436800000001</v>
      </c>
      <c r="AE20" s="160">
        <f>Monthly_kWh!DS20</f>
        <v>1.21577600000001</v>
      </c>
      <c r="AF20" s="160">
        <f>Monthly_kWh!EL20</f>
        <v>0.72627199999988101</v>
      </c>
      <c r="AG20" s="160">
        <f>Monthly_kWh!EK20</f>
        <v>0</v>
      </c>
      <c r="AH20" s="160">
        <f>Monthly_kWh!EN20</f>
        <v>3.4472959999998198</v>
      </c>
      <c r="AI20" s="160">
        <f>Monthly_kWh!EO20</f>
        <v>2.3054720000000102</v>
      </c>
      <c r="AJ20" s="160">
        <f>Monthly_kWh!EM20</f>
        <v>4.3724800000000004</v>
      </c>
      <c r="AK20" s="160">
        <f>Monthly_kWh!ER20</f>
        <v>3.5900429999999899</v>
      </c>
      <c r="AL20" s="160">
        <f>Monthly_kWh!EI20</f>
        <v>0.86720000000002495</v>
      </c>
      <c r="AM20" s="160">
        <f>Monthly_kWh!EJ20+Hourly_kWh!AS20</f>
        <v>6.2555500000014419E-2</v>
      </c>
      <c r="AN20" s="160">
        <f>Monthly_kWh!CX20+Hourly_kWh!CY20+Hourly_kWh!DC20+Hourly_kWh!DD20</f>
        <v>0.28690674999999988</v>
      </c>
      <c r="AO20" s="160">
        <f>SUM(Hourly_kWh!AI20:AQ20)</f>
        <v>7.4036468749998585E-2</v>
      </c>
      <c r="AP20" s="160">
        <f>SUM(Hourly_kWh!V20:AG20)</f>
        <v>3.7079499999997267E-2</v>
      </c>
      <c r="AQ20" s="160">
        <f>Monthly_kWh!DB20</f>
        <v>0.115214</v>
      </c>
      <c r="AR20" s="160">
        <f>Monthly_kWh!CO20</f>
        <v>0.85134399999999699</v>
      </c>
      <c r="AS20" s="160">
        <f>Monthly_kWh!BJ20</f>
        <v>6.3000000000101896E-4</v>
      </c>
      <c r="AT20" s="160">
        <f>Monthly_kWh!U20</f>
        <v>0.50347200000000203</v>
      </c>
      <c r="AU20" s="160">
        <f>Monthly_kWh!V20</f>
        <v>0.12985999999999701</v>
      </c>
      <c r="AV20" s="160">
        <f>Monthly_kWh!W20</f>
        <v>5.3593999999998601E-2</v>
      </c>
      <c r="AW20" s="160">
        <f>Monthly_kWh!X20</f>
        <v>5.9343000000000097E-2</v>
      </c>
      <c r="AX20" s="160">
        <f>Monthly_kWh!Y20</f>
        <v>0</v>
      </c>
      <c r="AY20" s="160">
        <f>Monthly_kWh!Z20</f>
        <v>3.91379999999995E-2</v>
      </c>
      <c r="AZ20" s="160">
        <f>Monthly_kWh!AA20</f>
        <v>0.109625999999999</v>
      </c>
      <c r="BA20" s="160">
        <f>Monthly_kWh!AB20</f>
        <v>0.17106600000000299</v>
      </c>
      <c r="BB20" s="160">
        <f>Monthly_kWh!AC20</f>
        <v>0.150310000000001</v>
      </c>
      <c r="BC20" s="160">
        <f>Monthly_kWh!AD20</f>
        <v>6.9878000000000107E-2</v>
      </c>
      <c r="BD20" s="160">
        <f>Monthly_kWh!AE20</f>
        <v>0.14218449999999999</v>
      </c>
      <c r="BE20" s="160">
        <f>Monthly_kWh!AF20</f>
        <v>0</v>
      </c>
      <c r="BF20" s="160">
        <f>Monthly_kWh!AG20</f>
        <v>2.0155500000000399E-2</v>
      </c>
      <c r="BG20" s="160">
        <f>Monthly_kWh!AH20</f>
        <v>1.9510400000000301</v>
      </c>
      <c r="BH20" s="160">
        <f>Monthly_kWh!AI20</f>
        <v>0</v>
      </c>
      <c r="BI20" s="160">
        <f>Monthly_kWh!AJ20</f>
        <v>4.6531000000000801E-2</v>
      </c>
      <c r="BJ20" s="160">
        <f>Monthly_kWh!AK20</f>
        <v>0</v>
      </c>
      <c r="BK20" s="160">
        <f>Monthly_kWh!AL20</f>
        <v>0.33149600000000101</v>
      </c>
      <c r="BL20" s="160">
        <f>Monthly_kWh!AM20</f>
        <v>0.49227199999999999</v>
      </c>
      <c r="BM20" s="160">
        <f>Monthly_kWh!AN20</f>
        <v>0.38038399999999201</v>
      </c>
      <c r="BN20" s="160">
        <f>Monthly_kWh!AO20</f>
        <v>0.131556000000003</v>
      </c>
      <c r="BO20" s="160">
        <f>Monthly_kWh!AP20</f>
        <v>8.5390000000000299E-2</v>
      </c>
      <c r="BP20" s="160">
        <f>Monthly_kWh!AQ20</f>
        <v>0.330104000000006</v>
      </c>
      <c r="BQ20" s="160">
        <f>Monthly_kWh!AR20</f>
        <v>5.3481600000000098</v>
      </c>
      <c r="BR20" s="160">
        <f>Monthly_kWh!AS20</f>
        <v>8.7348000000000398E-2</v>
      </c>
      <c r="BS20" s="160">
        <f>Monthly_kWh!AT20</f>
        <v>0</v>
      </c>
      <c r="BT20" s="160">
        <f>Monthly_kWh!AU20</f>
        <v>4.3792000000003398E-2</v>
      </c>
      <c r="BU20" s="160">
        <f>Monthly_kWh!AV20</f>
        <v>2.6789499999999598E-2</v>
      </c>
      <c r="BV20" s="160">
        <f>Monthly_kWh!AW20</f>
        <v>2.11436800000001</v>
      </c>
      <c r="BW20" s="160">
        <f>Monthly_kWh!AX20</f>
        <v>0</v>
      </c>
      <c r="BX20" s="160">
        <f>Monthly_kWh!AY20</f>
        <v>0.10485999999999999</v>
      </c>
      <c r="BY20" s="160">
        <f>Monthly_kWh!AZ20</f>
        <v>0</v>
      </c>
      <c r="BZ20" s="160">
        <f>Monthly_kWh!BA20</f>
        <v>0</v>
      </c>
      <c r="CA20" s="160">
        <f>Monthly_kWh!BB20</f>
        <v>0</v>
      </c>
      <c r="CB20" s="160">
        <f>Monthly_kWh!BC20</f>
        <v>0</v>
      </c>
      <c r="CC20" s="160">
        <f>Monthly_kWh!BD20</f>
        <v>4.7580976562499998E-3</v>
      </c>
      <c r="CD20" s="160">
        <f>Monthly_kWh!BE20</f>
        <v>0.106956</v>
      </c>
      <c r="CE20" s="160">
        <f>Monthly_kWh!BF20</f>
        <v>0</v>
      </c>
      <c r="CF20" s="160">
        <f>Monthly_kWh!BG20</f>
        <v>1.4206999999999E-2</v>
      </c>
      <c r="CG20" s="160">
        <f>Monthly_kWh!BH20</f>
        <v>5.9420000000010003E-3</v>
      </c>
      <c r="CH20" s="160">
        <f>Monthly_kWh!BI20</f>
        <v>2.5298560000000498</v>
      </c>
      <c r="CI20" s="160">
        <f>Monthly_kWh!BJ20</f>
        <v>6.3000000000101896E-4</v>
      </c>
      <c r="CJ20" s="160">
        <f>Monthly_kWh!BK20</f>
        <v>6.9109500000000601E-2</v>
      </c>
      <c r="CK20" s="160">
        <f>Monthly_kWh!BL20</f>
        <v>1.18000000000507E-4</v>
      </c>
      <c r="CL20" s="160">
        <f>Monthly_kWh!BM20</f>
        <v>1.80680000000001</v>
      </c>
      <c r="CM20" s="160">
        <f>Monthly_kWh!BN20</f>
        <v>0</v>
      </c>
      <c r="CN20" s="160">
        <f>Monthly_kWh!BO20</f>
        <v>0.22126599999999999</v>
      </c>
      <c r="CO20" s="160">
        <f>Monthly_kWh!BP20</f>
        <v>0</v>
      </c>
      <c r="CP20" s="160">
        <f>Monthly_kWh!BQ20</f>
        <v>0</v>
      </c>
      <c r="CQ20" s="160">
        <f>Monthly_kWh!BR20</f>
        <v>0</v>
      </c>
      <c r="CR20" s="160">
        <f>Monthly_kWh!BS20</f>
        <v>0</v>
      </c>
      <c r="CS20" s="160">
        <f>Monthly_kWh!BT20</f>
        <v>0.29508400000000301</v>
      </c>
      <c r="CT20" s="160">
        <f>Monthly_kWh!BU20</f>
        <v>0</v>
      </c>
      <c r="CU20" s="160">
        <f>Monthly_kWh!BV20</f>
        <v>0</v>
      </c>
      <c r="CV20" s="160">
        <f>Monthly_kWh!BW20</f>
        <v>0</v>
      </c>
      <c r="CW20" s="160">
        <f>Monthly_kWh!BX20</f>
        <v>0</v>
      </c>
      <c r="CX20" s="160">
        <f>Monthly_kWh!BY20</f>
        <v>0</v>
      </c>
      <c r="CY20" s="160">
        <f>Monthly_kWh!BZ20</f>
        <v>0.87738399999999195</v>
      </c>
      <c r="CZ20" s="160">
        <f>Monthly_kWh!CA20</f>
        <v>0.26249599999999901</v>
      </c>
      <c r="DA20" s="160">
        <f>Monthly_kWh!CB20</f>
        <v>0</v>
      </c>
      <c r="DB20" s="160">
        <f>Monthly_kWh!CC20</f>
        <v>0</v>
      </c>
      <c r="DC20" s="160">
        <f>Monthly_kWh!CD20</f>
        <v>0</v>
      </c>
      <c r="DD20" s="160">
        <f>Monthly_kWh!CE20</f>
        <v>0</v>
      </c>
      <c r="DE20" s="160">
        <f>Monthly_kWh!CF20</f>
        <v>4.8948999999998598E-2</v>
      </c>
      <c r="DF20" s="160">
        <f>Monthly_kWh!CG20</f>
        <v>0</v>
      </c>
      <c r="DG20" s="160">
        <f>Monthly_kWh!CH20</f>
        <v>2.0794999999997898E-3</v>
      </c>
      <c r="DH20" s="160">
        <f>Monthly_kWh!CI20</f>
        <v>0</v>
      </c>
      <c r="DI20" s="160">
        <f>Monthly_kWh!CJ20</f>
        <v>0</v>
      </c>
      <c r="DJ20" s="160">
        <f>Monthly_kWh!CK20</f>
        <v>0</v>
      </c>
      <c r="DK20" s="160">
        <f>Monthly_kWh!CL20</f>
        <v>3.6770000000000601E-2</v>
      </c>
      <c r="DL20" s="160">
        <f>Monthly_kWh!CM20</f>
        <v>5.1473920000000799</v>
      </c>
      <c r="DM20" s="160">
        <f>Monthly_kWh!CN20</f>
        <v>5.2451000000001399E-2</v>
      </c>
      <c r="DN20" s="160">
        <f>Monthly_kWh!CO20</f>
        <v>0.85134399999999699</v>
      </c>
      <c r="DO20" s="160">
        <f>Monthly_kWh!CP20</f>
        <v>0</v>
      </c>
      <c r="DP20" s="160">
        <f>Monthly_kWh!CQ20</f>
        <v>0</v>
      </c>
      <c r="DQ20" s="160">
        <f>Monthly_kWh!CR20</f>
        <v>0.14708599999999999</v>
      </c>
      <c r="DR20" s="160">
        <f>Monthly_kWh!CS20</f>
        <v>0</v>
      </c>
      <c r="DS20" s="160">
        <f>Monthly_kWh!CT20</f>
        <v>0.114952000000002</v>
      </c>
      <c r="DT20" s="160">
        <f>Monthly_kWh!CU20</f>
        <v>0</v>
      </c>
      <c r="DU20" s="160">
        <f>Monthly_kWh!CV20</f>
        <v>1.9399625000000101E-2</v>
      </c>
      <c r="DV20" s="160">
        <f>Monthly_kWh!CW20</f>
        <v>2.7083999999995001E-2</v>
      </c>
      <c r="DW20" s="160">
        <f>Monthly_kWh!CX20</f>
        <v>0.27732400000000001</v>
      </c>
      <c r="DX20" s="160">
        <f>Monthly_kWh!CY20</f>
        <v>1.9788000000000101E-2</v>
      </c>
      <c r="DY20" s="160">
        <f>Monthly_kWh!CZ20</f>
        <v>1.9479500000000101E-2</v>
      </c>
      <c r="DZ20" s="160">
        <f>Monthly_kWh!DA20</f>
        <v>0.28864000000000101</v>
      </c>
      <c r="EA20" s="160">
        <f>Monthly_kWh!DB20</f>
        <v>0.115214</v>
      </c>
      <c r="EB20" s="160">
        <f>Monthly_kWh!DC20</f>
        <v>0.21985200000000299</v>
      </c>
      <c r="EC20" s="160">
        <f>Monthly_kWh!DD20</f>
        <v>3.2547875000000101E-2</v>
      </c>
      <c r="ED20" s="160">
        <f>Monthly_kWh!DE20</f>
        <v>0</v>
      </c>
      <c r="EE20" s="160">
        <f>Monthly_kWh!DF20</f>
        <v>0</v>
      </c>
      <c r="EF20" s="160">
        <f>Monthly_kWh!DG20</f>
        <v>1.8006999999999902E-2</v>
      </c>
      <c r="EG20" s="160">
        <f>Monthly_kWh!DH20</f>
        <v>1.1710999999999999E-2</v>
      </c>
      <c r="EH20" s="160">
        <f>Monthly_kWh!DI20</f>
        <v>4.8355840000000399</v>
      </c>
      <c r="EI20" s="160">
        <f>Monthly_kWh!DJ20</f>
        <v>0</v>
      </c>
      <c r="EJ20" s="160">
        <f>Monthly_kWh!DK20</f>
        <v>6.3919999999999505E-2</v>
      </c>
      <c r="EK20" s="160">
        <f>Monthly_kWh!DL20</f>
        <v>1.8428999999999401E-2</v>
      </c>
      <c r="EL20" s="160">
        <f>Monthly_kWh!DM20</f>
        <v>4.7554999999999098E-2</v>
      </c>
      <c r="EM20" s="160">
        <f>Monthly_kWh!DN20</f>
        <v>1.0489375000000099E-3</v>
      </c>
      <c r="EN20" s="160">
        <f>Monthly_kWh!DO20</f>
        <v>0.801839999999999</v>
      </c>
      <c r="EO20" s="160">
        <f>Monthly_kWh!DP20</f>
        <v>4.6262500000000102E-2</v>
      </c>
      <c r="EP20" s="160">
        <f>Monthly_kWh!DQ20</f>
        <v>0</v>
      </c>
      <c r="EQ20" s="160">
        <f>Monthly_kWh!DR20</f>
        <v>0</v>
      </c>
      <c r="ER20" s="160">
        <f>Monthly_kWh!DS20</f>
        <v>1.21577600000001</v>
      </c>
      <c r="ES20" s="160">
        <f>Monthly_kWh!DT20</f>
        <v>0.3887275</v>
      </c>
      <c r="ET20" s="160">
        <f>Monthly_kWh!DU20</f>
        <v>2.3654999999999801E-2</v>
      </c>
      <c r="EU20" s="160">
        <f>Monthly_kWh!DV20</f>
        <v>9.8732500000000608E-3</v>
      </c>
      <c r="EV20" s="160">
        <f>Monthly_kWh!DW20</f>
        <v>0</v>
      </c>
      <c r="EW20" s="160">
        <f>Monthly_kWh!DX20</f>
        <v>0.20019300000000101</v>
      </c>
      <c r="EX20" s="160">
        <f>Monthly_kWh!DY20</f>
        <v>1.1023750000000001E-2</v>
      </c>
      <c r="EY20" s="160">
        <f>Monthly_kWh!DZ20</f>
        <v>0.105362</v>
      </c>
      <c r="EZ20" s="160">
        <f>Monthly_kWh!EA20</f>
        <v>0</v>
      </c>
      <c r="FA20" s="160">
        <f>Monthly_kWh!EB20</f>
        <v>1.24263999999999</v>
      </c>
      <c r="FB20" s="160">
        <f>Monthly_kWh!EC20</f>
        <v>0.64984000000001196</v>
      </c>
      <c r="FC20" s="160">
        <f>Monthly_kWh!ED20</f>
        <v>2.4532249999999999E-2</v>
      </c>
      <c r="FD20" s="160">
        <f>Monthly_kWh!EE20</f>
        <v>0.132218</v>
      </c>
      <c r="FE20" s="160">
        <f>Monthly_kWh!EF20</f>
        <v>15.995734999999501</v>
      </c>
      <c r="FF20" s="160">
        <f>Monthly_kWh!EG20</f>
        <v>0</v>
      </c>
      <c r="FG20" s="160">
        <f>Monthly_kWh!EH20</f>
        <v>0.66732799999999803</v>
      </c>
      <c r="FH20" s="160">
        <f>Monthly_kWh!EI20</f>
        <v>0.86720000000002495</v>
      </c>
      <c r="FI20" s="160">
        <f>Monthly_kWh!EJ20</f>
        <v>6.0288000000014101E-2</v>
      </c>
      <c r="FJ20" s="160">
        <f>Monthly_kWh!EK20</f>
        <v>0</v>
      </c>
      <c r="FK20" s="160">
        <f>Monthly_kWh!EL20</f>
        <v>0.72627199999988101</v>
      </c>
      <c r="FL20" s="160">
        <f>Monthly_kWh!EM20</f>
        <v>4.3724800000000004</v>
      </c>
      <c r="FM20" s="160">
        <f>Monthly_kWh!EN20</f>
        <v>3.4472959999998198</v>
      </c>
      <c r="FN20" s="160">
        <f>Monthly_kWh!EO20</f>
        <v>2.3054720000000102</v>
      </c>
      <c r="FO20" s="160">
        <f>Monthly_kWh!EP20</f>
        <v>0</v>
      </c>
      <c r="FP20" s="160">
        <f>Monthly_kWh!ER20</f>
        <v>3.5900429999999899</v>
      </c>
      <c r="FQ20" s="160">
        <f>Monthly_kWh!EQ20</f>
        <v>0</v>
      </c>
      <c r="FR20" s="160">
        <f>Monthly_kWh!M20</f>
        <v>0</v>
      </c>
      <c r="FS20" s="160">
        <f>Monthly_kWh!G20</f>
        <v>0</v>
      </c>
      <c r="FT20" s="160">
        <f>Monthly_kWh!C20</f>
        <v>8.9359279999999899</v>
      </c>
      <c r="FU20" s="160">
        <f>Monthly_kWh!D20</f>
        <v>9.3506059999998605</v>
      </c>
      <c r="FV20" s="160">
        <f>Monthly_kWh!E20</f>
        <v>7.8264030000000302</v>
      </c>
      <c r="FW20" s="160">
        <f>Monthly_kWh!F20</f>
        <v>0</v>
      </c>
      <c r="FX20" s="160">
        <f>Monthly_kWh!Q20</f>
        <v>8.7060480000000098</v>
      </c>
      <c r="FY20" s="160">
        <f>Monthly_kWh!R20</f>
        <v>9.1238400000002002</v>
      </c>
      <c r="FZ20" s="160">
        <f>Monthly_kWh!S20</f>
        <v>7.6441599999998298</v>
      </c>
      <c r="GA20" s="160">
        <f>Monthly_kWh!T20</f>
        <v>0</v>
      </c>
      <c r="GB20" s="160">
        <f t="shared" si="0"/>
        <v>35.741991999999982</v>
      </c>
      <c r="GC20" s="160">
        <f t="shared" si="1"/>
        <v>33.133670999999637</v>
      </c>
      <c r="GD20" s="160">
        <f t="shared" si="2"/>
        <v>2.6083210000003447</v>
      </c>
      <c r="GE20" s="159">
        <f t="shared" si="3"/>
        <v>7.2976374679965969E-2</v>
      </c>
    </row>
    <row r="21" spans="2:187" s="150" customFormat="1" ht="32.25" customHeight="1" x14ac:dyDescent="0.25">
      <c r="B21" s="168">
        <v>15</v>
      </c>
      <c r="C21" s="160">
        <f>Monthly_kWh!H21</f>
        <v>0.68990200000000002</v>
      </c>
      <c r="D21" s="160">
        <f>Monthly_kWh!I21</f>
        <v>0.70905200000000002</v>
      </c>
      <c r="E21" s="160">
        <f>Monthly_kWh!J21</f>
        <v>3.00400000000023E-3</v>
      </c>
      <c r="F21" s="160">
        <f>Monthly_kWh!K21</f>
        <v>1.8539000000000101E-2</v>
      </c>
      <c r="G21" s="160">
        <f>Monthly_kWh!L21</f>
        <v>3.73029999999996E-2</v>
      </c>
      <c r="H21" s="160">
        <f>Monthly_kWh!U21</f>
        <v>0.37328000000000799</v>
      </c>
      <c r="I21" s="160">
        <f>Monthly_kWh!P21</f>
        <v>0.209031999999993</v>
      </c>
      <c r="J21" s="160">
        <f>Monthly_kWh!N21</f>
        <v>2.8726439999999198</v>
      </c>
      <c r="K21" s="160">
        <f>Monthly_kWh!O21</f>
        <v>2.9615190000001799</v>
      </c>
      <c r="L21" s="160">
        <f>Monthly_kWh!B21</f>
        <v>11.785625</v>
      </c>
      <c r="M21" s="160">
        <f>Monthly_kWh!AR21</f>
        <v>3.3208959999999501</v>
      </c>
      <c r="N21" s="160">
        <f>Monthly_kWh!BM21</f>
        <v>0.34756800000002402</v>
      </c>
      <c r="O21" s="160">
        <f>Monthly_kWh!CM21</f>
        <v>3.69856000000004</v>
      </c>
      <c r="P21" s="160">
        <f>Monthly_kWh!DI21</f>
        <v>2.2065280000000498</v>
      </c>
      <c r="Q21" s="160">
        <f>Monthly_kWh!EF21</f>
        <v>8.3374210000001803</v>
      </c>
      <c r="R21" s="119">
        <f>SUM('Zone wise Meter data'!O44:AF44)</f>
        <v>1.3802654999999988</v>
      </c>
      <c r="S21" s="115">
        <f>SUM('Zone wise Meter data'!AG44:AW44)</f>
        <v>1.8499950000000174</v>
      </c>
      <c r="T21" s="115">
        <f>SUM('Zone wise Meter data'!AX44:BA44)</f>
        <v>0.80187699999993978</v>
      </c>
      <c r="U21" s="115">
        <f>SUM('Zone wise Meter data'!BB44:BC44)</f>
        <v>1.3584639999999699</v>
      </c>
      <c r="V21" s="115">
        <f>SUM('Zone wise Meter data'!BD44:BL44)</f>
        <v>8.3291309999995651</v>
      </c>
      <c r="W21" s="115">
        <f>SUM('Zone wise Meter data'!BM44:BX44)</f>
        <v>9.3096000000004051E-2</v>
      </c>
      <c r="X21" s="115">
        <f>SUM('Zone wise Meter data'!BY44:CE44)</f>
        <v>4.1958750000001812E-3</v>
      </c>
      <c r="Y21" s="115">
        <f>SUM('Zone wise Meter data'!CF44:CK44)</f>
        <v>0.36027412500000233</v>
      </c>
      <c r="Z21" s="115">
        <f>SUM('Zone wise Meter data'!CL44:CO44)</f>
        <v>0.42553599999999403</v>
      </c>
      <c r="AA21" s="115">
        <f>SUM('Zone wise Meter data'!CP44:DD44)</f>
        <v>1.074111562499992</v>
      </c>
      <c r="AB21" s="115">
        <f>SUM('Zone wise Meter data'!DE44:DN44)</f>
        <v>0.16852448828125102</v>
      </c>
      <c r="AC21" s="115">
        <f>SUM('Zone wise Meter data'!DO44:ED44)</f>
        <v>0</v>
      </c>
      <c r="AD21" s="160">
        <f>Monthly_kWh!AW21</f>
        <v>0.77958400000000005</v>
      </c>
      <c r="AE21" s="160">
        <f>Monthly_kWh!DS21</f>
        <v>0.57887999999996997</v>
      </c>
      <c r="AF21" s="160">
        <f>Monthly_kWh!EL21</f>
        <v>0</v>
      </c>
      <c r="AG21" s="160">
        <f>Monthly_kWh!EK21</f>
        <v>0</v>
      </c>
      <c r="AH21" s="160">
        <f>Monthly_kWh!EN21</f>
        <v>2.0321279999998301</v>
      </c>
      <c r="AI21" s="160">
        <f>Monthly_kWh!EO21</f>
        <v>0.14841599999999699</v>
      </c>
      <c r="AJ21" s="160">
        <f>Monthly_kWh!EM21</f>
        <v>3.62547199999972</v>
      </c>
      <c r="AK21" s="160">
        <f>Monthly_kWh!ER21</f>
        <v>1.77418900000001</v>
      </c>
      <c r="AL21" s="160">
        <f>Monthly_kWh!EI21</f>
        <v>0.59955199999990305</v>
      </c>
      <c r="AM21" s="160">
        <f>Monthly_kWh!EJ21+Hourly_kWh!AS21</f>
        <v>7.7730000000126847E-3</v>
      </c>
      <c r="AN21" s="160">
        <f>Monthly_kWh!CX21+Hourly_kWh!CY21+Hourly_kWh!DC21+Hourly_kWh!DD21</f>
        <v>0.24991350000000095</v>
      </c>
      <c r="AO21" s="160">
        <f>SUM(Hourly_kWh!AI21:AQ21)</f>
        <v>7.3841562500020053E-2</v>
      </c>
      <c r="AP21" s="160">
        <f>SUM(Hourly_kWh!V21:AG21)</f>
        <v>3.5888500000004875E-2</v>
      </c>
      <c r="AQ21" s="160">
        <f>Monthly_kWh!DB21</f>
        <v>8.8310000000001707E-2</v>
      </c>
      <c r="AR21" s="160">
        <f>Monthly_kWh!CO21</f>
        <v>0.38574400000000297</v>
      </c>
      <c r="AS21" s="160">
        <f>Monthly_kWh!BJ21</f>
        <v>1.1589999999976901E-3</v>
      </c>
      <c r="AT21" s="160">
        <f>Monthly_kWh!U21</f>
        <v>0.37328000000000799</v>
      </c>
      <c r="AU21" s="160">
        <f>Monthly_kWh!V21</f>
        <v>0.12337000000000101</v>
      </c>
      <c r="AV21" s="160">
        <f>Monthly_kWh!W21</f>
        <v>1.73450000000006E-2</v>
      </c>
      <c r="AW21" s="160">
        <f>Monthly_kWh!X21</f>
        <v>4.6405999999999302E-2</v>
      </c>
      <c r="AX21" s="160">
        <f>Monthly_kWh!Y21</f>
        <v>0</v>
      </c>
      <c r="AY21" s="160">
        <f>Monthly_kWh!Z21</f>
        <v>4.4449000000000197E-2</v>
      </c>
      <c r="AZ21" s="160">
        <f>Monthly_kWh!AA21</f>
        <v>8.8936000000000306E-2</v>
      </c>
      <c r="BA21" s="160">
        <f>Monthly_kWh!AB21</f>
        <v>0.15492600000000001</v>
      </c>
      <c r="BB21" s="160">
        <f>Monthly_kWh!AC21</f>
        <v>0.122602000000001</v>
      </c>
      <c r="BC21" s="160">
        <f>Monthly_kWh!AD21</f>
        <v>6.00934999999998E-2</v>
      </c>
      <c r="BD21" s="160">
        <f>Monthly_kWh!AE21</f>
        <v>5.5679500000000097E-2</v>
      </c>
      <c r="BE21" s="160">
        <f>Monthly_kWh!AF21</f>
        <v>0</v>
      </c>
      <c r="BF21" s="160">
        <f>Monthly_kWh!AG21</f>
        <v>1.09729999999999E-2</v>
      </c>
      <c r="BG21" s="160">
        <f>Monthly_kWh!AH21</f>
        <v>1.43494399999997</v>
      </c>
      <c r="BH21" s="160">
        <f>Monthly_kWh!AI21</f>
        <v>0</v>
      </c>
      <c r="BI21" s="160">
        <f>Monthly_kWh!AJ21</f>
        <v>2.32729999999997E-2</v>
      </c>
      <c r="BJ21" s="160">
        <f>Monthly_kWh!AK21</f>
        <v>0</v>
      </c>
      <c r="BK21" s="160">
        <f>Monthly_kWh!AL21</f>
        <v>0.253336000000004</v>
      </c>
      <c r="BL21" s="160">
        <f>Monthly_kWh!AM21</f>
        <v>0.40341600000000699</v>
      </c>
      <c r="BM21" s="160">
        <f>Monthly_kWh!AN21</f>
        <v>0.28815200000001101</v>
      </c>
      <c r="BN21" s="160">
        <f>Monthly_kWh!AO21</f>
        <v>0.112231999999999</v>
      </c>
      <c r="BO21" s="160">
        <f>Monthly_kWh!AP21</f>
        <v>7.0869999999999295E-2</v>
      </c>
      <c r="BP21" s="160">
        <f>Monthly_kWh!AQ21</f>
        <v>0.16378799999999699</v>
      </c>
      <c r="BQ21" s="160">
        <f>Monthly_kWh!AR21</f>
        <v>3.3208959999999501</v>
      </c>
      <c r="BR21" s="160">
        <f>Monthly_kWh!AS21</f>
        <v>2.8212999999999998E-2</v>
      </c>
      <c r="BS21" s="160">
        <f>Monthly_kWh!AT21</f>
        <v>0</v>
      </c>
      <c r="BT21" s="160">
        <f>Monthly_kWh!AU21</f>
        <v>4.1351999999996301E-2</v>
      </c>
      <c r="BU21" s="160">
        <f>Monthly_kWh!AV21</f>
        <v>1.4647500000000599E-2</v>
      </c>
      <c r="BV21" s="160">
        <f>Monthly_kWh!AW21</f>
        <v>0.77958400000000005</v>
      </c>
      <c r="BW21" s="160">
        <f>Monthly_kWh!AX21</f>
        <v>0</v>
      </c>
      <c r="BX21" s="160">
        <f>Monthly_kWh!AY21</f>
        <v>6.5285499999999899E-2</v>
      </c>
      <c r="BY21" s="160">
        <f>Monthly_kWh!AZ21</f>
        <v>0</v>
      </c>
      <c r="BZ21" s="160">
        <f>Monthly_kWh!BA21</f>
        <v>0</v>
      </c>
      <c r="CA21" s="160">
        <f>Monthly_kWh!BB21</f>
        <v>0</v>
      </c>
      <c r="CB21" s="160">
        <f>Monthly_kWh!BC21</f>
        <v>0</v>
      </c>
      <c r="CC21" s="160">
        <f>Monthly_kWh!BD21</f>
        <v>2.4719882812499999E-3</v>
      </c>
      <c r="CD21" s="160">
        <f>Monthly_kWh!BE21</f>
        <v>0.24221599999999899</v>
      </c>
      <c r="CE21" s="160">
        <f>Monthly_kWh!BF21</f>
        <v>0</v>
      </c>
      <c r="CF21" s="160">
        <f>Monthly_kWh!BG21</f>
        <v>1.1026000000001099E-2</v>
      </c>
      <c r="CG21" s="160">
        <f>Monthly_kWh!BH21</f>
        <v>0</v>
      </c>
      <c r="CH21" s="160">
        <f>Monthly_kWh!BI21</f>
        <v>1.90761599999996</v>
      </c>
      <c r="CI21" s="160">
        <f>Monthly_kWh!BJ21</f>
        <v>1.1589999999976901E-3</v>
      </c>
      <c r="CJ21" s="160">
        <f>Monthly_kWh!BK21</f>
        <v>4.1409999999999898E-2</v>
      </c>
      <c r="CK21" s="160">
        <f>Monthly_kWh!BL21</f>
        <v>9.9999999996214194E-6</v>
      </c>
      <c r="CL21" s="160">
        <f>Monthly_kWh!BM21</f>
        <v>0.34756800000002402</v>
      </c>
      <c r="CM21" s="160">
        <f>Monthly_kWh!BN21</f>
        <v>0</v>
      </c>
      <c r="CN21" s="160">
        <f>Monthly_kWh!BO21</f>
        <v>7.0184000000001107E-2</v>
      </c>
      <c r="CO21" s="160">
        <f>Monthly_kWh!BP21</f>
        <v>0</v>
      </c>
      <c r="CP21" s="160">
        <f>Monthly_kWh!BQ21</f>
        <v>0</v>
      </c>
      <c r="CQ21" s="160">
        <f>Monthly_kWh!BR21</f>
        <v>0</v>
      </c>
      <c r="CR21" s="160">
        <f>Monthly_kWh!BS21</f>
        <v>0</v>
      </c>
      <c r="CS21" s="160">
        <f>Monthly_kWh!BT21</f>
        <v>2.7983999999996501E-2</v>
      </c>
      <c r="CT21" s="160">
        <f>Monthly_kWh!BU21</f>
        <v>0</v>
      </c>
      <c r="CU21" s="160">
        <f>Monthly_kWh!BV21</f>
        <v>0</v>
      </c>
      <c r="CV21" s="160">
        <f>Monthly_kWh!BW21</f>
        <v>0</v>
      </c>
      <c r="CW21" s="160">
        <f>Monthly_kWh!BX21</f>
        <v>0</v>
      </c>
      <c r="CX21" s="160">
        <f>Monthly_kWh!BY21</f>
        <v>0</v>
      </c>
      <c r="CY21" s="160">
        <f>Monthly_kWh!BZ21</f>
        <v>0.186864</v>
      </c>
      <c r="CZ21" s="160">
        <f>Monthly_kWh!CA21</f>
        <v>1.5792000000004702E-2</v>
      </c>
      <c r="DA21" s="160">
        <f>Monthly_kWh!CB21</f>
        <v>0</v>
      </c>
      <c r="DB21" s="160">
        <f>Monthly_kWh!CC21</f>
        <v>0</v>
      </c>
      <c r="DC21" s="160">
        <f>Monthly_kWh!CD21</f>
        <v>0</v>
      </c>
      <c r="DD21" s="160">
        <f>Monthly_kWh!CE21</f>
        <v>0</v>
      </c>
      <c r="DE21" s="160">
        <f>Monthly_kWh!CF21</f>
        <v>2.12560000000011E-2</v>
      </c>
      <c r="DF21" s="160">
        <f>Monthly_kWh!CG21</f>
        <v>0</v>
      </c>
      <c r="DG21" s="160">
        <f>Monthly_kWh!CH21</f>
        <v>5.5750000000021104E-4</v>
      </c>
      <c r="DH21" s="160">
        <f>Monthly_kWh!CI21</f>
        <v>0</v>
      </c>
      <c r="DI21" s="160">
        <f>Monthly_kWh!CJ21</f>
        <v>0</v>
      </c>
      <c r="DJ21" s="160">
        <f>Monthly_kWh!CK21</f>
        <v>0</v>
      </c>
      <c r="DK21" s="160">
        <f>Monthly_kWh!CL21</f>
        <v>5.27979999999992E-2</v>
      </c>
      <c r="DL21" s="160">
        <f>Monthly_kWh!CM21</f>
        <v>3.69856000000004</v>
      </c>
      <c r="DM21" s="160">
        <f>Monthly_kWh!CN21</f>
        <v>6.0332499999999498E-2</v>
      </c>
      <c r="DN21" s="160">
        <f>Monthly_kWh!CO21</f>
        <v>0.38574400000000297</v>
      </c>
      <c r="DO21" s="160">
        <f>Monthly_kWh!CP21</f>
        <v>0</v>
      </c>
      <c r="DP21" s="160">
        <f>Monthly_kWh!CQ21</f>
        <v>0</v>
      </c>
      <c r="DQ21" s="160">
        <f>Monthly_kWh!CR21</f>
        <v>9.4763999999999599E-2</v>
      </c>
      <c r="DR21" s="160">
        <f>Monthly_kWh!CS21</f>
        <v>0</v>
      </c>
      <c r="DS21" s="160">
        <f>Monthly_kWh!CT21</f>
        <v>8.6576000000007994E-2</v>
      </c>
      <c r="DT21" s="160">
        <f>Monthly_kWh!CU21</f>
        <v>0</v>
      </c>
      <c r="DU21" s="160">
        <f>Monthly_kWh!CV21</f>
        <v>3.6383749999999702E-3</v>
      </c>
      <c r="DV21" s="160">
        <f>Monthly_kWh!CW21</f>
        <v>2.5120000000029602E-3</v>
      </c>
      <c r="DW21" s="160">
        <f>Monthly_kWh!CX21</f>
        <v>0.240068000000001</v>
      </c>
      <c r="DX21" s="160">
        <f>Monthly_kWh!CY21</f>
        <v>1.6828999999999799E-2</v>
      </c>
      <c r="DY21" s="160">
        <f>Monthly_kWh!CZ21</f>
        <v>1.8551000000000002E-2</v>
      </c>
      <c r="DZ21" s="160">
        <f>Monthly_kWh!DA21</f>
        <v>0.274872000000002</v>
      </c>
      <c r="EA21" s="160">
        <f>Monthly_kWh!DB21</f>
        <v>8.8310000000001707E-2</v>
      </c>
      <c r="EB21" s="160">
        <f>Monthly_kWh!DC21</f>
        <v>0.19953600000000199</v>
      </c>
      <c r="EC21" s="160">
        <f>Monthly_kWh!DD21</f>
        <v>2.9617000000000001E-2</v>
      </c>
      <c r="ED21" s="160">
        <f>Monthly_kWh!DE21</f>
        <v>0</v>
      </c>
      <c r="EE21" s="160">
        <f>Monthly_kWh!DF21</f>
        <v>0</v>
      </c>
      <c r="EF21" s="160">
        <f>Monthly_kWh!DG21</f>
        <v>1.84899999999999E-3</v>
      </c>
      <c r="EG21" s="160">
        <f>Monthly_kWh!DH21</f>
        <v>6.7469999999998399E-3</v>
      </c>
      <c r="EH21" s="160">
        <f>Monthly_kWh!DI21</f>
        <v>2.2065280000000498</v>
      </c>
      <c r="EI21" s="160">
        <f>Monthly_kWh!DJ21</f>
        <v>0</v>
      </c>
      <c r="EJ21" s="160">
        <f>Monthly_kWh!DK21</f>
        <v>6.4248000000002706E-2</v>
      </c>
      <c r="EK21" s="160">
        <f>Monthly_kWh!DL21</f>
        <v>0</v>
      </c>
      <c r="EL21" s="160">
        <f>Monthly_kWh!DM21</f>
        <v>3.4779000000000303E-2</v>
      </c>
      <c r="EM21" s="160">
        <f>Monthly_kWh!DN21</f>
        <v>7.8725000000001699E-4</v>
      </c>
      <c r="EN21" s="160">
        <f>Monthly_kWh!DO21</f>
        <v>0.68611199999997996</v>
      </c>
      <c r="EO21" s="160">
        <f>Monthly_kWh!DP21</f>
        <v>1.7836000000000001E-2</v>
      </c>
      <c r="EP21" s="160">
        <f>Monthly_kWh!DQ21</f>
        <v>0</v>
      </c>
      <c r="EQ21" s="160">
        <f>Monthly_kWh!DR21</f>
        <v>0</v>
      </c>
      <c r="ER21" s="160">
        <f>Monthly_kWh!DS21</f>
        <v>0.57887999999996997</v>
      </c>
      <c r="ES21" s="160">
        <f>Monthly_kWh!DT21</f>
        <v>0.10837812500000001</v>
      </c>
      <c r="ET21" s="160">
        <f>Monthly_kWh!DU21</f>
        <v>2.41000000000824E-4</v>
      </c>
      <c r="EU21" s="160">
        <f>Monthly_kWh!DV21</f>
        <v>6.79549999999995E-3</v>
      </c>
      <c r="EV21" s="160">
        <f>Monthly_kWh!DW21</f>
        <v>0</v>
      </c>
      <c r="EW21" s="160">
        <f>Monthly_kWh!DX21</f>
        <v>0.19364400000000101</v>
      </c>
      <c r="EX21" s="160">
        <f>Monthly_kWh!DY21</f>
        <v>3.5135625000000102E-3</v>
      </c>
      <c r="EY21" s="160">
        <f>Monthly_kWh!DZ21</f>
        <v>7.05860000000023E-2</v>
      </c>
      <c r="EZ21" s="160">
        <f>Monthly_kWh!EA21</f>
        <v>0</v>
      </c>
      <c r="FA21" s="160">
        <f>Monthly_kWh!EB21</f>
        <v>0.31246400000000601</v>
      </c>
      <c r="FB21" s="160">
        <f>Monthly_kWh!EC21</f>
        <v>0.113071999999988</v>
      </c>
      <c r="FC21" s="160">
        <f>Monthly_kWh!ED21</f>
        <v>8.0202499999999493E-3</v>
      </c>
      <c r="FD21" s="160">
        <f>Monthly_kWh!EE21</f>
        <v>0.1396415</v>
      </c>
      <c r="FE21" s="160">
        <f>Monthly_kWh!EF21</f>
        <v>8.3374210000001803</v>
      </c>
      <c r="FF21" s="160">
        <f>Monthly_kWh!EG21</f>
        <v>0</v>
      </c>
      <c r="FG21" s="160">
        <f>Monthly_kWh!EH21</f>
        <v>0.169344000000024</v>
      </c>
      <c r="FH21" s="160">
        <f>Monthly_kWh!EI21</f>
        <v>0.59955199999990305</v>
      </c>
      <c r="FI21" s="160">
        <f>Monthly_kWh!EJ21</f>
        <v>4.7680000000127603E-3</v>
      </c>
      <c r="FJ21" s="160">
        <f>Monthly_kWh!EK21</f>
        <v>0</v>
      </c>
      <c r="FK21" s="160">
        <f>Monthly_kWh!EL21</f>
        <v>0</v>
      </c>
      <c r="FL21" s="160">
        <f>Monthly_kWh!EM21</f>
        <v>3.62547199999972</v>
      </c>
      <c r="FM21" s="160">
        <f>Monthly_kWh!EN21</f>
        <v>2.0321279999998301</v>
      </c>
      <c r="FN21" s="160">
        <f>Monthly_kWh!EO21</f>
        <v>0.14841599999999699</v>
      </c>
      <c r="FO21" s="160">
        <f>Monthly_kWh!EP21</f>
        <v>0</v>
      </c>
      <c r="FP21" s="160">
        <f>Monthly_kWh!ER21</f>
        <v>1.77418900000001</v>
      </c>
      <c r="FQ21" s="160">
        <f>Monthly_kWh!EQ21</f>
        <v>0</v>
      </c>
      <c r="FR21" s="160">
        <f>Monthly_kWh!M21</f>
        <v>1.4783390000000001</v>
      </c>
      <c r="FS21" s="160">
        <f>Monthly_kWh!G21</f>
        <v>1.475857</v>
      </c>
      <c r="FT21" s="160">
        <f>Monthly_kWh!C21</f>
        <v>4.4889759999999796</v>
      </c>
      <c r="FU21" s="160">
        <f>Monthly_kWh!D21</f>
        <v>4.7623730000000304</v>
      </c>
      <c r="FV21" s="160">
        <f>Monthly_kWh!E21</f>
        <v>4.0147519999999304</v>
      </c>
      <c r="FW21" s="160">
        <f>Monthly_kWh!F21</f>
        <v>0</v>
      </c>
      <c r="FX21" s="160">
        <f>Monthly_kWh!Q21</f>
        <v>4.3704319999997097</v>
      </c>
      <c r="FY21" s="160">
        <f>Monthly_kWh!R21</f>
        <v>4.6776320000026299</v>
      </c>
      <c r="FZ21" s="160">
        <f>Monthly_kWh!S21</f>
        <v>3.8763519999993199</v>
      </c>
      <c r="GA21" s="160">
        <f>Monthly_kWh!T21</f>
        <v>0</v>
      </c>
      <c r="GB21" s="160">
        <f t="shared" si="0"/>
        <v>19.6599000000001</v>
      </c>
      <c r="GC21" s="160">
        <f t="shared" si="1"/>
        <v>17.910973000000244</v>
      </c>
      <c r="GD21" s="160">
        <f t="shared" si="2"/>
        <v>1.7489269999998562</v>
      </c>
      <c r="GE21" s="159">
        <f t="shared" si="3"/>
        <v>8.8959099486764809E-2</v>
      </c>
    </row>
    <row r="22" spans="2:187" s="150" customFormat="1" ht="32.25" customHeight="1" x14ac:dyDescent="0.25">
      <c r="B22" s="168">
        <v>16</v>
      </c>
      <c r="C22" s="160">
        <f>Monthly_kWh!H22</f>
        <v>0</v>
      </c>
      <c r="D22" s="160">
        <f>Monthly_kWh!I22</f>
        <v>0</v>
      </c>
      <c r="E22" s="160">
        <f>Monthly_kWh!J22</f>
        <v>0</v>
      </c>
      <c r="F22" s="160">
        <f>Monthly_kWh!K22</f>
        <v>0</v>
      </c>
      <c r="G22" s="160">
        <f>Monthly_kWh!L22</f>
        <v>0</v>
      </c>
      <c r="H22" s="160">
        <f>Monthly_kWh!U22</f>
        <v>0.53606399999999599</v>
      </c>
      <c r="I22" s="160">
        <f>Monthly_kWh!P22</f>
        <v>0.23336200000000701</v>
      </c>
      <c r="J22" s="160">
        <f>Monthly_kWh!N22</f>
        <v>3.4210470000000401</v>
      </c>
      <c r="K22" s="160">
        <f>Monthly_kWh!O22</f>
        <v>3.5283849999999601</v>
      </c>
      <c r="L22" s="160">
        <f>Monthly_kWh!B22</f>
        <v>25.9755</v>
      </c>
      <c r="M22" s="160">
        <f>Monthly_kWh!AR22</f>
        <v>5.6988479999999999</v>
      </c>
      <c r="N22" s="160">
        <f>Monthly_kWh!BM22</f>
        <v>2.1651999999999698</v>
      </c>
      <c r="O22" s="160">
        <f>Monthly_kWh!CM22</f>
        <v>4.8894719999998397</v>
      </c>
      <c r="P22" s="160">
        <f>Monthly_kWh!DI22</f>
        <v>4.9701119999999701</v>
      </c>
      <c r="Q22" s="160">
        <f>Monthly_kWh!EF22</f>
        <v>13.3711750000011</v>
      </c>
      <c r="R22" s="119">
        <f>SUM('Zone wise Meter data'!O45:AF45)</f>
        <v>1.4541977499999996</v>
      </c>
      <c r="S22" s="115">
        <f>SUM('Zone wise Meter data'!AG45:AW45)</f>
        <v>2.5097689999999861</v>
      </c>
      <c r="T22" s="115">
        <f>SUM('Zone wise Meter data'!AX45:BA45)</f>
        <v>1.2578575000000509</v>
      </c>
      <c r="U22" s="115">
        <f>SUM('Zone wise Meter data'!BB45:BC45)</f>
        <v>3.4766399999999198</v>
      </c>
      <c r="V22" s="115">
        <f>SUM('Zone wise Meter data'!BD45:BL45)</f>
        <v>13.304500000000203</v>
      </c>
      <c r="W22" s="115">
        <f>SUM('Zone wise Meter data'!BM45:BX45)</f>
        <v>0.57153449999999617</v>
      </c>
      <c r="X22" s="115">
        <f>SUM('Zone wise Meter data'!BY45:CE45)</f>
        <v>2.0677875000000071E-2</v>
      </c>
      <c r="Y22" s="115">
        <f>SUM('Zone wise Meter data'!CF45:CK45)</f>
        <v>2.0285017499999927</v>
      </c>
      <c r="Z22" s="115">
        <f>SUM('Zone wise Meter data'!CL45:CO45)</f>
        <v>2.02136000000002</v>
      </c>
      <c r="AA22" s="115">
        <f>SUM('Zone wise Meter data'!CP45:DD45)</f>
        <v>1.3860112500000072</v>
      </c>
      <c r="AB22" s="115">
        <f>SUM('Zone wise Meter data'!DE45:DN45)</f>
        <v>0.31627160156249734</v>
      </c>
      <c r="AC22" s="115">
        <f>SUM('Zone wise Meter data'!DO45:ED45)</f>
        <v>0</v>
      </c>
      <c r="AD22" s="160">
        <f>Monthly_kWh!AW22</f>
        <v>2.21324799999991</v>
      </c>
      <c r="AE22" s="160">
        <f>Monthly_kWh!DS22</f>
        <v>1.2633920000000101</v>
      </c>
      <c r="AF22" s="160">
        <f>Monthly_kWh!EL22</f>
        <v>0.84377599999993402</v>
      </c>
      <c r="AG22" s="160">
        <f>Monthly_kWh!EK22</f>
        <v>0</v>
      </c>
      <c r="AH22" s="160">
        <f>Monthly_kWh!EN22</f>
        <v>2.4637440000001298</v>
      </c>
      <c r="AI22" s="160">
        <f>Monthly_kWh!EO22</f>
        <v>1.9248000000000001</v>
      </c>
      <c r="AJ22" s="160">
        <f>Monthly_kWh!EM22</f>
        <v>3.82361600000013</v>
      </c>
      <c r="AK22" s="160">
        <f>Monthly_kWh!ER22</f>
        <v>3.1520250000000098</v>
      </c>
      <c r="AL22" s="160">
        <f>Monthly_kWh!EI22</f>
        <v>0.61254400000007103</v>
      </c>
      <c r="AM22" s="160">
        <f>Monthly_kWh!EJ22+Hourly_kWh!AS22</f>
        <v>4.4028499999995169E-2</v>
      </c>
      <c r="AN22" s="160">
        <f>Monthly_kWh!CX22+Hourly_kWh!CY22+Hourly_kWh!DC22+Hourly_kWh!DD22</f>
        <v>0.26213387499999979</v>
      </c>
      <c r="AO22" s="160">
        <f>SUM(Hourly_kWh!AI22:AQ22)</f>
        <v>7.3233312500012138E-2</v>
      </c>
      <c r="AP22" s="160">
        <f>SUM(Hourly_kWh!V22:AG22)</f>
        <v>3.7027499999997104E-2</v>
      </c>
      <c r="AQ22" s="160">
        <f>Monthly_kWh!DB22</f>
        <v>0.117958999999999</v>
      </c>
      <c r="AR22" s="160">
        <f>Monthly_kWh!CO22</f>
        <v>0.71738800000000003</v>
      </c>
      <c r="AS22" s="160">
        <f>Monthly_kWh!BJ22</f>
        <v>8.1430000000004606E-3</v>
      </c>
      <c r="AT22" s="160">
        <f>Monthly_kWh!U22</f>
        <v>0.53606399999999599</v>
      </c>
      <c r="AU22" s="160">
        <f>Monthly_kWh!V22</f>
        <v>0.14308400000000199</v>
      </c>
      <c r="AV22" s="160">
        <f>Monthly_kWh!W22</f>
        <v>5.7130000000000798E-2</v>
      </c>
      <c r="AW22" s="160">
        <f>Monthly_kWh!X22</f>
        <v>6.2675000000000494E-2</v>
      </c>
      <c r="AX22" s="160">
        <f>Monthly_kWh!Y22</f>
        <v>0</v>
      </c>
      <c r="AY22" s="160">
        <f>Monthly_kWh!Z22</f>
        <v>4.3897000000001199E-2</v>
      </c>
      <c r="AZ22" s="160">
        <f>Monthly_kWh!AA22</f>
        <v>0.11529200000000001</v>
      </c>
      <c r="BA22" s="160">
        <f>Monthly_kWh!AB22</f>
        <v>0.15920799999999999</v>
      </c>
      <c r="BB22" s="160">
        <f>Monthly_kWh!AC22</f>
        <v>0.123829999999998</v>
      </c>
      <c r="BC22" s="160">
        <f>Monthly_kWh!AD22</f>
        <v>5.4778000000000701E-2</v>
      </c>
      <c r="BD22" s="160">
        <f>Monthly_kWh!AE22</f>
        <v>9.2153499999999305E-2</v>
      </c>
      <c r="BE22" s="160">
        <f>Monthly_kWh!AF22</f>
        <v>0</v>
      </c>
      <c r="BF22" s="160">
        <f>Monthly_kWh!AG22</f>
        <v>1.37687499999997E-2</v>
      </c>
      <c r="BG22" s="160">
        <f>Monthly_kWh!AH22</f>
        <v>2.0185600000000399</v>
      </c>
      <c r="BH22" s="160">
        <f>Monthly_kWh!AI22</f>
        <v>0</v>
      </c>
      <c r="BI22" s="160">
        <f>Monthly_kWh!AJ22</f>
        <v>4.1349999999999602E-2</v>
      </c>
      <c r="BJ22" s="160">
        <f>Monthly_kWh!AK22</f>
        <v>0</v>
      </c>
      <c r="BK22" s="160">
        <f>Monthly_kWh!AL22</f>
        <v>0.34176800000000201</v>
      </c>
      <c r="BL22" s="160">
        <f>Monthly_kWh!AM22</f>
        <v>0.49423999999999102</v>
      </c>
      <c r="BM22" s="160">
        <f>Monthly_kWh!AN22</f>
        <v>0.397695999999996</v>
      </c>
      <c r="BN22" s="160">
        <f>Monthly_kWh!AO22</f>
        <v>0.15853599999999801</v>
      </c>
      <c r="BO22" s="160">
        <f>Monthly_kWh!AP22</f>
        <v>8.7151999999999702E-2</v>
      </c>
      <c r="BP22" s="160">
        <f>Monthly_kWh!AQ22</f>
        <v>0.335811999999997</v>
      </c>
      <c r="BQ22" s="160">
        <f>Monthly_kWh!AR22</f>
        <v>5.6988479999999999</v>
      </c>
      <c r="BR22" s="160">
        <f>Monthly_kWh!AS22</f>
        <v>8.8321500000000205E-2</v>
      </c>
      <c r="BS22" s="160">
        <f>Monthly_kWh!AT22</f>
        <v>0</v>
      </c>
      <c r="BT22" s="160">
        <f>Monthly_kWh!AU22</f>
        <v>4.3796000000000397E-2</v>
      </c>
      <c r="BU22" s="160">
        <f>Monthly_kWh!AV22</f>
        <v>4.3607999999999897E-2</v>
      </c>
      <c r="BV22" s="160">
        <f>Monthly_kWh!AW22</f>
        <v>2.21324799999991</v>
      </c>
      <c r="BW22" s="160">
        <f>Monthly_kWh!AX22</f>
        <v>0</v>
      </c>
      <c r="BX22" s="160">
        <f>Monthly_kWh!AY22</f>
        <v>8.0801999999999402E-2</v>
      </c>
      <c r="BY22" s="160">
        <f>Monthly_kWh!AZ22</f>
        <v>0</v>
      </c>
      <c r="BZ22" s="160">
        <f>Monthly_kWh!BA22</f>
        <v>0</v>
      </c>
      <c r="CA22" s="160">
        <f>Monthly_kWh!BB22</f>
        <v>0</v>
      </c>
      <c r="CB22" s="160">
        <f>Monthly_kWh!BC22</f>
        <v>0</v>
      </c>
      <c r="CC22" s="160">
        <f>Monthly_kWh!BD22</f>
        <v>4.2966503906250002E-3</v>
      </c>
      <c r="CD22" s="160">
        <f>Monthly_kWh!BE22</f>
        <v>0.111190000000001</v>
      </c>
      <c r="CE22" s="160">
        <f>Monthly_kWh!BF22</f>
        <v>0</v>
      </c>
      <c r="CF22" s="160">
        <f>Monthly_kWh!BG22</f>
        <v>2.5050000000000201E-2</v>
      </c>
      <c r="CG22" s="160">
        <f>Monthly_kWh!BH22</f>
        <v>6.9593999999998601E-2</v>
      </c>
      <c r="CH22" s="160">
        <f>Monthly_kWh!BI22</f>
        <v>2.5978240000000001</v>
      </c>
      <c r="CI22" s="160">
        <f>Monthly_kWh!BJ22</f>
        <v>8.1430000000004606E-3</v>
      </c>
      <c r="CJ22" s="160">
        <f>Monthly_kWh!BK22</f>
        <v>0.171434</v>
      </c>
      <c r="CK22" s="160">
        <f>Monthly_kWh!BL22</f>
        <v>1.6600000000011099E-4</v>
      </c>
      <c r="CL22" s="160">
        <f>Monthly_kWh!BM22</f>
        <v>2.1651999999999698</v>
      </c>
      <c r="CM22" s="160">
        <f>Monthly_kWh!BN22</f>
        <v>0</v>
      </c>
      <c r="CN22" s="160">
        <f>Monthly_kWh!BO22</f>
        <v>0.450127</v>
      </c>
      <c r="CO22" s="160">
        <f>Monthly_kWh!BP22</f>
        <v>0</v>
      </c>
      <c r="CP22" s="160">
        <f>Monthly_kWh!BQ22</f>
        <v>0</v>
      </c>
      <c r="CQ22" s="160">
        <f>Monthly_kWh!BR22</f>
        <v>0</v>
      </c>
      <c r="CR22" s="160">
        <f>Monthly_kWh!BS22</f>
        <v>0</v>
      </c>
      <c r="CS22" s="160">
        <f>Monthly_kWh!BT22</f>
        <v>0.355960000000003</v>
      </c>
      <c r="CT22" s="160">
        <f>Monthly_kWh!BU22</f>
        <v>0</v>
      </c>
      <c r="CU22" s="160">
        <f>Monthly_kWh!BV22</f>
        <v>0</v>
      </c>
      <c r="CV22" s="160">
        <f>Monthly_kWh!BW22</f>
        <v>0</v>
      </c>
      <c r="CW22" s="160">
        <f>Monthly_kWh!BX22</f>
        <v>0</v>
      </c>
      <c r="CX22" s="160">
        <f>Monthly_kWh!BY22</f>
        <v>0</v>
      </c>
      <c r="CY22" s="160">
        <f>Monthly_kWh!BZ22</f>
        <v>0.83883199999999603</v>
      </c>
      <c r="CZ22" s="160">
        <f>Monthly_kWh!CA22</f>
        <v>0.38979999999999398</v>
      </c>
      <c r="DA22" s="160">
        <f>Monthly_kWh!CB22</f>
        <v>0</v>
      </c>
      <c r="DB22" s="160">
        <f>Monthly_kWh!CC22</f>
        <v>0</v>
      </c>
      <c r="DC22" s="160">
        <f>Monthly_kWh!CD22</f>
        <v>0</v>
      </c>
      <c r="DD22" s="160">
        <f>Monthly_kWh!CE22</f>
        <v>0</v>
      </c>
      <c r="DE22" s="160">
        <f>Monthly_kWh!CF22</f>
        <v>4.4525999999999399E-2</v>
      </c>
      <c r="DF22" s="160">
        <f>Monthly_kWh!CG22</f>
        <v>0</v>
      </c>
      <c r="DG22" s="160">
        <f>Monthly_kWh!CH22</f>
        <v>1.7320000000000701E-3</v>
      </c>
      <c r="DH22" s="160">
        <f>Monthly_kWh!CI22</f>
        <v>0</v>
      </c>
      <c r="DI22" s="160">
        <f>Monthly_kWh!CJ22</f>
        <v>0</v>
      </c>
      <c r="DJ22" s="160">
        <f>Monthly_kWh!CK22</f>
        <v>0</v>
      </c>
      <c r="DK22" s="160">
        <f>Monthly_kWh!CL22</f>
        <v>3.8584000000000201E-2</v>
      </c>
      <c r="DL22" s="160">
        <f>Monthly_kWh!CM22</f>
        <v>4.8894719999998397</v>
      </c>
      <c r="DM22" s="160">
        <f>Monthly_kWh!CN22</f>
        <v>5.52670000000006E-2</v>
      </c>
      <c r="DN22" s="160">
        <f>Monthly_kWh!CO22</f>
        <v>0.71738800000000003</v>
      </c>
      <c r="DO22" s="160">
        <f>Monthly_kWh!CP22</f>
        <v>0</v>
      </c>
      <c r="DP22" s="160">
        <f>Monthly_kWh!CQ22</f>
        <v>0</v>
      </c>
      <c r="DQ22" s="160">
        <f>Monthly_kWh!CR22</f>
        <v>0.140346000000001</v>
      </c>
      <c r="DR22" s="160">
        <f>Monthly_kWh!CS22</f>
        <v>0</v>
      </c>
      <c r="DS22" s="160">
        <f>Monthly_kWh!CT22</f>
        <v>0.21165599999999099</v>
      </c>
      <c r="DT22" s="160">
        <f>Monthly_kWh!CU22</f>
        <v>0</v>
      </c>
      <c r="DU22" s="160">
        <f>Monthly_kWh!CV22</f>
        <v>1.8945875000000001E-2</v>
      </c>
      <c r="DV22" s="160">
        <f>Monthly_kWh!CW22</f>
        <v>7.1979999999996394E-2</v>
      </c>
      <c r="DW22" s="160">
        <f>Monthly_kWh!CX22</f>
        <v>0.25239200000000001</v>
      </c>
      <c r="DX22" s="160">
        <f>Monthly_kWh!CY22</f>
        <v>1.53050000000001E-2</v>
      </c>
      <c r="DY22" s="160">
        <f>Monthly_kWh!CZ22</f>
        <v>2.4035000000000001E-2</v>
      </c>
      <c r="DZ22" s="160">
        <f>Monthly_kWh!DA22</f>
        <v>0.26119200000000098</v>
      </c>
      <c r="EA22" s="160">
        <f>Monthly_kWh!DB22</f>
        <v>0.117958999999999</v>
      </c>
      <c r="EB22" s="160">
        <f>Monthly_kWh!DC22</f>
        <v>0.203151999999996</v>
      </c>
      <c r="EC22" s="160">
        <f>Monthly_kWh!DD22</f>
        <v>3.0249000000000002E-2</v>
      </c>
      <c r="ED22" s="160">
        <f>Monthly_kWh!DE22</f>
        <v>0</v>
      </c>
      <c r="EE22" s="160">
        <f>Monthly_kWh!DF22</f>
        <v>0</v>
      </c>
      <c r="EF22" s="160">
        <f>Monthly_kWh!DG22</f>
        <v>2.53924999999997E-2</v>
      </c>
      <c r="EG22" s="160">
        <f>Monthly_kWh!DH22</f>
        <v>1.1830500000000301E-2</v>
      </c>
      <c r="EH22" s="160">
        <f>Monthly_kWh!DI22</f>
        <v>4.9701119999999701</v>
      </c>
      <c r="EI22" s="160">
        <f>Monthly_kWh!DJ22</f>
        <v>0</v>
      </c>
      <c r="EJ22" s="160">
        <f>Monthly_kWh!DK22</f>
        <v>6.4111999999997907E-2</v>
      </c>
      <c r="EK22" s="160">
        <f>Monthly_kWh!DL22</f>
        <v>1.9184951171874999E-2</v>
      </c>
      <c r="EL22" s="160">
        <f>Monthly_kWh!DM22</f>
        <v>4.66300000000004E-2</v>
      </c>
      <c r="EM22" s="160">
        <f>Monthly_kWh!DN22</f>
        <v>5.6243749999999003E-3</v>
      </c>
      <c r="EN22" s="160">
        <f>Monthly_kWh!DO22</f>
        <v>0.77838400000001695</v>
      </c>
      <c r="EO22" s="160">
        <f>Monthly_kWh!DP22</f>
        <v>3.4772499999999901E-2</v>
      </c>
      <c r="EP22" s="160">
        <f>Monthly_kWh!DQ22</f>
        <v>0</v>
      </c>
      <c r="EQ22" s="160">
        <f>Monthly_kWh!DR22</f>
        <v>0</v>
      </c>
      <c r="ER22" s="160">
        <f>Monthly_kWh!DS22</f>
        <v>1.2633920000000101</v>
      </c>
      <c r="ES22" s="160">
        <f>Monthly_kWh!DT22</f>
        <v>0.39938374999999998</v>
      </c>
      <c r="ET22" s="160">
        <f>Monthly_kWh!DU22</f>
        <v>2.5047000000000701E-2</v>
      </c>
      <c r="EU22" s="160">
        <f>Monthly_kWh!DV22</f>
        <v>1.05154999999999E-2</v>
      </c>
      <c r="EV22" s="160">
        <f>Monthly_kWh!DW22</f>
        <v>0</v>
      </c>
      <c r="EW22" s="160">
        <f>Monthly_kWh!DX22</f>
        <v>0.169428999999999</v>
      </c>
      <c r="EX22" s="160">
        <f>Monthly_kWh!DY22</f>
        <v>5.3683749999999799E-3</v>
      </c>
      <c r="EY22" s="160">
        <f>Monthly_kWh!DZ22</f>
        <v>0.10922999999999999</v>
      </c>
      <c r="EZ22" s="160">
        <f>Monthly_kWh!EA22</f>
        <v>0</v>
      </c>
      <c r="FA22" s="160">
        <f>Monthly_kWh!EB22</f>
        <v>1.3388960000000101</v>
      </c>
      <c r="FB22" s="160">
        <f>Monthly_kWh!EC22</f>
        <v>0.68246400000000995</v>
      </c>
      <c r="FC22" s="160">
        <f>Monthly_kWh!ED22</f>
        <v>3.59845000000001E-2</v>
      </c>
      <c r="FD22" s="160">
        <f>Monthly_kWh!EE22</f>
        <v>0.122736000000001</v>
      </c>
      <c r="FE22" s="160">
        <f>Monthly_kWh!EF22</f>
        <v>13.3711750000011</v>
      </c>
      <c r="FF22" s="160">
        <f>Monthly_kWh!EG22</f>
        <v>0</v>
      </c>
      <c r="FG22" s="160">
        <f>Monthly_kWh!EH22</f>
        <v>0.51513599999998405</v>
      </c>
      <c r="FH22" s="160">
        <f>Monthly_kWh!EI22</f>
        <v>0.61254400000007103</v>
      </c>
      <c r="FI22" s="160">
        <f>Monthly_kWh!EJ22</f>
        <v>4.1855999999995702E-2</v>
      </c>
      <c r="FJ22" s="160">
        <f>Monthly_kWh!EK22</f>
        <v>0</v>
      </c>
      <c r="FK22" s="160">
        <f>Monthly_kWh!EL22</f>
        <v>0.84377599999993402</v>
      </c>
      <c r="FL22" s="160">
        <f>Monthly_kWh!EM22</f>
        <v>3.82361600000013</v>
      </c>
      <c r="FM22" s="160">
        <f>Monthly_kWh!EN22</f>
        <v>2.4637440000001298</v>
      </c>
      <c r="FN22" s="160">
        <f>Monthly_kWh!EO22</f>
        <v>1.9248000000000001</v>
      </c>
      <c r="FO22" s="160">
        <f>Monthly_kWh!EP22</f>
        <v>0</v>
      </c>
      <c r="FP22" s="160">
        <f>Monthly_kWh!ER22</f>
        <v>3.1520250000000098</v>
      </c>
      <c r="FQ22" s="160">
        <f>Monthly_kWh!EQ22</f>
        <v>0</v>
      </c>
      <c r="FR22" s="160">
        <f>Monthly_kWh!M22</f>
        <v>0</v>
      </c>
      <c r="FS22" s="160">
        <f>Monthly_kWh!G22</f>
        <v>0</v>
      </c>
      <c r="FT22" s="160">
        <f>Monthly_kWh!C22</f>
        <v>8.8765300000000593</v>
      </c>
      <c r="FU22" s="160">
        <f>Monthly_kWh!D22</f>
        <v>9.2769500000000598</v>
      </c>
      <c r="FV22" s="160">
        <f>Monthly_kWh!E22</f>
        <v>7.8184300000000899</v>
      </c>
      <c r="FW22" s="160">
        <f>Monthly_kWh!F22</f>
        <v>0</v>
      </c>
      <c r="FX22" s="160">
        <f>Monthly_kWh!Q22</f>
        <v>8.6855680000007904</v>
      </c>
      <c r="FY22" s="160">
        <f>Monthly_kWh!R22</f>
        <v>9.0583039999983193</v>
      </c>
      <c r="FZ22" s="160">
        <f>Monthly_kWh!S22</f>
        <v>7.6026880000008497</v>
      </c>
      <c r="GA22" s="160">
        <f>Monthly_kWh!T22</f>
        <v>0</v>
      </c>
      <c r="GB22" s="160">
        <f t="shared" si="0"/>
        <v>33.694358000000001</v>
      </c>
      <c r="GC22" s="160">
        <f t="shared" si="1"/>
        <v>31.094807000000884</v>
      </c>
      <c r="GD22" s="160">
        <f t="shared" si="2"/>
        <v>2.5995509999991171</v>
      </c>
      <c r="GE22" s="159">
        <f t="shared" si="3"/>
        <v>7.7150928354210432E-2</v>
      </c>
    </row>
    <row r="23" spans="2:187" s="150" customFormat="1" ht="32.25" customHeight="1" x14ac:dyDescent="0.25">
      <c r="B23" s="168">
        <v>17</v>
      </c>
      <c r="C23" s="160">
        <f>Monthly_kWh!H23</f>
        <v>0.89277000000000095</v>
      </c>
      <c r="D23" s="160">
        <f>Monthly_kWh!I23</f>
        <v>2.3407000000000601E-2</v>
      </c>
      <c r="E23" s="160">
        <f>Monthly_kWh!J23</f>
        <v>1.3249000000000099E-2</v>
      </c>
      <c r="F23" s="160">
        <f>Monthly_kWh!K23</f>
        <v>0.89438700000000004</v>
      </c>
      <c r="G23" s="160">
        <f>Monthly_kWh!L23</f>
        <v>0.91056300000000101</v>
      </c>
      <c r="H23" s="160">
        <f>Monthly_kWh!U23</f>
        <v>0.54779999999999496</v>
      </c>
      <c r="I23" s="160">
        <f>Monthly_kWh!P23</f>
        <v>0.14135799999999701</v>
      </c>
      <c r="J23" s="160">
        <f>Monthly_kWh!N23</f>
        <v>2.1186959999999999</v>
      </c>
      <c r="K23" s="160">
        <f>Monthly_kWh!O23</f>
        <v>2.19864700000005</v>
      </c>
      <c r="L23" s="160">
        <f>Monthly_kWh!B23</f>
        <v>21.87425</v>
      </c>
      <c r="M23" s="160">
        <f>Monthly_kWh!AR23</f>
        <v>5.6324160000000303</v>
      </c>
      <c r="N23" s="160">
        <f>Monthly_kWh!BM23</f>
        <v>2.23801600000002</v>
      </c>
      <c r="O23" s="160">
        <f>Monthly_kWh!CM23</f>
        <v>4.1758720000000302</v>
      </c>
      <c r="P23" s="160">
        <f>Monthly_kWh!DI23</f>
        <v>5.1399679999999499</v>
      </c>
      <c r="Q23" s="160">
        <f>Monthly_kWh!EF23</f>
        <v>9.9963169999991806</v>
      </c>
      <c r="R23" s="119">
        <f>SUM('Zone wise Meter data'!O46:AF46)</f>
        <v>1.3824066250000047</v>
      </c>
      <c r="S23" s="115">
        <f>SUM('Zone wise Meter data'!AG46:AW46)</f>
        <v>2.5091409999999934</v>
      </c>
      <c r="T23" s="115">
        <f>SUM('Zone wise Meter data'!AX46:BA46)</f>
        <v>1.1247804999999729</v>
      </c>
      <c r="U23" s="115">
        <f>SUM('Zone wise Meter data'!BB46:BC46)</f>
        <v>3.5309440000000301</v>
      </c>
      <c r="V23" s="115">
        <f>SUM('Zone wise Meter data'!BD46:BL46)</f>
        <v>9.9216929999999337</v>
      </c>
      <c r="W23" s="115">
        <f>SUM('Zone wise Meter data'!BM46:BX46)</f>
        <v>0.42616500000000224</v>
      </c>
      <c r="X23" s="115">
        <f>SUM('Zone wise Meter data'!BY46:CE46)</f>
        <v>1.6307499999999746E-2</v>
      </c>
      <c r="Y23" s="115">
        <f>SUM('Zone wise Meter data'!CF46:CK46)</f>
        <v>2.1840042500000081</v>
      </c>
      <c r="Z23" s="115">
        <f>SUM('Zone wise Meter data'!CL46:CO46)</f>
        <v>2.1026400000000072</v>
      </c>
      <c r="AA23" s="115">
        <f>SUM('Zone wise Meter data'!CP46:DD46)</f>
        <v>1.3268142499999931</v>
      </c>
      <c r="AB23" s="115">
        <f>SUM('Zone wise Meter data'!DE46:DN46)</f>
        <v>0.26049283398437906</v>
      </c>
      <c r="AC23" s="115">
        <f>SUM('Zone wise Meter data'!DO46:ED46)</f>
        <v>0</v>
      </c>
      <c r="AD23" s="160">
        <f>Monthly_kWh!AW23</f>
        <v>2.14323200000001</v>
      </c>
      <c r="AE23" s="160">
        <f>Monthly_kWh!DS23</f>
        <v>1.38771200000002</v>
      </c>
      <c r="AF23" s="160">
        <f>Monthly_kWh!EL23</f>
        <v>0.153471999999965</v>
      </c>
      <c r="AG23" s="160">
        <f>Monthly_kWh!EK23</f>
        <v>0</v>
      </c>
      <c r="AH23" s="160">
        <f>Monthly_kWh!EN23</f>
        <v>2.0039679999999902</v>
      </c>
      <c r="AI23" s="160">
        <f>Monthly_kWh!EO23</f>
        <v>0.56921599999998296</v>
      </c>
      <c r="AJ23" s="160">
        <f>Monthly_kWh!EM23</f>
        <v>3.646976</v>
      </c>
      <c r="AK23" s="160">
        <f>Monthly_kWh!ER23</f>
        <v>2.602814</v>
      </c>
      <c r="AL23" s="160">
        <f>Monthly_kWh!EI23</f>
        <v>0.52179200000000503</v>
      </c>
      <c r="AM23" s="160">
        <f>Monthly_kWh!EJ23+Hourly_kWh!AS23</f>
        <v>3.0182499999988937E-2</v>
      </c>
      <c r="AN23" s="160">
        <f>Monthly_kWh!CX23+Hourly_kWh!CY23+Hourly_kWh!DC23+Hourly_kWh!DD23</f>
        <v>0.24135600000000337</v>
      </c>
      <c r="AO23" s="160">
        <f>SUM(Hourly_kWh!AI23:AQ23)</f>
        <v>6.6677093749983318E-2</v>
      </c>
      <c r="AP23" s="160">
        <f>SUM(Hourly_kWh!V23:AG23)</f>
        <v>3.3863000000004639E-2</v>
      </c>
      <c r="AQ23" s="160">
        <f>Monthly_kWh!DB23</f>
        <v>0.108539</v>
      </c>
      <c r="AR23" s="160">
        <f>Monthly_kWh!CO23</f>
        <v>0.57600399999999796</v>
      </c>
      <c r="AS23" s="160">
        <f>Monthly_kWh!BJ23</f>
        <v>6.8100000000015403E-4</v>
      </c>
      <c r="AT23" s="160">
        <f>Monthly_kWh!U23</f>
        <v>0.54779999999999496</v>
      </c>
      <c r="AU23" s="160">
        <f>Monthly_kWh!V23</f>
        <v>0.13299999999999901</v>
      </c>
      <c r="AV23" s="160">
        <f>Monthly_kWh!W23</f>
        <v>6.2341000000000001E-2</v>
      </c>
      <c r="AW23" s="160">
        <f>Monthly_kWh!X23</f>
        <v>7.3733999999999994E-2</v>
      </c>
      <c r="AX23" s="160">
        <f>Monthly_kWh!Y23</f>
        <v>0</v>
      </c>
      <c r="AY23" s="160">
        <f>Monthly_kWh!Z23</f>
        <v>4.8090999999999398E-2</v>
      </c>
      <c r="AZ23" s="160">
        <f>Monthly_kWh!AA23</f>
        <v>0.12025000000000199</v>
      </c>
      <c r="BA23" s="160">
        <f>Monthly_kWh!AB23</f>
        <v>0.147399999999998</v>
      </c>
      <c r="BB23" s="160">
        <f>Monthly_kWh!AC23</f>
        <v>0.113626</v>
      </c>
      <c r="BC23" s="160">
        <f>Monthly_kWh!AD23</f>
        <v>5.5944499999999002E-2</v>
      </c>
      <c r="BD23" s="160">
        <f>Monthly_kWh!AE23</f>
        <v>7.2787500000000394E-2</v>
      </c>
      <c r="BE23" s="160">
        <f>Monthly_kWh!AF23</f>
        <v>0</v>
      </c>
      <c r="BF23" s="160">
        <f>Monthly_kWh!AG23</f>
        <v>1.55347500000005E-2</v>
      </c>
      <c r="BG23" s="160">
        <f>Monthly_kWh!AH23</f>
        <v>1.9922879999999701</v>
      </c>
      <c r="BH23" s="160">
        <f>Monthly_kWh!AI23</f>
        <v>0</v>
      </c>
      <c r="BI23" s="160">
        <f>Monthly_kWh!AJ23</f>
        <v>3.7284000000000497E-2</v>
      </c>
      <c r="BJ23" s="160">
        <f>Monthly_kWh!AK23</f>
        <v>0</v>
      </c>
      <c r="BK23" s="160">
        <f>Monthly_kWh!AL23</f>
        <v>0.32647199999999499</v>
      </c>
      <c r="BL23" s="160">
        <f>Monthly_kWh!AM23</f>
        <v>0.49152800000000202</v>
      </c>
      <c r="BM23" s="160">
        <f>Monthly_kWh!AN23</f>
        <v>0.399591999999998</v>
      </c>
      <c r="BN23" s="160">
        <f>Monthly_kWh!AO23</f>
        <v>0.151671999999998</v>
      </c>
      <c r="BO23" s="160">
        <f>Monthly_kWh!AP23</f>
        <v>9.3394000000000005E-2</v>
      </c>
      <c r="BP23" s="160">
        <f>Monthly_kWh!AQ23</f>
        <v>0.33851200000000098</v>
      </c>
      <c r="BQ23" s="160">
        <f>Monthly_kWh!AR23</f>
        <v>5.6324160000000303</v>
      </c>
      <c r="BR23" s="160">
        <f>Monthly_kWh!AS23</f>
        <v>7.2108499999999701E-2</v>
      </c>
      <c r="BS23" s="160">
        <f>Monthly_kWh!AT23</f>
        <v>0</v>
      </c>
      <c r="BT23" s="160">
        <f>Monthly_kWh!AU23</f>
        <v>5.1112000000003398E-2</v>
      </c>
      <c r="BU23" s="160">
        <f>Monthly_kWh!AV23</f>
        <v>3.09064999999995E-2</v>
      </c>
      <c r="BV23" s="160">
        <f>Monthly_kWh!AW23</f>
        <v>2.14323200000001</v>
      </c>
      <c r="BW23" s="160">
        <f>Monthly_kWh!AX23</f>
        <v>0</v>
      </c>
      <c r="BX23" s="160">
        <f>Monthly_kWh!AY23</f>
        <v>7.4260500000000298E-2</v>
      </c>
      <c r="BY23" s="160">
        <f>Monthly_kWh!AZ23</f>
        <v>3.9999999996709301E-6</v>
      </c>
      <c r="BZ23" s="160">
        <f>Monthly_kWh!BA23</f>
        <v>0</v>
      </c>
      <c r="CA23" s="160">
        <f>Monthly_kWh!BB23</f>
        <v>0</v>
      </c>
      <c r="CB23" s="160">
        <f>Monthly_kWh!BC23</f>
        <v>0</v>
      </c>
      <c r="CC23" s="160">
        <f>Monthly_kWh!BD23</f>
        <v>4.072111328125E-3</v>
      </c>
      <c r="CD23" s="160">
        <f>Monthly_kWh!BE23</f>
        <v>0.27415600000000101</v>
      </c>
      <c r="CE23" s="160">
        <f>Monthly_kWh!BF23</f>
        <v>0</v>
      </c>
      <c r="CF23" s="160">
        <f>Monthly_kWh!BG23</f>
        <v>2.7356999999998501E-2</v>
      </c>
      <c r="CG23" s="160">
        <f>Monthly_kWh!BH23</f>
        <v>1.6082000000000801E-2</v>
      </c>
      <c r="CH23" s="160">
        <f>Monthly_kWh!BI23</f>
        <v>2.6453440000000201</v>
      </c>
      <c r="CI23" s="160">
        <f>Monthly_kWh!BJ23</f>
        <v>6.8100000000015403E-4</v>
      </c>
      <c r="CJ23" s="160">
        <f>Monthly_kWh!BK23</f>
        <v>3.9931000000000202E-2</v>
      </c>
      <c r="CK23" s="160">
        <f>Monthly_kWh!BL23</f>
        <v>4.6000000001100702E-5</v>
      </c>
      <c r="CL23" s="160">
        <f>Monthly_kWh!BM23</f>
        <v>2.23801600000002</v>
      </c>
      <c r="CM23" s="160">
        <f>Monthly_kWh!BN23</f>
        <v>0</v>
      </c>
      <c r="CN23" s="160">
        <f>Monthly_kWh!BO23</f>
        <v>0.32558500000000001</v>
      </c>
      <c r="CO23" s="160">
        <f>Monthly_kWh!BP23</f>
        <v>0</v>
      </c>
      <c r="CP23" s="160">
        <f>Monthly_kWh!BQ23</f>
        <v>0</v>
      </c>
      <c r="CQ23" s="160">
        <f>Monthly_kWh!BR23</f>
        <v>0</v>
      </c>
      <c r="CR23" s="160">
        <f>Monthly_kWh!BS23</f>
        <v>0</v>
      </c>
      <c r="CS23" s="160">
        <f>Monthly_kWh!BT23</f>
        <v>0.28723599999999999</v>
      </c>
      <c r="CT23" s="160">
        <f>Monthly_kWh!BU23</f>
        <v>0</v>
      </c>
      <c r="CU23" s="160">
        <f>Monthly_kWh!BV23</f>
        <v>0</v>
      </c>
      <c r="CV23" s="160">
        <f>Monthly_kWh!BW23</f>
        <v>0</v>
      </c>
      <c r="CW23" s="160">
        <f>Monthly_kWh!BX23</f>
        <v>0</v>
      </c>
      <c r="CX23" s="160">
        <f>Monthly_kWh!BY23</f>
        <v>0</v>
      </c>
      <c r="CY23" s="160">
        <f>Monthly_kWh!BZ23</f>
        <v>1.02801600000001</v>
      </c>
      <c r="CZ23" s="160">
        <f>Monthly_kWh!CA23</f>
        <v>0.41316799999999898</v>
      </c>
      <c r="DA23" s="160">
        <f>Monthly_kWh!CB23</f>
        <v>0</v>
      </c>
      <c r="DB23" s="160">
        <f>Monthly_kWh!CC23</f>
        <v>0</v>
      </c>
      <c r="DC23" s="160">
        <f>Monthly_kWh!CD23</f>
        <v>0</v>
      </c>
      <c r="DD23" s="160">
        <f>Monthly_kWh!CE23</f>
        <v>0</v>
      </c>
      <c r="DE23" s="160">
        <f>Monthly_kWh!CF23</f>
        <v>4.6196999999999398E-2</v>
      </c>
      <c r="DF23" s="160">
        <f>Monthly_kWh!CG23</f>
        <v>0</v>
      </c>
      <c r="DG23" s="160">
        <f>Monthly_kWh!CH23</f>
        <v>9.4249999999984602E-4</v>
      </c>
      <c r="DH23" s="160">
        <f>Monthly_kWh!CI23</f>
        <v>0</v>
      </c>
      <c r="DI23" s="160">
        <f>Monthly_kWh!CJ23</f>
        <v>0</v>
      </c>
      <c r="DJ23" s="160">
        <f>Monthly_kWh!CK23</f>
        <v>0</v>
      </c>
      <c r="DK23" s="160">
        <f>Monthly_kWh!CL23</f>
        <v>2.55340000000004E-2</v>
      </c>
      <c r="DL23" s="160">
        <f>Monthly_kWh!CM23</f>
        <v>4.1758720000000302</v>
      </c>
      <c r="DM23" s="160">
        <f>Monthly_kWh!CN23</f>
        <v>6.24554999999987E-2</v>
      </c>
      <c r="DN23" s="160">
        <f>Monthly_kWh!CO23</f>
        <v>0.57600399999999796</v>
      </c>
      <c r="DO23" s="160">
        <f>Monthly_kWh!CP23</f>
        <v>0</v>
      </c>
      <c r="DP23" s="160">
        <f>Monthly_kWh!CQ23</f>
        <v>0</v>
      </c>
      <c r="DQ23" s="160">
        <f>Monthly_kWh!CR23</f>
        <v>0.134245</v>
      </c>
      <c r="DR23" s="160">
        <f>Monthly_kWh!CS23</f>
        <v>0</v>
      </c>
      <c r="DS23" s="160">
        <f>Monthly_kWh!CT23</f>
        <v>0.20286400000000501</v>
      </c>
      <c r="DT23" s="160">
        <f>Monthly_kWh!CU23</f>
        <v>0</v>
      </c>
      <c r="DU23" s="160">
        <f>Monthly_kWh!CV23</f>
        <v>1.53649999999999E-2</v>
      </c>
      <c r="DV23" s="160">
        <f>Monthly_kWh!CW23</f>
        <v>5.8984000000002403E-2</v>
      </c>
      <c r="DW23" s="160">
        <f>Monthly_kWh!CX23</f>
        <v>0.23164400000000299</v>
      </c>
      <c r="DX23" s="160">
        <f>Monthly_kWh!CY23</f>
        <v>8.5610000000000408E-3</v>
      </c>
      <c r="DY23" s="160">
        <f>Monthly_kWh!CZ23</f>
        <v>2.3661499999999801E-2</v>
      </c>
      <c r="DZ23" s="160">
        <f>Monthly_kWh!DA23</f>
        <v>0.26070399999999699</v>
      </c>
      <c r="EA23" s="160">
        <f>Monthly_kWh!DB23</f>
        <v>0.108539</v>
      </c>
      <c r="EB23" s="160">
        <f>Monthly_kWh!DC23</f>
        <v>0.176372000000001</v>
      </c>
      <c r="EC23" s="160">
        <f>Monthly_kWh!DD23</f>
        <v>2.6178375E-2</v>
      </c>
      <c r="ED23" s="160">
        <f>Monthly_kWh!DE23</f>
        <v>0</v>
      </c>
      <c r="EE23" s="160">
        <f>Monthly_kWh!DF23</f>
        <v>0</v>
      </c>
      <c r="EF23" s="160">
        <f>Monthly_kWh!DG23</f>
        <v>1.7934499999999999E-2</v>
      </c>
      <c r="EG23" s="160">
        <f>Monthly_kWh!DH23</f>
        <v>1.35509999999996E-2</v>
      </c>
      <c r="EH23" s="160">
        <f>Monthly_kWh!DI23</f>
        <v>5.1399679999999499</v>
      </c>
      <c r="EI23" s="160">
        <f>Monthly_kWh!DJ23</f>
        <v>0</v>
      </c>
      <c r="EJ23" s="160">
        <f>Monthly_kWh!DK23</f>
        <v>6.4044000000002696E-2</v>
      </c>
      <c r="EK23" s="160">
        <f>Monthly_kWh!DL23</f>
        <v>1.9294222656249999E-2</v>
      </c>
      <c r="EL23" s="160">
        <f>Monthly_kWh!DM23</f>
        <v>4.7620999999999497E-2</v>
      </c>
      <c r="EM23" s="160">
        <f>Monthly_kWh!DN23</f>
        <v>2.99618750000008E-3</v>
      </c>
      <c r="EN23" s="160">
        <f>Monthly_kWh!DO23</f>
        <v>0.76019199999998899</v>
      </c>
      <c r="EO23" s="160">
        <f>Monthly_kWh!DP23</f>
        <v>4.2369499999999498E-2</v>
      </c>
      <c r="EP23" s="160">
        <f>Monthly_kWh!DQ23</f>
        <v>0</v>
      </c>
      <c r="EQ23" s="160">
        <f>Monthly_kWh!DR23</f>
        <v>0</v>
      </c>
      <c r="ER23" s="160">
        <f>Monthly_kWh!DS23</f>
        <v>1.38771200000002</v>
      </c>
      <c r="ES23" s="160">
        <f>Monthly_kWh!DT23</f>
        <v>0.40938724999999998</v>
      </c>
      <c r="ET23" s="160">
        <f>Monthly_kWh!DU23</f>
        <v>1.0334999999999501E-2</v>
      </c>
      <c r="EU23" s="160">
        <f>Monthly_kWh!DV23</f>
        <v>8.0810000000002304E-3</v>
      </c>
      <c r="EV23" s="160">
        <f>Monthly_kWh!DW23</f>
        <v>0</v>
      </c>
      <c r="EW23" s="160">
        <f>Monthly_kWh!DX23</f>
        <v>0.14777599999999999</v>
      </c>
      <c r="EX23" s="160">
        <f>Monthly_kWh!DY23</f>
        <v>5.5185625000000503E-3</v>
      </c>
      <c r="EY23" s="160">
        <f>Monthly_kWh!DZ23</f>
        <v>0.12078</v>
      </c>
      <c r="EZ23" s="160">
        <f>Monthly_kWh!EA23</f>
        <v>0</v>
      </c>
      <c r="FA23" s="160">
        <f>Monthly_kWh!EB23</f>
        <v>1.384816</v>
      </c>
      <c r="FB23" s="160">
        <f>Monthly_kWh!EC23</f>
        <v>0.71782400000000701</v>
      </c>
      <c r="FC23" s="160">
        <f>Monthly_kWh!ED23</f>
        <v>2.5901999999999901E-2</v>
      </c>
      <c r="FD23" s="160">
        <f>Monthly_kWh!EE23</f>
        <v>0.14276949999999999</v>
      </c>
      <c r="FE23" s="160">
        <f>Monthly_kWh!EF23</f>
        <v>9.9963169999991806</v>
      </c>
      <c r="FF23" s="160">
        <f>Monthly_kWh!EG23</f>
        <v>0</v>
      </c>
      <c r="FG23" s="160">
        <f>Monthly_kWh!EH23</f>
        <v>0.50086399999997899</v>
      </c>
      <c r="FH23" s="160">
        <f>Monthly_kWh!EI23</f>
        <v>0.52179200000000503</v>
      </c>
      <c r="FI23" s="160">
        <f>Monthly_kWh!EJ23</f>
        <v>3.0015999999989201E-2</v>
      </c>
      <c r="FJ23" s="160">
        <f>Monthly_kWh!EK23</f>
        <v>0</v>
      </c>
      <c r="FK23" s="160">
        <f>Monthly_kWh!EL23</f>
        <v>0.153471999999965</v>
      </c>
      <c r="FL23" s="160">
        <f>Monthly_kWh!EM23</f>
        <v>3.646976</v>
      </c>
      <c r="FM23" s="160">
        <f>Monthly_kWh!EN23</f>
        <v>2.0039679999999902</v>
      </c>
      <c r="FN23" s="160">
        <f>Monthly_kWh!EO23</f>
        <v>0.56921599999998296</v>
      </c>
      <c r="FO23" s="160">
        <f>Monthly_kWh!EP23</f>
        <v>0</v>
      </c>
      <c r="FP23" s="160">
        <f>Monthly_kWh!ER23</f>
        <v>2.602814</v>
      </c>
      <c r="FQ23" s="160">
        <f>Monthly_kWh!EQ23</f>
        <v>0</v>
      </c>
      <c r="FR23" s="160">
        <f>Monthly_kWh!M23</f>
        <v>2.7596240000000001</v>
      </c>
      <c r="FS23" s="160">
        <f>Monthly_kWh!G23</f>
        <v>2.7679360000000002</v>
      </c>
      <c r="FT23" s="160">
        <f>Monthly_kWh!C23</f>
        <v>8.4638219999999897</v>
      </c>
      <c r="FU23" s="160">
        <f>Monthly_kWh!D23</f>
        <v>8.8075710000000509</v>
      </c>
      <c r="FV23" s="160">
        <f>Monthly_kWh!E23</f>
        <v>7.4222659999999197</v>
      </c>
      <c r="FW23" s="160">
        <f>Monthly_kWh!F23</f>
        <v>0</v>
      </c>
      <c r="FX23" s="160">
        <f>Monthly_kWh!Q23</f>
        <v>8.2186239999973605</v>
      </c>
      <c r="FY23" s="160">
        <f>Monthly_kWh!R23</f>
        <v>8.6016000000017794</v>
      </c>
      <c r="FZ23" s="160">
        <f>Monthly_kWh!S23</f>
        <v>7.2207359999993104</v>
      </c>
      <c r="GA23" s="160">
        <f>Monthly_kWh!T23</f>
        <v>0</v>
      </c>
      <c r="GB23" s="160">
        <f t="shared" si="0"/>
        <v>29.615127000000044</v>
      </c>
      <c r="GC23" s="160">
        <f t="shared" si="1"/>
        <v>27.182588999999211</v>
      </c>
      <c r="GD23" s="160">
        <f t="shared" si="2"/>
        <v>2.4325380000008323</v>
      </c>
      <c r="GE23" s="159">
        <f t="shared" si="3"/>
        <v>8.2138361250344419E-2</v>
      </c>
    </row>
    <row r="24" spans="2:187" s="150" customFormat="1" ht="32.25" customHeight="1" x14ac:dyDescent="0.25">
      <c r="B24" s="168">
        <v>18</v>
      </c>
      <c r="C24" s="160">
        <f>Monthly_kWh!H24</f>
        <v>0</v>
      </c>
      <c r="D24" s="160">
        <f>Monthly_kWh!I24</f>
        <v>0</v>
      </c>
      <c r="E24" s="160">
        <f>Monthly_kWh!J24</f>
        <v>0</v>
      </c>
      <c r="F24" s="160">
        <f>Monthly_kWh!K24</f>
        <v>0</v>
      </c>
      <c r="G24" s="160">
        <f>Monthly_kWh!L24</f>
        <v>0</v>
      </c>
      <c r="H24" s="160">
        <f>Monthly_kWh!U24</f>
        <v>0.52604000000000894</v>
      </c>
      <c r="I24" s="160">
        <f>Monthly_kWh!P24</f>
        <v>0.24391299999999899</v>
      </c>
      <c r="J24" s="160">
        <f>Monthly_kWh!N24</f>
        <v>3.60535300000004</v>
      </c>
      <c r="K24" s="160">
        <f>Monthly_kWh!O24</f>
        <v>3.7482999999998601</v>
      </c>
      <c r="L24" s="160">
        <f>Monthly_kWh!B24</f>
        <v>24.608000000000001</v>
      </c>
      <c r="M24" s="160">
        <f>Monthly_kWh!AR24</f>
        <v>5.5756800000000304</v>
      </c>
      <c r="N24" s="160">
        <f>Monthly_kWh!BM24</f>
        <v>2.1548960000000101</v>
      </c>
      <c r="O24" s="160">
        <f>Monthly_kWh!CM24</f>
        <v>4.6709760000001097</v>
      </c>
      <c r="P24" s="160">
        <f>Monthly_kWh!DI24</f>
        <v>5.0271999999999899</v>
      </c>
      <c r="Q24" s="160">
        <f>Monthly_kWh!EF24</f>
        <v>12.7061379999996</v>
      </c>
      <c r="R24" s="119">
        <f>SUM('Zone wise Meter data'!O47:AF47)</f>
        <v>1.2933388750000039</v>
      </c>
      <c r="S24" s="115">
        <f>SUM('Zone wise Meter data'!AG47:AW47)</f>
        <v>2.5219250000000164</v>
      </c>
      <c r="T24" s="115">
        <f>SUM('Zone wise Meter data'!AX47:BA47)</f>
        <v>1.1008209999998866</v>
      </c>
      <c r="U24" s="115">
        <f>SUM('Zone wise Meter data'!BB47:BC47)</f>
        <v>3.5508799999999496</v>
      </c>
      <c r="V24" s="115">
        <f>SUM('Zone wise Meter data'!BD47:BL47)</f>
        <v>12.626356000000172</v>
      </c>
      <c r="W24" s="115">
        <f>SUM('Zone wise Meter data'!BM47:BX47)</f>
        <v>0.44621249999999762</v>
      </c>
      <c r="X24" s="115">
        <f>SUM('Zone wise Meter data'!BY47:CE47)</f>
        <v>1.6059999999999922E-2</v>
      </c>
      <c r="Y24" s="115">
        <f>SUM('Zone wise Meter data'!CF47:CK47)</f>
        <v>2.0968702499999865</v>
      </c>
      <c r="Z24" s="115">
        <f>SUM('Zone wise Meter data'!CL47:CO47)</f>
        <v>2.1273759999999688</v>
      </c>
      <c r="AA24" s="115">
        <f>SUM('Zone wise Meter data'!CP47:DD47)</f>
        <v>1.4063902499999774</v>
      </c>
      <c r="AB24" s="115">
        <f>SUM('Zone wise Meter data'!DE47:DN47)</f>
        <v>0.24246342578124552</v>
      </c>
      <c r="AC24" s="115">
        <f>SUM('Zone wise Meter data'!DO47:ED47)</f>
        <v>0</v>
      </c>
      <c r="AD24" s="160">
        <f>Monthly_kWh!AW24</f>
        <v>2.3521279999999898</v>
      </c>
      <c r="AE24" s="160">
        <f>Monthly_kWh!DS24</f>
        <v>1.1987519999999601</v>
      </c>
      <c r="AF24" s="160">
        <f>Monthly_kWh!EL24</f>
        <v>2.9283840000000501</v>
      </c>
      <c r="AG24" s="160">
        <f>Monthly_kWh!EK24</f>
        <v>0</v>
      </c>
      <c r="AH24" s="160">
        <f>Monthly_kWh!EN24</f>
        <v>2.0933119999999699</v>
      </c>
      <c r="AI24" s="160">
        <f>Monthly_kWh!EO24</f>
        <v>0</v>
      </c>
      <c r="AJ24" s="160">
        <f>Monthly_kWh!EM24</f>
        <v>3.7555200000001601</v>
      </c>
      <c r="AK24" s="160">
        <f>Monthly_kWh!ER24</f>
        <v>2.92307099999999</v>
      </c>
      <c r="AL24" s="160">
        <f>Monthly_kWh!EI24</f>
        <v>0.55167999999991901</v>
      </c>
      <c r="AM24" s="160">
        <f>Monthly_kWh!EJ24+Hourly_kWh!AS24</f>
        <v>3.5483999999978096E-2</v>
      </c>
      <c r="AN24" s="160">
        <f>Monthly_kWh!CX24+Hourly_kWh!CY24+Hourly_kWh!DC24+Hourly_kWh!DD24</f>
        <v>0.25796824999999673</v>
      </c>
      <c r="AO24" s="160">
        <f>SUM(Hourly_kWh!AI24:AQ24)</f>
        <v>6.5826531250007592E-2</v>
      </c>
      <c r="AP24" s="160">
        <f>SUM(Hourly_kWh!V24:AG24)</f>
        <v>3.3325999999998857E-2</v>
      </c>
      <c r="AQ24" s="160">
        <f>Monthly_kWh!DB24</f>
        <v>0.118936999999999</v>
      </c>
      <c r="AR24" s="160">
        <f>Monthly_kWh!CO24</f>
        <v>0.54434799999999905</v>
      </c>
      <c r="AS24" s="160">
        <f>Monthly_kWh!BJ24</f>
        <v>1.29400000000146E-3</v>
      </c>
      <c r="AT24" s="160">
        <f>Monthly_kWh!U24</f>
        <v>0.52604000000000894</v>
      </c>
      <c r="AU24" s="160">
        <f>Monthly_kWh!V24</f>
        <v>0.13117599999999999</v>
      </c>
      <c r="AV24" s="160">
        <f>Monthly_kWh!W24</f>
        <v>6.7544999999999106E-2</v>
      </c>
      <c r="AW24" s="160">
        <f>Monthly_kWh!X24</f>
        <v>7.4510000000000104E-2</v>
      </c>
      <c r="AX24" s="160">
        <f>Monthly_kWh!Y24</f>
        <v>0</v>
      </c>
      <c r="AY24" s="160">
        <f>Monthly_kWh!Z24</f>
        <v>3.9811000000000298E-2</v>
      </c>
      <c r="AZ24" s="160">
        <f>Monthly_kWh!AA24</f>
        <v>0.11455600000000001</v>
      </c>
      <c r="BA24" s="160">
        <f>Monthly_kWh!AB24</f>
        <v>0.15312200000000301</v>
      </c>
      <c r="BB24" s="160">
        <f>Monthly_kWh!AC24</f>
        <v>0.12806200000000001</v>
      </c>
      <c r="BC24" s="160">
        <f>Monthly_kWh!AD24</f>
        <v>5.4118500000001298E-2</v>
      </c>
      <c r="BD24" s="160">
        <f>Monthly_kWh!AE24</f>
        <v>9.4548500000000105E-2</v>
      </c>
      <c r="BE24" s="160">
        <f>Monthly_kWh!AF24</f>
        <v>0</v>
      </c>
      <c r="BF24" s="160">
        <f>Monthly_kWh!AG24</f>
        <v>1.9448749999999598E-2</v>
      </c>
      <c r="BG24" s="160">
        <f>Monthly_kWh!AH24</f>
        <v>2.00780800000001</v>
      </c>
      <c r="BH24" s="160">
        <f>Monthly_kWh!AI24</f>
        <v>0</v>
      </c>
      <c r="BI24" s="160">
        <f>Monthly_kWh!AJ24</f>
        <v>3.1857999999999699E-2</v>
      </c>
      <c r="BJ24" s="160">
        <f>Monthly_kWh!AK24</f>
        <v>0</v>
      </c>
      <c r="BK24" s="160">
        <f>Monthly_kWh!AL24</f>
        <v>0.33661600000000602</v>
      </c>
      <c r="BL24" s="160">
        <f>Monthly_kWh!AM24</f>
        <v>0.50664799999999799</v>
      </c>
      <c r="BM24" s="160">
        <f>Monthly_kWh!AN24</f>
        <v>0.39314400000000699</v>
      </c>
      <c r="BN24" s="160">
        <f>Monthly_kWh!AO24</f>
        <v>0.154032000000001</v>
      </c>
      <c r="BO24" s="160">
        <f>Monthly_kWh!AP24</f>
        <v>8.9992000000002306E-2</v>
      </c>
      <c r="BP24" s="160">
        <f>Monthly_kWh!AQ24</f>
        <v>0.337476000000002</v>
      </c>
      <c r="BQ24" s="160">
        <f>Monthly_kWh!AR24</f>
        <v>5.5756800000000304</v>
      </c>
      <c r="BR24" s="160">
        <f>Monthly_kWh!AS24</f>
        <v>6.3604999999999898E-2</v>
      </c>
      <c r="BS24" s="160">
        <f>Monthly_kWh!AT24</f>
        <v>0</v>
      </c>
      <c r="BT24" s="160">
        <f>Monthly_kWh!AU24</f>
        <v>5.27279999999948E-2</v>
      </c>
      <c r="BU24" s="160">
        <f>Monthly_kWh!AV24</f>
        <v>2.2874500000000401E-2</v>
      </c>
      <c r="BV24" s="160">
        <f>Monthly_kWh!AW24</f>
        <v>2.3521279999999898</v>
      </c>
      <c r="BW24" s="160">
        <f>Monthly_kWh!AX24</f>
        <v>0</v>
      </c>
      <c r="BX24" s="160">
        <f>Monthly_kWh!AY24</f>
        <v>7.1829000000000101E-2</v>
      </c>
      <c r="BY24" s="160">
        <f>Monthly_kWh!AZ24</f>
        <v>0</v>
      </c>
      <c r="BZ24" s="160">
        <f>Monthly_kWh!BA24</f>
        <v>0</v>
      </c>
      <c r="CA24" s="160">
        <f>Monthly_kWh!BB24</f>
        <v>0</v>
      </c>
      <c r="CB24" s="160">
        <f>Monthly_kWh!BC24</f>
        <v>0</v>
      </c>
      <c r="CC24" s="160">
        <f>Monthly_kWh!BD24</f>
        <v>3.8588203125000001E-3</v>
      </c>
      <c r="CD24" s="160">
        <f>Monthly_kWh!BE24</f>
        <v>0.11007800000000099</v>
      </c>
      <c r="CE24" s="160">
        <f>Monthly_kWh!BF24</f>
        <v>0</v>
      </c>
      <c r="CF24" s="160">
        <f>Monthly_kWh!BG24</f>
        <v>1.9356000000000199E-2</v>
      </c>
      <c r="CG24" s="160">
        <f>Monthly_kWh!BH24</f>
        <v>1.4872000000000401E-2</v>
      </c>
      <c r="CH24" s="160">
        <f>Monthly_kWh!BI24</f>
        <v>2.5831999999999802</v>
      </c>
      <c r="CI24" s="160">
        <f>Monthly_kWh!BJ24</f>
        <v>1.29400000000146E-3</v>
      </c>
      <c r="CJ24" s="160">
        <f>Monthly_kWh!BK24</f>
        <v>4.27195000000005E-2</v>
      </c>
      <c r="CK24" s="160">
        <f>Monthly_kWh!BL24</f>
        <v>1.18000000000507E-4</v>
      </c>
      <c r="CL24" s="160">
        <f>Monthly_kWh!BM24</f>
        <v>2.1548960000000101</v>
      </c>
      <c r="CM24" s="160">
        <f>Monthly_kWh!BN24</f>
        <v>0</v>
      </c>
      <c r="CN24" s="160">
        <f>Monthly_kWh!BO24</f>
        <v>0.33549399999999902</v>
      </c>
      <c r="CO24" s="160">
        <f>Monthly_kWh!BP24</f>
        <v>0</v>
      </c>
      <c r="CP24" s="160">
        <f>Monthly_kWh!BQ24</f>
        <v>0</v>
      </c>
      <c r="CQ24" s="160">
        <f>Monthly_kWh!BR24</f>
        <v>0</v>
      </c>
      <c r="CR24" s="160">
        <f>Monthly_kWh!BS24</f>
        <v>0</v>
      </c>
      <c r="CS24" s="160">
        <f>Monthly_kWh!BT24</f>
        <v>0.35693999999999398</v>
      </c>
      <c r="CT24" s="160">
        <f>Monthly_kWh!BU24</f>
        <v>0</v>
      </c>
      <c r="CU24" s="160">
        <f>Monthly_kWh!BV24</f>
        <v>0</v>
      </c>
      <c r="CV24" s="160">
        <f>Monthly_kWh!BW24</f>
        <v>0</v>
      </c>
      <c r="CW24" s="160">
        <f>Monthly_kWh!BX24</f>
        <v>0</v>
      </c>
      <c r="CX24" s="160">
        <f>Monthly_kWh!BY24</f>
        <v>0</v>
      </c>
      <c r="CY24" s="160">
        <f>Monthly_kWh!BZ24</f>
        <v>0.99328799999999295</v>
      </c>
      <c r="CZ24" s="160">
        <f>Monthly_kWh!CA24</f>
        <v>0.29574399999999901</v>
      </c>
      <c r="DA24" s="160">
        <f>Monthly_kWh!CB24</f>
        <v>0</v>
      </c>
      <c r="DB24" s="160">
        <f>Monthly_kWh!CC24</f>
        <v>0</v>
      </c>
      <c r="DC24" s="160">
        <f>Monthly_kWh!CD24</f>
        <v>0</v>
      </c>
      <c r="DD24" s="160">
        <f>Monthly_kWh!CE24</f>
        <v>0</v>
      </c>
      <c r="DE24" s="160">
        <f>Monthly_kWh!CF24</f>
        <v>4.8196000000000801E-2</v>
      </c>
      <c r="DF24" s="160">
        <f>Monthly_kWh!CG24</f>
        <v>0</v>
      </c>
      <c r="DG24" s="160">
        <f>Monthly_kWh!CH24</f>
        <v>7.2699999999992204E-4</v>
      </c>
      <c r="DH24" s="160">
        <f>Monthly_kWh!CI24</f>
        <v>0</v>
      </c>
      <c r="DI24" s="160">
        <f>Monthly_kWh!CJ24</f>
        <v>0</v>
      </c>
      <c r="DJ24" s="160">
        <f>Monthly_kWh!CK24</f>
        <v>0</v>
      </c>
      <c r="DK24" s="160">
        <f>Monthly_kWh!CL24</f>
        <v>3.2023999999999803E-2</v>
      </c>
      <c r="DL24" s="160">
        <f>Monthly_kWh!CM24</f>
        <v>4.6709760000001097</v>
      </c>
      <c r="DM24" s="160">
        <f>Monthly_kWh!CN24</f>
        <v>5.92015000000004E-2</v>
      </c>
      <c r="DN24" s="160">
        <f>Monthly_kWh!CO24</f>
        <v>0.54434799999999905</v>
      </c>
      <c r="DO24" s="160">
        <f>Monthly_kWh!CP24</f>
        <v>0</v>
      </c>
      <c r="DP24" s="160">
        <f>Monthly_kWh!CQ24</f>
        <v>0</v>
      </c>
      <c r="DQ24" s="160">
        <f>Monthly_kWh!CR24</f>
        <v>0.134354999999999</v>
      </c>
      <c r="DR24" s="160">
        <f>Monthly_kWh!CS24</f>
        <v>0</v>
      </c>
      <c r="DS24" s="160">
        <f>Monthly_kWh!CT24</f>
        <v>0.20648799999999301</v>
      </c>
      <c r="DT24" s="160">
        <f>Monthly_kWh!CU24</f>
        <v>0</v>
      </c>
      <c r="DU24" s="160">
        <f>Monthly_kWh!CV24</f>
        <v>1.5332999999999999E-2</v>
      </c>
      <c r="DV24" s="160">
        <f>Monthly_kWh!CW24</f>
        <v>5.9007999999998603E-2</v>
      </c>
      <c r="DW24" s="160">
        <f>Monthly_kWh!CX24</f>
        <v>0.24817199999999701</v>
      </c>
      <c r="DX24" s="160">
        <f>Monthly_kWh!CY24</f>
        <v>1.6127999999999899E-2</v>
      </c>
      <c r="DY24" s="160">
        <f>Monthly_kWh!CZ24</f>
        <v>2.6196000000000101E-2</v>
      </c>
      <c r="DZ24" s="160">
        <f>Monthly_kWh!DA24</f>
        <v>0.26278400000000302</v>
      </c>
      <c r="EA24" s="160">
        <f>Monthly_kWh!DB24</f>
        <v>0.118936999999999</v>
      </c>
      <c r="EB24" s="160">
        <f>Monthly_kWh!DC24</f>
        <v>0.19518000000000099</v>
      </c>
      <c r="EC24" s="160">
        <f>Monthly_kWh!DD24</f>
        <v>2.9541624999999998E-2</v>
      </c>
      <c r="ED24" s="160">
        <f>Monthly_kWh!DE24</f>
        <v>0</v>
      </c>
      <c r="EE24" s="160">
        <f>Monthly_kWh!DF24</f>
        <v>0</v>
      </c>
      <c r="EF24" s="160">
        <f>Monthly_kWh!DG24</f>
        <v>2.5514499999999898E-2</v>
      </c>
      <c r="EG24" s="160">
        <f>Monthly_kWh!DH24</f>
        <v>1.8975499999999802E-2</v>
      </c>
      <c r="EH24" s="160">
        <f>Monthly_kWh!DI24</f>
        <v>5.0271999999999899</v>
      </c>
      <c r="EI24" s="160">
        <f>Monthly_kWh!DJ24</f>
        <v>0</v>
      </c>
      <c r="EJ24" s="160">
        <f>Monthly_kWh!DK24</f>
        <v>6.40239999999999E-2</v>
      </c>
      <c r="EK24" s="160">
        <f>Monthly_kWh!DL24</f>
        <v>1.924910546875E-2</v>
      </c>
      <c r="EL24" s="160">
        <f>Monthly_kWh!DM24</f>
        <v>4.5500999999999799E-2</v>
      </c>
      <c r="EM24" s="160">
        <f>Monthly_kWh!DN24</f>
        <v>6.6325000000000401E-4</v>
      </c>
      <c r="EN24" s="160">
        <f>Monthly_kWh!DO24</f>
        <v>0.81427199999998801</v>
      </c>
      <c r="EO24" s="160">
        <f>Monthly_kWh!DP24</f>
        <v>4.23430000000007E-2</v>
      </c>
      <c r="EP24" s="160">
        <f>Monthly_kWh!DQ24</f>
        <v>0</v>
      </c>
      <c r="EQ24" s="160">
        <f>Monthly_kWh!DR24</f>
        <v>0</v>
      </c>
      <c r="ER24" s="160">
        <f>Monthly_kWh!DS24</f>
        <v>1.1987519999999601</v>
      </c>
      <c r="ES24" s="160">
        <f>Monthly_kWh!DT24</f>
        <v>0.40270224999999998</v>
      </c>
      <c r="ET24" s="160">
        <f>Monthly_kWh!DU24</f>
        <v>2.4927999999999201E-2</v>
      </c>
      <c r="EU24" s="160">
        <f>Monthly_kWh!DV24</f>
        <v>1.1638499999999699E-2</v>
      </c>
      <c r="EV24" s="160">
        <f>Monthly_kWh!DW24</f>
        <v>0</v>
      </c>
      <c r="EW24" s="160">
        <f>Monthly_kWh!DX24</f>
        <v>0.15115999999999899</v>
      </c>
      <c r="EX24" s="160">
        <f>Monthly_kWh!DY24</f>
        <v>5.7129999999999698E-3</v>
      </c>
      <c r="EY24" s="160">
        <f>Monthly_kWh!DZ24</f>
        <v>0.111833999999998</v>
      </c>
      <c r="EZ24" s="160">
        <f>Monthly_kWh!EA24</f>
        <v>0</v>
      </c>
      <c r="FA24" s="160">
        <f>Monthly_kWh!EB24</f>
        <v>1.3835519999999799</v>
      </c>
      <c r="FB24" s="160">
        <f>Monthly_kWh!EC24</f>
        <v>0.74382399999998905</v>
      </c>
      <c r="FC24" s="160">
        <f>Monthly_kWh!ED24</f>
        <v>3.7350500000000099E-2</v>
      </c>
      <c r="FD24" s="160">
        <f>Monthly_kWh!EE24</f>
        <v>0.12898399999999999</v>
      </c>
      <c r="FE24" s="160">
        <f>Monthly_kWh!EF24</f>
        <v>12.7061379999996</v>
      </c>
      <c r="FF24" s="160">
        <f>Monthly_kWh!EG24</f>
        <v>0</v>
      </c>
      <c r="FG24" s="160">
        <f>Monthly_kWh!EH24</f>
        <v>0.45011199999999002</v>
      </c>
      <c r="FH24" s="160">
        <f>Monthly_kWh!EI24</f>
        <v>0.55167999999991901</v>
      </c>
      <c r="FI24" s="160">
        <f>Monthly_kWh!EJ24</f>
        <v>3.5423999999977702E-2</v>
      </c>
      <c r="FJ24" s="160">
        <f>Monthly_kWh!EK24</f>
        <v>0</v>
      </c>
      <c r="FK24" s="160">
        <f>Monthly_kWh!EL24</f>
        <v>2.9283840000000501</v>
      </c>
      <c r="FL24" s="160">
        <f>Monthly_kWh!EM24</f>
        <v>3.7555200000001601</v>
      </c>
      <c r="FM24" s="160">
        <f>Monthly_kWh!EN24</f>
        <v>2.0933119999999699</v>
      </c>
      <c r="FN24" s="160">
        <f>Monthly_kWh!EO24</f>
        <v>0</v>
      </c>
      <c r="FO24" s="160">
        <f>Monthly_kWh!EP24</f>
        <v>0</v>
      </c>
      <c r="FP24" s="160">
        <f>Monthly_kWh!ER24</f>
        <v>2.92307099999999</v>
      </c>
      <c r="FQ24" s="160">
        <f>Monthly_kWh!EQ24</f>
        <v>0</v>
      </c>
      <c r="FR24" s="160">
        <f>Monthly_kWh!M24</f>
        <v>0</v>
      </c>
      <c r="FS24" s="160">
        <f>Monthly_kWh!G24</f>
        <v>0</v>
      </c>
      <c r="FT24" s="160">
        <f>Monthly_kWh!C24</f>
        <v>8.4168349999999901</v>
      </c>
      <c r="FU24" s="160">
        <f>Monthly_kWh!D24</f>
        <v>8.8246499999999095</v>
      </c>
      <c r="FV24" s="160">
        <f>Monthly_kWh!E24</f>
        <v>7.3981930000000498</v>
      </c>
      <c r="FW24" s="160">
        <f>Monthly_kWh!F24</f>
        <v>0</v>
      </c>
      <c r="FX24" s="160">
        <f>Monthly_kWh!Q24</f>
        <v>8.1879040000021597</v>
      </c>
      <c r="FY24" s="160">
        <f>Monthly_kWh!R24</f>
        <v>8.5811199999989203</v>
      </c>
      <c r="FZ24" s="160">
        <f>Monthly_kWh!S24</f>
        <v>7.1910400000006103</v>
      </c>
      <c r="GA24" s="160">
        <f>Monthly_kWh!T24</f>
        <v>0</v>
      </c>
      <c r="GB24" s="160">
        <f>SUM(C24:L24)</f>
        <v>32.731605999999907</v>
      </c>
      <c r="GC24" s="160">
        <f t="shared" si="1"/>
        <v>30.134889999999736</v>
      </c>
      <c r="GD24" s="160">
        <f t="shared" si="2"/>
        <v>2.5967160000001712</v>
      </c>
      <c r="GE24" s="159">
        <f t="shared" si="3"/>
        <v>7.9333595791180503E-2</v>
      </c>
    </row>
    <row r="25" spans="2:187" s="150" customFormat="1" ht="32.25" customHeight="1" x14ac:dyDescent="0.25">
      <c r="B25" s="168">
        <v>19</v>
      </c>
      <c r="C25" s="160">
        <f>Monthly_kWh!H25</f>
        <v>0</v>
      </c>
      <c r="D25" s="160">
        <f>Monthly_kWh!I25</f>
        <v>0</v>
      </c>
      <c r="E25" s="160">
        <f>Monthly_kWh!J25</f>
        <v>0</v>
      </c>
      <c r="F25" s="160">
        <f>Monthly_kWh!K25</f>
        <v>0</v>
      </c>
      <c r="G25" s="160">
        <f>Monthly_kWh!L25</f>
        <v>0</v>
      </c>
      <c r="H25" s="160">
        <f>Monthly_kWh!U25</f>
        <v>0.52143199999999001</v>
      </c>
      <c r="I25" s="160">
        <f>Monthly_kWh!P25</f>
        <v>0.27186200000000599</v>
      </c>
      <c r="J25" s="160">
        <f>Monthly_kWh!N25</f>
        <v>4.1469079999999403</v>
      </c>
      <c r="K25" s="160">
        <f>Monthly_kWh!O25</f>
        <v>4.3083790000000599</v>
      </c>
      <c r="L25" s="160">
        <f>Monthly_kWh!B25</f>
        <v>23.935874999999999</v>
      </c>
      <c r="M25" s="160">
        <f>Monthly_kWh!AR25</f>
        <v>5.555072</v>
      </c>
      <c r="N25" s="160">
        <f>Monthly_kWh!BM25</f>
        <v>2.2276800000000199</v>
      </c>
      <c r="O25" s="160">
        <f>Monthly_kWh!CM25</f>
        <v>4.8078080000000201</v>
      </c>
      <c r="P25" s="160">
        <f>Monthly_kWh!DI25</f>
        <v>4.9655680000000801</v>
      </c>
      <c r="Q25" s="160">
        <f>Monthly_kWh!EF25</f>
        <v>13.0661550000004</v>
      </c>
      <c r="R25" s="119">
        <f>SUM('Zone wise Meter data'!O48:AF48)</f>
        <v>1.3246248749999918</v>
      </c>
      <c r="S25" s="115">
        <f>SUM('Zone wise Meter data'!AG48:AW48)</f>
        <v>2.5154039999999793</v>
      </c>
      <c r="T25" s="115">
        <f>SUM('Zone wise Meter data'!AX48:BA48)</f>
        <v>1.2020365000000011</v>
      </c>
      <c r="U25" s="115">
        <f>SUM('Zone wise Meter data'!BB48:BC48)</f>
        <v>3.5387840000000201</v>
      </c>
      <c r="V25" s="115">
        <f>SUM('Zone wise Meter data'!BD48:BL48)</f>
        <v>13.03597599999976</v>
      </c>
      <c r="W25" s="115">
        <f>SUM('Zone wise Meter data'!BM48:BX48)</f>
        <v>0.55290450000000524</v>
      </c>
      <c r="X25" s="115">
        <f>SUM('Zone wise Meter data'!BY48:CE48)</f>
        <v>1.5854875000000032E-2</v>
      </c>
      <c r="Y25" s="115">
        <f>SUM('Zone wise Meter data'!CF48:CK48)</f>
        <v>2.0614677500000118</v>
      </c>
      <c r="Z25" s="115">
        <f>SUM('Zone wise Meter data'!CL48:CO48)</f>
        <v>2.117680000000004</v>
      </c>
      <c r="AA25" s="115">
        <f>SUM('Zone wise Meter data'!CP48:DD48)</f>
        <v>1.380514875000038</v>
      </c>
      <c r="AB25" s="115">
        <f>SUM('Zone wise Meter data'!DE48:DN48)</f>
        <v>0.25423673046875028</v>
      </c>
      <c r="AC25" s="115">
        <f>SUM('Zone wise Meter data'!DO48:ED48)</f>
        <v>0</v>
      </c>
      <c r="AD25" s="160">
        <f>Monthly_kWh!AW25</f>
        <v>2.33542399999999</v>
      </c>
      <c r="AE25" s="160">
        <f>Monthly_kWh!DS25</f>
        <v>1.20336000000003</v>
      </c>
      <c r="AF25" s="160">
        <f>Monthly_kWh!EL25</f>
        <v>2.6693119999999899</v>
      </c>
      <c r="AG25" s="160">
        <f>Monthly_kWh!EK25</f>
        <v>0</v>
      </c>
      <c r="AH25" s="160">
        <f>Monthly_kWh!EN25</f>
        <v>3.04665599999998</v>
      </c>
      <c r="AI25" s="160">
        <f>Monthly_kWh!EO25</f>
        <v>0</v>
      </c>
      <c r="AJ25" s="160">
        <f>Monthly_kWh!EM25</f>
        <v>3.8878719999997902</v>
      </c>
      <c r="AK25" s="160">
        <f>Monthly_kWh!ER25</f>
        <v>2.3261349999999901</v>
      </c>
      <c r="AL25" s="160">
        <f>Monthly_kWh!EI25</f>
        <v>0.60576000000003205</v>
      </c>
      <c r="AM25" s="160">
        <f>Monthly_kWh!EJ25+Hourly_kWh!AS25</f>
        <v>4.0957000000031642E-2</v>
      </c>
      <c r="AN25" s="160">
        <f>Monthly_kWh!CX25+Hourly_kWh!CY25+Hourly_kWh!DC25+Hourly_kWh!DD25</f>
        <v>0.26463037500000119</v>
      </c>
      <c r="AO25" s="160">
        <f>SUM(Hourly_kWh!AI25:AQ25)</f>
        <v>6.7546156249995992E-2</v>
      </c>
      <c r="AP25" s="160">
        <f>SUM(Hourly_kWh!V25:AG25)</f>
        <v>3.2955999999996877E-2</v>
      </c>
      <c r="AQ25" s="160">
        <f>Monthly_kWh!DB25</f>
        <v>0.10104100000000001</v>
      </c>
      <c r="AR25" s="160">
        <f>Monthly_kWh!CO25</f>
        <v>0.74184000000001005</v>
      </c>
      <c r="AS25" s="160">
        <f>Monthly_kWh!BJ25</f>
        <v>8.1399999999831596E-4</v>
      </c>
      <c r="AT25" s="160">
        <f>Monthly_kWh!U25</f>
        <v>0.52143199999999001</v>
      </c>
      <c r="AU25" s="160">
        <f>Monthly_kWh!V25</f>
        <v>0.127244000000001</v>
      </c>
      <c r="AV25" s="160">
        <f>Monthly_kWh!W25</f>
        <v>6.7759999999999806E-2</v>
      </c>
      <c r="AW25" s="160">
        <f>Monthly_kWh!X25</f>
        <v>7.3724999999999596E-2</v>
      </c>
      <c r="AX25" s="160">
        <f>Monthly_kWh!Y25</f>
        <v>0</v>
      </c>
      <c r="AY25" s="160">
        <f>Monthly_kWh!Z25</f>
        <v>4.2476999999999897E-2</v>
      </c>
      <c r="AZ25" s="160">
        <f>Monthly_kWh!AA25</f>
        <v>0.115195999999997</v>
      </c>
      <c r="BA25" s="160">
        <f>Monthly_kWh!AB25</f>
        <v>0.15618599999999799</v>
      </c>
      <c r="BB25" s="160">
        <f>Monthly_kWh!AC25</f>
        <v>0.13057200000000099</v>
      </c>
      <c r="BC25" s="160">
        <f>Monthly_kWh!AD25</f>
        <v>5.5172499999999403E-2</v>
      </c>
      <c r="BD25" s="160">
        <f>Monthly_kWh!AE25</f>
        <v>0.104818499999999</v>
      </c>
      <c r="BE25" s="160">
        <f>Monthly_kWh!AF25</f>
        <v>0</v>
      </c>
      <c r="BF25" s="160">
        <f>Monthly_kWh!AG25</f>
        <v>2.8191999999999801E-2</v>
      </c>
      <c r="BG25" s="160">
        <f>Monthly_kWh!AH25</f>
        <v>1.99116800000002</v>
      </c>
      <c r="BH25" s="160">
        <f>Monthly_kWh!AI25</f>
        <v>0</v>
      </c>
      <c r="BI25" s="160">
        <f>Monthly_kWh!AJ25</f>
        <v>4.2259999999999701E-2</v>
      </c>
      <c r="BJ25" s="160">
        <f>Monthly_kWh!AK25</f>
        <v>0</v>
      </c>
      <c r="BK25" s="160">
        <f>Monthly_kWh!AL25</f>
        <v>0.34941599999999101</v>
      </c>
      <c r="BL25" s="160">
        <f>Monthly_kWh!AM25</f>
        <v>0.49543200000000798</v>
      </c>
      <c r="BM25" s="160">
        <f>Monthly_kWh!AN25</f>
        <v>0.36880799999998698</v>
      </c>
      <c r="BN25" s="160">
        <f>Monthly_kWh!AO25</f>
        <v>0.15298800000000101</v>
      </c>
      <c r="BO25" s="160">
        <f>Monthly_kWh!AP25</f>
        <v>8.4291999999997799E-2</v>
      </c>
      <c r="BP25" s="160">
        <f>Monthly_kWh!AQ25</f>
        <v>0.33250799999999697</v>
      </c>
      <c r="BQ25" s="160">
        <f>Monthly_kWh!AR25</f>
        <v>5.555072</v>
      </c>
      <c r="BR25" s="160">
        <f>Monthly_kWh!AS25</f>
        <v>6.7828500000000097E-2</v>
      </c>
      <c r="BS25" s="160">
        <f>Monthly_kWh!AT25</f>
        <v>0</v>
      </c>
      <c r="BT25" s="160">
        <f>Monthly_kWh!AU25</f>
        <v>5.0708000000000197E-2</v>
      </c>
      <c r="BU25" s="160">
        <f>Monthly_kWh!AV25</f>
        <v>4.5250499999999902E-2</v>
      </c>
      <c r="BV25" s="160">
        <f>Monthly_kWh!AW25</f>
        <v>2.33542399999999</v>
      </c>
      <c r="BW25" s="160">
        <f>Monthly_kWh!AX25</f>
        <v>0</v>
      </c>
      <c r="BX25" s="160">
        <f>Monthly_kWh!AY25</f>
        <v>7.0946000000000203E-2</v>
      </c>
      <c r="BY25" s="160">
        <f>Monthly_kWh!AZ25</f>
        <v>4.0000000005591102E-6</v>
      </c>
      <c r="BZ25" s="160">
        <f>Monthly_kWh!BA25</f>
        <v>0</v>
      </c>
      <c r="CA25" s="160">
        <f>Monthly_kWh!BB25</f>
        <v>0</v>
      </c>
      <c r="CB25" s="160">
        <f>Monthly_kWh!BC25</f>
        <v>0</v>
      </c>
      <c r="CC25" s="160">
        <f>Monthly_kWh!BD25</f>
        <v>4.5448750000000003E-3</v>
      </c>
      <c r="CD25" s="160">
        <f>Monthly_kWh!BE25</f>
        <v>0.109373999999999</v>
      </c>
      <c r="CE25" s="160">
        <f>Monthly_kWh!BF25</f>
        <v>0</v>
      </c>
      <c r="CF25" s="160">
        <f>Monthly_kWh!BG25</f>
        <v>1.7993999999999798E-2</v>
      </c>
      <c r="CG25" s="160">
        <f>Monthly_kWh!BH25</f>
        <v>8.8940000000015101E-3</v>
      </c>
      <c r="CH25" s="160">
        <f>Monthly_kWh!BI25</f>
        <v>2.5567680000000301</v>
      </c>
      <c r="CI25" s="160">
        <f>Monthly_kWh!BJ25</f>
        <v>8.1399999999831596E-4</v>
      </c>
      <c r="CJ25" s="160">
        <f>Monthly_kWh!BK25</f>
        <v>4.7997999999999798E-2</v>
      </c>
      <c r="CK25" s="160">
        <f>Monthly_kWh!BL25</f>
        <v>1.15999999998451E-4</v>
      </c>
      <c r="CL25" s="160">
        <f>Monthly_kWh!BM25</f>
        <v>2.2276800000000199</v>
      </c>
      <c r="CM25" s="160">
        <f>Monthly_kWh!BN25</f>
        <v>0</v>
      </c>
      <c r="CN25" s="160">
        <f>Monthly_kWh!BO25</f>
        <v>0.43158200000000102</v>
      </c>
      <c r="CO25" s="160">
        <f>Monthly_kWh!BP25</f>
        <v>0</v>
      </c>
      <c r="CP25" s="160">
        <f>Monthly_kWh!BQ25</f>
        <v>0</v>
      </c>
      <c r="CQ25" s="160">
        <f>Monthly_kWh!BR25</f>
        <v>0</v>
      </c>
      <c r="CR25" s="160">
        <f>Monthly_kWh!BS25</f>
        <v>0</v>
      </c>
      <c r="CS25" s="160">
        <f>Monthly_kWh!BT25</f>
        <v>0.14988399999999999</v>
      </c>
      <c r="CT25" s="160">
        <f>Monthly_kWh!BU25</f>
        <v>0</v>
      </c>
      <c r="CU25" s="160">
        <f>Monthly_kWh!BV25</f>
        <v>0</v>
      </c>
      <c r="CV25" s="160">
        <f>Monthly_kWh!BW25</f>
        <v>0</v>
      </c>
      <c r="CW25" s="160">
        <f>Monthly_kWh!BX25</f>
        <v>0</v>
      </c>
      <c r="CX25" s="160">
        <f>Monthly_kWh!BY25</f>
        <v>0</v>
      </c>
      <c r="CY25" s="160">
        <f>Monthly_kWh!BZ25</f>
        <v>1.06221600000001</v>
      </c>
      <c r="CZ25" s="160">
        <f>Monthly_kWh!CA25</f>
        <v>0.41221600000000103</v>
      </c>
      <c r="DA25" s="160">
        <f>Monthly_kWh!CB25</f>
        <v>0</v>
      </c>
      <c r="DB25" s="160">
        <f>Monthly_kWh!CC25</f>
        <v>0</v>
      </c>
      <c r="DC25" s="160">
        <f>Monthly_kWh!CD25</f>
        <v>0</v>
      </c>
      <c r="DD25" s="160">
        <f>Monthly_kWh!CE25</f>
        <v>0</v>
      </c>
      <c r="DE25" s="160">
        <f>Monthly_kWh!CF25</f>
        <v>3.6592000000000603E-2</v>
      </c>
      <c r="DF25" s="160">
        <f>Monthly_kWh!CG25</f>
        <v>0</v>
      </c>
      <c r="DG25" s="160">
        <f>Monthly_kWh!CH25</f>
        <v>1.47524999999993E-3</v>
      </c>
      <c r="DH25" s="160">
        <f>Monthly_kWh!CI25</f>
        <v>0</v>
      </c>
      <c r="DI25" s="160">
        <f>Monthly_kWh!CJ25</f>
        <v>0</v>
      </c>
      <c r="DJ25" s="160">
        <f>Monthly_kWh!CK25</f>
        <v>0</v>
      </c>
      <c r="DK25" s="160">
        <f>Monthly_kWh!CL25</f>
        <v>3.0455999999997398E-2</v>
      </c>
      <c r="DL25" s="160">
        <f>Monthly_kWh!CM25</f>
        <v>4.8078080000000201</v>
      </c>
      <c r="DM25" s="160">
        <f>Monthly_kWh!CN25</f>
        <v>5.2236500000001101E-2</v>
      </c>
      <c r="DN25" s="160">
        <f>Monthly_kWh!CO25</f>
        <v>0.74184000000001005</v>
      </c>
      <c r="DO25" s="160">
        <f>Monthly_kWh!CP25</f>
        <v>0</v>
      </c>
      <c r="DP25" s="160">
        <f>Monthly_kWh!CQ25</f>
        <v>0</v>
      </c>
      <c r="DQ25" s="160">
        <f>Monthly_kWh!CR25</f>
        <v>0.152561</v>
      </c>
      <c r="DR25" s="160">
        <f>Monthly_kWh!CS25</f>
        <v>0</v>
      </c>
      <c r="DS25" s="160">
        <f>Monthly_kWh!CT25</f>
        <v>0.23356000000001101</v>
      </c>
      <c r="DT25" s="160">
        <f>Monthly_kWh!CU25</f>
        <v>0</v>
      </c>
      <c r="DU25" s="160">
        <f>Monthly_kWh!CV25</f>
        <v>1.4379625000000101E-2</v>
      </c>
      <c r="DV25" s="160">
        <f>Monthly_kWh!CW25</f>
        <v>7.2692000000003504E-2</v>
      </c>
      <c r="DW25" s="160">
        <f>Monthly_kWh!CX25</f>
        <v>0.25478400000000101</v>
      </c>
      <c r="DX25" s="160">
        <f>Monthly_kWh!CY25</f>
        <v>1.71349999999999E-2</v>
      </c>
      <c r="DY25" s="160">
        <f>Monthly_kWh!CZ25</f>
        <v>2.5476499999999899E-2</v>
      </c>
      <c r="DZ25" s="160">
        <f>Monthly_kWh!DA25</f>
        <v>0.26312000000000102</v>
      </c>
      <c r="EA25" s="160">
        <f>Monthly_kWh!DB25</f>
        <v>0.10104100000000001</v>
      </c>
      <c r="EB25" s="160">
        <f>Monthly_kWh!DC25</f>
        <v>0.19461999999999999</v>
      </c>
      <c r="EC25" s="160">
        <f>Monthly_kWh!DD25</f>
        <v>3.0201374999999898E-2</v>
      </c>
      <c r="ED25" s="160">
        <f>Monthly_kWh!DE25</f>
        <v>0</v>
      </c>
      <c r="EE25" s="160">
        <f>Monthly_kWh!DF25</f>
        <v>0</v>
      </c>
      <c r="EF25" s="160">
        <f>Monthly_kWh!DG25</f>
        <v>2.3154000000000799E-2</v>
      </c>
      <c r="EG25" s="160">
        <f>Monthly_kWh!DH25</f>
        <v>2.0627000000000201E-2</v>
      </c>
      <c r="EH25" s="160">
        <f>Monthly_kWh!DI25</f>
        <v>4.9655680000000801</v>
      </c>
      <c r="EI25" s="160">
        <f>Monthly_kWh!DJ25</f>
        <v>0</v>
      </c>
      <c r="EJ25" s="160">
        <f>Monthly_kWh!DK25</f>
        <v>6.3427999999998305E-2</v>
      </c>
      <c r="EK25" s="160">
        <f>Monthly_kWh!DL25</f>
        <v>1.9213355468749999E-2</v>
      </c>
      <c r="EL25" s="160">
        <f>Monthly_kWh!DM25</f>
        <v>4.4200000000000003E-2</v>
      </c>
      <c r="EM25" s="160">
        <f>Monthly_kWh!DN25</f>
        <v>1.3318749999990901E-4</v>
      </c>
      <c r="EN25" s="160">
        <f>Monthly_kWh!DO25</f>
        <v>0.76785600000002296</v>
      </c>
      <c r="EO25" s="160">
        <f>Monthly_kWh!DP25</f>
        <v>4.2721999999999503E-2</v>
      </c>
      <c r="EP25" s="160">
        <f>Monthly_kWh!DQ25</f>
        <v>0</v>
      </c>
      <c r="EQ25" s="160">
        <f>Monthly_kWh!DR25</f>
        <v>0</v>
      </c>
      <c r="ER25" s="160">
        <f>Monthly_kWh!DS25</f>
        <v>1.20336000000003</v>
      </c>
      <c r="ES25" s="160">
        <f>Monthly_kWh!DT25</f>
        <v>0.40055974999999999</v>
      </c>
      <c r="ET25" s="160">
        <f>Monthly_kWh!DU25</f>
        <v>9.6560000000014395E-3</v>
      </c>
      <c r="EU25" s="160">
        <f>Monthly_kWh!DV25</f>
        <v>1.06030000000001E-2</v>
      </c>
      <c r="EV25" s="160">
        <f>Monthly_kWh!DW25</f>
        <v>0</v>
      </c>
      <c r="EW25" s="160">
        <f>Monthly_kWh!DX25</f>
        <v>0.15582600000000099</v>
      </c>
      <c r="EX25" s="160">
        <f>Monthly_kWh!DY25</f>
        <v>6.3714375000000203E-3</v>
      </c>
      <c r="EY25" s="160">
        <f>Monthly_kWh!DZ25</f>
        <v>0.12548200000000201</v>
      </c>
      <c r="EZ25" s="160">
        <f>Monthly_kWh!EA25</f>
        <v>0</v>
      </c>
      <c r="FA25" s="160">
        <f>Monthly_kWh!EB25</f>
        <v>1.3575839999999999</v>
      </c>
      <c r="FB25" s="160">
        <f>Monthly_kWh!EC25</f>
        <v>0.76009600000000399</v>
      </c>
      <c r="FC25" s="160">
        <f>Monthly_kWh!ED25</f>
        <v>2.8305249999999799E-2</v>
      </c>
      <c r="FD25" s="160">
        <f>Monthly_kWh!EE25</f>
        <v>0.13111300000000001</v>
      </c>
      <c r="FE25" s="160">
        <f>Monthly_kWh!EF25</f>
        <v>13.0661550000004</v>
      </c>
      <c r="FF25" s="160">
        <f>Monthly_kWh!EG25</f>
        <v>0</v>
      </c>
      <c r="FG25" s="160">
        <f>Monthly_kWh!EH25</f>
        <v>0.48755199999993698</v>
      </c>
      <c r="FH25" s="160">
        <f>Monthly_kWh!EI25</f>
        <v>0.60576000000003205</v>
      </c>
      <c r="FI25" s="160">
        <f>Monthly_kWh!EJ25</f>
        <v>4.0896000000031997E-2</v>
      </c>
      <c r="FJ25" s="160">
        <f>Monthly_kWh!EK25</f>
        <v>0</v>
      </c>
      <c r="FK25" s="160">
        <f>Monthly_kWh!EL25</f>
        <v>2.6693119999999899</v>
      </c>
      <c r="FL25" s="160">
        <f>Monthly_kWh!EM25</f>
        <v>3.8878719999997902</v>
      </c>
      <c r="FM25" s="160">
        <f>Monthly_kWh!EN25</f>
        <v>3.04665599999998</v>
      </c>
      <c r="FN25" s="160">
        <f>Monthly_kWh!EO25</f>
        <v>0</v>
      </c>
      <c r="FO25" s="160">
        <f>Monthly_kWh!EP25</f>
        <v>0</v>
      </c>
      <c r="FP25" s="160">
        <f>Monthly_kWh!ER25</f>
        <v>2.3261349999999901</v>
      </c>
      <c r="FQ25" s="160">
        <f>Monthly_kWh!EQ25</f>
        <v>0</v>
      </c>
      <c r="FR25" s="160">
        <f>Monthly_kWh!M25</f>
        <v>0</v>
      </c>
      <c r="FS25" s="160">
        <f>Monthly_kWh!G25</f>
        <v>0</v>
      </c>
      <c r="FT25" s="160">
        <f>Monthly_kWh!C25</f>
        <v>8.1929739999999907</v>
      </c>
      <c r="FU25" s="160">
        <f>Monthly_kWh!D25</f>
        <v>8.5637970000000205</v>
      </c>
      <c r="FV25" s="160">
        <f>Monthly_kWh!E25</f>
        <v>7.1990850000000304</v>
      </c>
      <c r="FW25" s="160">
        <f>Monthly_kWh!F25</f>
        <v>0</v>
      </c>
      <c r="FX25" s="160">
        <f>Monthly_kWh!Q25</f>
        <v>7.9667200000003504</v>
      </c>
      <c r="FY25" s="160">
        <f>Monthly_kWh!R25</f>
        <v>8.3701760000003596</v>
      </c>
      <c r="FZ25" s="160">
        <f>Monthly_kWh!S25</f>
        <v>6.9980159999995504</v>
      </c>
      <c r="GA25" s="160">
        <f>Monthly_kWh!T25</f>
        <v>0</v>
      </c>
      <c r="GB25" s="160">
        <f t="shared" si="0"/>
        <v>33.184455999999997</v>
      </c>
      <c r="GC25" s="160">
        <f t="shared" si="1"/>
        <v>30.622283000000518</v>
      </c>
      <c r="GD25" s="160">
        <f t="shared" si="2"/>
        <v>2.5621729999994791</v>
      </c>
      <c r="GE25" s="159">
        <f t="shared" si="3"/>
        <v>7.7210034722265133E-2</v>
      </c>
    </row>
    <row r="26" spans="2:187" s="150" customFormat="1" ht="32.25" customHeight="1" x14ac:dyDescent="0.25">
      <c r="B26" s="168">
        <v>20</v>
      </c>
      <c r="C26" s="160">
        <f>Monthly_kWh!H26</f>
        <v>0.53276099999999904</v>
      </c>
      <c r="D26" s="160">
        <f>Monthly_kWh!I26</f>
        <v>1.24709999999979E-2</v>
      </c>
      <c r="E26" s="160">
        <f>Monthly_kWh!J26</f>
        <v>9.2579999999999902E-3</v>
      </c>
      <c r="F26" s="160">
        <f>Monthly_kWh!K26</f>
        <v>4.4246999999999898E-2</v>
      </c>
      <c r="G26" s="160">
        <f>Monthly_kWh!L26</f>
        <v>0.54145099999999902</v>
      </c>
      <c r="H26" s="160">
        <f>Monthly_kWh!U26</f>
        <v>0.52617600000000697</v>
      </c>
      <c r="I26" s="160">
        <f>Monthly_kWh!P26</f>
        <v>0.26011099999999499</v>
      </c>
      <c r="J26" s="160">
        <f>Monthly_kWh!N26</f>
        <v>3.7831039999999798</v>
      </c>
      <c r="K26" s="160">
        <f>Monthly_kWh!O26</f>
        <v>3.91046000000006</v>
      </c>
      <c r="L26" s="160">
        <f>Monthly_kWh!B26</f>
        <v>23.096125000000001</v>
      </c>
      <c r="M26" s="160">
        <f>Monthly_kWh!AR26</f>
        <v>5.5393920000000199</v>
      </c>
      <c r="N26" s="160">
        <f>Monthly_kWh!BM26</f>
        <v>2.1071039999999899</v>
      </c>
      <c r="O26" s="160">
        <f>Monthly_kWh!CM26</f>
        <v>4.7646719999997904</v>
      </c>
      <c r="P26" s="160">
        <f>Monthly_kWh!DI26</f>
        <v>4.9043839999999399</v>
      </c>
      <c r="Q26" s="160">
        <f>Monthly_kWh!EF26</f>
        <v>13.063262999999999</v>
      </c>
      <c r="R26" s="119">
        <f>SUM('Zone wise Meter data'!O49:AF49)</f>
        <v>1.4223605000000004</v>
      </c>
      <c r="S26" s="115">
        <f>SUM('Zone wise Meter data'!AG49:AW49)</f>
        <v>2.5242020000000069</v>
      </c>
      <c r="T26" s="115">
        <f>SUM('Zone wise Meter data'!AX49:BA49)</f>
        <v>1.1704990000000115</v>
      </c>
      <c r="U26" s="115">
        <f>SUM('Zone wise Meter data'!BB49:BC49)</f>
        <v>3.429824</v>
      </c>
      <c r="V26" s="115">
        <f>SUM('Zone wise Meter data'!BD49:BL49)</f>
        <v>13.11542700000015</v>
      </c>
      <c r="W26" s="115">
        <f>SUM('Zone wise Meter data'!BM49:BX49)</f>
        <v>0.38873924999999976</v>
      </c>
      <c r="X26" s="115">
        <f>SUM('Zone wise Meter data'!BY49:CE49)</f>
        <v>1.9384624999999791E-2</v>
      </c>
      <c r="Y26" s="115">
        <f>SUM('Zone wise Meter data'!CF49:CK49)</f>
        <v>2.065719250000007</v>
      </c>
      <c r="Z26" s="115">
        <f>SUM('Zone wise Meter data'!CL49:CO49)</f>
        <v>2.04153600000001</v>
      </c>
      <c r="AA26" s="115">
        <f>SUM('Zone wise Meter data'!CP49:DD49)</f>
        <v>1.3631661249999982</v>
      </c>
      <c r="AB26" s="115">
        <f>SUM('Zone wise Meter data'!DE49:DN49)</f>
        <v>0.24212581640624936</v>
      </c>
      <c r="AC26" s="115">
        <f>SUM('Zone wise Meter data'!DO49:ED49)</f>
        <v>0</v>
      </c>
      <c r="AD26" s="160">
        <f>Monthly_kWh!AW26</f>
        <v>2.2375680000000102</v>
      </c>
      <c r="AE26" s="160">
        <f>Monthly_kWh!DS26</f>
        <v>1.19225599999999</v>
      </c>
      <c r="AF26" s="160">
        <f>Monthly_kWh!EL26</f>
        <v>3.0828799999999301</v>
      </c>
      <c r="AG26" s="160">
        <f>Monthly_kWh!EK26</f>
        <v>0</v>
      </c>
      <c r="AH26" s="160">
        <f>Monthly_kWh!EN26</f>
        <v>2.3897600000000199</v>
      </c>
      <c r="AI26" s="160">
        <f>Monthly_kWh!EO26</f>
        <v>0</v>
      </c>
      <c r="AJ26" s="160">
        <f>Monthly_kWh!EM26</f>
        <v>3.7736960000002</v>
      </c>
      <c r="AK26" s="160">
        <f>Monthly_kWh!ER26</f>
        <v>2.7298450000000098</v>
      </c>
      <c r="AL26" s="160">
        <f>Monthly_kWh!EI26</f>
        <v>0.60595200000000204</v>
      </c>
      <c r="AM26" s="160">
        <f>Monthly_kWh!EJ26+Hourly_kWh!AS26</f>
        <v>4.2619999999980791E-2</v>
      </c>
      <c r="AN26" s="160">
        <f>Monthly_kWh!CX26+Hourly_kWh!CY26+Hourly_kWh!DC26+Hourly_kWh!DD26</f>
        <v>0.26213424999999613</v>
      </c>
      <c r="AO26" s="160">
        <f>SUM(Hourly_kWh!AI26:AQ26)</f>
        <v>6.3278343749996524E-2</v>
      </c>
      <c r="AP26" s="160">
        <f>SUM(Hourly_kWh!V26:AG26)</f>
        <v>3.2350500000005056E-2</v>
      </c>
      <c r="AQ26" s="160">
        <f>Monthly_kWh!DB26</f>
        <v>9.7249999999998907E-2</v>
      </c>
      <c r="AR26" s="160">
        <f>Monthly_kWh!CO26</f>
        <v>0.77859199999998896</v>
      </c>
      <c r="AS26" s="160">
        <f>Monthly_kWh!BJ26</f>
        <v>2.410000000026E-4</v>
      </c>
      <c r="AT26" s="160">
        <f>Monthly_kWh!U26</f>
        <v>0.52617600000000697</v>
      </c>
      <c r="AU26" s="160">
        <f>Monthly_kWh!V26</f>
        <v>0.12828599999999901</v>
      </c>
      <c r="AV26" s="160">
        <f>Monthly_kWh!W26</f>
        <v>6.6423000000000301E-2</v>
      </c>
      <c r="AW26" s="160">
        <f>Monthly_kWh!X26</f>
        <v>7.0518999999999096E-2</v>
      </c>
      <c r="AX26" s="160">
        <f>Monthly_kWh!Y26</f>
        <v>0</v>
      </c>
      <c r="AY26" s="160">
        <f>Monthly_kWh!Z26</f>
        <v>5.0310999999998898E-2</v>
      </c>
      <c r="AZ26" s="160">
        <f>Monthly_kWh!AA26</f>
        <v>0.114176</v>
      </c>
      <c r="BA26" s="160">
        <f>Monthly_kWh!AB26</f>
        <v>0.15868599999999899</v>
      </c>
      <c r="BB26" s="160">
        <f>Monthly_kWh!AC26</f>
        <v>0.13552</v>
      </c>
      <c r="BC26" s="160">
        <f>Monthly_kWh!AD26</f>
        <v>5.7117500000000397E-2</v>
      </c>
      <c r="BD26" s="160">
        <f>Monthly_kWh!AE26</f>
        <v>0.10800950000000099</v>
      </c>
      <c r="BE26" s="160">
        <f>Monthly_kWh!AF26</f>
        <v>0</v>
      </c>
      <c r="BF26" s="160">
        <f>Monthly_kWh!AG26</f>
        <v>2.8590750000000199E-2</v>
      </c>
      <c r="BG26" s="160">
        <f>Monthly_kWh!AH26</f>
        <v>1.9776639999999499</v>
      </c>
      <c r="BH26" s="160">
        <f>Monthly_kWh!AI26</f>
        <v>0</v>
      </c>
      <c r="BI26" s="160">
        <f>Monthly_kWh!AJ26</f>
        <v>4.0122500000000699E-2</v>
      </c>
      <c r="BJ26" s="160">
        <f>Monthly_kWh!AK26</f>
        <v>0</v>
      </c>
      <c r="BK26" s="160">
        <f>Monthly_kWh!AL26</f>
        <v>0.34532000000000102</v>
      </c>
      <c r="BL26" s="160">
        <f>Monthly_kWh!AM26</f>
        <v>0.49417599999999601</v>
      </c>
      <c r="BM26" s="160">
        <f>Monthly_kWh!AN26</f>
        <v>0.38223200000000201</v>
      </c>
      <c r="BN26" s="160">
        <f>Monthly_kWh!AO26</f>
        <v>0.14355600000000401</v>
      </c>
      <c r="BO26" s="160">
        <f>Monthly_kWh!AP26</f>
        <v>8.2118000000001204E-2</v>
      </c>
      <c r="BP26" s="160">
        <f>Monthly_kWh!AQ26</f>
        <v>0.330040000000004</v>
      </c>
      <c r="BQ26" s="160">
        <f>Monthly_kWh!AR26</f>
        <v>5.5393920000000199</v>
      </c>
      <c r="BR26" s="160">
        <f>Monthly_kWh!AS26</f>
        <v>6.6307000000000102E-2</v>
      </c>
      <c r="BS26" s="160">
        <f>Monthly_kWh!AT26</f>
        <v>0</v>
      </c>
      <c r="BT26" s="160">
        <f>Monthly_kWh!AU26</f>
        <v>5.1648000000000097E-2</v>
      </c>
      <c r="BU26" s="160">
        <f>Monthly_kWh!AV26</f>
        <v>2.1952500000000302E-2</v>
      </c>
      <c r="BV26" s="160">
        <f>Monthly_kWh!AW26</f>
        <v>2.2375680000000102</v>
      </c>
      <c r="BW26" s="160">
        <f>Monthly_kWh!AX26</f>
        <v>0</v>
      </c>
      <c r="BX26" s="160">
        <f>Monthly_kWh!AY26</f>
        <v>7.2725499999999804E-2</v>
      </c>
      <c r="BY26" s="160">
        <f>Monthly_kWh!AZ26</f>
        <v>3.5000000000451299E-6</v>
      </c>
      <c r="BZ26" s="160">
        <f>Monthly_kWh!BA26</f>
        <v>0</v>
      </c>
      <c r="CA26" s="160">
        <f>Monthly_kWh!BB26</f>
        <v>0</v>
      </c>
      <c r="CB26" s="160">
        <f>Monthly_kWh!BC26</f>
        <v>0</v>
      </c>
      <c r="CC26" s="160">
        <f>Monthly_kWh!BD26</f>
        <v>5.28083203125E-3</v>
      </c>
      <c r="CD26" s="160">
        <f>Monthly_kWh!BE26</f>
        <v>0.18453800000000001</v>
      </c>
      <c r="CE26" s="160">
        <f>Monthly_kWh!BF26</f>
        <v>0</v>
      </c>
      <c r="CF26" s="160">
        <f>Monthly_kWh!BG26</f>
        <v>1.8864999999999899E-2</v>
      </c>
      <c r="CG26" s="160">
        <f>Monthly_kWh!BH26</f>
        <v>1.6017999999998998E-2</v>
      </c>
      <c r="CH26" s="160">
        <f>Monthly_kWh!BI26</f>
        <v>2.5758079999999999</v>
      </c>
      <c r="CI26" s="160">
        <f>Monthly_kWh!BJ26</f>
        <v>2.410000000026E-4</v>
      </c>
      <c r="CJ26" s="160">
        <f>Monthly_kWh!BK26</f>
        <v>4.8474999999999803E-2</v>
      </c>
      <c r="CK26" s="160">
        <f>Monthly_kWh!BL26</f>
        <v>7.5999999999964998E-5</v>
      </c>
      <c r="CL26" s="160">
        <f>Monthly_kWh!BM26</f>
        <v>2.1071039999999899</v>
      </c>
      <c r="CM26" s="160">
        <f>Monthly_kWh!BN26</f>
        <v>0</v>
      </c>
      <c r="CN26" s="160">
        <f>Monthly_kWh!BO26</f>
        <v>0.31106600000000001</v>
      </c>
      <c r="CO26" s="160">
        <f>Monthly_kWh!BP26</f>
        <v>0</v>
      </c>
      <c r="CP26" s="160">
        <f>Monthly_kWh!BQ26</f>
        <v>0</v>
      </c>
      <c r="CQ26" s="160">
        <f>Monthly_kWh!BR26</f>
        <v>0</v>
      </c>
      <c r="CR26" s="160">
        <f>Monthly_kWh!BS26</f>
        <v>0</v>
      </c>
      <c r="CS26" s="160">
        <f>Monthly_kWh!BT26</f>
        <v>0.29223600000000299</v>
      </c>
      <c r="CT26" s="160">
        <f>Monthly_kWh!BU26</f>
        <v>0</v>
      </c>
      <c r="CU26" s="160">
        <f>Monthly_kWh!BV26</f>
        <v>0</v>
      </c>
      <c r="CV26" s="160">
        <f>Monthly_kWh!BW26</f>
        <v>0</v>
      </c>
      <c r="CW26" s="160">
        <f>Monthly_kWh!BX26</f>
        <v>0</v>
      </c>
      <c r="CX26" s="160">
        <f>Monthly_kWh!BY26</f>
        <v>0</v>
      </c>
      <c r="CY26" s="160">
        <f>Monthly_kWh!BZ26</f>
        <v>0.92738400000000398</v>
      </c>
      <c r="CZ26" s="160">
        <f>Monthly_kWh!CA26</f>
        <v>0.424064000000001</v>
      </c>
      <c r="DA26" s="160">
        <f>Monthly_kWh!CB26</f>
        <v>0</v>
      </c>
      <c r="DB26" s="160">
        <f>Monthly_kWh!CC26</f>
        <v>0</v>
      </c>
      <c r="DC26" s="160">
        <f>Monthly_kWh!CD26</f>
        <v>0</v>
      </c>
      <c r="DD26" s="160">
        <f>Monthly_kWh!CE26</f>
        <v>0</v>
      </c>
      <c r="DE26" s="160">
        <f>Monthly_kWh!CF26</f>
        <v>3.1438999999998898E-2</v>
      </c>
      <c r="DF26" s="160">
        <f>Monthly_kWh!CG26</f>
        <v>0</v>
      </c>
      <c r="DG26" s="160">
        <f>Monthly_kWh!CH26</f>
        <v>3.3787499999999898E-3</v>
      </c>
      <c r="DH26" s="160">
        <f>Monthly_kWh!CI26</f>
        <v>0</v>
      </c>
      <c r="DI26" s="160">
        <f>Monthly_kWh!CJ26</f>
        <v>0</v>
      </c>
      <c r="DJ26" s="160">
        <f>Monthly_kWh!CK26</f>
        <v>0</v>
      </c>
      <c r="DK26" s="160">
        <f>Monthly_kWh!CL26</f>
        <v>2.5498000000002501E-2</v>
      </c>
      <c r="DL26" s="160">
        <f>Monthly_kWh!CM26</f>
        <v>4.7646719999997904</v>
      </c>
      <c r="DM26" s="160">
        <f>Monthly_kWh!CN26</f>
        <v>4.3811999999999102E-2</v>
      </c>
      <c r="DN26" s="160">
        <f>Monthly_kWh!CO26</f>
        <v>0.77859199999998896</v>
      </c>
      <c r="DO26" s="160">
        <f>Monthly_kWh!CP26</f>
        <v>0</v>
      </c>
      <c r="DP26" s="160">
        <f>Monthly_kWh!CQ26</f>
        <v>0</v>
      </c>
      <c r="DQ26" s="160">
        <f>Monthly_kWh!CR26</f>
        <v>0.16875899999999999</v>
      </c>
      <c r="DR26" s="160">
        <f>Monthly_kWh!CS26</f>
        <v>0</v>
      </c>
      <c r="DS26" s="160">
        <f>Monthly_kWh!CT26</f>
        <v>0.20032799999999901</v>
      </c>
      <c r="DT26" s="160">
        <f>Monthly_kWh!CU26</f>
        <v>0</v>
      </c>
      <c r="DU26" s="160">
        <f>Monthly_kWh!CV26</f>
        <v>1.6005874999999802E-2</v>
      </c>
      <c r="DV26" s="160">
        <f>Monthly_kWh!CW26</f>
        <v>3.5631999999999699E-2</v>
      </c>
      <c r="DW26" s="160">
        <f>Monthly_kWh!CX26</f>
        <v>0.252331999999996</v>
      </c>
      <c r="DX26" s="160">
        <f>Monthly_kWh!CY26</f>
        <v>1.7936000000000198E-2</v>
      </c>
      <c r="DY26" s="160">
        <f>Monthly_kWh!CZ26</f>
        <v>2.3507250000000202E-2</v>
      </c>
      <c r="DZ26" s="160">
        <f>Monthly_kWh!DA26</f>
        <v>0.26340400000000103</v>
      </c>
      <c r="EA26" s="160">
        <f>Monthly_kWh!DB26</f>
        <v>9.7249999999998907E-2</v>
      </c>
      <c r="EB26" s="160">
        <f>Monthly_kWh!DC26</f>
        <v>0.20217600000000099</v>
      </c>
      <c r="EC26" s="160">
        <f>Monthly_kWh!DD26</f>
        <v>2.9901750000000098E-2</v>
      </c>
      <c r="ED26" s="160">
        <f>Monthly_kWh!DE26</f>
        <v>0</v>
      </c>
      <c r="EE26" s="160">
        <f>Monthly_kWh!DF26</f>
        <v>0</v>
      </c>
      <c r="EF26" s="160">
        <f>Monthly_kWh!DG26</f>
        <v>1.8533999999999801E-2</v>
      </c>
      <c r="EG26" s="160">
        <f>Monthly_kWh!DH26</f>
        <v>1.9334500000000299E-2</v>
      </c>
      <c r="EH26" s="160">
        <f>Monthly_kWh!DI26</f>
        <v>4.9043839999999399</v>
      </c>
      <c r="EI26" s="160">
        <f>Monthly_kWh!DJ26</f>
        <v>0</v>
      </c>
      <c r="EJ26" s="160">
        <f>Monthly_kWh!DK26</f>
        <v>6.4726000000000297E-2</v>
      </c>
      <c r="EK26" s="160">
        <f>Monthly_kWh!DL26</f>
        <v>1.9281984374999998E-2</v>
      </c>
      <c r="EL26" s="160">
        <f>Monthly_kWh!DM26</f>
        <v>4.4349999999999702E-2</v>
      </c>
      <c r="EM26" s="160">
        <f>Monthly_kWh!DN26</f>
        <v>3.0015000000001E-3</v>
      </c>
      <c r="EN26" s="160">
        <f>Monthly_kWh!DO26</f>
        <v>0.76321600000000001</v>
      </c>
      <c r="EO26" s="160">
        <f>Monthly_kWh!DP26</f>
        <v>4.6886999999999901E-2</v>
      </c>
      <c r="EP26" s="160">
        <f>Monthly_kWh!DQ26</f>
        <v>0</v>
      </c>
      <c r="EQ26" s="160">
        <f>Monthly_kWh!DR26</f>
        <v>0</v>
      </c>
      <c r="ER26" s="160">
        <f>Monthly_kWh!DS26</f>
        <v>1.19225599999999</v>
      </c>
      <c r="ES26" s="160">
        <f>Monthly_kWh!DT26</f>
        <v>0.39059624999999998</v>
      </c>
      <c r="ET26" s="160">
        <f>Monthly_kWh!DU26</f>
        <v>2.47979999999988E-2</v>
      </c>
      <c r="EU26" s="160">
        <f>Monthly_kWh!DV26</f>
        <v>7.97250000000016E-3</v>
      </c>
      <c r="EV26" s="160">
        <f>Monthly_kWh!DW26</f>
        <v>0</v>
      </c>
      <c r="EW26" s="160">
        <f>Monthly_kWh!DX26</f>
        <v>0.15105199999999999</v>
      </c>
      <c r="EX26" s="160">
        <f>Monthly_kWh!DY26</f>
        <v>5.1013749999999601E-3</v>
      </c>
      <c r="EY26" s="160">
        <f>Monthly_kWh!DZ26</f>
        <v>0.12742999999999999</v>
      </c>
      <c r="EZ26" s="160">
        <f>Monthly_kWh!EA26</f>
        <v>0</v>
      </c>
      <c r="FA26" s="160">
        <f>Monthly_kWh!EB26</f>
        <v>1.39544000000001</v>
      </c>
      <c r="FB26" s="160">
        <f>Monthly_kWh!EC26</f>
        <v>0.646096</v>
      </c>
      <c r="FC26" s="160">
        <f>Monthly_kWh!ED26</f>
        <v>3.3379750000000402E-2</v>
      </c>
      <c r="FD26" s="160">
        <f>Monthly_kWh!EE26</f>
        <v>0.145554499999999</v>
      </c>
      <c r="FE26" s="160">
        <f>Monthly_kWh!EF26</f>
        <v>13.063262999999999</v>
      </c>
      <c r="FF26" s="160">
        <f>Monthly_kWh!EG26</f>
        <v>0</v>
      </c>
      <c r="FG26" s="160">
        <f>Monthly_kWh!EH26</f>
        <v>0.45568000000002901</v>
      </c>
      <c r="FH26" s="160">
        <f>Monthly_kWh!EI26</f>
        <v>0.60595200000000204</v>
      </c>
      <c r="FI26" s="160">
        <f>Monthly_kWh!EJ26</f>
        <v>4.2559999999980398E-2</v>
      </c>
      <c r="FJ26" s="160">
        <f>Monthly_kWh!EK26</f>
        <v>0</v>
      </c>
      <c r="FK26" s="160">
        <f>Monthly_kWh!EL26</f>
        <v>3.0828799999999301</v>
      </c>
      <c r="FL26" s="160">
        <f>Monthly_kWh!EM26</f>
        <v>3.7736960000002</v>
      </c>
      <c r="FM26" s="160">
        <f>Monthly_kWh!EN26</f>
        <v>2.3897600000000199</v>
      </c>
      <c r="FN26" s="160">
        <f>Monthly_kWh!EO26</f>
        <v>0</v>
      </c>
      <c r="FO26" s="160">
        <f>Monthly_kWh!EP26</f>
        <v>0</v>
      </c>
      <c r="FP26" s="160">
        <f>Monthly_kWh!ER26</f>
        <v>2.7298450000000098</v>
      </c>
      <c r="FQ26" s="160">
        <f>Monthly_kWh!EQ26</f>
        <v>0</v>
      </c>
      <c r="FR26" s="160">
        <f>Monthly_kWh!M26</f>
        <v>1.16246099999999</v>
      </c>
      <c r="FS26" s="160">
        <f>Monthly_kWh!G26</f>
        <v>1.1604620000000001</v>
      </c>
      <c r="FT26" s="160">
        <f>Monthly_kWh!C26</f>
        <v>8.3521659999999507</v>
      </c>
      <c r="FU26" s="160">
        <f>Monthly_kWh!D26</f>
        <v>8.7540149999999795</v>
      </c>
      <c r="FV26" s="160">
        <f>Monthly_kWh!E26</f>
        <v>7.3547449999999799</v>
      </c>
      <c r="FW26" s="160">
        <f>Monthly_kWh!F26</f>
        <v>0</v>
      </c>
      <c r="FX26" s="160">
        <f>Monthly_kWh!Q26</f>
        <v>8.1305599999977893</v>
      </c>
      <c r="FY26" s="160">
        <f>Monthly_kWh!R26</f>
        <v>8.5483519999979798</v>
      </c>
      <c r="FZ26" s="160">
        <f>Monthly_kWh!S26</f>
        <v>7.1413760000004904</v>
      </c>
      <c r="GA26" s="160">
        <f>Monthly_kWh!T26</f>
        <v>0</v>
      </c>
      <c r="GB26" s="160">
        <f t="shared" si="0"/>
        <v>32.716164000000035</v>
      </c>
      <c r="GC26" s="160">
        <f t="shared" si="1"/>
        <v>30.37881499999974</v>
      </c>
      <c r="GD26" s="160">
        <f t="shared" si="2"/>
        <v>2.3373490000002946</v>
      </c>
      <c r="GE26" s="159">
        <f t="shared" si="3"/>
        <v>7.1443247441854499E-2</v>
      </c>
    </row>
    <row r="27" spans="2:187" s="150" customFormat="1" ht="32.25" customHeight="1" x14ac:dyDescent="0.25">
      <c r="B27" s="168">
        <v>21</v>
      </c>
      <c r="C27" s="160">
        <f>Monthly_kWh!H27</f>
        <v>0</v>
      </c>
      <c r="D27" s="160">
        <f>Monthly_kWh!I27</f>
        <v>0</v>
      </c>
      <c r="E27" s="160">
        <f>Monthly_kWh!J27</f>
        <v>0</v>
      </c>
      <c r="F27" s="160">
        <f>Monthly_kWh!K27</f>
        <v>0</v>
      </c>
      <c r="G27" s="160">
        <f>Monthly_kWh!L27</f>
        <v>0</v>
      </c>
      <c r="H27" s="160">
        <f>Monthly_kWh!U27</f>
        <v>0.49231199999999797</v>
      </c>
      <c r="I27" s="160">
        <f>Monthly_kWh!P27</f>
        <v>0.30380900000000099</v>
      </c>
      <c r="J27" s="160">
        <f>Monthly_kWh!N27</f>
        <v>4.6908849999999802</v>
      </c>
      <c r="K27" s="160">
        <f>Monthly_kWh!O27</f>
        <v>4.8288589999998504</v>
      </c>
      <c r="L27" s="160">
        <f>Monthly_kWh!B27</f>
        <v>23.138375</v>
      </c>
      <c r="M27" s="160">
        <f>Monthly_kWh!AR27</f>
        <v>5.0869759999999404</v>
      </c>
      <c r="N27" s="160">
        <f>Monthly_kWh!BM27</f>
        <v>2.0902399999999899</v>
      </c>
      <c r="O27" s="160">
        <f>Monthly_kWh!CM27</f>
        <v>4.6750720000000001</v>
      </c>
      <c r="P27" s="160">
        <f>Monthly_kWh!DI27</f>
        <v>4.6062719999999899</v>
      </c>
      <c r="Q27" s="160">
        <f>Monthly_kWh!EF27</f>
        <v>14.4996799999999</v>
      </c>
      <c r="R27" s="119">
        <f>SUM('Zone wise Meter data'!O50:AF50)</f>
        <v>1.2829946249999957</v>
      </c>
      <c r="S27" s="115">
        <f>SUM('Zone wise Meter data'!AG50:AW50)</f>
        <v>2.4302580000000122</v>
      </c>
      <c r="T27" s="115">
        <f>SUM('Zone wise Meter data'!AX50:BA50)</f>
        <v>1.2971630000000447</v>
      </c>
      <c r="U27" s="115">
        <f>SUM('Zone wise Meter data'!BB50:BC50)</f>
        <v>3.1739200000000101</v>
      </c>
      <c r="V27" s="115">
        <f>SUM('Zone wise Meter data'!BD50:BL50)</f>
        <v>14.573612999999936</v>
      </c>
      <c r="W27" s="115">
        <f>SUM('Zone wise Meter data'!BM50:BX50)</f>
        <v>0.56313600000000108</v>
      </c>
      <c r="X27" s="115">
        <f>SUM('Zone wise Meter data'!BY50:CE50)</f>
        <v>2.65258749999999E-2</v>
      </c>
      <c r="Y27" s="115">
        <f>SUM('Zone wise Meter data'!CF50:CK50)</f>
        <v>1.5735339999999938</v>
      </c>
      <c r="Z27" s="115">
        <f>SUM('Zone wise Meter data'!CL50:CO50)</f>
        <v>1.8579039999999898</v>
      </c>
      <c r="AA27" s="115">
        <f>SUM('Zone wise Meter data'!CP50:DD50)</f>
        <v>1.2056389999999833</v>
      </c>
      <c r="AB27" s="115">
        <f>SUM('Zone wise Meter data'!DE50:DN50)</f>
        <v>0.27471559765625841</v>
      </c>
      <c r="AC27" s="115">
        <f>SUM('Zone wise Meter data'!DO50:ED50)</f>
        <v>0</v>
      </c>
      <c r="AD27" s="160">
        <f>Monthly_kWh!AW27</f>
        <v>1.9776640000000001</v>
      </c>
      <c r="AE27" s="160">
        <f>Monthly_kWh!DS27</f>
        <v>1.19625600000001</v>
      </c>
      <c r="AF27" s="160">
        <f>Monthly_kWh!EL27</f>
        <v>3.3992960000000498</v>
      </c>
      <c r="AG27" s="160">
        <f>Monthly_kWh!EK27</f>
        <v>0</v>
      </c>
      <c r="AH27" s="160">
        <f>Monthly_kWh!EN27</f>
        <v>2.6851839999999401</v>
      </c>
      <c r="AI27" s="160">
        <f>Monthly_kWh!EO27</f>
        <v>0</v>
      </c>
      <c r="AJ27" s="160">
        <f>Monthly_kWh!EM27</f>
        <v>4.0826879999999601</v>
      </c>
      <c r="AK27" s="160">
        <f>Monthly_kWh!ER27</f>
        <v>3.1342679999999898</v>
      </c>
      <c r="AL27" s="160">
        <f>Monthly_kWh!EI27</f>
        <v>0.71072000000003799</v>
      </c>
      <c r="AM27" s="160">
        <f>Monthly_kWh!EJ27+Hourly_kWh!AS27</f>
        <v>4.7709499999981156E-2</v>
      </c>
      <c r="AN27" s="160">
        <f>Monthly_kWh!CX27+Hourly_kWh!CY27+Hourly_kWh!DC27+Hourly_kWh!DD27</f>
        <v>0.26027850000000086</v>
      </c>
      <c r="AO27" s="160">
        <f>SUM(Hourly_kWh!AI27:AQ27)</f>
        <v>6.5356343749998214E-2</v>
      </c>
      <c r="AP27" s="160">
        <f>SUM(Hourly_kWh!V27:AG27)</f>
        <v>3.2152500000000472E-2</v>
      </c>
      <c r="AQ27" s="160">
        <f>Monthly_kWh!DB27</f>
        <v>0.103965000000001</v>
      </c>
      <c r="AR27" s="160">
        <f>Monthly_kWh!CO27</f>
        <v>0.90344799999999703</v>
      </c>
      <c r="AS27" s="160">
        <f>Monthly_kWh!BJ27</f>
        <v>5.2279999999989002E-3</v>
      </c>
      <c r="AT27" s="160">
        <f>Monthly_kWh!U27</f>
        <v>0.49231199999999797</v>
      </c>
      <c r="AU27" s="160">
        <f>Monthly_kWh!V27</f>
        <v>0.128187999999998</v>
      </c>
      <c r="AV27" s="160">
        <f>Monthly_kWh!W27</f>
        <v>4.3881000000000697E-2</v>
      </c>
      <c r="AW27" s="160">
        <f>Monthly_kWh!X27</f>
        <v>5.2592000000000597E-2</v>
      </c>
      <c r="AX27" s="160">
        <f>Monthly_kWh!Y27</f>
        <v>0</v>
      </c>
      <c r="AY27" s="160">
        <f>Monthly_kWh!Z27</f>
        <v>4.4507000000001198E-2</v>
      </c>
      <c r="AZ27" s="160">
        <f>Monthly_kWh!AA27</f>
        <v>0.106976</v>
      </c>
      <c r="BA27" s="160">
        <f>Monthly_kWh!AB27</f>
        <v>0.15742200000000001</v>
      </c>
      <c r="BB27" s="160">
        <f>Monthly_kWh!AC27</f>
        <v>0.14053399999999899</v>
      </c>
      <c r="BC27" s="160">
        <f>Monthly_kWh!AD27</f>
        <v>5.6384999999998797E-2</v>
      </c>
      <c r="BD27" s="160">
        <f>Monthly_kWh!AE27</f>
        <v>0.103019499999999</v>
      </c>
      <c r="BE27" s="160">
        <f>Monthly_kWh!AF27</f>
        <v>0</v>
      </c>
      <c r="BF27" s="160">
        <f>Monthly_kWh!AG27</f>
        <v>2.5075250000000399E-2</v>
      </c>
      <c r="BG27" s="160">
        <f>Monthly_kWh!AH27</f>
        <v>1.92294400000003</v>
      </c>
      <c r="BH27" s="160">
        <f>Monthly_kWh!AI27</f>
        <v>0</v>
      </c>
      <c r="BI27" s="160">
        <f>Monthly_kWh!AJ27</f>
        <v>3.63259999999999E-2</v>
      </c>
      <c r="BJ27" s="160">
        <f>Monthly_kWh!AK27</f>
        <v>0</v>
      </c>
      <c r="BK27" s="160">
        <f>Monthly_kWh!AL27</f>
        <v>0.32552000000001202</v>
      </c>
      <c r="BL27" s="160">
        <f>Monthly_kWh!AM27</f>
        <v>0.49016799999999699</v>
      </c>
      <c r="BM27" s="160">
        <f>Monthly_kWh!AN27</f>
        <v>0.37048000000000098</v>
      </c>
      <c r="BN27" s="160">
        <f>Monthly_kWh!AO27</f>
        <v>0.13850000000000101</v>
      </c>
      <c r="BO27" s="160">
        <f>Monthly_kWh!AP27</f>
        <v>8.2892000000001104E-2</v>
      </c>
      <c r="BP27" s="160">
        <f>Monthly_kWh!AQ27</f>
        <v>0.32731199999999899</v>
      </c>
      <c r="BQ27" s="160">
        <f>Monthly_kWh!AR27</f>
        <v>5.0869759999999404</v>
      </c>
      <c r="BR27" s="160">
        <f>Monthly_kWh!AS27</f>
        <v>6.1994999999999599E-2</v>
      </c>
      <c r="BS27" s="160">
        <f>Monthly_kWh!AT27</f>
        <v>0</v>
      </c>
      <c r="BT27" s="160">
        <f>Monthly_kWh!AU27</f>
        <v>5.0396000000006297E-2</v>
      </c>
      <c r="BU27" s="160">
        <f>Monthly_kWh!AV27</f>
        <v>4.2079499999999798E-2</v>
      </c>
      <c r="BV27" s="160">
        <f>Monthly_kWh!AW27</f>
        <v>1.9776640000000001</v>
      </c>
      <c r="BW27" s="160">
        <f>Monthly_kWh!AX27</f>
        <v>0</v>
      </c>
      <c r="BX27" s="160">
        <f>Monthly_kWh!AY27</f>
        <v>7.8899500000000303E-2</v>
      </c>
      <c r="BY27" s="160">
        <f>Monthly_kWh!AZ27</f>
        <v>0</v>
      </c>
      <c r="BZ27" s="160">
        <f>Monthly_kWh!BA27</f>
        <v>0</v>
      </c>
      <c r="CA27" s="160">
        <f>Monthly_kWh!BB27</f>
        <v>0</v>
      </c>
      <c r="CB27" s="160">
        <f>Monthly_kWh!BC27</f>
        <v>0</v>
      </c>
      <c r="CC27" s="160">
        <f>Monthly_kWh!BD27</f>
        <v>3.6601914062499999E-3</v>
      </c>
      <c r="CD27" s="160">
        <f>Monthly_kWh!BE27</f>
        <v>0.107931999999998</v>
      </c>
      <c r="CE27" s="160">
        <f>Monthly_kWh!BF27</f>
        <v>0</v>
      </c>
      <c r="CF27" s="160">
        <f>Monthly_kWh!BG27</f>
        <v>1.4751000000000399E-2</v>
      </c>
      <c r="CG27" s="160">
        <f>Monthly_kWh!BH27</f>
        <v>4.15279999999996E-2</v>
      </c>
      <c r="CH27" s="160">
        <f>Monthly_kWh!BI27</f>
        <v>2.4250879999999602</v>
      </c>
      <c r="CI27" s="160">
        <f>Monthly_kWh!BJ27</f>
        <v>5.2279999999989002E-3</v>
      </c>
      <c r="CJ27" s="160">
        <f>Monthly_kWh!BK27</f>
        <v>5.0519999999999697E-2</v>
      </c>
      <c r="CK27" s="160">
        <f>Monthly_kWh!BL27</f>
        <v>1.0600000000238199E-4</v>
      </c>
      <c r="CL27" s="160">
        <f>Monthly_kWh!BM27</f>
        <v>2.0902399999999899</v>
      </c>
      <c r="CM27" s="160">
        <f>Monthly_kWh!BN27</f>
        <v>0</v>
      </c>
      <c r="CN27" s="160">
        <f>Monthly_kWh!BO27</f>
        <v>0.46596300000000002</v>
      </c>
      <c r="CO27" s="160">
        <f>Monthly_kWh!BP27</f>
        <v>0</v>
      </c>
      <c r="CP27" s="160">
        <f>Monthly_kWh!BQ27</f>
        <v>0</v>
      </c>
      <c r="CQ27" s="160">
        <f>Monthly_kWh!BR27</f>
        <v>0</v>
      </c>
      <c r="CR27" s="160">
        <f>Monthly_kWh!BS27</f>
        <v>0</v>
      </c>
      <c r="CS27" s="160">
        <f>Monthly_kWh!BT27</f>
        <v>0.269156000000002</v>
      </c>
      <c r="CT27" s="160">
        <f>Monthly_kWh!BU27</f>
        <v>0</v>
      </c>
      <c r="CU27" s="160">
        <f>Monthly_kWh!BV27</f>
        <v>0</v>
      </c>
      <c r="CV27" s="160">
        <f>Monthly_kWh!BW27</f>
        <v>0</v>
      </c>
      <c r="CW27" s="160">
        <f>Monthly_kWh!BX27</f>
        <v>0</v>
      </c>
      <c r="CX27" s="160">
        <f>Monthly_kWh!BY27</f>
        <v>0</v>
      </c>
      <c r="CY27" s="160">
        <f>Monthly_kWh!BZ27</f>
        <v>0.88936799999999006</v>
      </c>
      <c r="CZ27" s="160">
        <f>Monthly_kWh!CA27</f>
        <v>0</v>
      </c>
      <c r="DA27" s="160">
        <f>Monthly_kWh!CB27</f>
        <v>0</v>
      </c>
      <c r="DB27" s="160">
        <f>Monthly_kWh!CC27</f>
        <v>0</v>
      </c>
      <c r="DC27" s="160">
        <f>Monthly_kWh!CD27</f>
        <v>0</v>
      </c>
      <c r="DD27" s="160">
        <f>Monthly_kWh!CE27</f>
        <v>0</v>
      </c>
      <c r="DE27" s="160">
        <f>Monthly_kWh!CF27</f>
        <v>2.5963000000000801E-2</v>
      </c>
      <c r="DF27" s="160">
        <f>Monthly_kWh!CG27</f>
        <v>0</v>
      </c>
      <c r="DG27" s="160">
        <f>Monthly_kWh!CH27</f>
        <v>1.09699999999999E-2</v>
      </c>
      <c r="DH27" s="160">
        <f>Monthly_kWh!CI27</f>
        <v>0</v>
      </c>
      <c r="DI27" s="160">
        <f>Monthly_kWh!CJ27</f>
        <v>0</v>
      </c>
      <c r="DJ27" s="160">
        <f>Monthly_kWh!CK27</f>
        <v>0</v>
      </c>
      <c r="DK27" s="160">
        <f>Monthly_kWh!CL27</f>
        <v>2.50859999999982E-2</v>
      </c>
      <c r="DL27" s="160">
        <f>Monthly_kWh!CM27</f>
        <v>4.6750720000000001</v>
      </c>
      <c r="DM27" s="160">
        <f>Monthly_kWh!CN27</f>
        <v>5.4479999999999897E-2</v>
      </c>
      <c r="DN27" s="160">
        <f>Monthly_kWh!CO27</f>
        <v>0.90344799999999703</v>
      </c>
      <c r="DO27" s="160">
        <f>Monthly_kWh!CP27</f>
        <v>0</v>
      </c>
      <c r="DP27" s="160">
        <f>Monthly_kWh!CQ27</f>
        <v>0</v>
      </c>
      <c r="DQ27" s="160">
        <f>Monthly_kWh!CR27</f>
        <v>0.15970500000000101</v>
      </c>
      <c r="DR27" s="160">
        <f>Monthly_kWh!CS27</f>
        <v>0</v>
      </c>
      <c r="DS27" s="160">
        <f>Monthly_kWh!CT27</f>
        <v>0.123719999999992</v>
      </c>
      <c r="DT27" s="160">
        <f>Monthly_kWh!CU27</f>
        <v>0</v>
      </c>
      <c r="DU27" s="160">
        <f>Monthly_kWh!CV27</f>
        <v>1.5555875E-2</v>
      </c>
      <c r="DV27" s="160">
        <f>Monthly_kWh!CW27</f>
        <v>6.38080000000016E-2</v>
      </c>
      <c r="DW27" s="160">
        <f>Monthly_kWh!CX27</f>
        <v>0.25654000000000099</v>
      </c>
      <c r="DX27" s="160">
        <f>Monthly_kWh!CY27</f>
        <v>1.4224999999999899E-2</v>
      </c>
      <c r="DY27" s="160">
        <f>Monthly_kWh!CZ27</f>
        <v>1.66664999999999E-2</v>
      </c>
      <c r="DZ27" s="160">
        <f>Monthly_kWh!DA27</f>
        <v>0.264764</v>
      </c>
      <c r="EA27" s="160">
        <f>Monthly_kWh!DB27</f>
        <v>0.103965000000001</v>
      </c>
      <c r="EB27" s="160">
        <f>Monthly_kWh!DC27</f>
        <v>0.158723999999999</v>
      </c>
      <c r="EC27" s="160">
        <f>Monthly_kWh!DD27</f>
        <v>3.0518375E-2</v>
      </c>
      <c r="ED27" s="160">
        <f>Monthly_kWh!DE27</f>
        <v>0</v>
      </c>
      <c r="EE27" s="160">
        <f>Monthly_kWh!DF27</f>
        <v>0</v>
      </c>
      <c r="EF27" s="160">
        <f>Monthly_kWh!DG27</f>
        <v>1.6698499999999498E-2</v>
      </c>
      <c r="EG27" s="160">
        <f>Monthly_kWh!DH27</f>
        <v>1.8437999999999701E-2</v>
      </c>
      <c r="EH27" s="160">
        <f>Monthly_kWh!DI27</f>
        <v>4.6062719999999899</v>
      </c>
      <c r="EI27" s="160">
        <f>Monthly_kWh!DJ27</f>
        <v>0</v>
      </c>
      <c r="EJ27" s="160">
        <f>Monthly_kWh!DK27</f>
        <v>6.4440000000001205E-2</v>
      </c>
      <c r="EK27" s="160">
        <f>Monthly_kWh!DL27</f>
        <v>1.8456906249999998E-2</v>
      </c>
      <c r="EL27" s="160">
        <f>Monthly_kWh!DM27</f>
        <v>3.9404000000001098E-2</v>
      </c>
      <c r="EM27" s="160">
        <f>Monthly_kWh!DN27</f>
        <v>9.3006249999994005E-4</v>
      </c>
      <c r="EN27" s="160">
        <f>Monthly_kWh!DO27</f>
        <v>0.70052799999999105</v>
      </c>
      <c r="EO27" s="160">
        <f>Monthly_kWh!DP27</f>
        <v>4.3632999999999797E-2</v>
      </c>
      <c r="EP27" s="160">
        <f>Monthly_kWh!DQ27</f>
        <v>0</v>
      </c>
      <c r="EQ27" s="160">
        <f>Monthly_kWh!DR27</f>
        <v>0</v>
      </c>
      <c r="ER27" s="160">
        <f>Monthly_kWh!DS27</f>
        <v>1.19625600000001</v>
      </c>
      <c r="ES27" s="160">
        <f>Monthly_kWh!DT27</f>
        <v>0.38904700000000098</v>
      </c>
      <c r="ET27" s="160">
        <f>Monthly_kWh!DU27</f>
        <v>2.1107000000000702E-2</v>
      </c>
      <c r="EU27" s="160">
        <f>Monthly_kWh!DV27</f>
        <v>1.0968000000000099E-2</v>
      </c>
      <c r="EV27" s="160">
        <f>Monthly_kWh!DW27</f>
        <v>0</v>
      </c>
      <c r="EW27" s="160">
        <f>Monthly_kWh!DX27</f>
        <v>0.14796599999999999</v>
      </c>
      <c r="EX27" s="160">
        <f>Monthly_kWh!DY27</f>
        <v>5.3361874999999798E-3</v>
      </c>
      <c r="EY27" s="160">
        <f>Monthly_kWh!DZ27</f>
        <v>0.12789600000000001</v>
      </c>
      <c r="EZ27" s="160">
        <f>Monthly_kWh!EA27</f>
        <v>0</v>
      </c>
      <c r="FA27" s="160">
        <f>Monthly_kWh!EB27</f>
        <v>1.2055039999999899</v>
      </c>
      <c r="FB27" s="160">
        <f>Monthly_kWh!EC27</f>
        <v>0.65239999999999998</v>
      </c>
      <c r="FC27" s="160">
        <f>Monthly_kWh!ED27</f>
        <v>2.3554749999999701E-2</v>
      </c>
      <c r="FD27" s="160">
        <f>Monthly_kWh!EE27</f>
        <v>0.123073000000001</v>
      </c>
      <c r="FE27" s="160">
        <f>Monthly_kWh!EF27</f>
        <v>14.4996799999999</v>
      </c>
      <c r="FF27" s="160">
        <f>Monthly_kWh!EG27</f>
        <v>0</v>
      </c>
      <c r="FG27" s="160">
        <f>Monthly_kWh!EH27</f>
        <v>0.47680000000002598</v>
      </c>
      <c r="FH27" s="160">
        <f>Monthly_kWh!EI27</f>
        <v>0.71072000000003799</v>
      </c>
      <c r="FI27" s="160">
        <f>Monthly_kWh!EJ27</f>
        <v>4.7647999999980997E-2</v>
      </c>
      <c r="FJ27" s="160">
        <f>Monthly_kWh!EK27</f>
        <v>0</v>
      </c>
      <c r="FK27" s="160">
        <f>Monthly_kWh!EL27</f>
        <v>3.3992960000000498</v>
      </c>
      <c r="FL27" s="160">
        <f>Monthly_kWh!EM27</f>
        <v>4.0826879999999601</v>
      </c>
      <c r="FM27" s="160">
        <f>Monthly_kWh!EN27</f>
        <v>2.6851839999999401</v>
      </c>
      <c r="FN27" s="160">
        <f>Monthly_kWh!EO27</f>
        <v>0</v>
      </c>
      <c r="FO27" s="160">
        <f>Monthly_kWh!EP27</f>
        <v>0</v>
      </c>
      <c r="FP27" s="160">
        <f>Monthly_kWh!ER27</f>
        <v>3.1342679999999898</v>
      </c>
      <c r="FQ27" s="160">
        <f>Monthly_kWh!EQ27</f>
        <v>0</v>
      </c>
      <c r="FR27" s="160">
        <f>Monthly_kWh!M27</f>
        <v>0</v>
      </c>
      <c r="FS27" s="160">
        <f>Monthly_kWh!G27</f>
        <v>0</v>
      </c>
      <c r="FT27" s="160">
        <f>Monthly_kWh!C27</f>
        <v>7.9391490000000404</v>
      </c>
      <c r="FU27" s="160">
        <f>Monthly_kWh!D27</f>
        <v>8.2788649999999997</v>
      </c>
      <c r="FV27" s="160">
        <f>Monthly_kWh!E27</f>
        <v>6.9720540000000097</v>
      </c>
      <c r="FW27" s="160">
        <f>Monthly_kWh!F27</f>
        <v>0</v>
      </c>
      <c r="FX27" s="160">
        <f>Monthly_kWh!Q27</f>
        <v>7.7230080000008501</v>
      </c>
      <c r="FY27" s="160">
        <f>Monthly_kWh!R27</f>
        <v>8.0773120000012604</v>
      </c>
      <c r="FZ27" s="160">
        <f>Monthly_kWh!S27</f>
        <v>6.7686399999993201</v>
      </c>
      <c r="GA27" s="160">
        <f>Monthly_kWh!T27</f>
        <v>0</v>
      </c>
      <c r="GB27" s="160">
        <f t="shared" si="0"/>
        <v>33.454239999999828</v>
      </c>
      <c r="GC27" s="160">
        <f t="shared" si="1"/>
        <v>30.958239999999819</v>
      </c>
      <c r="GD27" s="160">
        <f t="shared" si="2"/>
        <v>2.4960000000000093</v>
      </c>
      <c r="GE27" s="159">
        <f t="shared" si="3"/>
        <v>7.4609376868224248E-2</v>
      </c>
    </row>
    <row r="28" spans="2:187" s="150" customFormat="1" ht="32.25" customHeight="1" x14ac:dyDescent="0.25">
      <c r="B28" s="168">
        <v>22</v>
      </c>
      <c r="C28" s="160">
        <f>Monthly_kWh!H28</f>
        <v>0</v>
      </c>
      <c r="D28" s="160">
        <f>Monthly_kWh!I28</f>
        <v>0</v>
      </c>
      <c r="E28" s="160">
        <f>Monthly_kWh!J28</f>
        <v>0</v>
      </c>
      <c r="F28" s="160">
        <f>Monthly_kWh!K28</f>
        <v>0</v>
      </c>
      <c r="G28" s="160">
        <f>Monthly_kWh!L28</f>
        <v>0</v>
      </c>
      <c r="H28" s="160">
        <f>Monthly_kWh!U28</f>
        <v>0.31436800000000198</v>
      </c>
      <c r="I28" s="160">
        <f>Monthly_kWh!P28</f>
        <v>0.22653400000000101</v>
      </c>
      <c r="J28" s="160">
        <f>Monthly_kWh!N28</f>
        <v>3.0546810000000701</v>
      </c>
      <c r="K28" s="160">
        <f>Monthly_kWh!O28</f>
        <v>3.1397100000001501</v>
      </c>
      <c r="L28" s="160">
        <f>Monthly_kWh!B28</f>
        <v>6.8413750000000002</v>
      </c>
      <c r="M28" s="160">
        <f>Monthly_kWh!AR28</f>
        <v>2.7455999999999698</v>
      </c>
      <c r="N28" s="160">
        <f>Monthly_kWh!BM28</f>
        <v>0.40291200000001498</v>
      </c>
      <c r="O28" s="160">
        <f>Monthly_kWh!CM28</f>
        <v>2.42969600000015</v>
      </c>
      <c r="P28" s="160">
        <f>Monthly_kWh!DI28</f>
        <v>1.0631680000000201</v>
      </c>
      <c r="Q28" s="160">
        <f>Monthly_kWh!EF28</f>
        <v>5.1815770000002903</v>
      </c>
      <c r="R28" s="119">
        <f>SUM('Zone wise Meter data'!O51:AF51)</f>
        <v>1.2382803749999982</v>
      </c>
      <c r="S28" s="115">
        <f>SUM('Zone wise Meter data'!AG51:AW51)</f>
        <v>1.6251120000000074</v>
      </c>
      <c r="T28" s="115">
        <f>SUM('Zone wise Meter data'!AX51:BA51)</f>
        <v>0.67500899999997377</v>
      </c>
      <c r="U28" s="115">
        <f>SUM('Zone wise Meter data'!BB51:BC51)</f>
        <v>0.815360000000112</v>
      </c>
      <c r="V28" s="115">
        <f>SUM('Zone wise Meter data'!BD51:BL51)</f>
        <v>5.0929090000001711</v>
      </c>
      <c r="W28" s="115">
        <f>SUM('Zone wise Meter data'!BM51:BX51)</f>
        <v>0.10779099999999714</v>
      </c>
      <c r="X28" s="115">
        <f>SUM('Zone wise Meter data'!BY51:CE51)</f>
        <v>7.3389999999999862E-3</v>
      </c>
      <c r="Y28" s="115">
        <f>SUM('Zone wise Meter data'!CF51:CK51)</f>
        <v>0.3995077187499973</v>
      </c>
      <c r="Z28" s="115">
        <f>SUM('Zone wise Meter data'!CL51:CO51)</f>
        <v>0.360240000000005</v>
      </c>
      <c r="AA28" s="115">
        <f>SUM('Zone wise Meter data'!CP51:DD51)</f>
        <v>0.22918212499999413</v>
      </c>
      <c r="AB28" s="115">
        <f>SUM('Zone wise Meter data'!DE51:DN51)</f>
        <v>0.12673504296874624</v>
      </c>
      <c r="AC28" s="115">
        <f>SUM('Zone wise Meter data'!DO51:ED51)</f>
        <v>0</v>
      </c>
      <c r="AD28" s="160">
        <f>Monthly_kWh!AW28</f>
        <v>0.41868800000008799</v>
      </c>
      <c r="AE28" s="160">
        <f>Monthly_kWh!DS28</f>
        <v>0.39667200000002401</v>
      </c>
      <c r="AF28" s="160">
        <f>Monthly_kWh!EL28</f>
        <v>1.36499200000003</v>
      </c>
      <c r="AG28" s="160">
        <f>Monthly_kWh!EK28</f>
        <v>0</v>
      </c>
      <c r="AH28" s="160">
        <f>Monthly_kWh!EN28</f>
        <v>0.42547200000035401</v>
      </c>
      <c r="AI28" s="160">
        <f>Monthly_kWh!EO28</f>
        <v>0</v>
      </c>
      <c r="AJ28" s="160">
        <f>Monthly_kWh!EM28</f>
        <v>1.6803839999997801</v>
      </c>
      <c r="AK28" s="160">
        <f>Monthly_kWh!ER28</f>
        <v>1.068403</v>
      </c>
      <c r="AL28" s="160">
        <f>Monthly_kWh!EI28</f>
        <v>0.528831999999966</v>
      </c>
      <c r="AM28" s="160">
        <f>Monthly_kWh!EJ28+Hourly_kWh!AS28</f>
        <v>2.0413500000002759E-2</v>
      </c>
      <c r="AN28" s="160">
        <f>Monthly_kWh!CX28+Hourly_kWh!CY28+Hourly_kWh!DC28+Hourly_kWh!DD28</f>
        <v>0.1883583749999998</v>
      </c>
      <c r="AO28" s="160">
        <f>SUM(Hourly_kWh!AI28:AQ28)</f>
        <v>6.4922562500012493E-2</v>
      </c>
      <c r="AP28" s="160">
        <f>SUM(Hourly_kWh!V28:AG28)</f>
        <v>3.1629999999999825E-2</v>
      </c>
      <c r="AQ28" s="160">
        <f>Monthly_kWh!DB28</f>
        <v>5.25460000000013E-2</v>
      </c>
      <c r="AR28" s="160">
        <f>Monthly_kWh!CO28</f>
        <v>0.39013600000001197</v>
      </c>
      <c r="AS28" s="160">
        <f>Monthly_kWh!BJ28</f>
        <v>4.0999999999868897E-4</v>
      </c>
      <c r="AT28" s="160">
        <f>Monthly_kWh!U28</f>
        <v>0.31436800000000198</v>
      </c>
      <c r="AU28" s="160">
        <f>Monthly_kWh!V28</f>
        <v>0.121660000000002</v>
      </c>
      <c r="AV28" s="160">
        <f>Monthly_kWh!W28</f>
        <v>2.1474999999998801E-2</v>
      </c>
      <c r="AW28" s="160">
        <f>Monthly_kWh!X28</f>
        <v>4.3775999999999399E-2</v>
      </c>
      <c r="AX28" s="160">
        <f>Monthly_kWh!Y28</f>
        <v>0</v>
      </c>
      <c r="AY28" s="160">
        <f>Monthly_kWh!Z28</f>
        <v>4.28429999999995E-2</v>
      </c>
      <c r="AZ28" s="160">
        <f>Monthly_kWh!AA28</f>
        <v>7.6052000000000702E-2</v>
      </c>
      <c r="BA28" s="160">
        <f>Monthly_kWh!AB28</f>
        <v>0.15915000000000001</v>
      </c>
      <c r="BB28" s="160">
        <f>Monthly_kWh!AC28</f>
        <v>0.12590400000000199</v>
      </c>
      <c r="BC28" s="160">
        <f>Monthly_kWh!AD28</f>
        <v>4.6646500000001402E-2</v>
      </c>
      <c r="BD28" s="160">
        <f>Monthly_kWh!AE28</f>
        <v>7.0960000000000398E-2</v>
      </c>
      <c r="BE28" s="160">
        <f>Monthly_kWh!AF28</f>
        <v>0</v>
      </c>
      <c r="BF28" s="160">
        <f>Monthly_kWh!AG28</f>
        <v>2.2137499999999501E-2</v>
      </c>
      <c r="BG28" s="160">
        <f>Monthly_kWh!AH28</f>
        <v>1.29552000000001</v>
      </c>
      <c r="BH28" s="160">
        <f>Monthly_kWh!AI28</f>
        <v>0</v>
      </c>
      <c r="BI28" s="160">
        <f>Monthly_kWh!AJ28</f>
        <v>2.8413500000000098E-2</v>
      </c>
      <c r="BJ28" s="160">
        <f>Monthly_kWh!AK28</f>
        <v>0</v>
      </c>
      <c r="BK28" s="160">
        <f>Monthly_kWh!AL28</f>
        <v>0.238007999999994</v>
      </c>
      <c r="BL28" s="160">
        <f>Monthly_kWh!AM28</f>
        <v>0.353136000000006</v>
      </c>
      <c r="BM28" s="160">
        <f>Monthly_kWh!AN28</f>
        <v>0.21396800000000801</v>
      </c>
      <c r="BN28" s="160">
        <f>Monthly_kWh!AO28</f>
        <v>0.11547199999999699</v>
      </c>
      <c r="BO28" s="160">
        <f>Monthly_kWh!AP28</f>
        <v>7.74359999999987E-2</v>
      </c>
      <c r="BP28" s="160">
        <f>Monthly_kWh!AQ28</f>
        <v>0.154364000000001</v>
      </c>
      <c r="BQ28" s="160">
        <f>Monthly_kWh!AR28</f>
        <v>2.7455999999999698</v>
      </c>
      <c r="BR28" s="160">
        <f>Monthly_kWh!AS28</f>
        <v>5.7473000000000801E-2</v>
      </c>
      <c r="BS28" s="160">
        <f>Monthly_kWh!AT28</f>
        <v>0</v>
      </c>
      <c r="BT28" s="160">
        <f>Monthly_kWh!AU28</f>
        <v>4.5715999999998799E-2</v>
      </c>
      <c r="BU28" s="160">
        <f>Monthly_kWh!AV28</f>
        <v>1.1069500000000501E-2</v>
      </c>
      <c r="BV28" s="160">
        <f>Monthly_kWh!AW28</f>
        <v>0.41868800000008799</v>
      </c>
      <c r="BW28" s="160">
        <f>Monthly_kWh!AX28</f>
        <v>0</v>
      </c>
      <c r="BX28" s="160">
        <f>Monthly_kWh!AY28</f>
        <v>9.0575499999999906E-2</v>
      </c>
      <c r="BY28" s="160">
        <f>Monthly_kWh!AZ28</f>
        <v>4.5000000001849099E-6</v>
      </c>
      <c r="BZ28" s="160">
        <f>Monthly_kWh!BA28</f>
        <v>0</v>
      </c>
      <c r="CA28" s="160">
        <f>Monthly_kWh!BB28</f>
        <v>0</v>
      </c>
      <c r="CB28" s="160">
        <f>Monthly_kWh!BC28</f>
        <v>0</v>
      </c>
      <c r="CC28" s="160">
        <f>Monthly_kWh!BD28</f>
        <v>2.9660664062500001E-3</v>
      </c>
      <c r="CD28" s="160">
        <f>Monthly_kWh!BE28</f>
        <v>0.107520000000001</v>
      </c>
      <c r="CE28" s="160">
        <f>Monthly_kWh!BF28</f>
        <v>0</v>
      </c>
      <c r="CF28" s="160">
        <f>Monthly_kWh!BG28</f>
        <v>1.1024000000000801E-2</v>
      </c>
      <c r="CG28" s="160">
        <f>Monthly_kWh!BH28</f>
        <v>1.8719999999987601E-3</v>
      </c>
      <c r="CH28" s="160">
        <f>Monthly_kWh!BI28</f>
        <v>1.7481600000000399</v>
      </c>
      <c r="CI28" s="160">
        <f>Monthly_kWh!BJ28</f>
        <v>4.0999999999868897E-4</v>
      </c>
      <c r="CJ28" s="160">
        <f>Monthly_kWh!BK28</f>
        <v>5.2031500000000001E-2</v>
      </c>
      <c r="CK28" s="160">
        <f>Monthly_kWh!BL28</f>
        <v>1.9999999985031999E-6</v>
      </c>
      <c r="CL28" s="160">
        <f>Monthly_kWh!BM28</f>
        <v>0.40291200000001498</v>
      </c>
      <c r="CM28" s="160">
        <f>Monthly_kWh!BN28</f>
        <v>0</v>
      </c>
      <c r="CN28" s="160">
        <f>Monthly_kWh!BO28</f>
        <v>9.0206999999999496E-2</v>
      </c>
      <c r="CO28" s="160">
        <f>Monthly_kWh!BP28</f>
        <v>0</v>
      </c>
      <c r="CP28" s="160">
        <f>Monthly_kWh!BQ28</f>
        <v>0</v>
      </c>
      <c r="CQ28" s="160">
        <f>Monthly_kWh!BR28</f>
        <v>0</v>
      </c>
      <c r="CR28" s="160">
        <f>Monthly_kWh!BS28</f>
        <v>0</v>
      </c>
      <c r="CS28" s="160">
        <f>Monthly_kWh!BT28</f>
        <v>3.0955999999996198E-2</v>
      </c>
      <c r="CT28" s="160">
        <f>Monthly_kWh!BU28</f>
        <v>0</v>
      </c>
      <c r="CU28" s="160">
        <f>Monthly_kWh!BV28</f>
        <v>0</v>
      </c>
      <c r="CV28" s="160">
        <f>Monthly_kWh!BW28</f>
        <v>0</v>
      </c>
      <c r="CW28" s="160">
        <f>Monthly_kWh!BX28</f>
        <v>0</v>
      </c>
      <c r="CX28" s="160">
        <f>Monthly_kWh!BY28</f>
        <v>0</v>
      </c>
      <c r="CY28" s="160">
        <f>Monthly_kWh!BZ28</f>
        <v>0.217032000000003</v>
      </c>
      <c r="CZ28" s="160">
        <f>Monthly_kWh!CA28</f>
        <v>2.535671875E-2</v>
      </c>
      <c r="DA28" s="160">
        <f>Monthly_kWh!CB28</f>
        <v>0</v>
      </c>
      <c r="DB28" s="160">
        <f>Monthly_kWh!CC28</f>
        <v>0</v>
      </c>
      <c r="DC28" s="160">
        <f>Monthly_kWh!CD28</f>
        <v>0</v>
      </c>
      <c r="DD28" s="160">
        <f>Monthly_kWh!CE28</f>
        <v>0</v>
      </c>
      <c r="DE28" s="160">
        <f>Monthly_kWh!CF28</f>
        <v>1.35659999999991E-2</v>
      </c>
      <c r="DF28" s="160">
        <f>Monthly_kWh!CG28</f>
        <v>0</v>
      </c>
      <c r="DG28" s="160">
        <f>Monthly_kWh!CH28</f>
        <v>3.7025000000001602E-4</v>
      </c>
      <c r="DH28" s="160">
        <f>Monthly_kWh!CI28</f>
        <v>0</v>
      </c>
      <c r="DI28" s="160">
        <f>Monthly_kWh!CJ28</f>
        <v>0</v>
      </c>
      <c r="DJ28" s="160">
        <f>Monthly_kWh!CK28</f>
        <v>0</v>
      </c>
      <c r="DK28" s="160">
        <f>Monthly_kWh!CL28</f>
        <v>5.6362000000000002E-2</v>
      </c>
      <c r="DL28" s="160">
        <f>Monthly_kWh!CM28</f>
        <v>2.42969600000015</v>
      </c>
      <c r="DM28" s="160">
        <f>Monthly_kWh!CN28</f>
        <v>1.91630000000007E-2</v>
      </c>
      <c r="DN28" s="160">
        <f>Monthly_kWh!CO28</f>
        <v>0.39013600000001197</v>
      </c>
      <c r="DO28" s="160">
        <f>Monthly_kWh!CP28</f>
        <v>0</v>
      </c>
      <c r="DP28" s="160">
        <f>Monthly_kWh!CQ28</f>
        <v>0</v>
      </c>
      <c r="DQ28" s="160">
        <f>Monthly_kWh!CR28</f>
        <v>6.8455000000000196E-2</v>
      </c>
      <c r="DR28" s="160">
        <f>Monthly_kWh!CS28</f>
        <v>0</v>
      </c>
      <c r="DS28" s="160">
        <f>Monthly_kWh!CT28</f>
        <v>8.1007999999997096E-2</v>
      </c>
      <c r="DT28" s="160">
        <f>Monthly_kWh!CU28</f>
        <v>0</v>
      </c>
      <c r="DU28" s="160">
        <f>Monthly_kWh!CV28</f>
        <v>6.9687499999999698E-3</v>
      </c>
      <c r="DV28" s="160">
        <f>Monthly_kWh!CW28</f>
        <v>3.0319999999974799E-3</v>
      </c>
      <c r="DW28" s="160">
        <f>Monthly_kWh!CX28</f>
        <v>0.18645600000000001</v>
      </c>
      <c r="DX28" s="160">
        <f>Monthly_kWh!CY28</f>
        <v>8.7079999999999397E-3</v>
      </c>
      <c r="DY28" s="160">
        <f>Monthly_kWh!CZ28</f>
        <v>1.21465000000001E-2</v>
      </c>
      <c r="DZ28" s="160">
        <f>Monthly_kWh!DA28</f>
        <v>0.110975999999994</v>
      </c>
      <c r="EA28" s="160">
        <f>Monthly_kWh!DB28</f>
        <v>5.25460000000013E-2</v>
      </c>
      <c r="EB28" s="160">
        <f>Monthly_kWh!DC28</f>
        <v>0.149639999999998</v>
      </c>
      <c r="EC28" s="160">
        <f>Monthly_kWh!DD28</f>
        <v>2.2032375E-2</v>
      </c>
      <c r="ED28" s="160">
        <f>Monthly_kWh!DE28</f>
        <v>0</v>
      </c>
      <c r="EE28" s="160">
        <f>Monthly_kWh!DF28</f>
        <v>0</v>
      </c>
      <c r="EF28" s="160">
        <f>Monthly_kWh!DG28</f>
        <v>2.4055000000000599E-3</v>
      </c>
      <c r="EG28" s="160">
        <f>Monthly_kWh!DH28</f>
        <v>1.5763500000000302E-2</v>
      </c>
      <c r="EH28" s="160">
        <f>Monthly_kWh!DI28</f>
        <v>1.0631680000000201</v>
      </c>
      <c r="EI28" s="160">
        <f>Monthly_kWh!DJ28</f>
        <v>0</v>
      </c>
      <c r="EJ28" s="160">
        <f>Monthly_kWh!DK28</f>
        <v>4.5043999999997197E-2</v>
      </c>
      <c r="EK28" s="160">
        <f>Monthly_kWh!DL28</f>
        <v>9.0389765625000108E-3</v>
      </c>
      <c r="EL28" s="160">
        <f>Monthly_kWh!DM28</f>
        <v>0</v>
      </c>
      <c r="EM28" s="160">
        <f>Monthly_kWh!DN28</f>
        <v>0</v>
      </c>
      <c r="EN28" s="160">
        <f>Monthly_kWh!DO28</f>
        <v>0</v>
      </c>
      <c r="EO28" s="160">
        <f>Monthly_kWh!DP28</f>
        <v>1.8116E-2</v>
      </c>
      <c r="EP28" s="160">
        <f>Monthly_kWh!DQ28</f>
        <v>0</v>
      </c>
      <c r="EQ28" s="160">
        <f>Monthly_kWh!DR28</f>
        <v>0</v>
      </c>
      <c r="ER28" s="160">
        <f>Monthly_kWh!DS28</f>
        <v>0.39667200000002401</v>
      </c>
      <c r="ES28" s="160">
        <f>Monthly_kWh!DT28</f>
        <v>0.112596999999999</v>
      </c>
      <c r="ET28" s="160">
        <f>Monthly_kWh!DU28</f>
        <v>1.6000000000460101E-5</v>
      </c>
      <c r="EU28" s="160">
        <f>Monthly_kWh!DV28</f>
        <v>1.07267499999999E-2</v>
      </c>
      <c r="EV28" s="160">
        <f>Monthly_kWh!DW28</f>
        <v>0</v>
      </c>
      <c r="EW28" s="160">
        <f>Monthly_kWh!DX28</f>
        <v>3.2257999999998802E-2</v>
      </c>
      <c r="EX28" s="160">
        <f>Monthly_kWh!DY28</f>
        <v>6.4456250000000104E-3</v>
      </c>
      <c r="EY28" s="160">
        <f>Monthly_kWh!DZ28</f>
        <v>7.7783999999997605E-2</v>
      </c>
      <c r="EZ28" s="160">
        <f>Monthly_kWh!EA28</f>
        <v>0</v>
      </c>
      <c r="FA28" s="160">
        <f>Monthly_kWh!EB28</f>
        <v>0.18937600000001001</v>
      </c>
      <c r="FB28" s="160">
        <f>Monthly_kWh!EC28</f>
        <v>0.17086399999999499</v>
      </c>
      <c r="FC28" s="160">
        <f>Monthly_kWh!ED28</f>
        <v>2.8277500000002398E-3</v>
      </c>
      <c r="FD28" s="160">
        <f>Monthly_kWh!EE28</f>
        <v>0.174872</v>
      </c>
      <c r="FE28" s="160">
        <f>Monthly_kWh!EF28</f>
        <v>5.1815770000002903</v>
      </c>
      <c r="FF28" s="160">
        <f>Monthly_kWh!EG28</f>
        <v>0</v>
      </c>
      <c r="FG28" s="160">
        <f>Monthly_kWh!EH28</f>
        <v>6.8352000000004395E-2</v>
      </c>
      <c r="FH28" s="160">
        <f>Monthly_kWh!EI28</f>
        <v>0.528831999999966</v>
      </c>
      <c r="FI28" s="160">
        <f>Monthly_kWh!EJ28</f>
        <v>2.0352000000002601E-2</v>
      </c>
      <c r="FJ28" s="160">
        <f>Monthly_kWh!EK28</f>
        <v>0</v>
      </c>
      <c r="FK28" s="160">
        <f>Monthly_kWh!EL28</f>
        <v>1.36499200000003</v>
      </c>
      <c r="FL28" s="160">
        <f>Monthly_kWh!EM28</f>
        <v>1.6803839999997801</v>
      </c>
      <c r="FM28" s="160">
        <f>Monthly_kWh!EN28</f>
        <v>0.42547200000035401</v>
      </c>
      <c r="FN28" s="160">
        <f>Monthly_kWh!EO28</f>
        <v>0</v>
      </c>
      <c r="FO28" s="160">
        <f>Monthly_kWh!EP28</f>
        <v>0</v>
      </c>
      <c r="FP28" s="160">
        <f>Monthly_kWh!ER28</f>
        <v>1.068403</v>
      </c>
      <c r="FQ28" s="160">
        <f>Monthly_kWh!EQ28</f>
        <v>0</v>
      </c>
      <c r="FR28" s="160">
        <f>Monthly_kWh!M28</f>
        <v>0</v>
      </c>
      <c r="FS28" s="160">
        <f>Monthly_kWh!G28</f>
        <v>0</v>
      </c>
      <c r="FT28" s="160">
        <f>Monthly_kWh!C28</f>
        <v>1.9609639999999899</v>
      </c>
      <c r="FU28" s="160">
        <f>Monthly_kWh!D28</f>
        <v>2.48838000000001</v>
      </c>
      <c r="FV28" s="160">
        <f>Monthly_kWh!E28</f>
        <v>2.05891299999996</v>
      </c>
      <c r="FW28" s="160">
        <f>Monthly_kWh!F28</f>
        <v>0.33757799999995097</v>
      </c>
      <c r="FX28" s="160">
        <f>Monthly_kWh!Q28</f>
        <v>1.9107839999996901</v>
      </c>
      <c r="FY28" s="160">
        <f>Monthly_kWh!R28</f>
        <v>2.52313599999979</v>
      </c>
      <c r="FZ28" s="160">
        <f>Monthly_kWh!S28</f>
        <v>2.0935680000002299</v>
      </c>
      <c r="GA28" s="160">
        <f>Monthly_kWh!T28</f>
        <v>0.23142400000142499</v>
      </c>
      <c r="GB28" s="160">
        <f t="shared" si="0"/>
        <v>13.576668000000224</v>
      </c>
      <c r="GC28" s="160">
        <f t="shared" si="1"/>
        <v>11.822953000000446</v>
      </c>
      <c r="GD28" s="160">
        <f t="shared" si="2"/>
        <v>1.7537149999997776</v>
      </c>
      <c r="GE28" s="159">
        <f t="shared" si="3"/>
        <v>0.1291712370074711</v>
      </c>
    </row>
    <row r="29" spans="2:187" s="150" customFormat="1" ht="32.25" customHeight="1" x14ac:dyDescent="0.25">
      <c r="B29" s="168">
        <v>23</v>
      </c>
      <c r="C29" s="160">
        <f>Monthly_kWh!H29</f>
        <v>0</v>
      </c>
      <c r="D29" s="160">
        <f>Monthly_kWh!I29</f>
        <v>0</v>
      </c>
      <c r="E29" s="160">
        <f>Monthly_kWh!J29</f>
        <v>0</v>
      </c>
      <c r="F29" s="160">
        <f>Monthly_kWh!K29</f>
        <v>0</v>
      </c>
      <c r="G29" s="160">
        <f>Monthly_kWh!L29</f>
        <v>0</v>
      </c>
      <c r="H29" s="160">
        <f>Monthly_kWh!U29</f>
        <v>0.32347199999999499</v>
      </c>
      <c r="I29" s="160">
        <f>Monthly_kWh!P29</f>
        <v>0.240001999999997</v>
      </c>
      <c r="J29" s="160">
        <f>Monthly_kWh!N29</f>
        <v>3.5549989999999498</v>
      </c>
      <c r="K29" s="160">
        <f>Monthly_kWh!O29</f>
        <v>3.64488799999992</v>
      </c>
      <c r="L29" s="160">
        <f>Monthly_kWh!B29</f>
        <v>10.66775</v>
      </c>
      <c r="M29" s="160">
        <f>Monthly_kWh!AR29</f>
        <v>2.7450240000000599</v>
      </c>
      <c r="N29" s="160">
        <f>Monthly_kWh!BM29</f>
        <v>0.61408000000000096</v>
      </c>
      <c r="O29" s="160">
        <f>Monthly_kWh!CM29</f>
        <v>3.93113599999992</v>
      </c>
      <c r="P29" s="160">
        <f>Monthly_kWh!DI29</f>
        <v>1.2775679999999701</v>
      </c>
      <c r="Q29" s="160">
        <f>Monthly_kWh!EF29</f>
        <v>8.2378419999995494</v>
      </c>
      <c r="R29" s="119">
        <f>SUM('Zone wise Meter data'!O52:AF52)</f>
        <v>1.3448005000000005</v>
      </c>
      <c r="S29" s="115">
        <f>SUM('Zone wise Meter data'!AG52:AW52)</f>
        <v>1.8523819999999704</v>
      </c>
      <c r="T29" s="115">
        <f>SUM('Zone wise Meter data'!AX52:BA52)</f>
        <v>1.1633530000000385</v>
      </c>
      <c r="U29" s="115">
        <f>SUM('Zone wise Meter data'!BB52:BC52)</f>
        <v>0.88540799999992803</v>
      </c>
      <c r="V29" s="115">
        <f>SUM('Zone wise Meter data'!BD52:BL52)</f>
        <v>7.9374959999998129</v>
      </c>
      <c r="W29" s="115">
        <f>SUM('Zone wise Meter data'!BM52:BX52)</f>
        <v>0.4569217500000004</v>
      </c>
      <c r="X29" s="115">
        <f>SUM('Zone wise Meter data'!BY52:CE52)</f>
        <v>6.7700000000003842E-3</v>
      </c>
      <c r="Y29" s="115">
        <f>SUM('Zone wise Meter data'!CF52:CK52)</f>
        <v>0.32915000000000116</v>
      </c>
      <c r="Z29" s="115">
        <f>SUM('Zone wise Meter data'!CL52:CO52)</f>
        <v>0.27865600000001201</v>
      </c>
      <c r="AA29" s="115">
        <f>SUM('Zone wise Meter data'!CP52:DD52)</f>
        <v>0.24486268750001261</v>
      </c>
      <c r="AB29" s="115">
        <f>SUM('Zone wise Meter data'!DE52:DN52)</f>
        <v>0.19668376562499973</v>
      </c>
      <c r="AC29" s="115">
        <f>SUM('Zone wise Meter data'!DO52:ED52)</f>
        <v>0</v>
      </c>
      <c r="AD29" s="160">
        <f>Monthly_kWh!AW29</f>
        <v>0.23507199999994599</v>
      </c>
      <c r="AE29" s="160">
        <f>Monthly_kWh!DS29</f>
        <v>0.65033599999998204</v>
      </c>
      <c r="AF29" s="160">
        <f>Monthly_kWh!EL29</f>
        <v>0.52902399999993599</v>
      </c>
      <c r="AG29" s="160">
        <f>Monthly_kWh!EK29</f>
        <v>0</v>
      </c>
      <c r="AH29" s="160">
        <f>Monthly_kWh!EN29</f>
        <v>2.0144639999998599</v>
      </c>
      <c r="AI29" s="160">
        <f>Monthly_kWh!EO29</f>
        <v>0</v>
      </c>
      <c r="AJ29" s="160">
        <f>Monthly_kWh!EM29</f>
        <v>2.40921600000001</v>
      </c>
      <c r="AK29" s="160">
        <f>Monthly_kWh!ER29</f>
        <v>2.1467180000000101</v>
      </c>
      <c r="AL29" s="160">
        <f>Monthly_kWh!EI29</f>
        <v>0.67308800000000701</v>
      </c>
      <c r="AM29" s="160">
        <f>Monthly_kWh!EJ29+Hourly_kWh!AS29</f>
        <v>5.6852000000009881E-2</v>
      </c>
      <c r="AN29" s="160">
        <f>Monthly_kWh!CX29+Hourly_kWh!CY29+Hourly_kWh!DC29+Hourly_kWh!DD29</f>
        <v>0.24200637500000416</v>
      </c>
      <c r="AO29" s="160">
        <f>SUM(Hourly_kWh!AI29:AQ29)</f>
        <v>6.3763062499992307E-2</v>
      </c>
      <c r="AP29" s="160">
        <f>SUM(Hourly_kWh!V29:AG29)</f>
        <v>3.0576999999995635E-2</v>
      </c>
      <c r="AQ29" s="160">
        <f>Monthly_kWh!DB29</f>
        <v>9.0641999999999001E-2</v>
      </c>
      <c r="AR29" s="160">
        <f>Monthly_kWh!CO29</f>
        <v>0.48620799999999098</v>
      </c>
      <c r="AS29" s="160">
        <f>Monthly_kWh!BJ29</f>
        <v>2.2000000001298799E-5</v>
      </c>
      <c r="AT29" s="160">
        <f>Monthly_kWh!U29</f>
        <v>0.32347199999999499</v>
      </c>
      <c r="AU29" s="160">
        <f>Monthly_kWh!V29</f>
        <v>0.119865999999998</v>
      </c>
      <c r="AV29" s="160">
        <f>Monthly_kWh!W29</f>
        <v>5.6527000000000903E-2</v>
      </c>
      <c r="AW29" s="160">
        <f>Monthly_kWh!X29</f>
        <v>6.2624000000001304E-2</v>
      </c>
      <c r="AX29" s="160">
        <f>Monthly_kWh!Y29</f>
        <v>0</v>
      </c>
      <c r="AY29" s="160">
        <f>Monthly_kWh!Z29</f>
        <v>4.8434000000000303E-2</v>
      </c>
      <c r="AZ29" s="160">
        <f>Monthly_kWh!AA29</f>
        <v>8.2750000000000795E-2</v>
      </c>
      <c r="BA29" s="160">
        <f>Monthly_kWh!AB29</f>
        <v>0.154004</v>
      </c>
      <c r="BB29" s="160">
        <f>Monthly_kWh!AC29</f>
        <v>0.101793999999998</v>
      </c>
      <c r="BC29" s="160">
        <f>Monthly_kWh!AD29</f>
        <v>5.0421999999999301E-2</v>
      </c>
      <c r="BD29" s="160">
        <f>Monthly_kWh!AE29</f>
        <v>0.10222050000000001</v>
      </c>
      <c r="BE29" s="160">
        <f>Monthly_kWh!AF29</f>
        <v>0</v>
      </c>
      <c r="BF29" s="160">
        <f>Monthly_kWh!AG29</f>
        <v>1.38337499999999E-2</v>
      </c>
      <c r="BG29" s="160">
        <f>Monthly_kWh!AH29</f>
        <v>1.4070079999999601</v>
      </c>
      <c r="BH29" s="160">
        <f>Monthly_kWh!AI29</f>
        <v>0</v>
      </c>
      <c r="BI29" s="160">
        <f>Monthly_kWh!AJ29</f>
        <v>2.1936999999999401E-2</v>
      </c>
      <c r="BJ29" s="160">
        <f>Monthly_kWh!AK29</f>
        <v>0</v>
      </c>
      <c r="BK29" s="160">
        <f>Monthly_kWh!AL29</f>
        <v>0.27178399999999697</v>
      </c>
      <c r="BL29" s="160">
        <f>Monthly_kWh!AM29</f>
        <v>0.31713599999999098</v>
      </c>
      <c r="BM29" s="160">
        <f>Monthly_kWh!AN29</f>
        <v>0.252159999999989</v>
      </c>
      <c r="BN29" s="160">
        <f>Monthly_kWh!AO29</f>
        <v>0.14507199999999901</v>
      </c>
      <c r="BO29" s="160">
        <f>Monthly_kWh!AP29</f>
        <v>8.5343999999999198E-2</v>
      </c>
      <c r="BP29" s="160">
        <f>Monthly_kWh!AQ29</f>
        <v>0.17977599999999699</v>
      </c>
      <c r="BQ29" s="160">
        <f>Monthly_kWh!AR29</f>
        <v>2.7450240000000599</v>
      </c>
      <c r="BR29" s="160">
        <f>Monthly_kWh!AS29</f>
        <v>3.9448999999999401E-2</v>
      </c>
      <c r="BS29" s="160">
        <f>Monthly_kWh!AT29</f>
        <v>0</v>
      </c>
      <c r="BT29" s="160">
        <f>Monthly_kWh!AU29</f>
        <v>4.7803999999999298E-2</v>
      </c>
      <c r="BU29" s="160">
        <f>Monthly_kWh!AV29</f>
        <v>2.76869999999994E-2</v>
      </c>
      <c r="BV29" s="160">
        <f>Monthly_kWh!AW29</f>
        <v>0.23507199999994599</v>
      </c>
      <c r="BW29" s="160">
        <f>Monthly_kWh!AX29</f>
        <v>0</v>
      </c>
      <c r="BX29" s="160">
        <f>Monthly_kWh!AY29</f>
        <v>8.7621500000000005E-2</v>
      </c>
      <c r="BY29" s="160">
        <f>Monthly_kWh!AZ29</f>
        <v>4.9999999962579999E-7</v>
      </c>
      <c r="BZ29" s="160">
        <f>Monthly_kWh!BA29</f>
        <v>0</v>
      </c>
      <c r="CA29" s="160">
        <f>Monthly_kWh!BB29</f>
        <v>0</v>
      </c>
      <c r="CB29" s="160">
        <f>Monthly_kWh!BC29</f>
        <v>0</v>
      </c>
      <c r="CC29" s="160">
        <f>Monthly_kWh!BD29</f>
        <v>3.6555234375000001E-3</v>
      </c>
      <c r="CD29" s="160">
        <f>Monthly_kWh!BE29</f>
        <v>0.109031999999999</v>
      </c>
      <c r="CE29" s="160">
        <f>Monthly_kWh!BF29</f>
        <v>0</v>
      </c>
      <c r="CF29" s="160">
        <f>Monthly_kWh!BG29</f>
        <v>1.5772999999999399E-2</v>
      </c>
      <c r="CG29" s="160">
        <f>Monthly_kWh!BH29</f>
        <v>1.6515999999999299E-2</v>
      </c>
      <c r="CH29" s="160">
        <f>Monthly_kWh!BI29</f>
        <v>1.9219200000000001</v>
      </c>
      <c r="CI29" s="160">
        <f>Monthly_kWh!BJ29</f>
        <v>2.2000000001298799E-5</v>
      </c>
      <c r="CJ29" s="160">
        <f>Monthly_kWh!BK29</f>
        <v>4.4575500000000497E-2</v>
      </c>
      <c r="CK29" s="160">
        <f>Monthly_kWh!BL29</f>
        <v>1.9999999985031999E-6</v>
      </c>
      <c r="CL29" s="160">
        <f>Monthly_kWh!BM29</f>
        <v>0.61408000000000096</v>
      </c>
      <c r="CM29" s="160">
        <f>Monthly_kWh!BN29</f>
        <v>0</v>
      </c>
      <c r="CN29" s="160">
        <f>Monthly_kWh!BO29</f>
        <v>0.35777199999999898</v>
      </c>
      <c r="CO29" s="160">
        <f>Monthly_kWh!BP29</f>
        <v>0</v>
      </c>
      <c r="CP29" s="160">
        <f>Monthly_kWh!BQ29</f>
        <v>0</v>
      </c>
      <c r="CQ29" s="160">
        <f>Monthly_kWh!BR29</f>
        <v>0</v>
      </c>
      <c r="CR29" s="160">
        <f>Monthly_kWh!BS29</f>
        <v>0</v>
      </c>
      <c r="CS29" s="160">
        <f>Monthly_kWh!BT29</f>
        <v>1.3848000000003E-2</v>
      </c>
      <c r="CT29" s="160">
        <f>Monthly_kWh!BU29</f>
        <v>0</v>
      </c>
      <c r="CU29" s="160">
        <f>Monthly_kWh!BV29</f>
        <v>0</v>
      </c>
      <c r="CV29" s="160">
        <f>Monthly_kWh!BW29</f>
        <v>0</v>
      </c>
      <c r="CW29" s="160">
        <f>Monthly_kWh!BX29</f>
        <v>0</v>
      </c>
      <c r="CX29" s="160">
        <f>Monthly_kWh!BY29</f>
        <v>0</v>
      </c>
      <c r="CY29" s="160">
        <f>Monthly_kWh!BZ29</f>
        <v>0.18918399999999699</v>
      </c>
      <c r="CZ29" s="160">
        <f>Monthly_kWh!CA29</f>
        <v>7.4675000000000201E-3</v>
      </c>
      <c r="DA29" s="160">
        <f>Monthly_kWh!CB29</f>
        <v>0</v>
      </c>
      <c r="DB29" s="160">
        <f>Monthly_kWh!CC29</f>
        <v>0</v>
      </c>
      <c r="DC29" s="160">
        <f>Monthly_kWh!CD29</f>
        <v>0</v>
      </c>
      <c r="DD29" s="160">
        <f>Monthly_kWh!CE29</f>
        <v>0</v>
      </c>
      <c r="DE29" s="160">
        <f>Monthly_kWh!CF29</f>
        <v>2.43870000000008E-2</v>
      </c>
      <c r="DF29" s="160">
        <f>Monthly_kWh!CG29</f>
        <v>0</v>
      </c>
      <c r="DG29" s="160">
        <f>Monthly_kWh!CH29</f>
        <v>1.21750000000365E-4</v>
      </c>
      <c r="DH29" s="160">
        <f>Monthly_kWh!CI29</f>
        <v>0</v>
      </c>
      <c r="DI29" s="160">
        <f>Monthly_kWh!CJ29</f>
        <v>0</v>
      </c>
      <c r="DJ29" s="160">
        <f>Monthly_kWh!CK29</f>
        <v>0</v>
      </c>
      <c r="DK29" s="160">
        <f>Monthly_kWh!CL29</f>
        <v>6.18780000000001E-2</v>
      </c>
      <c r="DL29" s="160">
        <f>Monthly_kWh!CM29</f>
        <v>3.93113599999992</v>
      </c>
      <c r="DM29" s="160">
        <f>Monthly_kWh!CN29</f>
        <v>4.2650999999999301E-2</v>
      </c>
      <c r="DN29" s="160">
        <f>Monthly_kWh!CO29</f>
        <v>0.48620799999999098</v>
      </c>
      <c r="DO29" s="160">
        <f>Monthly_kWh!CP29</f>
        <v>0</v>
      </c>
      <c r="DP29" s="160">
        <f>Monthly_kWh!CQ29</f>
        <v>0</v>
      </c>
      <c r="DQ29" s="160">
        <f>Monthly_kWh!CR29</f>
        <v>0.13397099999999901</v>
      </c>
      <c r="DR29" s="160">
        <f>Monthly_kWh!CS29</f>
        <v>0</v>
      </c>
      <c r="DS29" s="160">
        <f>Monthly_kWh!CT29</f>
        <v>0.11068800000001</v>
      </c>
      <c r="DT29" s="160">
        <f>Monthly_kWh!CU29</f>
        <v>0</v>
      </c>
      <c r="DU29" s="160">
        <f>Monthly_kWh!CV29</f>
        <v>6.6482500000000196E-3</v>
      </c>
      <c r="DV29" s="160">
        <f>Monthly_kWh!CW29</f>
        <v>3.7528000000001803E-2</v>
      </c>
      <c r="DW29" s="160">
        <f>Monthly_kWh!CX29</f>
        <v>0.24016800000000399</v>
      </c>
      <c r="DX29" s="160">
        <f>Monthly_kWh!CY29</f>
        <v>1.1157000000000101E-2</v>
      </c>
      <c r="DY29" s="160">
        <f>Monthly_kWh!CZ29</f>
        <v>2.69537499999997E-2</v>
      </c>
      <c r="DZ29" s="160">
        <f>Monthly_kWh!DA29</f>
        <v>0.26122400000000601</v>
      </c>
      <c r="EA29" s="160">
        <f>Monthly_kWh!DB29</f>
        <v>9.0641999999999001E-2</v>
      </c>
      <c r="EB29" s="160">
        <f>Monthly_kWh!DC29</f>
        <v>0.17859599999999901</v>
      </c>
      <c r="EC29" s="160">
        <f>Monthly_kWh!DD29</f>
        <v>2.77492500000001E-2</v>
      </c>
      <c r="ED29" s="160">
        <f>Monthly_kWh!DE29</f>
        <v>0</v>
      </c>
      <c r="EE29" s="160">
        <f>Monthly_kWh!DF29</f>
        <v>0</v>
      </c>
      <c r="EF29" s="160">
        <f>Monthly_kWh!DG29</f>
        <v>3.46679999999999E-2</v>
      </c>
      <c r="EG29" s="160">
        <f>Monthly_kWh!DH29</f>
        <v>2.28999999999999E-2</v>
      </c>
      <c r="EH29" s="160">
        <f>Monthly_kWh!DI29</f>
        <v>1.2775679999999701</v>
      </c>
      <c r="EI29" s="160">
        <f>Monthly_kWh!DJ29</f>
        <v>0</v>
      </c>
      <c r="EJ29" s="160">
        <f>Monthly_kWh!DK29</f>
        <v>6.6014000000002696E-2</v>
      </c>
      <c r="EK29" s="160">
        <f>Monthly_kWh!DL29</f>
        <v>1.92337421875E-2</v>
      </c>
      <c r="EL29" s="160">
        <f>Monthly_kWh!DM29</f>
        <v>0</v>
      </c>
      <c r="EM29" s="160">
        <f>Monthly_kWh!DN29</f>
        <v>2.4966874999999798E-3</v>
      </c>
      <c r="EN29" s="160">
        <f>Monthly_kWh!DO29</f>
        <v>0</v>
      </c>
      <c r="EO29" s="160">
        <f>Monthly_kWh!DP29</f>
        <v>3.0235000000001101E-2</v>
      </c>
      <c r="EP29" s="160">
        <f>Monthly_kWh!DQ29</f>
        <v>0</v>
      </c>
      <c r="EQ29" s="160">
        <f>Monthly_kWh!DR29</f>
        <v>0</v>
      </c>
      <c r="ER29" s="160">
        <f>Monthly_kWh!DS29</f>
        <v>0.65033599999998204</v>
      </c>
      <c r="ES29" s="160">
        <f>Monthly_kWh!DT29</f>
        <v>9.4263500000000305E-2</v>
      </c>
      <c r="ET29" s="160">
        <f>Monthly_kWh!DU29</f>
        <v>0</v>
      </c>
      <c r="EU29" s="160">
        <f>Monthly_kWh!DV29</f>
        <v>7.7175000000000403E-3</v>
      </c>
      <c r="EV29" s="160">
        <f>Monthly_kWh!DW29</f>
        <v>0</v>
      </c>
      <c r="EW29" s="160">
        <f>Monthly_kWh!DX29</f>
        <v>3.1379000000001198E-2</v>
      </c>
      <c r="EX29" s="160">
        <f>Monthly_kWh!DY29</f>
        <v>5.0769999999999999E-3</v>
      </c>
      <c r="EY29" s="160">
        <f>Monthly_kWh!DZ29</f>
        <v>5.4434000000000503E-2</v>
      </c>
      <c r="EZ29" s="160">
        <f>Monthly_kWh!EA29</f>
        <v>0</v>
      </c>
      <c r="FA29" s="160">
        <f>Monthly_kWh!EB29</f>
        <v>0.12686400000001199</v>
      </c>
      <c r="FB29" s="160">
        <f>Monthly_kWh!EC29</f>
        <v>0.15179200000000001</v>
      </c>
      <c r="FC29" s="160">
        <f>Monthly_kWh!ED29</f>
        <v>2.8354999999997701E-3</v>
      </c>
      <c r="FD29" s="160">
        <f>Monthly_kWh!EE29</f>
        <v>0.17117499999999999</v>
      </c>
      <c r="FE29" s="160">
        <f>Monthly_kWh!EF29</f>
        <v>8.2378419999995494</v>
      </c>
      <c r="FF29" s="160">
        <f>Monthly_kWh!EG29</f>
        <v>0</v>
      </c>
      <c r="FG29" s="160">
        <f>Monthly_kWh!EH29</f>
        <v>0.39462400000002201</v>
      </c>
      <c r="FH29" s="160">
        <f>Monthly_kWh!EI29</f>
        <v>0.67308800000000701</v>
      </c>
      <c r="FI29" s="160">
        <f>Monthly_kWh!EJ29</f>
        <v>5.6192000000009998E-2</v>
      </c>
      <c r="FJ29" s="160">
        <f>Monthly_kWh!EK29</f>
        <v>0</v>
      </c>
      <c r="FK29" s="160">
        <f>Monthly_kWh!EL29</f>
        <v>0.52902399999993599</v>
      </c>
      <c r="FL29" s="160">
        <f>Monthly_kWh!EM29</f>
        <v>2.40921600000001</v>
      </c>
      <c r="FM29" s="160">
        <f>Monthly_kWh!EN29</f>
        <v>2.0144639999998599</v>
      </c>
      <c r="FN29" s="160">
        <f>Monthly_kWh!EO29</f>
        <v>0</v>
      </c>
      <c r="FO29" s="160">
        <f>Monthly_kWh!EP29</f>
        <v>0</v>
      </c>
      <c r="FP29" s="160">
        <f>Monthly_kWh!ER29</f>
        <v>2.1467180000000101</v>
      </c>
      <c r="FQ29" s="160">
        <f>Monthly_kWh!EQ29</f>
        <v>0</v>
      </c>
      <c r="FR29" s="160">
        <f>Monthly_kWh!M29</f>
        <v>0</v>
      </c>
      <c r="FS29" s="160">
        <f>Monthly_kWh!G29</f>
        <v>0</v>
      </c>
      <c r="FT29" s="160">
        <f>Monthly_kWh!C29</f>
        <v>0</v>
      </c>
      <c r="FU29" s="160">
        <f>Monthly_kWh!D29</f>
        <v>3.8229500000001102</v>
      </c>
      <c r="FV29" s="160">
        <f>Monthly_kWh!E29</f>
        <v>3.22515800000002</v>
      </c>
      <c r="FW29" s="160">
        <f>Monthly_kWh!F29</f>
        <v>3.6577620000000501</v>
      </c>
      <c r="FX29" s="160">
        <f>Monthly_kWh!Q29</f>
        <v>0</v>
      </c>
      <c r="FY29" s="160">
        <f>Monthly_kWh!R29</f>
        <v>3.6966399999983</v>
      </c>
      <c r="FZ29" s="160">
        <f>Monthly_kWh!S29</f>
        <v>3.1042559999996202</v>
      </c>
      <c r="GA29" s="160">
        <f>Monthly_kWh!T29</f>
        <v>3.5000319999999201</v>
      </c>
      <c r="GB29" s="160">
        <f t="shared" si="0"/>
        <v>18.431110999999863</v>
      </c>
      <c r="GC29" s="160">
        <f t="shared" si="1"/>
        <v>16.805649999999503</v>
      </c>
      <c r="GD29" s="160">
        <f t="shared" si="2"/>
        <v>1.6254610000003602</v>
      </c>
      <c r="GE29" s="159">
        <f t="shared" si="3"/>
        <v>8.8191156789212133E-2</v>
      </c>
    </row>
    <row r="30" spans="2:187" s="150" customFormat="1" ht="32.25" customHeight="1" x14ac:dyDescent="0.25">
      <c r="B30" s="168">
        <v>24</v>
      </c>
      <c r="C30" s="160">
        <f>Monthly_kWh!H30</f>
        <v>1.0196019999999999</v>
      </c>
      <c r="D30" s="160">
        <f>Monthly_kWh!I30</f>
        <v>1.0259419999999999</v>
      </c>
      <c r="E30" s="160">
        <f>Monthly_kWh!J30</f>
        <v>2.3369999999998101E-3</v>
      </c>
      <c r="F30" s="160">
        <f>Monthly_kWh!K30</f>
        <v>2.20859999999998E-2</v>
      </c>
      <c r="G30" s="160">
        <f>Monthly_kWh!L30</f>
        <v>0</v>
      </c>
      <c r="H30" s="160">
        <f>Monthly_kWh!U30</f>
        <v>0.33336800000000699</v>
      </c>
      <c r="I30" s="160">
        <f>Monthly_kWh!P30</f>
        <v>0.21000200000000299</v>
      </c>
      <c r="J30" s="160">
        <f>Monthly_kWh!N30</f>
        <v>2.1898049999999798</v>
      </c>
      <c r="K30" s="160">
        <f>Monthly_kWh!O30</f>
        <v>2.3134339999999201</v>
      </c>
      <c r="L30" s="160">
        <f>Monthly_kWh!B30</f>
        <v>9.2390000000000008</v>
      </c>
      <c r="M30" s="160">
        <f>Monthly_kWh!AR30</f>
        <v>3.1893119999999699</v>
      </c>
      <c r="N30" s="160">
        <f>Monthly_kWh!BM30</f>
        <v>0.56483199999996703</v>
      </c>
      <c r="O30" s="160">
        <f>Monthly_kWh!CM30</f>
        <v>3.11782399999993</v>
      </c>
      <c r="P30" s="160">
        <f>Monthly_kWh!DI30</f>
        <v>0.971840000000043</v>
      </c>
      <c r="Q30" s="160">
        <f>Monthly_kWh!EF30</f>
        <v>6.9134080000003504</v>
      </c>
      <c r="R30" s="119">
        <f>SUM('Zone wise Meter data'!O53:AF53)</f>
        <v>1.0299803750000009</v>
      </c>
      <c r="S30" s="115">
        <f>SUM('Zone wise Meter data'!AG53:AW53)</f>
        <v>1.7949580000000114</v>
      </c>
      <c r="T30" s="115">
        <f>SUM('Zone wise Meter data'!AX53:BA53)</f>
        <v>1.1268845000000085</v>
      </c>
      <c r="U30" s="115">
        <f>SUM('Zone wise Meter data'!BB53:BC53)</f>
        <v>0.92172799999997412</v>
      </c>
      <c r="V30" s="115">
        <f>SUM('Zone wise Meter data'!BD53:BL53)</f>
        <v>6.5425380000002171</v>
      </c>
      <c r="W30" s="115">
        <f>SUM('Zone wise Meter data'!BM53:BX53)</f>
        <v>0.46764024999999532</v>
      </c>
      <c r="X30" s="115">
        <f>SUM('Zone wise Meter data'!BY53:CE53)</f>
        <v>7.6526249999999702E-3</v>
      </c>
      <c r="Y30" s="115">
        <f>SUM('Zone wise Meter data'!CF53:CK53)</f>
        <v>0.24966775000000832</v>
      </c>
      <c r="Z30" s="115">
        <f>SUM('Zone wise Meter data'!CL53:CO53)</f>
        <v>0.30390399999998902</v>
      </c>
      <c r="AA30" s="115">
        <f>SUM('Zone wise Meter data'!CP53:DD53)</f>
        <v>0.16550643750000693</v>
      </c>
      <c r="AB30" s="115">
        <f>SUM('Zone wise Meter data'!DE53:DN53)</f>
        <v>0.13356330468750163</v>
      </c>
      <c r="AC30" s="115">
        <f>SUM('Zone wise Meter data'!DO53:ED53)</f>
        <v>0</v>
      </c>
      <c r="AD30" s="160">
        <f>Monthly_kWh!AW30</f>
        <v>0.57465600000000505</v>
      </c>
      <c r="AE30" s="160">
        <f>Monthly_kWh!DS30</f>
        <v>0.34707199999996902</v>
      </c>
      <c r="AF30" s="160">
        <f>Monthly_kWh!EL30</f>
        <v>0</v>
      </c>
      <c r="AG30" s="160">
        <f>Monthly_kWh!EK30</f>
        <v>0</v>
      </c>
      <c r="AH30" s="160">
        <f>Monthly_kWh!EN30</f>
        <v>1.9253760000001401</v>
      </c>
      <c r="AI30" s="160">
        <f>Monthly_kWh!EO30</f>
        <v>0</v>
      </c>
      <c r="AJ30" s="160">
        <f>Monthly_kWh!EM30</f>
        <v>2.18675200000007</v>
      </c>
      <c r="AK30" s="160">
        <f>Monthly_kWh!ER30</f>
        <v>1.68862</v>
      </c>
      <c r="AL30" s="160">
        <f>Monthly_kWh!EI30</f>
        <v>0.65638400000000297</v>
      </c>
      <c r="AM30" s="160">
        <f>Monthly_kWh!EJ30+Hourly_kWh!AS30</f>
        <v>3.8507500000006779E-2</v>
      </c>
      <c r="AN30" s="160">
        <f>Monthly_kWh!CX30+Hourly_kWh!CY30+Hourly_kWh!DC30+Hourly_kWh!DD30</f>
        <v>3.1173249999997224E-2</v>
      </c>
      <c r="AO30" s="160">
        <f>SUM(Hourly_kWh!AI30:AQ30)</f>
        <v>7.7654406249993535E-2</v>
      </c>
      <c r="AP30" s="160">
        <f>SUM(Hourly_kWh!V30:AG30)</f>
        <v>3.2537499999997443E-2</v>
      </c>
      <c r="AQ30" s="160">
        <f>Monthly_kWh!DB30</f>
        <v>7.5765999999999806E-2</v>
      </c>
      <c r="AR30" s="160">
        <f>Monthly_kWh!CO30</f>
        <v>0.52442400000000999</v>
      </c>
      <c r="AS30" s="160">
        <f>Monthly_kWh!BJ30</f>
        <v>2.1000000000270799E-5</v>
      </c>
      <c r="AT30" s="160">
        <f>Monthly_kWh!U30</f>
        <v>0.33336800000000699</v>
      </c>
      <c r="AU30" s="160">
        <f>Monthly_kWh!V30</f>
        <v>0.11932000000000199</v>
      </c>
      <c r="AV30" s="160">
        <f>Monthly_kWh!W30</f>
        <v>8.2982999999998697E-2</v>
      </c>
      <c r="AW30" s="160">
        <f>Monthly_kWh!X30</f>
        <v>6.8942999999999102E-2</v>
      </c>
      <c r="AX30" s="160">
        <f>Monthly_kWh!Y30</f>
        <v>0</v>
      </c>
      <c r="AY30" s="160">
        <f>Monthly_kWh!Z30</f>
        <v>4.9740999999999098E-2</v>
      </c>
      <c r="AZ30" s="160">
        <f>Monthly_kWh!AA30</f>
        <v>8.3507999999998403E-2</v>
      </c>
      <c r="BA30" s="160">
        <f>Monthly_kWh!AB30</f>
        <v>0.15767400000000001</v>
      </c>
      <c r="BB30" s="160">
        <f>Monthly_kWh!AC30</f>
        <v>0.104062000000003</v>
      </c>
      <c r="BC30" s="160">
        <f>Monthly_kWh!AD30</f>
        <v>5.1097000000000399E-2</v>
      </c>
      <c r="BD30" s="160">
        <f>Monthly_kWh!AE30</f>
        <v>8.9507499999999907E-2</v>
      </c>
      <c r="BE30" s="160">
        <f>Monthly_kWh!AF30</f>
        <v>0</v>
      </c>
      <c r="BF30" s="160">
        <f>Monthly_kWh!AG30</f>
        <v>2.5456500000000701E-2</v>
      </c>
      <c r="BG30" s="160">
        <f>Monthly_kWh!AH30</f>
        <v>1.34678400000001</v>
      </c>
      <c r="BH30" s="160">
        <f>Monthly_kWh!AI30</f>
        <v>0</v>
      </c>
      <c r="BI30" s="160">
        <f>Monthly_kWh!AJ30</f>
        <v>2.1335000000000499E-2</v>
      </c>
      <c r="BJ30" s="160">
        <f>Monthly_kWh!AK30</f>
        <v>0</v>
      </c>
      <c r="BK30" s="160">
        <f>Monthly_kWh!AL30</f>
        <v>0.26733600000000002</v>
      </c>
      <c r="BL30" s="160">
        <f>Monthly_kWh!AM30</f>
        <v>0.27024000000000098</v>
      </c>
      <c r="BM30" s="160">
        <f>Monthly_kWh!AN30</f>
        <v>0.22002400000000899</v>
      </c>
      <c r="BN30" s="160">
        <f>Monthly_kWh!AO30</f>
        <v>0.160524000000002</v>
      </c>
      <c r="BO30" s="160">
        <f>Monthly_kWh!AP30</f>
        <v>8.2066000000001096E-2</v>
      </c>
      <c r="BP30" s="160">
        <f>Monthly_kWh!AQ30</f>
        <v>0.18998799999999999</v>
      </c>
      <c r="BQ30" s="160">
        <f>Monthly_kWh!AR30</f>
        <v>3.1893119999999699</v>
      </c>
      <c r="BR30" s="160">
        <f>Monthly_kWh!AS30</f>
        <v>5.3220500000000101E-2</v>
      </c>
      <c r="BS30" s="160">
        <f>Monthly_kWh!AT30</f>
        <v>0</v>
      </c>
      <c r="BT30" s="160">
        <f>Monthly_kWh!AU30</f>
        <v>4.7755999999999701E-2</v>
      </c>
      <c r="BU30" s="160">
        <f>Monthly_kWh!AV30</f>
        <v>1.9380500000000501E-2</v>
      </c>
      <c r="BV30" s="160">
        <f>Monthly_kWh!AW30</f>
        <v>0.57465600000000505</v>
      </c>
      <c r="BW30" s="160">
        <f>Monthly_kWh!AX30</f>
        <v>0</v>
      </c>
      <c r="BX30" s="160">
        <f>Monthly_kWh!AY30</f>
        <v>8.6980499999999197E-2</v>
      </c>
      <c r="BY30" s="160">
        <f>Monthly_kWh!AZ30</f>
        <v>3.0000000004193301E-6</v>
      </c>
      <c r="BZ30" s="160">
        <f>Monthly_kWh!BA30</f>
        <v>0</v>
      </c>
      <c r="CA30" s="160">
        <f>Monthly_kWh!BB30</f>
        <v>0</v>
      </c>
      <c r="CB30" s="160">
        <f>Monthly_kWh!BC30</f>
        <v>0</v>
      </c>
      <c r="CC30" s="160">
        <f>Monthly_kWh!BD30</f>
        <v>2.4336328124999998E-3</v>
      </c>
      <c r="CD30" s="160">
        <f>Monthly_kWh!BE30</f>
        <v>0.20676800000000001</v>
      </c>
      <c r="CE30" s="160">
        <f>Monthly_kWh!BF30</f>
        <v>0</v>
      </c>
      <c r="CF30" s="160">
        <f>Monthly_kWh!BG30</f>
        <v>1.36490000000009E-2</v>
      </c>
      <c r="CG30" s="160">
        <f>Monthly_kWh!BH30</f>
        <v>0</v>
      </c>
      <c r="CH30" s="160">
        <f>Monthly_kWh!BI30</f>
        <v>1.9279679999999599</v>
      </c>
      <c r="CI30" s="160">
        <f>Monthly_kWh!BJ30</f>
        <v>2.1000000000270799E-5</v>
      </c>
      <c r="CJ30" s="160">
        <f>Monthly_kWh!BK30</f>
        <v>4.2965499999999303E-2</v>
      </c>
      <c r="CK30" s="160">
        <f>Monthly_kWh!BL30</f>
        <v>8.0000000011182203E-6</v>
      </c>
      <c r="CL30" s="160">
        <f>Monthly_kWh!BM30</f>
        <v>0.56483199999996703</v>
      </c>
      <c r="CM30" s="160">
        <f>Monthly_kWh!BN30</f>
        <v>0</v>
      </c>
      <c r="CN30" s="160">
        <f>Monthly_kWh!BO30</f>
        <v>0.37310300000000002</v>
      </c>
      <c r="CO30" s="160">
        <f>Monthly_kWh!BP30</f>
        <v>0</v>
      </c>
      <c r="CP30" s="160">
        <f>Monthly_kWh!BQ30</f>
        <v>0</v>
      </c>
      <c r="CQ30" s="160">
        <f>Monthly_kWh!BR30</f>
        <v>0</v>
      </c>
      <c r="CR30" s="160">
        <f>Monthly_kWh!BS30</f>
        <v>0</v>
      </c>
      <c r="CS30" s="160">
        <f>Monthly_kWh!BT30</f>
        <v>1.38239999999996E-2</v>
      </c>
      <c r="CT30" s="160">
        <f>Monthly_kWh!BU30</f>
        <v>0</v>
      </c>
      <c r="CU30" s="160">
        <f>Monthly_kWh!BV30</f>
        <v>0</v>
      </c>
      <c r="CV30" s="160">
        <f>Monthly_kWh!BW30</f>
        <v>0</v>
      </c>
      <c r="CW30" s="160">
        <f>Monthly_kWh!BX30</f>
        <v>0</v>
      </c>
      <c r="CX30" s="160">
        <f>Monthly_kWh!BY30</f>
        <v>0</v>
      </c>
      <c r="CY30" s="160">
        <f>Monthly_kWh!BZ30</f>
        <v>0.12912800000000901</v>
      </c>
      <c r="CZ30" s="160">
        <f>Monthly_kWh!CA30</f>
        <v>4.6282500000000004E-3</v>
      </c>
      <c r="DA30" s="160">
        <f>Monthly_kWh!CB30</f>
        <v>0</v>
      </c>
      <c r="DB30" s="160">
        <f>Monthly_kWh!CC30</f>
        <v>0</v>
      </c>
      <c r="DC30" s="160">
        <f>Monthly_kWh!CD30</f>
        <v>0</v>
      </c>
      <c r="DD30" s="160">
        <f>Monthly_kWh!CE30</f>
        <v>0</v>
      </c>
      <c r="DE30" s="160">
        <f>Monthly_kWh!CF30</f>
        <v>2.3842999999999399E-2</v>
      </c>
      <c r="DF30" s="160">
        <f>Monthly_kWh!CG30</f>
        <v>0</v>
      </c>
      <c r="DG30" s="160">
        <f>Monthly_kWh!CH30</f>
        <v>0</v>
      </c>
      <c r="DH30" s="160">
        <f>Monthly_kWh!CI30</f>
        <v>0</v>
      </c>
      <c r="DI30" s="160">
        <f>Monthly_kWh!CJ30</f>
        <v>0</v>
      </c>
      <c r="DJ30" s="160">
        <f>Monthly_kWh!CK30</f>
        <v>0</v>
      </c>
      <c r="DK30" s="160">
        <f>Monthly_kWh!CL30</f>
        <v>5.2838000000001301E-2</v>
      </c>
      <c r="DL30" s="160">
        <f>Monthly_kWh!CM30</f>
        <v>3.11782399999993</v>
      </c>
      <c r="DM30" s="160">
        <f>Monthly_kWh!CN30</f>
        <v>4.7919999999999498E-2</v>
      </c>
      <c r="DN30" s="160">
        <f>Monthly_kWh!CO30</f>
        <v>0.52442400000000999</v>
      </c>
      <c r="DO30" s="160">
        <f>Monthly_kWh!CP30</f>
        <v>0</v>
      </c>
      <c r="DP30" s="160">
        <f>Monthly_kWh!CQ30</f>
        <v>0</v>
      </c>
      <c r="DQ30" s="160">
        <f>Monthly_kWh!CR30</f>
        <v>9.5190999999999804E-2</v>
      </c>
      <c r="DR30" s="160">
        <f>Monthly_kWh!CS30</f>
        <v>0</v>
      </c>
      <c r="DS30" s="160">
        <f>Monthly_kWh!CT30</f>
        <v>1.5199999999992999E-3</v>
      </c>
      <c r="DT30" s="160">
        <f>Monthly_kWh!CU30</f>
        <v>0</v>
      </c>
      <c r="DU30" s="160">
        <f>Monthly_kWh!CV30</f>
        <v>7.6526249999999702E-3</v>
      </c>
      <c r="DV30" s="160">
        <f>Monthly_kWh!CW30</f>
        <v>4.9471999999994402E-2</v>
      </c>
      <c r="DW30" s="160">
        <f>Monthly_kWh!CX30</f>
        <v>2.56279999999975E-2</v>
      </c>
      <c r="DX30" s="160">
        <f>Monthly_kWh!CY30</f>
        <v>1.2675999999999899E-2</v>
      </c>
      <c r="DY30" s="160">
        <f>Monthly_kWh!CZ30</f>
        <v>1.9733250000000299E-2</v>
      </c>
      <c r="DZ30" s="160">
        <f>Monthly_kWh!DA30</f>
        <v>0.14159999999999701</v>
      </c>
      <c r="EA30" s="160">
        <f>Monthly_kWh!DB30</f>
        <v>7.5765999999999806E-2</v>
      </c>
      <c r="EB30" s="160">
        <f>Monthly_kWh!DC30</f>
        <v>0</v>
      </c>
      <c r="EC30" s="160">
        <f>Monthly_kWh!DD30</f>
        <v>2.9668375E-2</v>
      </c>
      <c r="ED30" s="160">
        <f>Monthly_kWh!DE30</f>
        <v>0</v>
      </c>
      <c r="EE30" s="160">
        <f>Monthly_kWh!DF30</f>
        <v>0</v>
      </c>
      <c r="EF30" s="160">
        <f>Monthly_kWh!DG30</f>
        <v>2.5332000000000601E-2</v>
      </c>
      <c r="EG30" s="160">
        <f>Monthly_kWh!DH30</f>
        <v>1.7030499999999699E-2</v>
      </c>
      <c r="EH30" s="160">
        <f>Monthly_kWh!DI30</f>
        <v>0.971840000000043</v>
      </c>
      <c r="EI30" s="160">
        <f>Monthly_kWh!DJ30</f>
        <v>0</v>
      </c>
      <c r="EJ30" s="160">
        <f>Monthly_kWh!DK30</f>
        <v>3.6372000000000099E-2</v>
      </c>
      <c r="EK30" s="160">
        <f>Monthly_kWh!DL30</f>
        <v>1.3969171875E-2</v>
      </c>
      <c r="EL30" s="160">
        <f>Monthly_kWh!DM30</f>
        <v>0</v>
      </c>
      <c r="EM30" s="160">
        <f>Monthly_kWh!DN30</f>
        <v>3.4947499999999901E-3</v>
      </c>
      <c r="EN30" s="160">
        <f>Monthly_kWh!DO30</f>
        <v>1.5104000000008E-2</v>
      </c>
      <c r="EO30" s="160">
        <f>Monthly_kWh!DP30</f>
        <v>3.10790000000001E-2</v>
      </c>
      <c r="EP30" s="160">
        <f>Monthly_kWh!DQ30</f>
        <v>0</v>
      </c>
      <c r="EQ30" s="160">
        <f>Monthly_kWh!DR30</f>
        <v>0</v>
      </c>
      <c r="ER30" s="160">
        <f>Monthly_kWh!DS30</f>
        <v>0.34707199999996902</v>
      </c>
      <c r="ES30" s="160">
        <f>Monthly_kWh!DT30</f>
        <v>7.82445000000003E-2</v>
      </c>
      <c r="ET30" s="160">
        <f>Monthly_kWh!DU30</f>
        <v>0</v>
      </c>
      <c r="EU30" s="160">
        <f>Monthly_kWh!DV30</f>
        <v>8.8307500000000001E-3</v>
      </c>
      <c r="EV30" s="160">
        <f>Monthly_kWh!DW30</f>
        <v>0</v>
      </c>
      <c r="EW30" s="160">
        <f>Monthly_kWh!DX30</f>
        <v>3.4642999999999098E-2</v>
      </c>
      <c r="EX30" s="160">
        <f>Monthly_kWh!DY30</f>
        <v>5.2244375000000103E-3</v>
      </c>
      <c r="EY30" s="160">
        <f>Monthly_kWh!DZ30</f>
        <v>6.3240000000000393E-2</v>
      </c>
      <c r="EZ30" s="160">
        <f>Monthly_kWh!EA30</f>
        <v>0</v>
      </c>
      <c r="FA30" s="160">
        <f>Monthly_kWh!EB30</f>
        <v>0.15766399999998301</v>
      </c>
      <c r="FB30" s="160">
        <f>Monthly_kWh!EC30</f>
        <v>0.146240000000006</v>
      </c>
      <c r="FC30" s="160">
        <f>Monthly_kWh!ED30</f>
        <v>2.3705000000000501E-3</v>
      </c>
      <c r="FD30" s="160">
        <f>Monthly_kWh!EE30</f>
        <v>0.16343849999999999</v>
      </c>
      <c r="FE30" s="160">
        <f>Monthly_kWh!EF30</f>
        <v>6.9134080000003504</v>
      </c>
      <c r="FF30" s="160">
        <f>Monthly_kWh!EG30</f>
        <v>0</v>
      </c>
      <c r="FG30" s="160">
        <f>Monthly_kWh!EH30</f>
        <v>0.381439999999998</v>
      </c>
      <c r="FH30" s="160">
        <f>Monthly_kWh!EI30</f>
        <v>0.65638400000000297</v>
      </c>
      <c r="FI30" s="160">
        <f>Monthly_kWh!EJ30</f>
        <v>3.5840000000007401E-2</v>
      </c>
      <c r="FJ30" s="160">
        <f>Monthly_kWh!EK30</f>
        <v>0</v>
      </c>
      <c r="FK30" s="160">
        <f>Monthly_kWh!EL30</f>
        <v>0</v>
      </c>
      <c r="FL30" s="160">
        <f>Monthly_kWh!EM30</f>
        <v>2.18675200000007</v>
      </c>
      <c r="FM30" s="160">
        <f>Monthly_kWh!EN30</f>
        <v>1.9253760000001401</v>
      </c>
      <c r="FN30" s="160">
        <f>Monthly_kWh!EO30</f>
        <v>0</v>
      </c>
      <c r="FO30" s="160">
        <f>Monthly_kWh!EP30</f>
        <v>0</v>
      </c>
      <c r="FP30" s="160">
        <f>Monthly_kWh!ER30</f>
        <v>1.68862</v>
      </c>
      <c r="FQ30" s="160">
        <f>Monthly_kWh!EQ30</f>
        <v>0</v>
      </c>
      <c r="FR30" s="160">
        <f>Monthly_kWh!M30</f>
        <v>2.0884469999999999</v>
      </c>
      <c r="FS30" s="160">
        <f>Monthly_kWh!G30</f>
        <v>2.0968629999999902</v>
      </c>
      <c r="FT30" s="160">
        <f>Monthly_kWh!C30</f>
        <v>0</v>
      </c>
      <c r="FU30" s="160">
        <f>Monthly_kWh!D30</f>
        <v>4.0320259999998598</v>
      </c>
      <c r="FV30" s="160">
        <f>Monthly_kWh!E30</f>
        <v>3.4139419999999601</v>
      </c>
      <c r="FW30" s="160">
        <f>Monthly_kWh!F30</f>
        <v>3.8465630000000002</v>
      </c>
      <c r="FX30" s="160">
        <f>Monthly_kWh!Q30</f>
        <v>0</v>
      </c>
      <c r="FY30" s="160">
        <f>Monthly_kWh!R30</f>
        <v>3.9690240000018102</v>
      </c>
      <c r="FZ30" s="160">
        <f>Monthly_kWh!S30</f>
        <v>3.3198080000001902</v>
      </c>
      <c r="GA30" s="160">
        <f>Monthly_kWh!T30</f>
        <v>3.78265599999941</v>
      </c>
      <c r="GB30" s="160">
        <f t="shared" si="0"/>
        <v>16.35557599999991</v>
      </c>
      <c r="GC30" s="160">
        <f t="shared" si="1"/>
        <v>14.757216000000261</v>
      </c>
      <c r="GD30" s="160">
        <f t="shared" si="2"/>
        <v>1.5983599999996496</v>
      </c>
      <c r="GE30" s="159">
        <f t="shared" si="3"/>
        <v>9.7725693060254096E-2</v>
      </c>
    </row>
    <row r="31" spans="2:187" ht="32.25" customHeight="1" x14ac:dyDescent="0.25">
      <c r="B31" s="168">
        <v>25</v>
      </c>
      <c r="C31" s="160">
        <f>Monthly_kWh!H31</f>
        <v>0</v>
      </c>
      <c r="D31" s="160">
        <f>Monthly_kWh!I31</f>
        <v>0</v>
      </c>
      <c r="E31" s="160">
        <f>Monthly_kWh!J31</f>
        <v>0</v>
      </c>
      <c r="F31" s="160">
        <f>Monthly_kWh!K31</f>
        <v>0</v>
      </c>
      <c r="G31" s="160">
        <f>Monthly_kWh!L31</f>
        <v>0</v>
      </c>
      <c r="H31" s="160">
        <f>Monthly_kWh!U31</f>
        <v>0.36269600000000002</v>
      </c>
      <c r="I31" s="160">
        <f>Monthly_kWh!P31</f>
        <v>9.6241999999996594E-2</v>
      </c>
      <c r="J31" s="160">
        <f>Monthly_kWh!N31</f>
        <v>1.6261750000001001</v>
      </c>
      <c r="K31" s="160">
        <f>Monthly_kWh!O31</f>
        <v>1.6960750000001801</v>
      </c>
      <c r="L31" s="160">
        <f>Monthly_kWh!B31</f>
        <v>13.030374999999999</v>
      </c>
      <c r="M31" s="160">
        <f>Monthly_kWh!AR31</f>
        <v>2.9765120000000702</v>
      </c>
      <c r="N31" s="160">
        <f>Monthly_kWh!BM31</f>
        <v>0.32966400000003698</v>
      </c>
      <c r="O31" s="160">
        <f>Monthly_kWh!CM31</f>
        <v>3.1973120000000099</v>
      </c>
      <c r="P31" s="160">
        <f>Monthly_kWh!DI31</f>
        <v>1.14847999999995</v>
      </c>
      <c r="Q31" s="160">
        <f>Monthly_kWh!EF31</f>
        <v>7.6446280000000097</v>
      </c>
      <c r="R31" s="119">
        <f>SUM('Zone wise Meter data'!O54:AF54)</f>
        <v>1.0936079687499947</v>
      </c>
      <c r="S31" s="115">
        <f>SUM('Zone wise Meter data'!AG54:AW54)</f>
        <v>1.8326260000000225</v>
      </c>
      <c r="T31" s="115">
        <f>SUM('Zone wise Meter data'!AX54:BA54)</f>
        <v>1.1260689999999609</v>
      </c>
      <c r="U31" s="115">
        <f>SUM('Zone wise Meter data'!BB54:BC54)</f>
        <v>0.85411199999998599</v>
      </c>
      <c r="V31" s="115">
        <f>SUM('Zone wise Meter data'!BD54:BL54)</f>
        <v>7.2225789999997936</v>
      </c>
      <c r="W31" s="115">
        <f>SUM('Zone wise Meter data'!BM54:BX54)</f>
        <v>0.23551525000000112</v>
      </c>
      <c r="X31" s="115">
        <f>SUM('Zone wise Meter data'!BY54:CE54)</f>
        <v>1.6323999999999998E-2</v>
      </c>
      <c r="Y31" s="115">
        <f>SUM('Zone wise Meter data'!CF54:CK54)</f>
        <v>0.17839253124999119</v>
      </c>
      <c r="Z31" s="115">
        <f>SUM('Zone wise Meter data'!CL54:CO54)</f>
        <v>0.36283199999999699</v>
      </c>
      <c r="AA31" s="115">
        <f>SUM('Zone wise Meter data'!CP54:DD54)</f>
        <v>0.13839243750000377</v>
      </c>
      <c r="AB31" s="115">
        <f>SUM('Zone wise Meter data'!DE54:DN54)</f>
        <v>0.18678855468750033</v>
      </c>
      <c r="AC31" s="115">
        <f>SUM('Zone wise Meter data'!DO54:ED54)</f>
        <v>0</v>
      </c>
      <c r="AD31" s="160">
        <f>Monthly_kWh!AW31</f>
        <v>0.36934399999995499</v>
      </c>
      <c r="AE31" s="160">
        <f>Monthly_kWh!DS31</f>
        <v>0.48476800000003101</v>
      </c>
      <c r="AF31" s="160">
        <f>Monthly_kWh!EL31</f>
        <v>0.83302400000002297</v>
      </c>
      <c r="AG31" s="160">
        <f>Monthly_kWh!EK31</f>
        <v>0</v>
      </c>
      <c r="AH31" s="160">
        <f>Monthly_kWh!EN31</f>
        <v>1.50783999999976</v>
      </c>
      <c r="AI31" s="160">
        <f>Monthly_kWh!EO31</f>
        <v>0.20761600000003</v>
      </c>
      <c r="AJ31" s="160">
        <f>Monthly_kWh!EM31</f>
        <v>1.602304</v>
      </c>
      <c r="AK31" s="160">
        <f>Monthly_kWh!ER31</f>
        <v>2.4142979999999898</v>
      </c>
      <c r="AL31" s="160">
        <f>Monthly_kWh!EI31</f>
        <v>0.585791999999969</v>
      </c>
      <c r="AM31" s="160">
        <f>Monthly_kWh!EJ31+Hourly_kWh!AS31</f>
        <v>2.64960000000087E-2</v>
      </c>
      <c r="AN31" s="160">
        <f>Monthly_kWh!CX31+Hourly_kWh!CY31+Hourly_kWh!DC31+Hourly_kWh!DD31</f>
        <v>0</v>
      </c>
      <c r="AO31" s="160">
        <f>SUM(Hourly_kWh!AI31:AQ31)</f>
        <v>0</v>
      </c>
      <c r="AP31" s="160">
        <f>SUM(Hourly_kWh!V31:AG31)</f>
        <v>0</v>
      </c>
      <c r="AQ31" s="160">
        <f>Monthly_kWh!DB31</f>
        <v>8.1701000000000704E-2</v>
      </c>
      <c r="AR31" s="160">
        <f>Monthly_kWh!CO31</f>
        <v>0.37993599999998701</v>
      </c>
      <c r="AS31" s="160">
        <f>Monthly_kWh!BJ31</f>
        <v>1.10099999999846E-3</v>
      </c>
      <c r="AT31" s="160">
        <f>Monthly_kWh!U31</f>
        <v>0.36269600000000002</v>
      </c>
      <c r="AU31" s="160">
        <f>Monthly_kWh!V31</f>
        <v>0.120013999999998</v>
      </c>
      <c r="AV31" s="160">
        <f>Monthly_kWh!W31</f>
        <v>7.1822000000000899E-2</v>
      </c>
      <c r="AW31" s="160">
        <f>Monthly_kWh!X31</f>
        <v>7.1894999999999598E-2</v>
      </c>
      <c r="AX31" s="160">
        <f>Monthly_kWh!Y31</f>
        <v>0</v>
      </c>
      <c r="AY31" s="160">
        <f>Monthly_kWh!Z31</f>
        <v>4.6197000000001202E-2</v>
      </c>
      <c r="AZ31" s="160">
        <f>Monthly_kWh!AA31</f>
        <v>8.2892000000001104E-2</v>
      </c>
      <c r="BA31" s="160">
        <f>Monthly_kWh!AB31</f>
        <v>0.15270199999999801</v>
      </c>
      <c r="BB31" s="160">
        <f>Monthly_kWh!AC31</f>
        <v>9.5848000000000197E-2</v>
      </c>
      <c r="BC31" s="160">
        <f>Monthly_kWh!AD31</f>
        <v>4.9605999999998901E-2</v>
      </c>
      <c r="BD31" s="160">
        <f>Monthly_kWh!AE31</f>
        <v>7.56330000000007E-2</v>
      </c>
      <c r="BE31" s="160">
        <f>Monthly_kWh!AF31</f>
        <v>0</v>
      </c>
      <c r="BF31" s="160">
        <f>Monthly_kWh!AG31</f>
        <v>2.02070000000001E-2</v>
      </c>
      <c r="BG31" s="160">
        <f>Monthly_kWh!AH31</f>
        <v>1.35145599999998</v>
      </c>
      <c r="BH31" s="160">
        <f>Monthly_kWh!AI31</f>
        <v>0</v>
      </c>
      <c r="BI31" s="160">
        <f>Monthly_kWh!AJ31</f>
        <v>2.46279999999999E-2</v>
      </c>
      <c r="BJ31" s="160">
        <f>Monthly_kWh!AK31</f>
        <v>0</v>
      </c>
      <c r="BK31" s="160">
        <f>Monthly_kWh!AL31</f>
        <v>0.26542400000000999</v>
      </c>
      <c r="BL31" s="160">
        <f>Monthly_kWh!AM31</f>
        <v>0.27188000000001</v>
      </c>
      <c r="BM31" s="160">
        <f>Monthly_kWh!AN31</f>
        <v>0.227080000000001</v>
      </c>
      <c r="BN31" s="160">
        <f>Monthly_kWh!AO31</f>
        <v>0.15024400000000099</v>
      </c>
      <c r="BO31" s="160">
        <f>Monthly_kWh!AP31</f>
        <v>8.2405999999998897E-2</v>
      </c>
      <c r="BP31" s="160">
        <f>Monthly_kWh!AQ31</f>
        <v>0.197099999999999</v>
      </c>
      <c r="BQ31" s="160">
        <f>Monthly_kWh!AR31</f>
        <v>2.9765120000000702</v>
      </c>
      <c r="BR31" s="160">
        <f>Monthly_kWh!AS31</f>
        <v>4.7861000000000202E-2</v>
      </c>
      <c r="BS31" s="160">
        <f>Monthly_kWh!AT31</f>
        <v>0</v>
      </c>
      <c r="BT31" s="160">
        <f>Monthly_kWh!AU31</f>
        <v>5.0392000000002199E-2</v>
      </c>
      <c r="BU31" s="160">
        <f>Monthly_kWh!AV31</f>
        <v>3.7498999999999498E-2</v>
      </c>
      <c r="BV31" s="160">
        <f>Monthly_kWh!AW31</f>
        <v>0.36934399999995499</v>
      </c>
      <c r="BW31" s="160">
        <f>Monthly_kWh!AX31</f>
        <v>0</v>
      </c>
      <c r="BX31" s="160">
        <f>Monthly_kWh!AY31</f>
        <v>7.5026000000000301E-2</v>
      </c>
      <c r="BY31" s="160">
        <f>Monthly_kWh!AZ31</f>
        <v>7.4999999997160697E-6</v>
      </c>
      <c r="BZ31" s="160">
        <f>Monthly_kWh!BA31</f>
        <v>0</v>
      </c>
      <c r="CA31" s="160">
        <f>Monthly_kWh!BB31</f>
        <v>0</v>
      </c>
      <c r="CB31" s="160">
        <f>Monthly_kWh!BC31</f>
        <v>0</v>
      </c>
      <c r="CC31" s="160">
        <f>Monthly_kWh!BD31</f>
        <v>4.1728671875000097E-3</v>
      </c>
      <c r="CD31" s="160">
        <f>Monthly_kWh!BE31</f>
        <v>0.10643999999999899</v>
      </c>
      <c r="CE31" s="160">
        <f>Monthly_kWh!BF31</f>
        <v>0</v>
      </c>
      <c r="CF31" s="160">
        <f>Monthly_kWh!BG31</f>
        <v>2.55459999999985E-2</v>
      </c>
      <c r="CG31" s="160">
        <f>Monthly_kWh!BH31</f>
        <v>2.6260000000028999E-3</v>
      </c>
      <c r="CH31" s="160">
        <f>Monthly_kWh!BI31</f>
        <v>1.99584000000004</v>
      </c>
      <c r="CI31" s="160">
        <f>Monthly_kWh!BJ31</f>
        <v>1.10099999999846E-3</v>
      </c>
      <c r="CJ31" s="160">
        <f>Monthly_kWh!BK31</f>
        <v>4.9492500000000397E-2</v>
      </c>
      <c r="CK31" s="160">
        <f>Monthly_kWh!BL31</f>
        <v>1.59999999986837E-5</v>
      </c>
      <c r="CL31" s="160">
        <f>Monthly_kWh!BM31</f>
        <v>0.32966400000003698</v>
      </c>
      <c r="CM31" s="160">
        <f>Monthly_kWh!BN31</f>
        <v>0</v>
      </c>
      <c r="CN31" s="160">
        <f>Monthly_kWh!BO31</f>
        <v>0.183868</v>
      </c>
      <c r="CO31" s="160">
        <f>Monthly_kWh!BP31</f>
        <v>0</v>
      </c>
      <c r="CP31" s="160">
        <f>Monthly_kWh!BQ31</f>
        <v>0</v>
      </c>
      <c r="CQ31" s="160">
        <f>Monthly_kWh!BR31</f>
        <v>0</v>
      </c>
      <c r="CR31" s="160">
        <f>Monthly_kWh!BS31</f>
        <v>0</v>
      </c>
      <c r="CS31" s="160">
        <f>Monthly_kWh!BT31</f>
        <v>1.37919999999951E-2</v>
      </c>
      <c r="CT31" s="160">
        <f>Monthly_kWh!BU31</f>
        <v>0</v>
      </c>
      <c r="CU31" s="160">
        <f>Monthly_kWh!BV31</f>
        <v>0</v>
      </c>
      <c r="CV31" s="160">
        <f>Monthly_kWh!BW31</f>
        <v>0</v>
      </c>
      <c r="CW31" s="160">
        <f>Monthly_kWh!BX31</f>
        <v>0</v>
      </c>
      <c r="CX31" s="160">
        <f>Monthly_kWh!BY31</f>
        <v>6.8399999999990701E-4</v>
      </c>
      <c r="CY31" s="160">
        <f>Monthly_kWh!BZ31</f>
        <v>8.1615999999996802E-2</v>
      </c>
      <c r="CZ31" s="160">
        <f>Monthly_kWh!CA31</f>
        <v>3.60053124999998E-3</v>
      </c>
      <c r="DA31" s="160">
        <f>Monthly_kWh!CB31</f>
        <v>0</v>
      </c>
      <c r="DB31" s="160">
        <f>Monthly_kWh!CC31</f>
        <v>0</v>
      </c>
      <c r="DC31" s="160">
        <f>Monthly_kWh!CD31</f>
        <v>0</v>
      </c>
      <c r="DD31" s="160">
        <f>Monthly_kWh!CE31</f>
        <v>0</v>
      </c>
      <c r="DE31" s="160">
        <f>Monthly_kWh!CF31</f>
        <v>2.12579999999996E-2</v>
      </c>
      <c r="DF31" s="160">
        <f>Monthly_kWh!CG31</f>
        <v>0</v>
      </c>
      <c r="DG31" s="160">
        <f>Monthly_kWh!CH31</f>
        <v>6.9997499999998603E-3</v>
      </c>
      <c r="DH31" s="160">
        <f>Monthly_kWh!CI31</f>
        <v>0</v>
      </c>
      <c r="DI31" s="160">
        <f>Monthly_kWh!CJ31</f>
        <v>0</v>
      </c>
      <c r="DJ31" s="160">
        <f>Monthly_kWh!CK31</f>
        <v>0</v>
      </c>
      <c r="DK31" s="160">
        <f>Monthly_kWh!CL31</f>
        <v>5.22220000000004E-2</v>
      </c>
      <c r="DL31" s="160">
        <f>Monthly_kWh!CM31</f>
        <v>3.1973120000000099</v>
      </c>
      <c r="DM31" s="160">
        <f>Monthly_kWh!CN31</f>
        <v>4.6971000000000998E-2</v>
      </c>
      <c r="DN31" s="160">
        <f>Monthly_kWh!CO31</f>
        <v>0.37993599999998701</v>
      </c>
      <c r="DO31" s="160">
        <f>Monthly_kWh!CP31</f>
        <v>0</v>
      </c>
      <c r="DP31" s="160">
        <f>Monthly_kWh!CQ31</f>
        <v>0</v>
      </c>
      <c r="DQ31" s="160">
        <f>Monthly_kWh!CR31</f>
        <v>0.14863299999999999</v>
      </c>
      <c r="DR31" s="160">
        <f>Monthly_kWh!CS31</f>
        <v>0</v>
      </c>
      <c r="DS31" s="160">
        <f>Monthly_kWh!CT31</f>
        <v>1.53600000000154E-3</v>
      </c>
      <c r="DT31" s="160">
        <f>Monthly_kWh!CU31</f>
        <v>0</v>
      </c>
      <c r="DU31" s="160">
        <f>Monthly_kWh!CV31</f>
        <v>9.3242500000001397E-3</v>
      </c>
      <c r="DV31" s="160">
        <f>Monthly_kWh!CW31</f>
        <v>1.59480000000016E-2</v>
      </c>
      <c r="DW31" s="160">
        <f>Monthly_kWh!CX31</f>
        <v>0</v>
      </c>
      <c r="DX31" s="160">
        <f>Monthly_kWh!CY31</f>
        <v>1.1479E-2</v>
      </c>
      <c r="DY31" s="160">
        <f>Monthly_kWh!CZ31</f>
        <v>2.0223249999999901E-2</v>
      </c>
      <c r="DZ31" s="160">
        <f>Monthly_kWh!DA31</f>
        <v>0.195860000000003</v>
      </c>
      <c r="EA31" s="160">
        <f>Monthly_kWh!DB31</f>
        <v>8.1701000000000704E-2</v>
      </c>
      <c r="EB31" s="160">
        <f>Monthly_kWh!DC31</f>
        <v>0.19870559374999999</v>
      </c>
      <c r="EC31" s="160">
        <f>Monthly_kWh!DD31</f>
        <v>2.9147875E-2</v>
      </c>
      <c r="ED31" s="160">
        <f>Monthly_kWh!DE31</f>
        <v>0</v>
      </c>
      <c r="EE31" s="160">
        <f>Monthly_kWh!DF31</f>
        <v>0</v>
      </c>
      <c r="EF31" s="160">
        <f>Monthly_kWh!DG31</f>
        <v>1.5475999999999599E-2</v>
      </c>
      <c r="EG31" s="160">
        <f>Monthly_kWh!DH31</f>
        <v>2.54530000000006E-2</v>
      </c>
      <c r="EH31" s="160">
        <f>Monthly_kWh!DI31</f>
        <v>1.14847999999995</v>
      </c>
      <c r="EI31" s="160">
        <f>Monthly_kWh!DJ31</f>
        <v>0</v>
      </c>
      <c r="EJ31" s="160">
        <f>Monthly_kWh!DK31</f>
        <v>5.0065999999997501E-2</v>
      </c>
      <c r="EK31" s="160">
        <f>Monthly_kWh!DL31</f>
        <v>1.6479187499999999E-2</v>
      </c>
      <c r="EL31" s="160">
        <f>Monthly_kWh!DM31</f>
        <v>0</v>
      </c>
      <c r="EM31" s="160">
        <f>Monthly_kWh!DN31</f>
        <v>0</v>
      </c>
      <c r="EN31" s="160">
        <f>Monthly_kWh!DO31</f>
        <v>1.7616000000003899E-2</v>
      </c>
      <c r="EO31" s="160">
        <f>Monthly_kWh!DP31</f>
        <v>2.63604999999991E-2</v>
      </c>
      <c r="EP31" s="160">
        <f>Monthly_kWh!DQ31</f>
        <v>0</v>
      </c>
      <c r="EQ31" s="160">
        <f>Monthly_kWh!DR31</f>
        <v>0</v>
      </c>
      <c r="ER31" s="160">
        <f>Monthly_kWh!DS31</f>
        <v>0.48476800000003101</v>
      </c>
      <c r="ES31" s="160">
        <f>Monthly_kWh!DT31</f>
        <v>5.8125999999999699E-2</v>
      </c>
      <c r="ET31" s="160">
        <f>Monthly_kWh!DU31</f>
        <v>0</v>
      </c>
      <c r="EU31" s="160">
        <f>Monthly_kWh!DV31</f>
        <v>8.3975000000000594E-3</v>
      </c>
      <c r="EV31" s="160">
        <f>Monthly_kWh!DW31</f>
        <v>0</v>
      </c>
      <c r="EW31" s="160">
        <f>Monthly_kWh!DX31</f>
        <v>2.05199999999994E-2</v>
      </c>
      <c r="EX31" s="160">
        <f>Monthly_kWh!DY31</f>
        <v>8.89218749999998E-3</v>
      </c>
      <c r="EY31" s="160">
        <f>Monthly_kWh!DZ31</f>
        <v>5.2217999999999903E-2</v>
      </c>
      <c r="EZ31" s="160">
        <f>Monthly_kWh!EA31</f>
        <v>0</v>
      </c>
      <c r="FA31" s="160">
        <f>Monthly_kWh!EB31</f>
        <v>0.22488000000001299</v>
      </c>
      <c r="FB31" s="160">
        <f>Monthly_kWh!EC31</f>
        <v>0.137951999999984</v>
      </c>
      <c r="FC31" s="160">
        <f>Monthly_kWh!ED31</f>
        <v>2.1682499999999801E-3</v>
      </c>
      <c r="FD31" s="160">
        <f>Monthly_kWh!EE31</f>
        <v>0.17596899999999999</v>
      </c>
      <c r="FE31" s="160">
        <f>Monthly_kWh!EF31</f>
        <v>7.6446280000000097</v>
      </c>
      <c r="FF31" s="160">
        <f>Monthly_kWh!EG31</f>
        <v>0</v>
      </c>
      <c r="FG31" s="160">
        <f>Monthly_kWh!EH31</f>
        <v>0.46591999999998301</v>
      </c>
      <c r="FH31" s="160">
        <f>Monthly_kWh!EI31</f>
        <v>0.585791999999969</v>
      </c>
      <c r="FI31" s="160">
        <f>Monthly_kWh!EJ31</f>
        <v>2.64960000000087E-2</v>
      </c>
      <c r="FJ31" s="160">
        <f>Monthly_kWh!EK31</f>
        <v>0</v>
      </c>
      <c r="FK31" s="160">
        <f>Monthly_kWh!EL31</f>
        <v>0.83302400000002297</v>
      </c>
      <c r="FL31" s="160">
        <f>Monthly_kWh!EM31</f>
        <v>1.602304</v>
      </c>
      <c r="FM31" s="160">
        <f>Monthly_kWh!EN31</f>
        <v>1.50783999999976</v>
      </c>
      <c r="FN31" s="160">
        <f>Monthly_kWh!EO31</f>
        <v>0.20761600000003</v>
      </c>
      <c r="FO31" s="160">
        <f>Monthly_kWh!EP31</f>
        <v>0</v>
      </c>
      <c r="FP31" s="160">
        <f>Monthly_kWh!ER31</f>
        <v>2.4142979999999898</v>
      </c>
      <c r="FQ31" s="160">
        <f>Monthly_kWh!EQ31</f>
        <v>0</v>
      </c>
      <c r="FR31" s="160">
        <f>Monthly_kWh!M31</f>
        <v>0</v>
      </c>
      <c r="FS31" s="160">
        <f>Monthly_kWh!G31</f>
        <v>0</v>
      </c>
      <c r="FT31" s="160">
        <f>Monthly_kWh!C31</f>
        <v>0</v>
      </c>
      <c r="FU31" s="160">
        <f>Monthly_kWh!D31</f>
        <v>4.6681660000000402</v>
      </c>
      <c r="FV31" s="160">
        <f>Monthly_kWh!E31</f>
        <v>3.9464670000000401</v>
      </c>
      <c r="FW31" s="160">
        <f>Monthly_kWh!F31</f>
        <v>4.4468439999999401</v>
      </c>
      <c r="FX31" s="160">
        <f>Monthly_kWh!Q31</f>
        <v>0</v>
      </c>
      <c r="FY31" s="160">
        <f>Monthly_kWh!R31</f>
        <v>4.5690880000001899</v>
      </c>
      <c r="FZ31" s="160">
        <f>Monthly_kWh!S31</f>
        <v>3.8097920000000198</v>
      </c>
      <c r="GA31" s="160">
        <f>Monthly_kWh!T31</f>
        <v>4.3519999999989496</v>
      </c>
      <c r="GB31" s="160">
        <f t="shared" si="0"/>
        <v>16.811563000000277</v>
      </c>
      <c r="GC31" s="160">
        <f t="shared" si="1"/>
        <v>15.296596000000077</v>
      </c>
      <c r="GD31" s="160">
        <f t="shared" si="2"/>
        <v>1.5149670000001993</v>
      </c>
      <c r="GE31" s="159">
        <f t="shared" si="3"/>
        <v>9.0114583635095349E-2</v>
      </c>
    </row>
    <row r="32" spans="2:187" ht="32.25" customHeight="1" x14ac:dyDescent="0.25">
      <c r="B32" s="168">
        <v>26</v>
      </c>
      <c r="C32" s="160">
        <f>Monthly_kWh!H32</f>
        <v>0</v>
      </c>
      <c r="D32" s="160">
        <f>Monthly_kWh!I32</f>
        <v>0</v>
      </c>
      <c r="E32" s="160">
        <f>Monthly_kWh!J32</f>
        <v>0</v>
      </c>
      <c r="F32" s="160">
        <f>Monthly_kWh!K32</f>
        <v>0</v>
      </c>
      <c r="G32" s="160">
        <f>Monthly_kWh!L32</f>
        <v>0</v>
      </c>
      <c r="H32" s="160">
        <f>Monthly_kWh!U32</f>
        <v>0.352959999999996</v>
      </c>
      <c r="I32" s="160">
        <f>Monthly_kWh!P32</f>
        <v>0.24468600000000201</v>
      </c>
      <c r="J32" s="160">
        <f>Monthly_kWh!N32</f>
        <v>3.9415949999998898</v>
      </c>
      <c r="K32" s="160">
        <f>Monthly_kWh!O32</f>
        <v>4.0655559999998996</v>
      </c>
      <c r="L32" s="160">
        <f>Monthly_kWh!B32</f>
        <v>10.984624999999999</v>
      </c>
      <c r="M32" s="160">
        <f>Monthly_kWh!AR32</f>
        <v>3.5640320000000001</v>
      </c>
      <c r="N32" s="160">
        <f>Monthly_kWh!BM32</f>
        <v>0.78739199999995402</v>
      </c>
      <c r="O32" s="160">
        <f>Monthly_kWh!CM32</f>
        <v>3.7966080000001101</v>
      </c>
      <c r="P32" s="160">
        <f>Monthly_kWh!DI32</f>
        <v>0.85344000000009101</v>
      </c>
      <c r="Q32" s="160">
        <f>Monthly_kWh!EF32</f>
        <v>8.8735580000002301</v>
      </c>
      <c r="R32" s="119">
        <f>SUM('Zone wise Meter data'!O55:AF55)</f>
        <v>1.2464350312500054</v>
      </c>
      <c r="S32" s="115">
        <f>SUM('Zone wise Meter data'!AG55:AW55)</f>
        <v>1.9723379999999726</v>
      </c>
      <c r="T32" s="115">
        <f>SUM('Zone wise Meter data'!AX55:BA55)</f>
        <v>1.2927609999999432</v>
      </c>
      <c r="U32" s="115">
        <f>SUM('Zone wise Meter data'!BB55:BC55)</f>
        <v>0.9190080000000761</v>
      </c>
      <c r="V32" s="115">
        <f>SUM('Zone wise Meter data'!BD55:BL55)</f>
        <v>8.4396550000001227</v>
      </c>
      <c r="W32" s="115">
        <f>SUM('Zone wise Meter data'!BM55:BX55)</f>
        <v>0.74112225000000131</v>
      </c>
      <c r="X32" s="115">
        <f>SUM('Zone wise Meter data'!BY55:CE55)</f>
        <v>1.2224875000000031E-2</v>
      </c>
      <c r="Y32" s="115">
        <f>SUM('Zone wise Meter data'!CF55:CK55)</f>
        <v>0.17571674999999801</v>
      </c>
      <c r="Z32" s="115">
        <f>SUM('Zone wise Meter data'!CL55:CO55)</f>
        <v>0.42404800000002696</v>
      </c>
      <c r="AA32" s="115">
        <f>SUM('Zone wise Meter data'!CP55:DD55)</f>
        <v>0.19532424999998232</v>
      </c>
      <c r="AB32" s="115">
        <f>SUM('Zone wise Meter data'!DE55:DN55)</f>
        <v>0.17469041015625059</v>
      </c>
      <c r="AC32" s="115">
        <f>SUM('Zone wise Meter data'!DO55:ED55)</f>
        <v>0</v>
      </c>
      <c r="AD32" s="160">
        <f>Monthly_kWh!AW32</f>
        <v>0.85017600000003302</v>
      </c>
      <c r="AE32" s="160">
        <f>Monthly_kWh!DS32</f>
        <v>6.8832000000043095E-2</v>
      </c>
      <c r="AF32" s="160">
        <f>Monthly_kWh!EL32</f>
        <v>1.82015999999999</v>
      </c>
      <c r="AG32" s="160">
        <f>Monthly_kWh!EK32</f>
        <v>0</v>
      </c>
      <c r="AH32" s="160">
        <f>Monthly_kWh!EN32</f>
        <v>1.52985600000011</v>
      </c>
      <c r="AI32" s="160">
        <f>Monthly_kWh!EO32</f>
        <v>1.7600000000015801E-2</v>
      </c>
      <c r="AJ32" s="160">
        <f>Monthly_kWh!EM32</f>
        <v>1.81196799999998</v>
      </c>
      <c r="AK32" s="160">
        <f>Monthly_kWh!ER32</f>
        <v>2.4479570000000201</v>
      </c>
      <c r="AL32" s="160">
        <f>Monthly_kWh!EI32</f>
        <v>0.68435199999998997</v>
      </c>
      <c r="AM32" s="160">
        <f>Monthly_kWh!EJ32+Hourly_kWh!AS32</f>
        <v>5.1040000000000398E-2</v>
      </c>
      <c r="AN32" s="160">
        <f>Monthly_kWh!CX32+Hourly_kWh!CY32+Hourly_kWh!DC32+Hourly_kWh!DD32</f>
        <v>0</v>
      </c>
      <c r="AO32" s="160">
        <f>SUM(Hourly_kWh!AI32:AQ32)</f>
        <v>0</v>
      </c>
      <c r="AP32" s="160">
        <f>SUM(Hourly_kWh!V32:AG32)</f>
        <v>0</v>
      </c>
      <c r="AQ32" s="160">
        <f>Monthly_kWh!DB32</f>
        <v>9.2381999999998896E-2</v>
      </c>
      <c r="AR32" s="160">
        <f>Monthly_kWh!CO32</f>
        <v>0.452608000000012</v>
      </c>
      <c r="AS32" s="160">
        <f>Monthly_kWh!BJ32</f>
        <v>1.3920000000027201E-3</v>
      </c>
      <c r="AT32" s="160">
        <f>Monthly_kWh!U32</f>
        <v>0.352959999999996</v>
      </c>
      <c r="AU32" s="160">
        <f>Monthly_kWh!V32</f>
        <v>0.123458000000003</v>
      </c>
      <c r="AV32" s="160">
        <f>Monthly_kWh!W32</f>
        <v>6.9661000000000001E-2</v>
      </c>
      <c r="AW32" s="160">
        <f>Monthly_kWh!X32</f>
        <v>7.1218000000000004E-2</v>
      </c>
      <c r="AX32" s="160">
        <f>Monthly_kWh!Y32</f>
        <v>0</v>
      </c>
      <c r="AY32" s="160">
        <f>Monthly_kWh!Z32</f>
        <v>4.14909999999988E-2</v>
      </c>
      <c r="AZ32" s="160">
        <f>Monthly_kWh!AA32</f>
        <v>8.4610000000001406E-2</v>
      </c>
      <c r="BA32" s="160">
        <f>Monthly_kWh!AB32</f>
        <v>0.16044600000000001</v>
      </c>
      <c r="BB32" s="160">
        <f>Monthly_kWh!AC32</f>
        <v>0.113427999999999</v>
      </c>
      <c r="BC32" s="160">
        <f>Monthly_kWh!AD32</f>
        <v>4.9974999999999901E-2</v>
      </c>
      <c r="BD32" s="160">
        <f>Monthly_kWh!AE32</f>
        <v>9.7221499999999905E-2</v>
      </c>
      <c r="BE32" s="160">
        <f>Monthly_kWh!AF32</f>
        <v>0</v>
      </c>
      <c r="BF32" s="160">
        <f>Monthly_kWh!AG32</f>
        <v>1.3999999999999299E-2</v>
      </c>
      <c r="BG32" s="160">
        <f>Monthly_kWh!AH32</f>
        <v>1.44563200000005</v>
      </c>
      <c r="BH32" s="160">
        <f>Monthly_kWh!AI32</f>
        <v>0</v>
      </c>
      <c r="BI32" s="160">
        <f>Monthly_kWh!AJ32</f>
        <v>2.6339000000000098E-2</v>
      </c>
      <c r="BJ32" s="160">
        <f>Monthly_kWh!AK32</f>
        <v>0</v>
      </c>
      <c r="BK32" s="160">
        <f>Monthly_kWh!AL32</f>
        <v>0.260815999999991</v>
      </c>
      <c r="BL32" s="160">
        <f>Monthly_kWh!AM32</f>
        <v>0.30524799999999203</v>
      </c>
      <c r="BM32" s="160">
        <f>Monthly_kWh!AN32</f>
        <v>0.26461599999999003</v>
      </c>
      <c r="BN32" s="160">
        <f>Monthly_kWh!AO32</f>
        <v>0.15703599999999801</v>
      </c>
      <c r="BO32" s="160">
        <f>Monthly_kWh!AP32</f>
        <v>7.3852000000002194E-2</v>
      </c>
      <c r="BP32" s="160">
        <f>Monthly_kWh!AQ32</f>
        <v>0.228572</v>
      </c>
      <c r="BQ32" s="160">
        <f>Monthly_kWh!AR32</f>
        <v>3.5640320000000001</v>
      </c>
      <c r="BR32" s="160">
        <f>Monthly_kWh!AS32</f>
        <v>5.2216999999999701E-2</v>
      </c>
      <c r="BS32" s="160">
        <f>Monthly_kWh!AT32</f>
        <v>0</v>
      </c>
      <c r="BT32" s="160">
        <f>Monthly_kWh!AU32</f>
        <v>5.2939999999999501E-2</v>
      </c>
      <c r="BU32" s="160">
        <f>Monthly_kWh!AV32</f>
        <v>1.6747500000000099E-2</v>
      </c>
      <c r="BV32" s="160">
        <f>Monthly_kWh!AW32</f>
        <v>0.85017600000003302</v>
      </c>
      <c r="BW32" s="160">
        <f>Monthly_kWh!AX32</f>
        <v>0</v>
      </c>
      <c r="BX32" s="160">
        <f>Monthly_kWh!AY32</f>
        <v>0.10040399999999999</v>
      </c>
      <c r="BY32" s="160">
        <f>Monthly_kWh!AZ32</f>
        <v>6.49999999957629E-6</v>
      </c>
      <c r="BZ32" s="160">
        <f>Monthly_kWh!BA32</f>
        <v>0</v>
      </c>
      <c r="CA32" s="160">
        <f>Monthly_kWh!BB32</f>
        <v>0</v>
      </c>
      <c r="CB32" s="160">
        <f>Monthly_kWh!BC32</f>
        <v>0</v>
      </c>
      <c r="CC32" s="160">
        <f>Monthly_kWh!BD32</f>
        <v>3.18669140625E-3</v>
      </c>
      <c r="CD32" s="160">
        <f>Monthly_kWh!BE32</f>
        <v>0.107198</v>
      </c>
      <c r="CE32" s="160">
        <f>Monthly_kWh!BF32</f>
        <v>0</v>
      </c>
      <c r="CF32" s="160">
        <f>Monthly_kWh!BG32</f>
        <v>2.0154000000001601E-2</v>
      </c>
      <c r="CG32" s="160">
        <f>Monthly_kWh!BH32</f>
        <v>1.7839999999999599E-2</v>
      </c>
      <c r="CH32" s="160">
        <f>Monthly_kWh!BI32</f>
        <v>1.9889599999999601</v>
      </c>
      <c r="CI32" s="160">
        <f>Monthly_kWh!BJ32</f>
        <v>1.3920000000027201E-3</v>
      </c>
      <c r="CJ32" s="160">
        <f>Monthly_kWh!BK32</f>
        <v>0.144176</v>
      </c>
      <c r="CK32" s="160">
        <f>Monthly_kWh!BL32</f>
        <v>3.0000000002416999E-5</v>
      </c>
      <c r="CL32" s="160">
        <f>Monthly_kWh!BM32</f>
        <v>0.78739199999995402</v>
      </c>
      <c r="CM32" s="160">
        <f>Monthly_kWh!BN32</f>
        <v>0</v>
      </c>
      <c r="CN32" s="160">
        <f>Monthly_kWh!BO32</f>
        <v>0.62342200000000003</v>
      </c>
      <c r="CO32" s="160">
        <f>Monthly_kWh!BP32</f>
        <v>0</v>
      </c>
      <c r="CP32" s="160">
        <f>Monthly_kWh!BQ32</f>
        <v>0</v>
      </c>
      <c r="CQ32" s="160">
        <f>Monthly_kWh!BR32</f>
        <v>0</v>
      </c>
      <c r="CR32" s="160">
        <f>Monthly_kWh!BS32</f>
        <v>0</v>
      </c>
      <c r="CS32" s="160">
        <f>Monthly_kWh!BT32</f>
        <v>1.3608000000004899E-2</v>
      </c>
      <c r="CT32" s="160">
        <f>Monthly_kWh!BU32</f>
        <v>0</v>
      </c>
      <c r="CU32" s="160">
        <f>Monthly_kWh!BV32</f>
        <v>0</v>
      </c>
      <c r="CV32" s="160">
        <f>Monthly_kWh!BW32</f>
        <v>0</v>
      </c>
      <c r="CW32" s="160">
        <f>Monthly_kWh!BX32</f>
        <v>0</v>
      </c>
      <c r="CX32" s="160">
        <f>Monthly_kWh!BY32</f>
        <v>0</v>
      </c>
      <c r="CY32" s="160">
        <f>Monthly_kWh!BZ32</f>
        <v>0.10400799999999299</v>
      </c>
      <c r="CZ32" s="160">
        <f>Monthly_kWh!CA32</f>
        <v>2.9932499999999998E-3</v>
      </c>
      <c r="DA32" s="160">
        <f>Monthly_kWh!CB32</f>
        <v>0</v>
      </c>
      <c r="DB32" s="160">
        <f>Monthly_kWh!CC32</f>
        <v>0</v>
      </c>
      <c r="DC32" s="160">
        <f>Monthly_kWh!CD32</f>
        <v>0</v>
      </c>
      <c r="DD32" s="160">
        <f>Monthly_kWh!CE32</f>
        <v>0</v>
      </c>
      <c r="DE32" s="160">
        <f>Monthly_kWh!CF32</f>
        <v>1.5772000000000098E-2</v>
      </c>
      <c r="DF32" s="160">
        <f>Monthly_kWh!CG32</f>
        <v>0</v>
      </c>
      <c r="DG32" s="160">
        <f>Monthly_kWh!CH32</f>
        <v>3.1922500000001199E-3</v>
      </c>
      <c r="DH32" s="160">
        <f>Monthly_kWh!CI32</f>
        <v>0</v>
      </c>
      <c r="DI32" s="160">
        <f>Monthly_kWh!CJ32</f>
        <v>0</v>
      </c>
      <c r="DJ32" s="160">
        <f>Monthly_kWh!CK32</f>
        <v>0</v>
      </c>
      <c r="DK32" s="160">
        <f>Monthly_kWh!CL32</f>
        <v>6.1485999999998597E-2</v>
      </c>
      <c r="DL32" s="160">
        <f>Monthly_kWh!CM32</f>
        <v>3.7966080000001101</v>
      </c>
      <c r="DM32" s="160">
        <f>Monthly_kWh!CN32</f>
        <v>4.5460000000000299E-2</v>
      </c>
      <c r="DN32" s="160">
        <f>Monthly_kWh!CO32</f>
        <v>0.452608000000012</v>
      </c>
      <c r="DO32" s="160">
        <f>Monthly_kWh!CP32</f>
        <v>0</v>
      </c>
      <c r="DP32" s="160">
        <f>Monthly_kWh!CQ32</f>
        <v>0</v>
      </c>
      <c r="DQ32" s="160">
        <f>Monthly_kWh!CR32</f>
        <v>0.18001600000000001</v>
      </c>
      <c r="DR32" s="160">
        <f>Monthly_kWh!CS32</f>
        <v>0</v>
      </c>
      <c r="DS32" s="160">
        <f>Monthly_kWh!CT32</f>
        <v>1.54399999999555E-3</v>
      </c>
      <c r="DT32" s="160">
        <f>Monthly_kWh!CU32</f>
        <v>0</v>
      </c>
      <c r="DU32" s="160">
        <f>Monthly_kWh!CV32</f>
        <v>9.0326249999999105E-3</v>
      </c>
      <c r="DV32" s="160">
        <f>Monthly_kWh!CW32</f>
        <v>7.1632000000001E-2</v>
      </c>
      <c r="DW32" s="160">
        <f>Monthly_kWh!CX32</f>
        <v>0</v>
      </c>
      <c r="DX32" s="160">
        <f>Monthly_kWh!CY32</f>
        <v>1.21470000000001E-2</v>
      </c>
      <c r="DY32" s="160">
        <f>Monthly_kWh!CZ32</f>
        <v>2.6470250000000001E-2</v>
      </c>
      <c r="DZ32" s="160">
        <f>Monthly_kWh!DA32</f>
        <v>0.26712399999999498</v>
      </c>
      <c r="EA32" s="160">
        <f>Monthly_kWh!DB32</f>
        <v>9.2381999999998896E-2</v>
      </c>
      <c r="EB32" s="160">
        <f>Monthly_kWh!DC32</f>
        <v>0.20243165625000001</v>
      </c>
      <c r="EC32" s="160">
        <f>Monthly_kWh!DD32</f>
        <v>3.0959875000000001E-2</v>
      </c>
      <c r="ED32" s="160">
        <f>Monthly_kWh!DE32</f>
        <v>0</v>
      </c>
      <c r="EE32" s="160">
        <f>Monthly_kWh!DF32</f>
        <v>0</v>
      </c>
      <c r="EF32" s="160">
        <f>Monthly_kWh!DG32</f>
        <v>1.9598000000000199E-2</v>
      </c>
      <c r="EG32" s="160">
        <f>Monthly_kWh!DH32</f>
        <v>2.2596999999999302E-2</v>
      </c>
      <c r="EH32" s="160">
        <f>Monthly_kWh!DI32</f>
        <v>0.85344000000009101</v>
      </c>
      <c r="EI32" s="160">
        <f>Monthly_kWh!DJ32</f>
        <v>0</v>
      </c>
      <c r="EJ32" s="160">
        <f>Monthly_kWh!DK32</f>
        <v>4.7874000000000201E-2</v>
      </c>
      <c r="EK32" s="160">
        <f>Monthly_kWh!DL32</f>
        <v>1.594171875E-2</v>
      </c>
      <c r="EL32" s="160">
        <f>Monthly_kWh!DM32</f>
        <v>0</v>
      </c>
      <c r="EM32" s="160">
        <f>Monthly_kWh!DN32</f>
        <v>8.6812500000088596E-5</v>
      </c>
      <c r="EN32" s="160">
        <f>Monthly_kWh!DO32</f>
        <v>3.3359999999987601E-2</v>
      </c>
      <c r="EO32" s="160">
        <f>Monthly_kWh!DP32</f>
        <v>2.4722999999999801E-2</v>
      </c>
      <c r="EP32" s="160">
        <f>Monthly_kWh!DQ32</f>
        <v>0</v>
      </c>
      <c r="EQ32" s="160">
        <f>Monthly_kWh!DR32</f>
        <v>0</v>
      </c>
      <c r="ER32" s="160">
        <f>Monthly_kWh!DS32</f>
        <v>6.8832000000043095E-2</v>
      </c>
      <c r="ES32" s="160">
        <f>Monthly_kWh!DT32</f>
        <v>3.9335500000000002E-2</v>
      </c>
      <c r="ET32" s="160">
        <f>Monthly_kWh!DU32</f>
        <v>0</v>
      </c>
      <c r="EU32" s="160">
        <f>Monthly_kWh!DV32</f>
        <v>7.0217499999998302E-3</v>
      </c>
      <c r="EV32" s="160">
        <f>Monthly_kWh!DW32</f>
        <v>0</v>
      </c>
      <c r="EW32" s="160">
        <f>Monthly_kWh!DX32</f>
        <v>8.9964000000000197E-2</v>
      </c>
      <c r="EX32" s="160">
        <f>Monthly_kWh!DY32</f>
        <v>7.7534375000000199E-3</v>
      </c>
      <c r="EY32" s="160">
        <f>Monthly_kWh!DZ32</f>
        <v>2.8715999999999301E-2</v>
      </c>
      <c r="EZ32" s="160">
        <f>Monthly_kWh!EA32</f>
        <v>0</v>
      </c>
      <c r="FA32" s="160">
        <f>Monthly_kWh!EB32</f>
        <v>0.32086399999999998</v>
      </c>
      <c r="FB32" s="160">
        <f>Monthly_kWh!EC32</f>
        <v>0.103184000000027</v>
      </c>
      <c r="FC32" s="160">
        <f>Monthly_kWh!ED32</f>
        <v>2.1552499999999402E-3</v>
      </c>
      <c r="FD32" s="160">
        <f>Monthly_kWh!EE32</f>
        <v>0.168488</v>
      </c>
      <c r="FE32" s="160">
        <f>Monthly_kWh!EF32</f>
        <v>8.8735580000002301</v>
      </c>
      <c r="FF32" s="160">
        <f>Monthly_kWh!EG32</f>
        <v>0</v>
      </c>
      <c r="FG32" s="160">
        <f>Monthly_kWh!EH32</f>
        <v>0.50515199999995297</v>
      </c>
      <c r="FH32" s="160">
        <f>Monthly_kWh!EI32</f>
        <v>0.68435199999998997</v>
      </c>
      <c r="FI32" s="160">
        <f>Monthly_kWh!EJ32</f>
        <v>5.1040000000000398E-2</v>
      </c>
      <c r="FJ32" s="160">
        <f>Monthly_kWh!EK32</f>
        <v>0</v>
      </c>
      <c r="FK32" s="160">
        <f>Monthly_kWh!EL32</f>
        <v>1.82015999999999</v>
      </c>
      <c r="FL32" s="160">
        <f>Monthly_kWh!EM32</f>
        <v>1.81196799999998</v>
      </c>
      <c r="FM32" s="160">
        <f>Monthly_kWh!EN32</f>
        <v>1.52985600000011</v>
      </c>
      <c r="FN32" s="160">
        <f>Monthly_kWh!EO32</f>
        <v>1.7600000000015801E-2</v>
      </c>
      <c r="FO32" s="160">
        <f>Monthly_kWh!EP32</f>
        <v>0</v>
      </c>
      <c r="FP32" s="160">
        <f>Monthly_kWh!ER32</f>
        <v>2.4479570000000201</v>
      </c>
      <c r="FQ32" s="160">
        <f>Monthly_kWh!EQ32</f>
        <v>0</v>
      </c>
      <c r="FR32" s="160">
        <f>Monthly_kWh!M32</f>
        <v>0</v>
      </c>
      <c r="FS32" s="160">
        <f>Monthly_kWh!G32</f>
        <v>0</v>
      </c>
      <c r="FT32" s="160">
        <f>Monthly_kWh!C32</f>
        <v>0</v>
      </c>
      <c r="FU32" s="160">
        <f>Monthly_kWh!D32</f>
        <v>3.9192709999999802</v>
      </c>
      <c r="FV32" s="160">
        <f>Monthly_kWh!E32</f>
        <v>3.32427899999999</v>
      </c>
      <c r="FW32" s="160">
        <f>Monthly_kWh!F32</f>
        <v>3.7448670000000601</v>
      </c>
      <c r="FX32" s="160">
        <f>Monthly_kWh!Q32</f>
        <v>0</v>
      </c>
      <c r="FY32" s="160">
        <f>Monthly_kWh!R32</f>
        <v>3.81337599999824</v>
      </c>
      <c r="FZ32" s="160">
        <f>Monthly_kWh!S32</f>
        <v>3.2107519999999599</v>
      </c>
      <c r="GA32" s="160">
        <f>Monthly_kWh!T32</f>
        <v>3.6331519999985198</v>
      </c>
      <c r="GB32" s="160">
        <f t="shared" si="0"/>
        <v>19.589421999999786</v>
      </c>
      <c r="GC32" s="160">
        <f t="shared" si="1"/>
        <v>17.875030000000386</v>
      </c>
      <c r="GD32" s="160">
        <f t="shared" si="2"/>
        <v>1.7143919999993997</v>
      </c>
      <c r="GE32" s="159">
        <f t="shared" si="3"/>
        <v>8.7516211555369955E-2</v>
      </c>
    </row>
    <row r="33" spans="2:187" ht="32.25" customHeight="1" x14ac:dyDescent="0.25">
      <c r="B33" s="168">
        <v>27</v>
      </c>
      <c r="C33" s="160">
        <f>Monthly_kWh!H33</f>
        <v>0</v>
      </c>
      <c r="D33" s="160">
        <f>Monthly_kWh!I33</f>
        <v>0</v>
      </c>
      <c r="E33" s="160">
        <f>Monthly_kWh!J33</f>
        <v>0</v>
      </c>
      <c r="F33" s="160">
        <f>Monthly_kWh!K33</f>
        <v>0</v>
      </c>
      <c r="G33" s="160">
        <f>Monthly_kWh!L33</f>
        <v>0</v>
      </c>
      <c r="H33" s="160">
        <f>Monthly_kWh!U33</f>
        <v>0.34150399999999997</v>
      </c>
      <c r="I33" s="160">
        <f>Monthly_kWh!P33</f>
        <v>0.238208</v>
      </c>
      <c r="J33" s="160">
        <f>Monthly_kWh!N33</f>
        <v>3.7130030000000702</v>
      </c>
      <c r="K33" s="160">
        <f>Monthly_kWh!O33</f>
        <v>3.7839760000000502</v>
      </c>
      <c r="L33" s="160">
        <f>Monthly_kWh!B33</f>
        <v>10.198</v>
      </c>
      <c r="M33" s="160">
        <f>Monthly_kWh!AR33</f>
        <v>3.0344319999999199</v>
      </c>
      <c r="N33" s="160">
        <f>Monthly_kWh!BM33</f>
        <v>0.75465600000001098</v>
      </c>
      <c r="O33" s="160">
        <f>Monthly_kWh!CM33</f>
        <v>3.2568320000000299</v>
      </c>
      <c r="P33" s="160">
        <f>Monthly_kWh!DI33</f>
        <v>1.05126399999995</v>
      </c>
      <c r="Q33" s="160">
        <f>Monthly_kWh!EF33</f>
        <v>8.5326799999993508</v>
      </c>
      <c r="R33" s="119">
        <f>SUM('Zone wise Meter data'!O56:AF56)</f>
        <v>1.1419800625000041</v>
      </c>
      <c r="S33" s="115">
        <f>SUM('Zone wise Meter data'!AG56:AW56)</f>
        <v>1.8396115000000099</v>
      </c>
      <c r="T33" s="115">
        <f>SUM('Zone wise Meter data'!AX56:BA56)</f>
        <v>1.2352455000000904</v>
      </c>
      <c r="U33" s="115">
        <f>SUM('Zone wise Meter data'!BB56:BC56)</f>
        <v>0.81740800000000102</v>
      </c>
      <c r="V33" s="115">
        <f>SUM('Zone wise Meter data'!BD56:BL56)</f>
        <v>8.1492800000001289</v>
      </c>
      <c r="W33" s="115">
        <f>SUM('Zone wise Meter data'!BM56:BX56)</f>
        <v>0.63671574999999825</v>
      </c>
      <c r="X33" s="115">
        <f>SUM('Zone wise Meter data'!BY56:CE56)</f>
        <v>2.4170624999999741E-2</v>
      </c>
      <c r="Y33" s="115">
        <f>SUM('Zone wise Meter data'!CF56:CK56)</f>
        <v>0.19537396874999757</v>
      </c>
      <c r="Z33" s="115">
        <f>SUM('Zone wise Meter data'!CL56:CO56)</f>
        <v>0.38609599999998112</v>
      </c>
      <c r="AA33" s="115">
        <f>SUM('Zone wise Meter data'!CP56:DD56)</f>
        <v>0.16041225000000661</v>
      </c>
      <c r="AB33" s="115">
        <f>SUM('Zone wise Meter data'!DE56:DN56)</f>
        <v>0.15346105468749813</v>
      </c>
      <c r="AC33" s="115">
        <f>SUM('Zone wise Meter data'!DO56:ED56)</f>
        <v>0</v>
      </c>
      <c r="AD33" s="160">
        <f>Monthly_kWh!AW33</f>
        <v>0.42047999999999802</v>
      </c>
      <c r="AE33" s="160">
        <f>Monthly_kWh!DS33</f>
        <v>0.396928000000003</v>
      </c>
      <c r="AF33" s="160">
        <f>Monthly_kWh!EL33</f>
        <v>1.52742400000011</v>
      </c>
      <c r="AG33" s="160">
        <f>Monthly_kWh!EK33</f>
        <v>0</v>
      </c>
      <c r="AH33" s="160">
        <f>Monthly_kWh!EN33</f>
        <v>0.98918400000002304</v>
      </c>
      <c r="AI33" s="160">
        <f>Monthly_kWh!EO33</f>
        <v>1.8176000000039501E-2</v>
      </c>
      <c r="AJ33" s="160">
        <f>Monthly_kWh!EM33</f>
        <v>2.3308799999999801</v>
      </c>
      <c r="AK33" s="160">
        <f>Monthly_kWh!ER33</f>
        <v>2.4627349999999799</v>
      </c>
      <c r="AL33" s="160">
        <f>Monthly_kWh!EI33</f>
        <v>0.70278400000006502</v>
      </c>
      <c r="AM33" s="160">
        <f>Monthly_kWh!EJ33+Hourly_kWh!AS33</f>
        <v>4.0863999999999102E-2</v>
      </c>
      <c r="AN33" s="160">
        <f>Monthly_kWh!CX33+Hourly_kWh!CY33+Hourly_kWh!DC33+Hourly_kWh!DD33</f>
        <v>0</v>
      </c>
      <c r="AO33" s="160">
        <f>SUM(Hourly_kWh!AI33:AQ33)</f>
        <v>0</v>
      </c>
      <c r="AP33" s="160">
        <f>SUM(Hourly_kWh!V33:AG33)</f>
        <v>0</v>
      </c>
      <c r="AQ33" s="160">
        <f>Monthly_kWh!DB33</f>
        <v>9.2285000000000394E-2</v>
      </c>
      <c r="AR33" s="160">
        <f>Monthly_kWh!CO33</f>
        <v>0.54161599999999099</v>
      </c>
      <c r="AS33" s="160">
        <f>Monthly_kWh!BJ33</f>
        <v>4.8199999999809501E-4</v>
      </c>
      <c r="AT33" s="160">
        <f>Monthly_kWh!U33</f>
        <v>0.34150399999999997</v>
      </c>
      <c r="AU33" s="160">
        <f>Monthly_kWh!V33</f>
        <v>0.124848</v>
      </c>
      <c r="AV33" s="160">
        <f>Monthly_kWh!W33</f>
        <v>6.10199999999992E-2</v>
      </c>
      <c r="AW33" s="160">
        <f>Monthly_kWh!X33</f>
        <v>6.9279000000001603E-2</v>
      </c>
      <c r="AX33" s="160">
        <f>Monthly_kWh!Y33</f>
        <v>0</v>
      </c>
      <c r="AY33" s="160">
        <f>Monthly_kWh!Z33</f>
        <v>4.6765999999999898E-2</v>
      </c>
      <c r="AZ33" s="160">
        <f>Monthly_kWh!AA33</f>
        <v>8.4527999999998799E-2</v>
      </c>
      <c r="BA33" s="160">
        <f>Monthly_kWh!AB33</f>
        <v>0.16362000000000201</v>
      </c>
      <c r="BB33" s="160">
        <f>Monthly_kWh!AC33</f>
        <v>0.11712599999999899</v>
      </c>
      <c r="BC33" s="160">
        <f>Monthly_kWh!AD33</f>
        <v>4.9555000000001598E-2</v>
      </c>
      <c r="BD33" s="160">
        <f>Monthly_kWh!AE33</f>
        <v>0.106563</v>
      </c>
      <c r="BE33" s="160">
        <f>Monthly_kWh!AF33</f>
        <v>0</v>
      </c>
      <c r="BF33" s="160">
        <f>Monthly_kWh!AG33</f>
        <v>1.1153500000000699E-2</v>
      </c>
      <c r="BG33" s="160">
        <f>Monthly_kWh!AH33</f>
        <v>1.441824</v>
      </c>
      <c r="BH33" s="160">
        <f>Monthly_kWh!AI33</f>
        <v>0</v>
      </c>
      <c r="BI33" s="160">
        <f>Monthly_kWh!AJ33</f>
        <v>2.53164999999997E-2</v>
      </c>
      <c r="BJ33" s="160">
        <f>Monthly_kWh!AK33</f>
        <v>0</v>
      </c>
      <c r="BK33" s="160">
        <f>Monthly_kWh!AL33</f>
        <v>0.27491199999999999</v>
      </c>
      <c r="BL33" s="160">
        <f>Monthly_kWh!AM33</f>
        <v>0.32178400000000801</v>
      </c>
      <c r="BM33" s="160">
        <f>Monthly_kWh!AN33</f>
        <v>0.24484800000000501</v>
      </c>
      <c r="BN33" s="160">
        <f>Monthly_kWh!AO33</f>
        <v>0.15088399999999799</v>
      </c>
      <c r="BO33" s="160">
        <f>Monthly_kWh!AP33</f>
        <v>7.0927999999998506E-2</v>
      </c>
      <c r="BP33" s="160">
        <f>Monthly_kWh!AQ33</f>
        <v>0.216256000000001</v>
      </c>
      <c r="BQ33" s="160">
        <f>Monthly_kWh!AR33</f>
        <v>3.0344319999999199</v>
      </c>
      <c r="BR33" s="160">
        <f>Monthly_kWh!AS33</f>
        <v>5.3837500000000198E-2</v>
      </c>
      <c r="BS33" s="160">
        <f>Monthly_kWh!AT33</f>
        <v>0</v>
      </c>
      <c r="BT33" s="160">
        <f>Monthly_kWh!AU33</f>
        <v>5.1220000000000702E-2</v>
      </c>
      <c r="BU33" s="160">
        <f>Monthly_kWh!AV33</f>
        <v>3.0702500000000299E-2</v>
      </c>
      <c r="BV33" s="160">
        <f>Monthly_kWh!AW33</f>
        <v>0.42047999999999802</v>
      </c>
      <c r="BW33" s="160">
        <f>Monthly_kWh!AX33</f>
        <v>0</v>
      </c>
      <c r="BX33" s="160">
        <f>Monthly_kWh!AY33</f>
        <v>7.69339999999996E-2</v>
      </c>
      <c r="BY33" s="160">
        <f>Monthly_kWh!AZ33</f>
        <v>8.0000000002300504E-6</v>
      </c>
      <c r="BZ33" s="160">
        <f>Monthly_kWh!BA33</f>
        <v>0</v>
      </c>
      <c r="CA33" s="160">
        <f>Monthly_kWh!BB33</f>
        <v>0</v>
      </c>
      <c r="CB33" s="160">
        <f>Monthly_kWh!BC33</f>
        <v>0</v>
      </c>
      <c r="CC33" s="160">
        <f>Monthly_kWh!BD33</f>
        <v>4.7611171875000004E-3</v>
      </c>
      <c r="CD33" s="160">
        <f>Monthly_kWh!BE33</f>
        <v>0.10624600000000201</v>
      </c>
      <c r="CE33" s="160">
        <f>Monthly_kWh!BF33</f>
        <v>0</v>
      </c>
      <c r="CF33" s="160">
        <f>Monthly_kWh!BG33</f>
        <v>1.25669999999989E-2</v>
      </c>
      <c r="CG33" s="160">
        <f>Monthly_kWh!BH33</f>
        <v>1.1941999999997699E-2</v>
      </c>
      <c r="CH33" s="160">
        <f>Monthly_kWh!BI33</f>
        <v>1.9937280000000299</v>
      </c>
      <c r="CI33" s="160">
        <f>Monthly_kWh!BJ33</f>
        <v>4.8199999999809501E-4</v>
      </c>
      <c r="CJ33" s="160">
        <f>Monthly_kWh!BK33</f>
        <v>5.4815000000000502E-2</v>
      </c>
      <c r="CK33" s="160">
        <f>Monthly_kWh!BL33</f>
        <v>1.9999999985031999E-6</v>
      </c>
      <c r="CL33" s="160">
        <f>Monthly_kWh!BM33</f>
        <v>0.75465600000001098</v>
      </c>
      <c r="CM33" s="160">
        <f>Monthly_kWh!BN33</f>
        <v>0</v>
      </c>
      <c r="CN33" s="160">
        <f>Monthly_kWh!BO33</f>
        <v>0.53675799999999896</v>
      </c>
      <c r="CO33" s="160">
        <f>Monthly_kWh!BP33</f>
        <v>0</v>
      </c>
      <c r="CP33" s="160">
        <f>Monthly_kWh!BQ33</f>
        <v>0</v>
      </c>
      <c r="CQ33" s="160">
        <f>Monthly_kWh!BR33</f>
        <v>0</v>
      </c>
      <c r="CR33" s="160">
        <f>Monthly_kWh!BS33</f>
        <v>0</v>
      </c>
      <c r="CS33" s="160">
        <f>Monthly_kWh!BT33</f>
        <v>2.9727999999998599E-2</v>
      </c>
      <c r="CT33" s="160">
        <f>Monthly_kWh!BU33</f>
        <v>0</v>
      </c>
      <c r="CU33" s="160">
        <f>Monthly_kWh!BV33</f>
        <v>0</v>
      </c>
      <c r="CV33" s="160">
        <f>Monthly_kWh!BW33</f>
        <v>0</v>
      </c>
      <c r="CW33" s="160">
        <f>Monthly_kWh!BX33</f>
        <v>0</v>
      </c>
      <c r="CX33" s="160">
        <f>Monthly_kWh!BY33</f>
        <v>0</v>
      </c>
      <c r="CY33" s="160">
        <f>Monthly_kWh!BZ33</f>
        <v>0.110647999999998</v>
      </c>
      <c r="CZ33" s="160">
        <f>Monthly_kWh!CA33</f>
        <v>1.7621968750000001E-2</v>
      </c>
      <c r="DA33" s="160">
        <f>Monthly_kWh!CB33</f>
        <v>0</v>
      </c>
      <c r="DB33" s="160">
        <f>Monthly_kWh!CC33</f>
        <v>0</v>
      </c>
      <c r="DC33" s="160">
        <f>Monthly_kWh!CD33</f>
        <v>0</v>
      </c>
      <c r="DD33" s="160">
        <f>Monthly_kWh!CE33</f>
        <v>0</v>
      </c>
      <c r="DE33" s="160">
        <f>Monthly_kWh!CF33</f>
        <v>2.14630000000007E-2</v>
      </c>
      <c r="DF33" s="160">
        <f>Monthly_kWh!CG33</f>
        <v>0</v>
      </c>
      <c r="DG33" s="160">
        <f>Monthly_kWh!CH33</f>
        <v>1.7872499999999701E-2</v>
      </c>
      <c r="DH33" s="160">
        <f>Monthly_kWh!CI33</f>
        <v>0</v>
      </c>
      <c r="DI33" s="160">
        <f>Monthly_kWh!CJ33</f>
        <v>0</v>
      </c>
      <c r="DJ33" s="160">
        <f>Monthly_kWh!CK33</f>
        <v>0</v>
      </c>
      <c r="DK33" s="160">
        <f>Monthly_kWh!CL33</f>
        <v>6.0570000000001997E-2</v>
      </c>
      <c r="DL33" s="160">
        <f>Monthly_kWh!CM33</f>
        <v>3.2568320000000299</v>
      </c>
      <c r="DM33" s="160">
        <f>Monthly_kWh!CN33</f>
        <v>3.6225999999999203E-2</v>
      </c>
      <c r="DN33" s="160">
        <f>Monthly_kWh!CO33</f>
        <v>0.54161599999999099</v>
      </c>
      <c r="DO33" s="160">
        <f>Monthly_kWh!CP33</f>
        <v>0</v>
      </c>
      <c r="DP33" s="160">
        <f>Monthly_kWh!CQ33</f>
        <v>0</v>
      </c>
      <c r="DQ33" s="160">
        <f>Monthly_kWh!CR33</f>
        <v>7.0183000000000106E-2</v>
      </c>
      <c r="DR33" s="160">
        <f>Monthly_kWh!CS33</f>
        <v>0</v>
      </c>
      <c r="DS33" s="160">
        <f>Monthly_kWh!CT33</f>
        <v>1.4719999999925899E-3</v>
      </c>
      <c r="DT33" s="160">
        <f>Monthly_kWh!CU33</f>
        <v>0</v>
      </c>
      <c r="DU33" s="160">
        <f>Monthly_kWh!CV33</f>
        <v>6.2981250000000398E-3</v>
      </c>
      <c r="DV33" s="160">
        <f>Monthly_kWh!CW33</f>
        <v>6.6620000000000304E-2</v>
      </c>
      <c r="DW33" s="160">
        <f>Monthly_kWh!CX33</f>
        <v>0</v>
      </c>
      <c r="DX33" s="160">
        <f>Monthly_kWh!CY33</f>
        <v>1.01139999999997E-2</v>
      </c>
      <c r="DY33" s="160">
        <f>Monthly_kWh!CZ33</f>
        <v>2.1594749999999802E-2</v>
      </c>
      <c r="DZ33" s="160">
        <f>Monthly_kWh!DA33</f>
        <v>0.186980000000005</v>
      </c>
      <c r="EA33" s="160">
        <f>Monthly_kWh!DB33</f>
        <v>9.2285000000000394E-2</v>
      </c>
      <c r="EB33" s="160">
        <f>Monthly_kWh!DC33</f>
        <v>0.20915881250000001</v>
      </c>
      <c r="EC33" s="160">
        <f>Monthly_kWh!DD33</f>
        <v>3.2119250000000002E-2</v>
      </c>
      <c r="ED33" s="160">
        <f>Monthly_kWh!DE33</f>
        <v>0</v>
      </c>
      <c r="EE33" s="160">
        <f>Monthly_kWh!DF33</f>
        <v>0</v>
      </c>
      <c r="EF33" s="160">
        <f>Monthly_kWh!DG33</f>
        <v>1.17429999999992E-2</v>
      </c>
      <c r="EG33" s="160">
        <f>Monthly_kWh!DH33</f>
        <v>1.5701000000000898E-2</v>
      </c>
      <c r="EH33" s="160">
        <f>Monthly_kWh!DI33</f>
        <v>1.05126399999995</v>
      </c>
      <c r="EI33" s="160">
        <f>Monthly_kWh!DJ33</f>
        <v>0</v>
      </c>
      <c r="EJ33" s="160">
        <f>Monthly_kWh!DK33</f>
        <v>3.0528000000000301E-2</v>
      </c>
      <c r="EK33" s="160">
        <f>Monthly_kWh!DL33</f>
        <v>1.17324375E-2</v>
      </c>
      <c r="EL33" s="160">
        <f>Monthly_kWh!DM33</f>
        <v>0</v>
      </c>
      <c r="EM33" s="160">
        <f>Monthly_kWh!DN33</f>
        <v>2.6249999999994301E-4</v>
      </c>
      <c r="EN33" s="160">
        <f>Monthly_kWh!DO33</f>
        <v>2.9456000000010401E-2</v>
      </c>
      <c r="EO33" s="160">
        <f>Monthly_kWh!DP33</f>
        <v>2.5892499999999399E-2</v>
      </c>
      <c r="EP33" s="160">
        <f>Monthly_kWh!DQ33</f>
        <v>0</v>
      </c>
      <c r="EQ33" s="160">
        <f>Monthly_kWh!DR33</f>
        <v>0</v>
      </c>
      <c r="ER33" s="160">
        <f>Monthly_kWh!DS33</f>
        <v>0.396928000000003</v>
      </c>
      <c r="ES33" s="160">
        <f>Monthly_kWh!DT33</f>
        <v>1.5913000000000298E-2</v>
      </c>
      <c r="ET33" s="160">
        <f>Monthly_kWh!DU33</f>
        <v>0</v>
      </c>
      <c r="EU33" s="160">
        <f>Monthly_kWh!DV33</f>
        <v>7.9607500000000702E-3</v>
      </c>
      <c r="EV33" s="160">
        <f>Monthly_kWh!DW33</f>
        <v>0</v>
      </c>
      <c r="EW33" s="160">
        <f>Monthly_kWh!DX33</f>
        <v>5.8355000000000601E-2</v>
      </c>
      <c r="EX33" s="160">
        <f>Monthly_kWh!DY33</f>
        <v>7.4914999999999799E-3</v>
      </c>
      <c r="EY33" s="160">
        <f>Monthly_kWh!DZ33</f>
        <v>2.73720000000033E-2</v>
      </c>
      <c r="EZ33" s="160">
        <f>Monthly_kWh!EA33</f>
        <v>0</v>
      </c>
      <c r="FA33" s="160">
        <f>Monthly_kWh!EB33</f>
        <v>0.32128000000000201</v>
      </c>
      <c r="FB33" s="160">
        <f>Monthly_kWh!EC33</f>
        <v>6.4815999999979099E-2</v>
      </c>
      <c r="FC33" s="160">
        <f>Monthly_kWh!ED33</f>
        <v>2.1500000000003201E-3</v>
      </c>
      <c r="FD33" s="160">
        <f>Monthly_kWh!EE33</f>
        <v>0.16965350000000001</v>
      </c>
      <c r="FE33" s="160">
        <f>Monthly_kWh!EF33</f>
        <v>8.5326799999993508</v>
      </c>
      <c r="FF33" s="160">
        <f>Monthly_kWh!EG33</f>
        <v>0</v>
      </c>
      <c r="FG33" s="160">
        <f>Monthly_kWh!EH33</f>
        <v>0.43776000000002602</v>
      </c>
      <c r="FH33" s="160">
        <f>Monthly_kWh!EI33</f>
        <v>0.70278400000006502</v>
      </c>
      <c r="FI33" s="160">
        <f>Monthly_kWh!EJ33</f>
        <v>4.0863999999999102E-2</v>
      </c>
      <c r="FJ33" s="160">
        <f>Monthly_kWh!EK33</f>
        <v>0</v>
      </c>
      <c r="FK33" s="160">
        <f>Monthly_kWh!EL33</f>
        <v>1.52742400000011</v>
      </c>
      <c r="FL33" s="160">
        <f>Monthly_kWh!EM33</f>
        <v>2.3308799999999801</v>
      </c>
      <c r="FM33" s="160">
        <f>Monthly_kWh!EN33</f>
        <v>0.98918400000002304</v>
      </c>
      <c r="FN33" s="160">
        <f>Monthly_kWh!EO33</f>
        <v>1.8176000000039501E-2</v>
      </c>
      <c r="FO33" s="160">
        <f>Monthly_kWh!EP33</f>
        <v>0</v>
      </c>
      <c r="FP33" s="160">
        <f>Monthly_kWh!ER33</f>
        <v>2.4627349999999799</v>
      </c>
      <c r="FQ33" s="160">
        <f>Monthly_kWh!EQ33</f>
        <v>0</v>
      </c>
      <c r="FR33" s="160">
        <f>Monthly_kWh!M33</f>
        <v>0</v>
      </c>
      <c r="FS33" s="160">
        <f>Monthly_kWh!G33</f>
        <v>0</v>
      </c>
      <c r="FT33" s="160">
        <f>Monthly_kWh!C33</f>
        <v>0</v>
      </c>
      <c r="FU33" s="160">
        <f>Monthly_kWh!D33</f>
        <v>3.6679629999999901</v>
      </c>
      <c r="FV33" s="160">
        <f>Monthly_kWh!E33</f>
        <v>3.0722219999999498</v>
      </c>
      <c r="FW33" s="160">
        <f>Monthly_kWh!F33</f>
        <v>3.4864610000000198</v>
      </c>
      <c r="FX33" s="160">
        <f>Monthly_kWh!Q33</f>
        <v>0</v>
      </c>
      <c r="FY33" s="160">
        <f>Monthly_kWh!R33</f>
        <v>3.5819520000004599</v>
      </c>
      <c r="FZ33" s="160">
        <f>Monthly_kWh!S33</f>
        <v>2.97164800000064</v>
      </c>
      <c r="GA33" s="160">
        <f>Monthly_kWh!T33</f>
        <v>3.4017280000007299</v>
      </c>
      <c r="GB33" s="160">
        <f t="shared" si="0"/>
        <v>18.274691000000121</v>
      </c>
      <c r="GC33" s="160">
        <f t="shared" si="1"/>
        <v>16.629863999999259</v>
      </c>
      <c r="GD33" s="160">
        <f t="shared" si="2"/>
        <v>1.6448270000008627</v>
      </c>
      <c r="GE33" s="159">
        <f t="shared" si="3"/>
        <v>9.0005735254339012E-2</v>
      </c>
    </row>
    <row r="34" spans="2:187" ht="32.25" customHeight="1" x14ac:dyDescent="0.25">
      <c r="B34" s="168">
        <v>28</v>
      </c>
      <c r="C34" s="160">
        <f>Monthly_kWh!H34</f>
        <v>0</v>
      </c>
      <c r="D34" s="160">
        <f>Monthly_kWh!I34</f>
        <v>0</v>
      </c>
      <c r="E34" s="160">
        <f>Monthly_kWh!J34</f>
        <v>0</v>
      </c>
      <c r="F34" s="160">
        <f>Monthly_kWh!K34</f>
        <v>0</v>
      </c>
      <c r="G34" s="160">
        <f>Monthly_kWh!L34</f>
        <v>0</v>
      </c>
      <c r="H34" s="160">
        <f>Monthly_kWh!U34</f>
        <v>0.33049599999999701</v>
      </c>
      <c r="I34" s="160">
        <f>Monthly_kWh!P34</f>
        <v>0.16714399999999999</v>
      </c>
      <c r="J34" s="160">
        <f>Monthly_kWh!N34</f>
        <v>2.8765479999999601</v>
      </c>
      <c r="K34" s="160">
        <f>Monthly_kWh!O34</f>
        <v>2.9279880000000298</v>
      </c>
      <c r="L34" s="160">
        <f>Monthly_kWh!B34</f>
        <v>11.806875</v>
      </c>
      <c r="M34" s="160">
        <f>Monthly_kWh!AR34</f>
        <v>2.82553600000006</v>
      </c>
      <c r="N34" s="160">
        <f>Monthly_kWh!BM34</f>
        <v>0.69375999999999705</v>
      </c>
      <c r="O34" s="160">
        <f>Monthly_kWh!CM34</f>
        <v>3.5011839999999701</v>
      </c>
      <c r="P34" s="160">
        <f>Monthly_kWh!DI34</f>
        <v>1.38163199999997</v>
      </c>
      <c r="Q34" s="160">
        <f>Monthly_kWh!EF34</f>
        <v>8.0915789999999106</v>
      </c>
      <c r="R34" s="119">
        <f>SUM('Zone wise Meter data'!O57:AF57)</f>
        <v>1.1445215624999945</v>
      </c>
      <c r="S34" s="115">
        <f>SUM('Zone wise Meter data'!AG57:AW57)</f>
        <v>1.4254819999999921</v>
      </c>
      <c r="T34" s="115">
        <f>SUM('Zone wise Meter data'!AX57:BA57)</f>
        <v>1.1349569999999991</v>
      </c>
      <c r="U34" s="115">
        <f>SUM('Zone wise Meter data'!BB57:BC57)</f>
        <v>1.060351999999966</v>
      </c>
      <c r="V34" s="115">
        <f>SUM('Zone wise Meter data'!BD57:BL57)</f>
        <v>7.846728999999911</v>
      </c>
      <c r="W34" s="115">
        <f>SUM('Zone wise Meter data'!BM57:BX57)</f>
        <v>0.54542900000000227</v>
      </c>
      <c r="X34" s="115">
        <f>SUM('Zone wise Meter data'!BY57:CE57)</f>
        <v>2.225737500000011E-2</v>
      </c>
      <c r="Y34" s="115">
        <f>SUM('Zone wise Meter data'!CF57:CK57)</f>
        <v>0.3113529687500009</v>
      </c>
      <c r="Z34" s="115">
        <f>SUM('Zone wise Meter data'!CL57:CO57)</f>
        <v>0.48700800000000333</v>
      </c>
      <c r="AA34" s="115">
        <f>SUM('Zone wise Meter data'!CP57:DD57)</f>
        <v>0.14776062499999718</v>
      </c>
      <c r="AB34" s="115">
        <f>SUM('Zone wise Meter data'!DE57:DN57)</f>
        <v>0.15048856249999759</v>
      </c>
      <c r="AC34" s="115">
        <f>SUM('Zone wise Meter data'!DO57:ED57)</f>
        <v>0</v>
      </c>
      <c r="AD34" s="160">
        <f>Monthly_kWh!AW34</f>
        <v>0.52652799999998501</v>
      </c>
      <c r="AE34" s="160">
        <f>Monthly_kWh!DS34</f>
        <v>0.53382399999998098</v>
      </c>
      <c r="AF34" s="160">
        <f>Monthly_kWh!EL34</f>
        <v>1.17939200000001</v>
      </c>
      <c r="AG34" s="160">
        <f>Monthly_kWh!EK34</f>
        <v>0</v>
      </c>
      <c r="AH34" s="160">
        <f>Monthly_kWh!EN34</f>
        <v>1.93100800000002</v>
      </c>
      <c r="AI34" s="160">
        <f>Monthly_kWh!EO34</f>
        <v>1.82399999999916E-2</v>
      </c>
      <c r="AJ34" s="160">
        <f>Monthly_kWh!EM34</f>
        <v>1.63225599999987</v>
      </c>
      <c r="AK34" s="160">
        <f>Monthly_kWh!ER34</f>
        <v>2.2272150000000202</v>
      </c>
      <c r="AL34" s="160">
        <f>Monthly_kWh!EI34</f>
        <v>0.59142399999996098</v>
      </c>
      <c r="AM34" s="160">
        <f>Monthly_kWh!EJ34+Hourly_kWh!AS34</f>
        <v>2.8575999999986799E-2</v>
      </c>
      <c r="AN34" s="160">
        <f>Monthly_kWh!CX34+Hourly_kWh!CY34+Hourly_kWh!DC34+Hourly_kWh!DD34</f>
        <v>5.7183999999999499E-2</v>
      </c>
      <c r="AO34" s="160">
        <f>SUM(Hourly_kWh!AI34:AQ34)</f>
        <v>0</v>
      </c>
      <c r="AP34" s="160">
        <f>SUM(Hourly_kWh!V34:AG34)</f>
        <v>0</v>
      </c>
      <c r="AQ34" s="160">
        <f>Monthly_kWh!DB34</f>
        <v>8.9970000000000994E-2</v>
      </c>
      <c r="AR34" s="160">
        <f>Monthly_kWh!CO34</f>
        <v>0.492063999999999</v>
      </c>
      <c r="AS34" s="160">
        <f>Monthly_kWh!BJ34</f>
        <v>7.0109999999985496E-3</v>
      </c>
      <c r="AT34" s="160">
        <f>Monthly_kWh!U34</f>
        <v>0.33049599999999701</v>
      </c>
      <c r="AU34" s="160">
        <f>Monthly_kWh!V34</f>
        <v>0.12512799999999699</v>
      </c>
      <c r="AV34" s="160">
        <f>Monthly_kWh!W34</f>
        <v>4.0218000000001197E-2</v>
      </c>
      <c r="AW34" s="160">
        <f>Monthly_kWh!X34</f>
        <v>5.5277999999999501E-2</v>
      </c>
      <c r="AX34" s="160">
        <f>Monthly_kWh!Y34</f>
        <v>0</v>
      </c>
      <c r="AY34" s="160">
        <f>Monthly_kWh!Z34</f>
        <v>4.1545000000001102E-2</v>
      </c>
      <c r="AZ34" s="160">
        <f>Monthly_kWh!AA34</f>
        <v>8.4406000000001299E-2</v>
      </c>
      <c r="BA34" s="160">
        <f>Monthly_kWh!AB34</f>
        <v>0.152864000000001</v>
      </c>
      <c r="BB34" s="160">
        <f>Monthly_kWh!AC34</f>
        <v>0.10269399999999999</v>
      </c>
      <c r="BC34" s="160">
        <f>Monthly_kWh!AD34</f>
        <v>5.1852999999999497E-2</v>
      </c>
      <c r="BD34" s="160">
        <f>Monthly_kWh!AE34</f>
        <v>7.7986000000000097E-2</v>
      </c>
      <c r="BE34" s="160">
        <f>Monthly_kWh!AF34</f>
        <v>0</v>
      </c>
      <c r="BF34" s="160">
        <f>Monthly_kWh!AG34</f>
        <v>1.47034999999995E-2</v>
      </c>
      <c r="BG34" s="160">
        <f>Monthly_kWh!AH34</f>
        <v>1.19625600000001</v>
      </c>
      <c r="BH34" s="160">
        <f>Monthly_kWh!AI34</f>
        <v>0</v>
      </c>
      <c r="BI34" s="160">
        <f>Monthly_kWh!AJ34</f>
        <v>2.5526000000000201E-2</v>
      </c>
      <c r="BJ34" s="160">
        <f>Monthly_kWh!AK34</f>
        <v>0</v>
      </c>
      <c r="BK34" s="160">
        <f>Monthly_kWh!AL34</f>
        <v>0</v>
      </c>
      <c r="BL34" s="160">
        <f>Monthly_kWh!AM34</f>
        <v>0.23685599999998899</v>
      </c>
      <c r="BM34" s="160">
        <f>Monthly_kWh!AN34</f>
        <v>0.23648</v>
      </c>
      <c r="BN34" s="160">
        <f>Monthly_kWh!AO34</f>
        <v>0.15777200000000099</v>
      </c>
      <c r="BO34" s="160">
        <f>Monthly_kWh!AP34</f>
        <v>5.95740000000013E-2</v>
      </c>
      <c r="BP34" s="160">
        <f>Monthly_kWh!AQ34</f>
        <v>0.21374399999999799</v>
      </c>
      <c r="BQ34" s="160">
        <f>Monthly_kWh!AR34</f>
        <v>2.82553600000006</v>
      </c>
      <c r="BR34" s="160">
        <f>Monthly_kWh!AS34</f>
        <v>4.1229000000000397E-2</v>
      </c>
      <c r="BS34" s="160">
        <f>Monthly_kWh!AT34</f>
        <v>0</v>
      </c>
      <c r="BT34" s="160">
        <f>Monthly_kWh!AU34</f>
        <v>4.8835999999994301E-2</v>
      </c>
      <c r="BU34" s="160">
        <f>Monthly_kWh!AV34</f>
        <v>1.6827499999999801E-2</v>
      </c>
      <c r="BV34" s="160">
        <f>Monthly_kWh!AW34</f>
        <v>0.52652799999998501</v>
      </c>
      <c r="BW34" s="160">
        <f>Monthly_kWh!AX34</f>
        <v>0</v>
      </c>
      <c r="BX34" s="160">
        <f>Monthly_kWh!AY34</f>
        <v>7.1182499999999899E-2</v>
      </c>
      <c r="BY34" s="160">
        <f>Monthly_kWh!AZ34</f>
        <v>0</v>
      </c>
      <c r="BZ34" s="160">
        <f>Monthly_kWh!BA34</f>
        <v>0</v>
      </c>
      <c r="CA34" s="160">
        <f>Monthly_kWh!BB34</f>
        <v>0</v>
      </c>
      <c r="CB34" s="160">
        <f>Monthly_kWh!BC34</f>
        <v>0</v>
      </c>
      <c r="CC34" s="160">
        <f>Monthly_kWh!BD34</f>
        <v>2.3387187500000001E-3</v>
      </c>
      <c r="CD34" s="160">
        <f>Monthly_kWh!BE34</f>
        <v>0.1099</v>
      </c>
      <c r="CE34" s="160">
        <f>Monthly_kWh!BF34</f>
        <v>0</v>
      </c>
      <c r="CF34" s="160">
        <f>Monthly_kWh!BG34</f>
        <v>1.19600000000002E-2</v>
      </c>
      <c r="CG34" s="160">
        <f>Monthly_kWh!BH34</f>
        <v>6.5280000000029802E-3</v>
      </c>
      <c r="CH34" s="160">
        <f>Monthly_kWh!BI34</f>
        <v>1.7423359999999699</v>
      </c>
      <c r="CI34" s="160">
        <f>Monthly_kWh!BJ34</f>
        <v>7.0109999999985496E-3</v>
      </c>
      <c r="CJ34" s="160">
        <f>Monthly_kWh!BK34</f>
        <v>5.1642999999999398E-2</v>
      </c>
      <c r="CK34" s="160">
        <f>Monthly_kWh!BL34</f>
        <v>8.0000000011182203E-6</v>
      </c>
      <c r="CL34" s="160">
        <f>Monthly_kWh!BM34</f>
        <v>0.69375999999999705</v>
      </c>
      <c r="CM34" s="160">
        <f>Monthly_kWh!BN34</f>
        <v>0</v>
      </c>
      <c r="CN34" s="160">
        <f>Monthly_kWh!BO34</f>
        <v>0.448469000000003</v>
      </c>
      <c r="CO34" s="160">
        <f>Monthly_kWh!BP34</f>
        <v>0</v>
      </c>
      <c r="CP34" s="160">
        <f>Monthly_kWh!BQ34</f>
        <v>0</v>
      </c>
      <c r="CQ34" s="160">
        <f>Monthly_kWh!BR34</f>
        <v>0</v>
      </c>
      <c r="CR34" s="160">
        <f>Monthly_kWh!BS34</f>
        <v>0</v>
      </c>
      <c r="CS34" s="160">
        <f>Monthly_kWh!BT34</f>
        <v>1.38079999999974E-2</v>
      </c>
      <c r="CT34" s="160">
        <f>Monthly_kWh!BU34</f>
        <v>0</v>
      </c>
      <c r="CU34" s="160">
        <f>Monthly_kWh!BV34</f>
        <v>0</v>
      </c>
      <c r="CV34" s="160">
        <f>Monthly_kWh!BW34</f>
        <v>0</v>
      </c>
      <c r="CW34" s="160">
        <f>Monthly_kWh!BX34</f>
        <v>0</v>
      </c>
      <c r="CX34" s="160">
        <f>Monthly_kWh!BY34</f>
        <v>0</v>
      </c>
      <c r="CY34" s="160">
        <f>Monthly_kWh!BZ34</f>
        <v>0.16920000000000401</v>
      </c>
      <c r="CZ34" s="160">
        <f>Monthly_kWh!CA34</f>
        <v>4.5084687499999899E-3</v>
      </c>
      <c r="DA34" s="160">
        <f>Monthly_kWh!CB34</f>
        <v>0</v>
      </c>
      <c r="DB34" s="160">
        <f>Monthly_kWh!CC34</f>
        <v>0</v>
      </c>
      <c r="DC34" s="160">
        <f>Monthly_kWh!CD34</f>
        <v>0</v>
      </c>
      <c r="DD34" s="160">
        <f>Monthly_kWh!CE34</f>
        <v>0</v>
      </c>
      <c r="DE34" s="160">
        <f>Monthly_kWh!CF34</f>
        <v>1.6586999999999501E-2</v>
      </c>
      <c r="DF34" s="160">
        <f>Monthly_kWh!CG34</f>
        <v>0</v>
      </c>
      <c r="DG34" s="160">
        <f>Monthly_kWh!CH34</f>
        <v>1.6700500000000201E-2</v>
      </c>
      <c r="DH34" s="160">
        <f>Monthly_kWh!CI34</f>
        <v>0</v>
      </c>
      <c r="DI34" s="160">
        <f>Monthly_kWh!CJ34</f>
        <v>0</v>
      </c>
      <c r="DJ34" s="160">
        <f>Monthly_kWh!CK34</f>
        <v>0</v>
      </c>
      <c r="DK34" s="160">
        <f>Monthly_kWh!CL34</f>
        <v>6.3009999999998498E-2</v>
      </c>
      <c r="DL34" s="160">
        <f>Monthly_kWh!CM34</f>
        <v>3.5011839999999701</v>
      </c>
      <c r="DM34" s="160">
        <f>Monthly_kWh!CN34</f>
        <v>3.6319000000000698E-2</v>
      </c>
      <c r="DN34" s="160">
        <f>Monthly_kWh!CO34</f>
        <v>0.492063999999999</v>
      </c>
      <c r="DO34" s="160">
        <f>Monthly_kWh!CP34</f>
        <v>0</v>
      </c>
      <c r="DP34" s="160">
        <f>Monthly_kWh!CQ34</f>
        <v>0</v>
      </c>
      <c r="DQ34" s="160">
        <f>Monthly_kWh!CR34</f>
        <v>8.3216999999999403E-2</v>
      </c>
      <c r="DR34" s="160">
        <f>Monthly_kWh!CS34</f>
        <v>0</v>
      </c>
      <c r="DS34" s="160">
        <f>Monthly_kWh!CT34</f>
        <v>1.44000000000233E-3</v>
      </c>
      <c r="DT34" s="160">
        <f>Monthly_kWh!CU34</f>
        <v>0</v>
      </c>
      <c r="DU34" s="160">
        <f>Monthly_kWh!CV34</f>
        <v>5.55687499999991E-3</v>
      </c>
      <c r="DV34" s="160">
        <f>Monthly_kWh!CW34</f>
        <v>6.1551999999998899E-2</v>
      </c>
      <c r="DW34" s="160">
        <f>Monthly_kWh!CX34</f>
        <v>5.7183999999999499E-2</v>
      </c>
      <c r="DX34" s="160">
        <f>Monthly_kWh!CY34</f>
        <v>1.1993000000000399E-2</v>
      </c>
      <c r="DY34" s="160">
        <f>Monthly_kWh!CZ34</f>
        <v>2.0666000000000299E-2</v>
      </c>
      <c r="DZ34" s="160">
        <f>Monthly_kWh!DA34</f>
        <v>0.276584</v>
      </c>
      <c r="EA34" s="160">
        <f>Monthly_kWh!DB34</f>
        <v>8.9970000000000994E-2</v>
      </c>
      <c r="EB34" s="160">
        <f>Monthly_kWh!DC34</f>
        <v>0.2019470625</v>
      </c>
      <c r="EC34" s="160">
        <f>Monthly_kWh!DD34</f>
        <v>3.0800999999999901E-2</v>
      </c>
      <c r="ED34" s="160">
        <f>Monthly_kWh!DE34</f>
        <v>0</v>
      </c>
      <c r="EE34" s="160">
        <f>Monthly_kWh!DF34</f>
        <v>0</v>
      </c>
      <c r="EF34" s="160">
        <f>Monthly_kWh!DG34</f>
        <v>1.4742E-2</v>
      </c>
      <c r="EG34" s="160">
        <f>Monthly_kWh!DH34</f>
        <v>1.7564499999999799E-2</v>
      </c>
      <c r="EH34" s="160">
        <f>Monthly_kWh!DI34</f>
        <v>1.38163199999997</v>
      </c>
      <c r="EI34" s="160">
        <f>Monthly_kWh!DJ34</f>
        <v>0</v>
      </c>
      <c r="EJ34" s="160">
        <f>Monthly_kWh!DK34</f>
        <v>4.83960000000003E-2</v>
      </c>
      <c r="EK34" s="160">
        <f>Monthly_kWh!DL34</f>
        <v>1.5602343750000001E-2</v>
      </c>
      <c r="EL34" s="160">
        <f>Monthly_kWh!DM34</f>
        <v>0</v>
      </c>
      <c r="EM34" s="160">
        <f>Monthly_kWh!DN34</f>
        <v>6.4874999999964294E-5</v>
      </c>
      <c r="EN34" s="160">
        <f>Monthly_kWh!DO34</f>
        <v>3.5663999999996997E-2</v>
      </c>
      <c r="EO34" s="160">
        <f>Monthly_kWh!DP34</f>
        <v>2.42184999999999E-2</v>
      </c>
      <c r="EP34" s="160">
        <f>Monthly_kWh!DQ34</f>
        <v>0</v>
      </c>
      <c r="EQ34" s="160">
        <f>Monthly_kWh!DR34</f>
        <v>0</v>
      </c>
      <c r="ER34" s="160">
        <f>Monthly_kWh!DS34</f>
        <v>0.53382399999998098</v>
      </c>
      <c r="ES34" s="160">
        <f>Monthly_kWh!DT34</f>
        <v>0.1072495</v>
      </c>
      <c r="ET34" s="160">
        <f>Monthly_kWh!DU34</f>
        <v>0</v>
      </c>
      <c r="EU34" s="160">
        <f>Monthly_kWh!DV34</f>
        <v>7.0037499999999796E-3</v>
      </c>
      <c r="EV34" s="160">
        <f>Monthly_kWh!DW34</f>
        <v>0</v>
      </c>
      <c r="EW34" s="160">
        <f>Monthly_kWh!DX34</f>
        <v>4.0411000000000599E-2</v>
      </c>
      <c r="EX34" s="160">
        <f>Monthly_kWh!DY34</f>
        <v>5.0769999999999999E-3</v>
      </c>
      <c r="EY34" s="160">
        <f>Monthly_kWh!DZ34</f>
        <v>3.1727999999997501E-2</v>
      </c>
      <c r="EZ34" s="160">
        <f>Monthly_kWh!EA34</f>
        <v>0</v>
      </c>
      <c r="FA34" s="160">
        <f>Monthly_kWh!EB34</f>
        <v>0.42495999999999901</v>
      </c>
      <c r="FB34" s="160">
        <f>Monthly_kWh!EC34</f>
        <v>6.2048000000004301E-2</v>
      </c>
      <c r="FC34" s="160">
        <f>Monthly_kWh!ED34</f>
        <v>2.1534999999999198E-3</v>
      </c>
      <c r="FD34" s="160">
        <f>Monthly_kWh!EE34</f>
        <v>0.15159600000000001</v>
      </c>
      <c r="FE34" s="160">
        <f>Monthly_kWh!EF34</f>
        <v>8.0915789999999106</v>
      </c>
      <c r="FF34" s="160">
        <f>Monthly_kWh!EG34</f>
        <v>0</v>
      </c>
      <c r="FG34" s="160">
        <f>Monthly_kWh!EH34</f>
        <v>0.473728000000051</v>
      </c>
      <c r="FH34" s="160">
        <f>Monthly_kWh!EI34</f>
        <v>0.59142399999996098</v>
      </c>
      <c r="FI34" s="160">
        <f>Monthly_kWh!EJ34</f>
        <v>2.8575999999986799E-2</v>
      </c>
      <c r="FJ34" s="160">
        <f>Monthly_kWh!EK34</f>
        <v>0</v>
      </c>
      <c r="FK34" s="160">
        <f>Monthly_kWh!EL34</f>
        <v>1.17939200000001</v>
      </c>
      <c r="FL34" s="160">
        <f>Monthly_kWh!EM34</f>
        <v>1.63225599999987</v>
      </c>
      <c r="FM34" s="160">
        <f>Monthly_kWh!EN34</f>
        <v>1.93100800000002</v>
      </c>
      <c r="FN34" s="160">
        <f>Monthly_kWh!EO34</f>
        <v>1.82399999999916E-2</v>
      </c>
      <c r="FO34" s="160">
        <f>Monthly_kWh!EP34</f>
        <v>0</v>
      </c>
      <c r="FP34" s="160">
        <f>Monthly_kWh!ER34</f>
        <v>2.2272150000000202</v>
      </c>
      <c r="FQ34" s="160">
        <f>Monthly_kWh!EQ34</f>
        <v>0</v>
      </c>
      <c r="FR34" s="160">
        <f>Monthly_kWh!M34</f>
        <v>0</v>
      </c>
      <c r="FS34" s="160">
        <f>Monthly_kWh!G34</f>
        <v>0</v>
      </c>
      <c r="FT34" s="160">
        <f>Monthly_kWh!C34</f>
        <v>0</v>
      </c>
      <c r="FU34" s="160">
        <f>Monthly_kWh!D34</f>
        <v>4.2247019999999802</v>
      </c>
      <c r="FV34" s="160">
        <f>Monthly_kWh!E34</f>
        <v>3.5634800000000801</v>
      </c>
      <c r="FW34" s="160">
        <f>Monthly_kWh!F34</f>
        <v>4.0518369999999804</v>
      </c>
      <c r="FX34" s="160">
        <f>Monthly_kWh!Q34</f>
        <v>0</v>
      </c>
      <c r="FY34" s="160">
        <f>Monthly_kWh!R34</f>
        <v>4.1041920000025103</v>
      </c>
      <c r="FZ34" s="160">
        <f>Monthly_kWh!S34</f>
        <v>3.4406399999997999</v>
      </c>
      <c r="GA34" s="160">
        <f>Monthly_kWh!T34</f>
        <v>3.9055360000020301</v>
      </c>
      <c r="GB34" s="160">
        <f t="shared" si="0"/>
        <v>18.109050999999987</v>
      </c>
      <c r="GC34" s="160">
        <f t="shared" si="1"/>
        <v>16.493690999999906</v>
      </c>
      <c r="GD34" s="160">
        <f t="shared" si="2"/>
        <v>1.6153600000000807</v>
      </c>
      <c r="GE34" s="159">
        <f t="shared" si="3"/>
        <v>8.920180301000212E-2</v>
      </c>
    </row>
    <row r="35" spans="2:187" ht="32.25" customHeight="1" x14ac:dyDescent="0.25">
      <c r="B35" s="168">
        <v>29</v>
      </c>
      <c r="C35" s="160">
        <f>Monthly_kWh!H35</f>
        <v>0</v>
      </c>
      <c r="D35" s="160">
        <f>Monthly_kWh!I35</f>
        <v>0</v>
      </c>
      <c r="E35" s="160">
        <f>Monthly_kWh!J35</f>
        <v>0</v>
      </c>
      <c r="F35" s="160">
        <f>Monthly_kWh!K35</f>
        <v>0</v>
      </c>
      <c r="G35" s="160">
        <f>Monthly_kWh!L35</f>
        <v>0</v>
      </c>
      <c r="H35" s="160">
        <f>Monthly_kWh!U35</f>
        <v>0.25887199999999699</v>
      </c>
      <c r="I35" s="160">
        <f>Monthly_kWh!P35</f>
        <v>0.12662900000000099</v>
      </c>
      <c r="J35" s="160">
        <f>Monthly_kWh!N35</f>
        <v>2.23274500000002</v>
      </c>
      <c r="K35" s="160">
        <f>Monthly_kWh!O35</f>
        <v>2.3081039999999602</v>
      </c>
      <c r="L35" s="160">
        <f>Monthly_kWh!B35</f>
        <v>10.951625</v>
      </c>
      <c r="M35" s="160">
        <f>Monthly_kWh!AR35</f>
        <v>2.6230399999999499</v>
      </c>
      <c r="N35" s="160">
        <f>Monthly_kWh!BM35</f>
        <v>0.45011199999999002</v>
      </c>
      <c r="O35" s="160">
        <f>Monthly_kWh!CM35</f>
        <v>2.8052479999998901</v>
      </c>
      <c r="P35" s="160">
        <f>Monthly_kWh!DI35</f>
        <v>1.57574399999999</v>
      </c>
      <c r="Q35" s="160">
        <f>Monthly_kWh!EF35</f>
        <v>7.0001920000013298</v>
      </c>
      <c r="R35" s="119">
        <f>SUM('Zone wise Meter data'!O58:AF58)</f>
        <v>1.0181043749999987</v>
      </c>
      <c r="S35" s="115">
        <f>SUM('Zone wise Meter data'!AG58:AW58)</f>
        <v>1.438509406250017</v>
      </c>
      <c r="T35" s="115">
        <f>SUM('Zone wise Meter data'!AX58:BA58)</f>
        <v>0.97300099999996825</v>
      </c>
      <c r="U35" s="115">
        <f>SUM('Zone wise Meter data'!BB58:BC58)</f>
        <v>1.015199999999993</v>
      </c>
      <c r="V35" s="115">
        <f>SUM('Zone wise Meter data'!BD58:BL58)</f>
        <v>6.6390000000000935</v>
      </c>
      <c r="W35" s="115">
        <f>SUM('Zone wise Meter data'!BM58:BX58)</f>
        <v>0.17608600000000318</v>
      </c>
      <c r="X35" s="115">
        <f>SUM('Zone wise Meter data'!BY58:CE58)</f>
        <v>2.1236999999999701E-2</v>
      </c>
      <c r="Y35" s="115">
        <f>SUM('Zone wise Meter data'!CF58:CK58)</f>
        <v>0.43341771875000024</v>
      </c>
      <c r="Z35" s="115">
        <f>SUM('Zone wise Meter data'!CL58:CO58)</f>
        <v>0.63500799999999902</v>
      </c>
      <c r="AA35" s="115">
        <f>SUM('Zone wise Meter data'!CP58:DD58)</f>
        <v>0.31170837500001175</v>
      </c>
      <c r="AB35" s="115">
        <f>SUM('Zone wise Meter data'!DE58:DN58)</f>
        <v>0.13722430468750008</v>
      </c>
      <c r="AC35" s="115">
        <f>SUM('Zone wise Meter data'!DO58:ED58)</f>
        <v>0</v>
      </c>
      <c r="AD35" s="160">
        <f>Monthly_kWh!AW35</f>
        <v>0.57055999999999996</v>
      </c>
      <c r="AE35" s="160">
        <f>Monthly_kWh!DS35</f>
        <v>0.44463999999999299</v>
      </c>
      <c r="AF35" s="160">
        <f>Monthly_kWh!EL35</f>
        <v>1.6748800000000299</v>
      </c>
      <c r="AG35" s="160">
        <f>Monthly_kWh!EK35</f>
        <v>0</v>
      </c>
      <c r="AH35" s="160">
        <f>Monthly_kWh!EN35</f>
        <v>2.2622719999999399</v>
      </c>
      <c r="AI35" s="160">
        <f>Monthly_kWh!EO35</f>
        <v>1.8303999999943699E-2</v>
      </c>
      <c r="AJ35" s="160">
        <f>Monthly_kWh!EM35</f>
        <v>0.35763200000019402</v>
      </c>
      <c r="AK35" s="160">
        <f>Monthly_kWh!ER35</f>
        <v>1.72502499999999</v>
      </c>
      <c r="AL35" s="160">
        <f>Monthly_kWh!EI35</f>
        <v>0.53664000000003398</v>
      </c>
      <c r="AM35" s="160">
        <f>Monthly_kWh!EJ35+Hourly_kWh!AS35</f>
        <v>1.3056000000006E-2</v>
      </c>
      <c r="AN35" s="160">
        <f>Monthly_kWh!CX35+Hourly_kWh!CY35+Hourly_kWh!DC35+Hourly_kWh!DD35</f>
        <v>1.05679999999992E-2</v>
      </c>
      <c r="AO35" s="160">
        <f>SUM(Hourly_kWh!AI35:AQ35)</f>
        <v>0</v>
      </c>
      <c r="AP35" s="160">
        <f>SUM(Hourly_kWh!V35:AG35)</f>
        <v>0</v>
      </c>
      <c r="AQ35" s="160">
        <f>Monthly_kWh!DB35</f>
        <v>7.0159000000000304E-2</v>
      </c>
      <c r="AR35" s="160">
        <f>Monthly_kWh!CO35</f>
        <v>0.254328000000001</v>
      </c>
      <c r="AS35" s="160">
        <f>Monthly_kWh!BJ35</f>
        <v>3.7140000000022199E-3</v>
      </c>
      <c r="AT35" s="160">
        <f>Monthly_kWh!U35</f>
        <v>0.25887199999999699</v>
      </c>
      <c r="AU35" s="160">
        <f>Monthly_kWh!V35</f>
        <v>0.125222000000001</v>
      </c>
      <c r="AV35" s="160">
        <f>Monthly_kWh!W35</f>
        <v>3.2275000000000303E-2</v>
      </c>
      <c r="AW35" s="160">
        <f>Monthly_kWh!X35</f>
        <v>5.7312999999998802E-2</v>
      </c>
      <c r="AX35" s="160">
        <f>Monthly_kWh!Y35</f>
        <v>0</v>
      </c>
      <c r="AY35" s="160">
        <f>Monthly_kWh!Z35</f>
        <v>4.5861000000000401E-2</v>
      </c>
      <c r="AZ35" s="160">
        <f>Monthly_kWh!AA35</f>
        <v>8.2755999999999802E-2</v>
      </c>
      <c r="BA35" s="160">
        <f>Monthly_kWh!AB35</f>
        <v>0.14879199999999701</v>
      </c>
      <c r="BB35" s="160">
        <f>Monthly_kWh!AC35</f>
        <v>8.6881999999999196E-2</v>
      </c>
      <c r="BC35" s="160">
        <f>Monthly_kWh!AD35</f>
        <v>4.9065000000000601E-2</v>
      </c>
      <c r="BD35" s="160">
        <f>Monthly_kWh!AE35</f>
        <v>4.8238500000000101E-2</v>
      </c>
      <c r="BE35" s="160">
        <f>Monthly_kWh!AF35</f>
        <v>0</v>
      </c>
      <c r="BF35" s="160">
        <f>Monthly_kWh!AG35</f>
        <v>1.6003000000000399E-2</v>
      </c>
      <c r="BG35" s="160">
        <f>Monthly_kWh!AH35</f>
        <v>1.026208</v>
      </c>
      <c r="BH35" s="160">
        <f>Monthly_kWh!AI35</f>
        <v>0</v>
      </c>
      <c r="BI35" s="160">
        <f>Monthly_kWh!AJ35</f>
        <v>2.0679999999999601E-2</v>
      </c>
      <c r="BJ35" s="160">
        <f>Monthly_kWh!AK35</f>
        <v>0</v>
      </c>
      <c r="BK35" s="160">
        <f>Monthly_kWh!AL35</f>
        <v>0.12641240625</v>
      </c>
      <c r="BL35" s="160">
        <f>Monthly_kWh!AM35</f>
        <v>0.22023200000001</v>
      </c>
      <c r="BM35" s="160">
        <f>Monthly_kWh!AN35</f>
        <v>0.22582400000000299</v>
      </c>
      <c r="BN35" s="160">
        <f>Monthly_kWh!AO35</f>
        <v>0.145760000000003</v>
      </c>
      <c r="BO35" s="160">
        <f>Monthly_kWh!AP35</f>
        <v>7.2637999999997802E-2</v>
      </c>
      <c r="BP35" s="160">
        <f>Monthly_kWh!AQ35</f>
        <v>0.14836000000000399</v>
      </c>
      <c r="BQ35" s="160">
        <f>Monthly_kWh!AR35</f>
        <v>2.6230399999999499</v>
      </c>
      <c r="BR35" s="160">
        <f>Monthly_kWh!AS35</f>
        <v>2.2024999999999299E-2</v>
      </c>
      <c r="BS35" s="160">
        <f>Monthly_kWh!AT35</f>
        <v>0</v>
      </c>
      <c r="BT35" s="160">
        <f>Monthly_kWh!AU35</f>
        <v>5.0184000000001602E-2</v>
      </c>
      <c r="BU35" s="160">
        <f>Monthly_kWh!AV35</f>
        <v>5.31650000000017E-3</v>
      </c>
      <c r="BV35" s="160">
        <f>Monthly_kWh!AW35</f>
        <v>0.57055999999999996</v>
      </c>
      <c r="BW35" s="160">
        <f>Monthly_kWh!AX35</f>
        <v>0</v>
      </c>
      <c r="BX35" s="160">
        <f>Monthly_kWh!AY35</f>
        <v>6.3289000000000206E-2</v>
      </c>
      <c r="BY35" s="160">
        <f>Monthly_kWh!AZ35</f>
        <v>0</v>
      </c>
      <c r="BZ35" s="160">
        <f>Monthly_kWh!BA35</f>
        <v>0</v>
      </c>
      <c r="CA35" s="160">
        <f>Monthly_kWh!BB35</f>
        <v>0</v>
      </c>
      <c r="CB35" s="160">
        <f>Monthly_kWh!BC35</f>
        <v>0</v>
      </c>
      <c r="CC35" s="160">
        <f>Monthly_kWh!BD35</f>
        <v>2.7124765625000098E-3</v>
      </c>
      <c r="CD35" s="160">
        <f>Monthly_kWh!BE35</f>
        <v>0.110495999999998</v>
      </c>
      <c r="CE35" s="160">
        <f>Monthly_kWh!BF35</f>
        <v>0</v>
      </c>
      <c r="CF35" s="160">
        <f>Monthly_kWh!BG35</f>
        <v>1.24110000000002E-2</v>
      </c>
      <c r="CG35" s="160">
        <f>Monthly_kWh!BH35</f>
        <v>0</v>
      </c>
      <c r="CH35" s="160">
        <f>Monthly_kWh!BI35</f>
        <v>1.5642880000000301</v>
      </c>
      <c r="CI35" s="160">
        <f>Monthly_kWh!BJ35</f>
        <v>3.7140000000022199E-3</v>
      </c>
      <c r="CJ35" s="160">
        <f>Monthly_kWh!BK35</f>
        <v>4.7652000000000298E-2</v>
      </c>
      <c r="CK35" s="160">
        <f>Monthly_kWh!BL35</f>
        <v>1.4000000000180501E-5</v>
      </c>
      <c r="CL35" s="160">
        <f>Monthly_kWh!BM35</f>
        <v>0.45011199999999002</v>
      </c>
      <c r="CM35" s="160">
        <f>Monthly_kWh!BN35</f>
        <v>0</v>
      </c>
      <c r="CN35" s="160">
        <f>Monthly_kWh!BO35</f>
        <v>0.13413999999999901</v>
      </c>
      <c r="CO35" s="160">
        <f>Monthly_kWh!BP35</f>
        <v>0</v>
      </c>
      <c r="CP35" s="160">
        <f>Monthly_kWh!BQ35</f>
        <v>0</v>
      </c>
      <c r="CQ35" s="160">
        <f>Monthly_kWh!BR35</f>
        <v>0</v>
      </c>
      <c r="CR35" s="160">
        <f>Monthly_kWh!BS35</f>
        <v>0</v>
      </c>
      <c r="CS35" s="160">
        <f>Monthly_kWh!BT35</f>
        <v>6.2367999999999299E-2</v>
      </c>
      <c r="CT35" s="160">
        <f>Monthly_kWh!BU35</f>
        <v>0</v>
      </c>
      <c r="CU35" s="160">
        <f>Monthly_kWh!BV35</f>
        <v>0</v>
      </c>
      <c r="CV35" s="160">
        <f>Monthly_kWh!BW35</f>
        <v>0</v>
      </c>
      <c r="CW35" s="160">
        <f>Monthly_kWh!BX35</f>
        <v>0</v>
      </c>
      <c r="CX35" s="160">
        <f>Monthly_kWh!BY35</f>
        <v>0</v>
      </c>
      <c r="CY35" s="160">
        <f>Monthly_kWh!BZ35</f>
        <v>0.103960000000001</v>
      </c>
      <c r="CZ35" s="160">
        <f>Monthly_kWh!CA35</f>
        <v>9.2491218750000007E-2</v>
      </c>
      <c r="DA35" s="160">
        <f>Monthly_kWh!CB35</f>
        <v>0</v>
      </c>
      <c r="DB35" s="160">
        <f>Monthly_kWh!CC35</f>
        <v>0</v>
      </c>
      <c r="DC35" s="160">
        <f>Monthly_kWh!CD35</f>
        <v>0</v>
      </c>
      <c r="DD35" s="160">
        <f>Monthly_kWh!CE35</f>
        <v>0</v>
      </c>
      <c r="DE35" s="160">
        <f>Monthly_kWh!CF35</f>
        <v>1.6951999999999901E-2</v>
      </c>
      <c r="DF35" s="160">
        <f>Monthly_kWh!CG35</f>
        <v>0</v>
      </c>
      <c r="DG35" s="160">
        <f>Monthly_kWh!CH35</f>
        <v>1.71289999999997E-2</v>
      </c>
      <c r="DH35" s="160">
        <f>Monthly_kWh!CI35</f>
        <v>0</v>
      </c>
      <c r="DI35" s="160">
        <f>Monthly_kWh!CJ35</f>
        <v>0</v>
      </c>
      <c r="DJ35" s="160">
        <f>Monthly_kWh!CK35</f>
        <v>0</v>
      </c>
      <c r="DK35" s="160">
        <f>Monthly_kWh!CL35</f>
        <v>4.8144000000000603E-2</v>
      </c>
      <c r="DL35" s="160">
        <f>Monthly_kWh!CM35</f>
        <v>2.8052479999998901</v>
      </c>
      <c r="DM35" s="160">
        <f>Monthly_kWh!CN35</f>
        <v>5.4755000000000102E-2</v>
      </c>
      <c r="DN35" s="160">
        <f>Monthly_kWh!CO35</f>
        <v>0.254328000000001</v>
      </c>
      <c r="DO35" s="160">
        <f>Monthly_kWh!CP35</f>
        <v>0</v>
      </c>
      <c r="DP35" s="160">
        <f>Monthly_kWh!CQ35</f>
        <v>0</v>
      </c>
      <c r="DQ35" s="160">
        <f>Monthly_kWh!CR35</f>
        <v>6.9696000000000397E-2</v>
      </c>
      <c r="DR35" s="160">
        <f>Monthly_kWh!CS35</f>
        <v>0</v>
      </c>
      <c r="DS35" s="160">
        <f>Monthly_kWh!CT35</f>
        <v>8.6768000000006396E-2</v>
      </c>
      <c r="DT35" s="160">
        <f>Monthly_kWh!CU35</f>
        <v>0</v>
      </c>
      <c r="DU35" s="160">
        <f>Monthly_kWh!CV35</f>
        <v>4.1079999999999997E-3</v>
      </c>
      <c r="DV35" s="160">
        <f>Monthly_kWh!CW35</f>
        <v>1.1160000000003801E-2</v>
      </c>
      <c r="DW35" s="160">
        <f>Monthly_kWh!CX35</f>
        <v>1.05679999999992E-2</v>
      </c>
      <c r="DX35" s="160">
        <f>Monthly_kWh!CY35</f>
        <v>7.8269999999998098E-3</v>
      </c>
      <c r="DY35" s="160">
        <f>Monthly_kWh!CZ35</f>
        <v>2.2699999999999901E-2</v>
      </c>
      <c r="DZ35" s="160">
        <f>Monthly_kWh!DA35</f>
        <v>0.27639999999999498</v>
      </c>
      <c r="EA35" s="160">
        <f>Monthly_kWh!DB35</f>
        <v>7.0159000000000304E-2</v>
      </c>
      <c r="EB35" s="160">
        <f>Monthly_kWh!DC35</f>
        <v>0.18636287500000001</v>
      </c>
      <c r="EC35" s="160">
        <f>Monthly_kWh!DD35</f>
        <v>2.9943500000000099E-2</v>
      </c>
      <c r="ED35" s="160">
        <f>Monthly_kWh!DE35</f>
        <v>0</v>
      </c>
      <c r="EE35" s="160">
        <f>Monthly_kWh!DF35</f>
        <v>0</v>
      </c>
      <c r="EF35" s="160">
        <f>Monthly_kWh!DG35</f>
        <v>8.08600000000048E-3</v>
      </c>
      <c r="EG35" s="160">
        <f>Monthly_kWh!DH35</f>
        <v>1.8200999999999499E-2</v>
      </c>
      <c r="EH35" s="160">
        <f>Monthly_kWh!DI35</f>
        <v>1.57574399999999</v>
      </c>
      <c r="EI35" s="160">
        <f>Monthly_kWh!DJ35</f>
        <v>0</v>
      </c>
      <c r="EJ35" s="160">
        <f>Monthly_kWh!DK35</f>
        <v>4.1727999999999099E-2</v>
      </c>
      <c r="EK35" s="160">
        <f>Monthly_kWh!DL35</f>
        <v>8.2443281250000108E-3</v>
      </c>
      <c r="EL35" s="160">
        <f>Monthly_kWh!DM35</f>
        <v>1.6627999999999001E-2</v>
      </c>
      <c r="EM35" s="160">
        <f>Monthly_kWh!DN35</f>
        <v>0</v>
      </c>
      <c r="EN35" s="160">
        <f>Monthly_kWh!DO35</f>
        <v>7.1200000000004607E-2</v>
      </c>
      <c r="EO35" s="160">
        <f>Monthly_kWh!DP35</f>
        <v>3.4503000000000797E-2</v>
      </c>
      <c r="EP35" s="160">
        <f>Monthly_kWh!DQ35</f>
        <v>0</v>
      </c>
      <c r="EQ35" s="160">
        <f>Monthly_kWh!DR35</f>
        <v>0</v>
      </c>
      <c r="ER35" s="160">
        <f>Monthly_kWh!DS35</f>
        <v>0.44463999999999299</v>
      </c>
      <c r="ES35" s="160">
        <f>Monthly_kWh!DT35</f>
        <v>0.15764649999999999</v>
      </c>
      <c r="ET35" s="160">
        <f>Monthly_kWh!DU35</f>
        <v>1.37999999999749E-4</v>
      </c>
      <c r="EU35" s="160">
        <f>Monthly_kWh!DV35</f>
        <v>7.0514999999997698E-3</v>
      </c>
      <c r="EV35" s="160">
        <f>Monthly_kWh!DW35</f>
        <v>0</v>
      </c>
      <c r="EW35" s="160">
        <f>Monthly_kWh!DX35</f>
        <v>6.3436999999998606E-2</v>
      </c>
      <c r="EX35" s="160">
        <f>Monthly_kWh!DY35</f>
        <v>5.1478750000000196E-3</v>
      </c>
      <c r="EY35" s="160">
        <f>Monthly_kWh!DZ35</f>
        <v>3.8496000000002098E-2</v>
      </c>
      <c r="EZ35" s="160">
        <f>Monthly_kWh!EA35</f>
        <v>0</v>
      </c>
      <c r="FA35" s="160">
        <f>Monthly_kWh!EB35</f>
        <v>0.46846399999998301</v>
      </c>
      <c r="FB35" s="160">
        <f>Monthly_kWh!EC35</f>
        <v>0.16654400000001601</v>
      </c>
      <c r="FC35" s="160">
        <f>Monthly_kWh!ED35</f>
        <v>4.9669999999997199E-3</v>
      </c>
      <c r="FD35" s="160">
        <f>Monthly_kWh!EE35</f>
        <v>0.15363750000000001</v>
      </c>
      <c r="FE35" s="160">
        <f>Monthly_kWh!EF35</f>
        <v>7.0001920000013298</v>
      </c>
      <c r="FF35" s="160">
        <f>Monthly_kWh!EG35</f>
        <v>0</v>
      </c>
      <c r="FG35" s="160">
        <f>Monthly_kWh!EH35</f>
        <v>0.40127999999992903</v>
      </c>
      <c r="FH35" s="160">
        <f>Monthly_kWh!EI35</f>
        <v>0.53664000000003398</v>
      </c>
      <c r="FI35" s="160">
        <f>Monthly_kWh!EJ35</f>
        <v>1.3056000000006E-2</v>
      </c>
      <c r="FJ35" s="160">
        <f>Monthly_kWh!EK35</f>
        <v>0</v>
      </c>
      <c r="FK35" s="160">
        <f>Monthly_kWh!EL35</f>
        <v>1.6748800000000299</v>
      </c>
      <c r="FL35" s="160">
        <f>Monthly_kWh!EM35</f>
        <v>0.35763200000019402</v>
      </c>
      <c r="FM35" s="160">
        <f>Monthly_kWh!EN35</f>
        <v>2.2622719999999399</v>
      </c>
      <c r="FN35" s="160">
        <f>Monthly_kWh!EO35</f>
        <v>1.8303999999943699E-2</v>
      </c>
      <c r="FO35" s="160">
        <f>Monthly_kWh!EP35</f>
        <v>0</v>
      </c>
      <c r="FP35" s="160">
        <f>Monthly_kWh!ER35</f>
        <v>1.72502499999999</v>
      </c>
      <c r="FQ35" s="160">
        <f>Monthly_kWh!EQ35</f>
        <v>0</v>
      </c>
      <c r="FR35" s="160">
        <f>Monthly_kWh!M35</f>
        <v>0</v>
      </c>
      <c r="FS35" s="160">
        <f>Monthly_kWh!G35</f>
        <v>0</v>
      </c>
      <c r="FT35" s="160">
        <f>Monthly_kWh!C35</f>
        <v>0</v>
      </c>
      <c r="FU35" s="160">
        <f>Monthly_kWh!D35</f>
        <v>3.9147060000000198</v>
      </c>
      <c r="FV35" s="160">
        <f>Monthly_kWh!E35</f>
        <v>3.29601399999996</v>
      </c>
      <c r="FW35" s="160">
        <f>Monthly_kWh!F35</f>
        <v>3.7059819999999499</v>
      </c>
      <c r="FX35" s="160">
        <f>Monthly_kWh!Q35</f>
        <v>0</v>
      </c>
      <c r="FY35" s="160">
        <f>Monthly_kWh!R35</f>
        <v>3.81747199999882</v>
      </c>
      <c r="FZ35" s="160">
        <f>Monthly_kWh!S35</f>
        <v>3.1928319999997301</v>
      </c>
      <c r="GA35" s="160">
        <f>Monthly_kWh!T35</f>
        <v>3.6249599999973698</v>
      </c>
      <c r="GB35" s="160">
        <f t="shared" si="0"/>
        <v>15.877974999999978</v>
      </c>
      <c r="GC35" s="160">
        <f t="shared" si="1"/>
        <v>14.454336000001149</v>
      </c>
      <c r="GD35" s="160">
        <f t="shared" si="2"/>
        <v>1.423638999998829</v>
      </c>
      <c r="GE35" s="159">
        <f t="shared" si="3"/>
        <v>8.9661244585586705E-2</v>
      </c>
    </row>
    <row r="36" spans="2:187" ht="32.25" customHeight="1" x14ac:dyDescent="0.25">
      <c r="B36" s="168">
        <v>30</v>
      </c>
      <c r="C36" s="160">
        <f>Monthly_kWh!H36</f>
        <v>0</v>
      </c>
      <c r="D36" s="160">
        <f>Monthly_kWh!I36</f>
        <v>0</v>
      </c>
      <c r="E36" s="160">
        <f>Monthly_kWh!J36</f>
        <v>0</v>
      </c>
      <c r="F36" s="160">
        <f>Monthly_kWh!K36</f>
        <v>0</v>
      </c>
      <c r="G36" s="160">
        <f>Monthly_kWh!L36</f>
        <v>0</v>
      </c>
      <c r="H36" s="160">
        <f>Monthly_kWh!U36</f>
        <v>0.51522400000000301</v>
      </c>
      <c r="I36" s="160">
        <f>Monthly_kWh!P36</f>
        <v>0.14086199999999799</v>
      </c>
      <c r="J36" s="160">
        <f>Monthly_kWh!N36</f>
        <v>2.3386729999999698</v>
      </c>
      <c r="K36" s="160">
        <f>Monthly_kWh!O36</f>
        <v>2.4217680000000401</v>
      </c>
      <c r="L36" s="160">
        <f>Monthly_kWh!B36</f>
        <v>22.303374999999999</v>
      </c>
      <c r="M36" s="160">
        <f>Monthly_kWh!AR36</f>
        <v>4.5328000000000701</v>
      </c>
      <c r="N36" s="160">
        <f>Monthly_kWh!BM36</f>
        <v>2.2661440000000002</v>
      </c>
      <c r="O36" s="160">
        <f>Monthly_kWh!CM36</f>
        <v>4.2208000000000503</v>
      </c>
      <c r="P36" s="160">
        <f>Monthly_kWh!DI36</f>
        <v>4.7226880000000602</v>
      </c>
      <c r="Q36" s="160">
        <f>Monthly_kWh!EF36</f>
        <v>9.7072649999991008</v>
      </c>
      <c r="R36" s="119">
        <f>SUM('Zone wise Meter data'!O59:AF59)</f>
        <v>1.0596754999999964</v>
      </c>
      <c r="S36" s="115">
        <f>SUM('Zone wise Meter data'!AG59:AW59)</f>
        <v>2.4475763906249912</v>
      </c>
      <c r="T36" s="115">
        <f>SUM('Zone wise Meter data'!AX59:BA59)</f>
        <v>1.115282999999911</v>
      </c>
      <c r="U36" s="115">
        <f>SUM('Zone wise Meter data'!BB59:BC59)</f>
        <v>2.9892480000000301</v>
      </c>
      <c r="V36" s="115">
        <f>SUM('Zone wise Meter data'!BD59:BL59)</f>
        <v>9.642799999999955</v>
      </c>
      <c r="W36" s="115">
        <f>SUM('Zone wise Meter data'!BM59:BX59)</f>
        <v>0.56841924999999849</v>
      </c>
      <c r="X36" s="115">
        <f>SUM('Zone wise Meter data'!BY59:CE59)</f>
        <v>3.2040375000000197E-2</v>
      </c>
      <c r="Y36" s="115">
        <f>SUM('Zone wise Meter data'!CF59:CK59)</f>
        <v>2.0249427812500134</v>
      </c>
      <c r="Z36" s="115">
        <f>SUM('Zone wise Meter data'!CL59:CO59)</f>
        <v>2.0529279999999819</v>
      </c>
      <c r="AA36" s="115">
        <f>SUM('Zone wise Meter data'!CP59:DD59)</f>
        <v>0.64403174999999424</v>
      </c>
      <c r="AB36" s="115">
        <f>SUM('Zone wise Meter data'!DE59:DN59)</f>
        <v>0.24426916406250193</v>
      </c>
      <c r="AC36" s="115">
        <f>SUM('Zone wise Meter data'!DO59:ED59)</f>
        <v>0</v>
      </c>
      <c r="AD36" s="160">
        <f>Monthly_kWh!AW36</f>
        <v>1.25363200000004</v>
      </c>
      <c r="AE36" s="160">
        <f>Monthly_kWh!DS36</f>
        <v>1.7356159999999901</v>
      </c>
      <c r="AF36" s="160">
        <f>Monthly_kWh!EL36</f>
        <v>2.2397439999999702</v>
      </c>
      <c r="AG36" s="160">
        <f>Monthly_kWh!EK36</f>
        <v>0</v>
      </c>
      <c r="AH36" s="160">
        <f>Monthly_kWh!EN36</f>
        <v>0.32025599999997201</v>
      </c>
      <c r="AI36" s="160">
        <f>Monthly_kWh!EO36</f>
        <v>1.8176000000039501E-2</v>
      </c>
      <c r="AJ36" s="160">
        <f>Monthly_kWh!EM36</f>
        <v>3.5279359999999498</v>
      </c>
      <c r="AK36" s="160">
        <f>Monthly_kWh!ER36</f>
        <v>2.5479150000000201</v>
      </c>
      <c r="AL36" s="160">
        <f>Monthly_kWh!EI36</f>
        <v>0.53068799999994098</v>
      </c>
      <c r="AM36" s="160">
        <f>Monthly_kWh!EJ36+Hourly_kWh!AS36</f>
        <v>6.2751999999988997E-2</v>
      </c>
      <c r="AN36" s="160">
        <f>Monthly_kWh!CX36+Hourly_kWh!CY36+Hourly_kWh!DC36+Hourly_kWh!DD36</f>
        <v>0</v>
      </c>
      <c r="AO36" s="160">
        <f>SUM(Hourly_kWh!AI36:AQ36)</f>
        <v>0</v>
      </c>
      <c r="AP36" s="160">
        <f>SUM(Hourly_kWh!V36:AG36)</f>
        <v>0</v>
      </c>
      <c r="AQ36" s="160">
        <f>Monthly_kWh!DB36</f>
        <v>0.115437</v>
      </c>
      <c r="AR36" s="160">
        <f>Monthly_kWh!CO36</f>
        <v>0.59552800000000194</v>
      </c>
      <c r="AS36" s="160">
        <f>Monthly_kWh!BJ36</f>
        <v>5.4899999999946702E-4</v>
      </c>
      <c r="AT36" s="160">
        <f>Monthly_kWh!U36</f>
        <v>0.51522400000000301</v>
      </c>
      <c r="AU36" s="160">
        <f>Monthly_kWh!V36</f>
        <v>0.13547799999999899</v>
      </c>
      <c r="AV36" s="160">
        <f>Monthly_kWh!W36</f>
        <v>7.38889999999994E-2</v>
      </c>
      <c r="AW36" s="160">
        <f>Monthly_kWh!X36</f>
        <v>7.5354000000000795E-2</v>
      </c>
      <c r="AX36" s="160">
        <f>Monthly_kWh!Y36</f>
        <v>0</v>
      </c>
      <c r="AY36" s="160">
        <f>Monthly_kWh!Z36</f>
        <v>4.9440999999999798E-2</v>
      </c>
      <c r="AZ36" s="160">
        <f>Monthly_kWh!AA36</f>
        <v>0.121195999999998</v>
      </c>
      <c r="BA36" s="160">
        <f>Monthly_kWh!AB36</f>
        <v>0.14916600000000099</v>
      </c>
      <c r="BB36" s="160">
        <f>Monthly_kWh!AC36</f>
        <v>8.8036000000002404E-2</v>
      </c>
      <c r="BC36" s="160">
        <f>Monthly_kWh!AD36</f>
        <v>5.5997999999998903E-2</v>
      </c>
      <c r="BD36" s="160">
        <f>Monthly_kWh!AE36</f>
        <v>5.8658499999999898E-2</v>
      </c>
      <c r="BE36" s="160">
        <f>Monthly_kWh!AF36</f>
        <v>0</v>
      </c>
      <c r="BF36" s="160">
        <f>Monthly_kWh!AG36</f>
        <v>5.85974999999994E-2</v>
      </c>
      <c r="BG36" s="160">
        <f>Monthly_kWh!AH36</f>
        <v>1.91846399999997</v>
      </c>
      <c r="BH36" s="160">
        <f>Monthly_kWh!AI36</f>
        <v>0</v>
      </c>
      <c r="BI36" s="160">
        <f>Monthly_kWh!AJ36</f>
        <v>3.7499499999999998E-2</v>
      </c>
      <c r="BJ36" s="160">
        <f>Monthly_kWh!AK36</f>
        <v>0</v>
      </c>
      <c r="BK36" s="160">
        <f>Monthly_kWh!AL36</f>
        <v>0.30880389062500002</v>
      </c>
      <c r="BL36" s="160">
        <f>Monthly_kWh!AM36</f>
        <v>0.48814399999999097</v>
      </c>
      <c r="BM36" s="160">
        <f>Monthly_kWh!AN36</f>
        <v>0.37556800000000101</v>
      </c>
      <c r="BN36" s="160">
        <f>Monthly_kWh!AO36</f>
        <v>0.154975999999998</v>
      </c>
      <c r="BO36" s="160">
        <f>Monthly_kWh!AP36</f>
        <v>8.1192000000001499E-2</v>
      </c>
      <c r="BP36" s="160">
        <f>Monthly_kWh!AQ36</f>
        <v>0.32695999999999997</v>
      </c>
      <c r="BQ36" s="160">
        <f>Monthly_kWh!AR36</f>
        <v>4.5328000000000701</v>
      </c>
      <c r="BR36" s="160">
        <f>Monthly_kWh!AS36</f>
        <v>5.2274999999999801E-2</v>
      </c>
      <c r="BS36" s="160">
        <f>Monthly_kWh!AT36</f>
        <v>0</v>
      </c>
      <c r="BT36" s="160">
        <f>Monthly_kWh!AU36</f>
        <v>6.2300000000000501E-2</v>
      </c>
      <c r="BU36" s="160">
        <f>Monthly_kWh!AV36</f>
        <v>3.4777499999999698E-2</v>
      </c>
      <c r="BV36" s="160">
        <f>Monthly_kWh!AW36</f>
        <v>1.25363200000004</v>
      </c>
      <c r="BW36" s="160">
        <f>Monthly_kWh!AX36</f>
        <v>0</v>
      </c>
      <c r="BX36" s="160">
        <f>Monthly_kWh!AY36</f>
        <v>6.9487000000000507E-2</v>
      </c>
      <c r="BY36" s="160">
        <f>Monthly_kWh!AZ36</f>
        <v>3.5000000000451299E-6</v>
      </c>
      <c r="BZ36" s="160">
        <f>Monthly_kWh!BA36</f>
        <v>0</v>
      </c>
      <c r="CA36" s="160">
        <f>Monthly_kWh!BB36</f>
        <v>0</v>
      </c>
      <c r="CB36" s="160">
        <f>Monthly_kWh!BC36</f>
        <v>0</v>
      </c>
      <c r="CC36" s="160">
        <f>Monthly_kWh!BD36</f>
        <v>3.4266953124999899E-3</v>
      </c>
      <c r="CD36" s="160">
        <f>Monthly_kWh!BE36</f>
        <v>0.11817800000000001</v>
      </c>
      <c r="CE36" s="160">
        <f>Monthly_kWh!BF36</f>
        <v>0</v>
      </c>
      <c r="CF36" s="160">
        <f>Monthly_kWh!BG36</f>
        <v>1.5959999999999801E-2</v>
      </c>
      <c r="CG36" s="160">
        <f>Monthly_kWh!BH36</f>
        <v>7.5979999999979996E-3</v>
      </c>
      <c r="CH36" s="160">
        <f>Monthly_kWh!BI36</f>
        <v>2.5817919999999499</v>
      </c>
      <c r="CI36" s="160">
        <f>Monthly_kWh!BJ36</f>
        <v>5.4899999999946702E-4</v>
      </c>
      <c r="CJ36" s="160">
        <f>Monthly_kWh!BK36</f>
        <v>7.69789999999997E-2</v>
      </c>
      <c r="CK36" s="160">
        <f>Monthly_kWh!BL36</f>
        <v>0</v>
      </c>
      <c r="CL36" s="160">
        <f>Monthly_kWh!BM36</f>
        <v>2.2661440000000002</v>
      </c>
      <c r="CM36" s="160">
        <f>Monthly_kWh!BN36</f>
        <v>0</v>
      </c>
      <c r="CN36" s="160">
        <f>Monthly_kWh!BO36</f>
        <v>0.468001000000001</v>
      </c>
      <c r="CO36" s="160">
        <f>Monthly_kWh!BP36</f>
        <v>0</v>
      </c>
      <c r="CP36" s="160">
        <f>Monthly_kWh!BQ36</f>
        <v>0</v>
      </c>
      <c r="CQ36" s="160">
        <f>Monthly_kWh!BR36</f>
        <v>0</v>
      </c>
      <c r="CR36" s="160">
        <f>Monthly_kWh!BS36</f>
        <v>0</v>
      </c>
      <c r="CS36" s="160">
        <f>Monthly_kWh!BT36</f>
        <v>0.245116000000003</v>
      </c>
      <c r="CT36" s="160">
        <f>Monthly_kWh!BU36</f>
        <v>0</v>
      </c>
      <c r="CU36" s="160">
        <f>Monthly_kWh!BV36</f>
        <v>0</v>
      </c>
      <c r="CV36" s="160">
        <f>Monthly_kWh!BW36</f>
        <v>0</v>
      </c>
      <c r="CW36" s="160">
        <f>Monthly_kWh!BX36</f>
        <v>0</v>
      </c>
      <c r="CX36" s="160">
        <f>Monthly_kWh!BY36</f>
        <v>0</v>
      </c>
      <c r="CY36" s="160">
        <f>Monthly_kWh!BZ36</f>
        <v>1.01662400000001</v>
      </c>
      <c r="CZ36" s="160">
        <f>Monthly_kWh!CA36</f>
        <v>0.35895778125</v>
      </c>
      <c r="DA36" s="160">
        <f>Monthly_kWh!CB36</f>
        <v>0</v>
      </c>
      <c r="DB36" s="160">
        <f>Monthly_kWh!CC36</f>
        <v>0</v>
      </c>
      <c r="DC36" s="160">
        <f>Monthly_kWh!CD36</f>
        <v>0</v>
      </c>
      <c r="DD36" s="160">
        <f>Monthly_kWh!CE36</f>
        <v>0</v>
      </c>
      <c r="DE36" s="160">
        <f>Monthly_kWh!CF36</f>
        <v>2.3589000000001199E-2</v>
      </c>
      <c r="DF36" s="160">
        <f>Monthly_kWh!CG36</f>
        <v>0</v>
      </c>
      <c r="DG36" s="160">
        <f>Monthly_kWh!CH36</f>
        <v>1.7451250000000099E-2</v>
      </c>
      <c r="DH36" s="160">
        <f>Monthly_kWh!CI36</f>
        <v>0</v>
      </c>
      <c r="DI36" s="160">
        <f>Monthly_kWh!CJ36</f>
        <v>0</v>
      </c>
      <c r="DJ36" s="160">
        <f>Monthly_kWh!CK36</f>
        <v>0</v>
      </c>
      <c r="DK36" s="160">
        <f>Monthly_kWh!CL36</f>
        <v>2.9333999999998601E-2</v>
      </c>
      <c r="DL36" s="160">
        <f>Monthly_kWh!CM36</f>
        <v>4.2208000000000503</v>
      </c>
      <c r="DM36" s="160">
        <f>Monthly_kWh!CN36</f>
        <v>5.4914000000000102E-2</v>
      </c>
      <c r="DN36" s="160">
        <f>Monthly_kWh!CO36</f>
        <v>0.59552800000000194</v>
      </c>
      <c r="DO36" s="160">
        <f>Monthly_kWh!CP36</f>
        <v>0</v>
      </c>
      <c r="DP36" s="160">
        <f>Monthly_kWh!CQ36</f>
        <v>0</v>
      </c>
      <c r="DQ36" s="160">
        <f>Monthly_kWh!CR36</f>
        <v>0.15560499999999999</v>
      </c>
      <c r="DR36" s="160">
        <f>Monthly_kWh!CS36</f>
        <v>0</v>
      </c>
      <c r="DS36" s="160">
        <f>Monthly_kWh!CT36</f>
        <v>0.19814399999999899</v>
      </c>
      <c r="DT36" s="160">
        <f>Monthly_kWh!CU36</f>
        <v>0</v>
      </c>
      <c r="DU36" s="160">
        <f>Monthly_kWh!CV36</f>
        <v>1.45891250000001E-2</v>
      </c>
      <c r="DV36" s="160">
        <f>Monthly_kWh!CW36</f>
        <v>5.7527999999997803E-2</v>
      </c>
      <c r="DW36" s="160">
        <f>Monthly_kWh!CX36</f>
        <v>0</v>
      </c>
      <c r="DX36" s="160">
        <f>Monthly_kWh!CY36</f>
        <v>1.56889999999998E-2</v>
      </c>
      <c r="DY36" s="160">
        <f>Monthly_kWh!CZ36</f>
        <v>2.59212500000001E-2</v>
      </c>
      <c r="DZ36" s="160">
        <f>Monthly_kWh!DA36</f>
        <v>0.277808</v>
      </c>
      <c r="EA36" s="160">
        <f>Monthly_kWh!DB36</f>
        <v>0.115437</v>
      </c>
      <c r="EB36" s="160">
        <f>Monthly_kWh!DC36</f>
        <v>0.15673124999999999</v>
      </c>
      <c r="EC36" s="160">
        <f>Monthly_kWh!DD36</f>
        <v>2.9228749999999901E-2</v>
      </c>
      <c r="ED36" s="160">
        <f>Monthly_kWh!DE36</f>
        <v>0</v>
      </c>
      <c r="EE36" s="160">
        <f>Monthly_kWh!DF36</f>
        <v>0</v>
      </c>
      <c r="EF36" s="160">
        <f>Monthly_kWh!DG36</f>
        <v>1.6968999999999599E-2</v>
      </c>
      <c r="EG36" s="160">
        <f>Monthly_kWh!DH36</f>
        <v>2.0362500000000099E-2</v>
      </c>
      <c r="EH36" s="160">
        <f>Monthly_kWh!DI36</f>
        <v>4.7226880000000602</v>
      </c>
      <c r="EI36" s="160">
        <f>Monthly_kWh!DJ36</f>
        <v>0</v>
      </c>
      <c r="EJ36" s="160">
        <f>Monthly_kWh!DK36</f>
        <v>6.6878000000002699E-2</v>
      </c>
      <c r="EK36" s="160">
        <f>Monthly_kWh!DL36</f>
        <v>1.9309468749999999E-2</v>
      </c>
      <c r="EL36" s="160">
        <f>Monthly_kWh!DM36</f>
        <v>3.4016000000001198E-2</v>
      </c>
      <c r="EM36" s="160">
        <f>Monthly_kWh!DN36</f>
        <v>3.2075000000009201E-4</v>
      </c>
      <c r="EN36" s="160">
        <f>Monthly_kWh!DO36</f>
        <v>0.15043199999999499</v>
      </c>
      <c r="EO36" s="160">
        <f>Monthly_kWh!DP36</f>
        <v>4.37135000000008E-2</v>
      </c>
      <c r="EP36" s="160">
        <f>Monthly_kWh!DQ36</f>
        <v>0</v>
      </c>
      <c r="EQ36" s="160">
        <f>Monthly_kWh!DR36</f>
        <v>0</v>
      </c>
      <c r="ER36" s="160">
        <f>Monthly_kWh!DS36</f>
        <v>1.7356159999999901</v>
      </c>
      <c r="ES36" s="160">
        <f>Monthly_kWh!DT36</f>
        <v>0.380655999999999</v>
      </c>
      <c r="ET36" s="160">
        <f>Monthly_kWh!DU36</f>
        <v>4.8899999999996201E-4</v>
      </c>
      <c r="EU36" s="160">
        <f>Monthly_kWh!DV36</f>
        <v>1.119125E-2</v>
      </c>
      <c r="EV36" s="160">
        <f>Monthly_kWh!DW36</f>
        <v>0</v>
      </c>
      <c r="EW36" s="160">
        <f>Monthly_kWh!DX36</f>
        <v>8.6495000000001099E-2</v>
      </c>
      <c r="EX36" s="160">
        <f>Monthly_kWh!DY36</f>
        <v>6.7022500000000198E-3</v>
      </c>
      <c r="EY36" s="160">
        <f>Monthly_kWh!DZ36</f>
        <v>0.10381599999999799</v>
      </c>
      <c r="EZ36" s="160">
        <f>Monthly_kWh!EA36</f>
        <v>0</v>
      </c>
      <c r="FA36" s="160">
        <f>Monthly_kWh!EB36</f>
        <v>1.316576</v>
      </c>
      <c r="FB36" s="160">
        <f>Monthly_kWh!EC36</f>
        <v>0.73635199999998202</v>
      </c>
      <c r="FC36" s="160">
        <f>Monthly_kWh!ED36</f>
        <v>4.27280000000003E-2</v>
      </c>
      <c r="FD36" s="160">
        <f>Monthly_kWh!EE36</f>
        <v>0.141236999999999</v>
      </c>
      <c r="FE36" s="160">
        <f>Monthly_kWh!EF36</f>
        <v>9.7072649999991008</v>
      </c>
      <c r="FF36" s="160">
        <f>Monthly_kWh!EG36</f>
        <v>0</v>
      </c>
      <c r="FG36" s="160">
        <f>Monthly_kWh!EH36</f>
        <v>0.469567999999981</v>
      </c>
      <c r="FH36" s="160">
        <f>Monthly_kWh!EI36</f>
        <v>0.53068799999994098</v>
      </c>
      <c r="FI36" s="160">
        <f>Monthly_kWh!EJ36</f>
        <v>6.2751999999988997E-2</v>
      </c>
      <c r="FJ36" s="160">
        <f>Monthly_kWh!EK36</f>
        <v>0</v>
      </c>
      <c r="FK36" s="160">
        <f>Monthly_kWh!EL36</f>
        <v>2.2397439999999702</v>
      </c>
      <c r="FL36" s="160">
        <f>Monthly_kWh!EM36</f>
        <v>3.5279359999999498</v>
      </c>
      <c r="FM36" s="160">
        <f>Monthly_kWh!EN36</f>
        <v>0.32025599999997201</v>
      </c>
      <c r="FN36" s="160">
        <f>Monthly_kWh!EO36</f>
        <v>1.8176000000039501E-2</v>
      </c>
      <c r="FO36" s="160">
        <f>Monthly_kWh!EP36</f>
        <v>0</v>
      </c>
      <c r="FP36" s="160">
        <f>Monthly_kWh!ER36</f>
        <v>2.5479150000000201</v>
      </c>
      <c r="FQ36" s="160">
        <f>Monthly_kWh!EQ36</f>
        <v>0</v>
      </c>
      <c r="FR36" s="160">
        <f>Monthly_kWh!M36</f>
        <v>0</v>
      </c>
      <c r="FS36" s="160">
        <f>Monthly_kWh!G36</f>
        <v>0</v>
      </c>
      <c r="FT36" s="160">
        <f>Monthly_kWh!C36</f>
        <v>0</v>
      </c>
      <c r="FU36" s="160">
        <f>Monthly_kWh!D36</f>
        <v>7.9670260000000299</v>
      </c>
      <c r="FV36" s="160">
        <f>Monthly_kWh!E36</f>
        <v>6.7715319999999801</v>
      </c>
      <c r="FW36" s="160">
        <f>Monthly_kWh!F36</f>
        <v>7.5752009999999901</v>
      </c>
      <c r="FX36" s="160">
        <f>Monthly_kWh!Q36</f>
        <v>0</v>
      </c>
      <c r="FY36" s="160">
        <f>Monthly_kWh!R36</f>
        <v>7.8069759999998496</v>
      </c>
      <c r="FZ36" s="160">
        <f>Monthly_kWh!S36</f>
        <v>6.5663999999996996</v>
      </c>
      <c r="GA36" s="160">
        <f>Monthly_kWh!T36</f>
        <v>7.3564160000023504</v>
      </c>
      <c r="GB36" s="160">
        <f t="shared" si="0"/>
        <v>27.719902000000012</v>
      </c>
      <c r="GC36" s="160">
        <f t="shared" si="1"/>
        <v>25.449696999999283</v>
      </c>
      <c r="GD36" s="160">
        <f t="shared" si="2"/>
        <v>2.270205000000729</v>
      </c>
      <c r="GE36" s="159">
        <f t="shared" si="3"/>
        <v>8.1898016811196808E-2</v>
      </c>
    </row>
    <row r="37" spans="2:187" ht="32.25" customHeight="1" x14ac:dyDescent="0.25">
      <c r="B37" s="168">
        <v>31</v>
      </c>
      <c r="C37" s="160">
        <f>Monthly_kWh!H37</f>
        <v>0</v>
      </c>
      <c r="D37" s="160">
        <f>Monthly_kWh!I37</f>
        <v>0</v>
      </c>
      <c r="E37" s="160">
        <f>Monthly_kWh!J37</f>
        <v>0</v>
      </c>
      <c r="F37" s="160">
        <f>Monthly_kWh!K37</f>
        <v>0</v>
      </c>
      <c r="G37" s="160">
        <f>Monthly_kWh!L37</f>
        <v>0</v>
      </c>
      <c r="H37" s="160">
        <f>Monthly_kWh!U37</f>
        <v>0</v>
      </c>
      <c r="I37" s="160">
        <f>Monthly_kWh!P37</f>
        <v>0</v>
      </c>
      <c r="J37" s="160">
        <f>Monthly_kWh!N37</f>
        <v>0</v>
      </c>
      <c r="K37" s="160">
        <f>Monthly_kWh!O37</f>
        <v>0</v>
      </c>
      <c r="L37" s="160">
        <f>Monthly_kWh!B37</f>
        <v>0</v>
      </c>
      <c r="M37" s="160">
        <f>Monthly_kWh!AR37</f>
        <v>0</v>
      </c>
      <c r="N37" s="160">
        <f>Monthly_kWh!BM37</f>
        <v>0</v>
      </c>
      <c r="O37" s="160">
        <f>Monthly_kWh!CM37</f>
        <v>0</v>
      </c>
      <c r="P37" s="160">
        <f>Monthly_kWh!DI37</f>
        <v>0</v>
      </c>
      <c r="Q37" s="160">
        <f>Monthly_kWh!EF37</f>
        <v>0</v>
      </c>
      <c r="R37" s="119">
        <f>SUM('Zone wise Meter data'!O60:AF60)</f>
        <v>0</v>
      </c>
      <c r="S37" s="115">
        <f>SUM('Zone wise Meter data'!AG60:AW60)</f>
        <v>0</v>
      </c>
      <c r="T37" s="115">
        <f>SUM('Zone wise Meter data'!AX60:BA60)</f>
        <v>0</v>
      </c>
      <c r="U37" s="115">
        <f>SUM('Zone wise Meter data'!BB60:BC60)</f>
        <v>0</v>
      </c>
      <c r="V37" s="115">
        <f>SUM('Zone wise Meter data'!BD60:BL60)</f>
        <v>0</v>
      </c>
      <c r="W37" s="115">
        <f>SUM('Zone wise Meter data'!BM60:BX60)</f>
        <v>0</v>
      </c>
      <c r="X37" s="115">
        <f>SUM('Zone wise Meter data'!BY60:CE60)</f>
        <v>0</v>
      </c>
      <c r="Y37" s="115">
        <f>SUM('Zone wise Meter data'!CF60:CK60)</f>
        <v>0</v>
      </c>
      <c r="Z37" s="115">
        <f>SUM('Zone wise Meter data'!CL60:CO60)</f>
        <v>0</v>
      </c>
      <c r="AA37" s="115">
        <f>SUM('Zone wise Meter data'!CP60:DD60)</f>
        <v>0</v>
      </c>
      <c r="AB37" s="115">
        <f>SUM('Zone wise Meter data'!DE60:DN60)</f>
        <v>0</v>
      </c>
      <c r="AC37" s="115">
        <f>SUM('Zone wise Meter data'!DO60:ED60)</f>
        <v>0</v>
      </c>
      <c r="AD37" s="160">
        <f>Monthly_kWh!AW37</f>
        <v>0</v>
      </c>
      <c r="AE37" s="160">
        <f>Monthly_kWh!DS37</f>
        <v>0</v>
      </c>
      <c r="AF37" s="160">
        <f>Monthly_kWh!EL37</f>
        <v>0</v>
      </c>
      <c r="AG37" s="160">
        <f>Monthly_kWh!EK37</f>
        <v>0</v>
      </c>
      <c r="AH37" s="160">
        <f>Monthly_kWh!EN37</f>
        <v>0</v>
      </c>
      <c r="AI37" s="160">
        <f>Monthly_kWh!EO37</f>
        <v>0</v>
      </c>
      <c r="AJ37" s="160">
        <f>Monthly_kWh!EM37</f>
        <v>0</v>
      </c>
      <c r="AK37" s="160">
        <f>Monthly_kWh!ER37</f>
        <v>0</v>
      </c>
      <c r="AL37" s="160">
        <f>Monthly_kWh!EI37</f>
        <v>0</v>
      </c>
      <c r="AM37" s="160">
        <f>Monthly_kWh!EJ37+Hourly_kWh!AS37</f>
        <v>0</v>
      </c>
      <c r="AN37" s="160">
        <f>Monthly_kWh!CX37+Hourly_kWh!CY37+Hourly_kWh!DC37+Hourly_kWh!DD37</f>
        <v>0</v>
      </c>
      <c r="AO37" s="160">
        <f>SUM(Hourly_kWh!AI37:AQ37)</f>
        <v>0</v>
      </c>
      <c r="AP37" s="160">
        <f>SUM(Hourly_kWh!V37:AG37)</f>
        <v>0</v>
      </c>
      <c r="AQ37" s="160">
        <f>Monthly_kWh!DB37</f>
        <v>0</v>
      </c>
      <c r="AR37" s="160">
        <f>Monthly_kWh!CO37</f>
        <v>0</v>
      </c>
      <c r="AS37" s="160">
        <f>Monthly_kWh!BJ37</f>
        <v>0</v>
      </c>
      <c r="AT37" s="160">
        <f>Monthly_kWh!U37</f>
        <v>0</v>
      </c>
      <c r="AU37" s="160">
        <f>Monthly_kWh!V37</f>
        <v>0</v>
      </c>
      <c r="AV37" s="160">
        <f>Monthly_kWh!W37</f>
        <v>0</v>
      </c>
      <c r="AW37" s="160">
        <f>Monthly_kWh!X37</f>
        <v>0</v>
      </c>
      <c r="AX37" s="160">
        <f>Monthly_kWh!Y37</f>
        <v>0</v>
      </c>
      <c r="AY37" s="160">
        <f>Monthly_kWh!Z37</f>
        <v>0</v>
      </c>
      <c r="AZ37" s="160">
        <f>Monthly_kWh!AA37</f>
        <v>0</v>
      </c>
      <c r="BA37" s="160">
        <f>Monthly_kWh!AB37</f>
        <v>0</v>
      </c>
      <c r="BB37" s="160">
        <f>Monthly_kWh!AC37</f>
        <v>0</v>
      </c>
      <c r="BC37" s="160">
        <f>Monthly_kWh!AD37</f>
        <v>0</v>
      </c>
      <c r="BD37" s="160">
        <f>Monthly_kWh!AE37</f>
        <v>0</v>
      </c>
      <c r="BE37" s="160">
        <f>Monthly_kWh!AF37</f>
        <v>0</v>
      </c>
      <c r="BF37" s="160">
        <f>Monthly_kWh!AG37</f>
        <v>0</v>
      </c>
      <c r="BG37" s="160">
        <f>Monthly_kWh!AH37</f>
        <v>0</v>
      </c>
      <c r="BH37" s="160">
        <f>Monthly_kWh!AI37</f>
        <v>0</v>
      </c>
      <c r="BI37" s="160">
        <f>Monthly_kWh!AJ37</f>
        <v>0</v>
      </c>
      <c r="BJ37" s="160">
        <f>Monthly_kWh!AK37</f>
        <v>0</v>
      </c>
      <c r="BK37" s="160">
        <f>Monthly_kWh!AL37</f>
        <v>0</v>
      </c>
      <c r="BL37" s="160">
        <f>Monthly_kWh!AM37</f>
        <v>0</v>
      </c>
      <c r="BM37" s="160">
        <f>Monthly_kWh!AN37</f>
        <v>0</v>
      </c>
      <c r="BN37" s="160">
        <f>Monthly_kWh!AO37</f>
        <v>0</v>
      </c>
      <c r="BO37" s="160">
        <f>Monthly_kWh!AP37</f>
        <v>0</v>
      </c>
      <c r="BP37" s="160">
        <f>Monthly_kWh!AQ37</f>
        <v>0</v>
      </c>
      <c r="BQ37" s="160">
        <f>Monthly_kWh!AR37</f>
        <v>0</v>
      </c>
      <c r="BR37" s="160">
        <f>Monthly_kWh!AS37</f>
        <v>0</v>
      </c>
      <c r="BS37" s="160">
        <f>Monthly_kWh!AT37</f>
        <v>0</v>
      </c>
      <c r="BT37" s="160">
        <f>Monthly_kWh!AU37</f>
        <v>0</v>
      </c>
      <c r="BU37" s="160">
        <f>Monthly_kWh!AV37</f>
        <v>0</v>
      </c>
      <c r="BV37" s="160">
        <f>Monthly_kWh!AW37</f>
        <v>0</v>
      </c>
      <c r="BW37" s="160">
        <f>Monthly_kWh!AX37</f>
        <v>0</v>
      </c>
      <c r="BX37" s="160">
        <f>Monthly_kWh!AY37</f>
        <v>0</v>
      </c>
      <c r="BY37" s="160">
        <f>Monthly_kWh!AZ37</f>
        <v>0</v>
      </c>
      <c r="BZ37" s="160">
        <f>Monthly_kWh!BA37</f>
        <v>0</v>
      </c>
      <c r="CA37" s="160">
        <f>Monthly_kWh!BB37</f>
        <v>0</v>
      </c>
      <c r="CB37" s="160">
        <f>Monthly_kWh!BC37</f>
        <v>0</v>
      </c>
      <c r="CC37" s="160">
        <f>Monthly_kWh!BD37</f>
        <v>0</v>
      </c>
      <c r="CD37" s="160">
        <f>Monthly_kWh!BE37</f>
        <v>0</v>
      </c>
      <c r="CE37" s="160">
        <f>Monthly_kWh!BF37</f>
        <v>0</v>
      </c>
      <c r="CF37" s="160">
        <f>Monthly_kWh!BG37</f>
        <v>0</v>
      </c>
      <c r="CG37" s="160">
        <f>Monthly_kWh!BH37</f>
        <v>0</v>
      </c>
      <c r="CH37" s="160">
        <f>Monthly_kWh!BI37</f>
        <v>0</v>
      </c>
      <c r="CI37" s="160">
        <f>Monthly_kWh!BJ37</f>
        <v>0</v>
      </c>
      <c r="CJ37" s="160">
        <f>Monthly_kWh!BK37</f>
        <v>0</v>
      </c>
      <c r="CK37" s="160">
        <f>Monthly_kWh!BL37</f>
        <v>0</v>
      </c>
      <c r="CL37" s="160">
        <f>Monthly_kWh!BM37</f>
        <v>0</v>
      </c>
      <c r="CM37" s="160">
        <f>Monthly_kWh!BN37</f>
        <v>0</v>
      </c>
      <c r="CN37" s="160">
        <f>Monthly_kWh!BO37</f>
        <v>0</v>
      </c>
      <c r="CO37" s="160">
        <f>Monthly_kWh!BP37</f>
        <v>0</v>
      </c>
      <c r="CP37" s="160">
        <f>Monthly_kWh!BQ37</f>
        <v>0</v>
      </c>
      <c r="CQ37" s="160">
        <f>Monthly_kWh!BR37</f>
        <v>0</v>
      </c>
      <c r="CR37" s="160">
        <f>Monthly_kWh!BS37</f>
        <v>0</v>
      </c>
      <c r="CS37" s="160">
        <f>Monthly_kWh!BT37</f>
        <v>0</v>
      </c>
      <c r="CT37" s="160">
        <f>Monthly_kWh!BU37</f>
        <v>0</v>
      </c>
      <c r="CU37" s="160">
        <f>Monthly_kWh!BV37</f>
        <v>0</v>
      </c>
      <c r="CV37" s="160">
        <f>Monthly_kWh!BW37</f>
        <v>0</v>
      </c>
      <c r="CW37" s="160">
        <f>Monthly_kWh!BX37</f>
        <v>0</v>
      </c>
      <c r="CX37" s="160">
        <f>Monthly_kWh!BY37</f>
        <v>0</v>
      </c>
      <c r="CY37" s="160">
        <f>Monthly_kWh!BZ37</f>
        <v>0</v>
      </c>
      <c r="CZ37" s="160">
        <f>Monthly_kWh!CA37</f>
        <v>0</v>
      </c>
      <c r="DA37" s="160">
        <f>Monthly_kWh!CB37</f>
        <v>0</v>
      </c>
      <c r="DB37" s="160">
        <f>Monthly_kWh!CC37</f>
        <v>0</v>
      </c>
      <c r="DC37" s="160">
        <f>Monthly_kWh!CD37</f>
        <v>0</v>
      </c>
      <c r="DD37" s="160">
        <f>Monthly_kWh!CE37</f>
        <v>0</v>
      </c>
      <c r="DE37" s="160">
        <f>Monthly_kWh!CF37</f>
        <v>0</v>
      </c>
      <c r="DF37" s="160">
        <f>Monthly_kWh!CG37</f>
        <v>0</v>
      </c>
      <c r="DG37" s="160">
        <f>Monthly_kWh!CH37</f>
        <v>0</v>
      </c>
      <c r="DH37" s="160">
        <f>Monthly_kWh!CI37</f>
        <v>0</v>
      </c>
      <c r="DI37" s="160">
        <f>Monthly_kWh!CJ37</f>
        <v>0</v>
      </c>
      <c r="DJ37" s="160">
        <f>Monthly_kWh!CK37</f>
        <v>0</v>
      </c>
      <c r="DK37" s="160">
        <f>Monthly_kWh!CL37</f>
        <v>0</v>
      </c>
      <c r="DL37" s="160">
        <f>Monthly_kWh!CM37</f>
        <v>0</v>
      </c>
      <c r="DM37" s="160">
        <f>Monthly_kWh!CN37</f>
        <v>0</v>
      </c>
      <c r="DN37" s="160">
        <f>Monthly_kWh!CO37</f>
        <v>0</v>
      </c>
      <c r="DO37" s="160">
        <f>Monthly_kWh!CP37</f>
        <v>0</v>
      </c>
      <c r="DP37" s="160">
        <f>Monthly_kWh!CQ37</f>
        <v>0</v>
      </c>
      <c r="DQ37" s="160">
        <f>Monthly_kWh!CR37</f>
        <v>0</v>
      </c>
      <c r="DR37" s="160">
        <f>Monthly_kWh!CS37</f>
        <v>0</v>
      </c>
      <c r="DS37" s="160">
        <f>Monthly_kWh!CT37</f>
        <v>0</v>
      </c>
      <c r="DT37" s="160">
        <f>Monthly_kWh!CU37</f>
        <v>0</v>
      </c>
      <c r="DU37" s="160">
        <f>Monthly_kWh!CV37</f>
        <v>0</v>
      </c>
      <c r="DV37" s="160">
        <f>Monthly_kWh!CW37</f>
        <v>0</v>
      </c>
      <c r="DW37" s="160">
        <f>Monthly_kWh!CX37</f>
        <v>0</v>
      </c>
      <c r="DX37" s="160">
        <f>Monthly_kWh!CY37</f>
        <v>0</v>
      </c>
      <c r="DY37" s="160">
        <f>Monthly_kWh!CZ37</f>
        <v>0</v>
      </c>
      <c r="DZ37" s="160">
        <f>Monthly_kWh!DA37</f>
        <v>0</v>
      </c>
      <c r="EA37" s="160">
        <f>Monthly_kWh!DB37</f>
        <v>0</v>
      </c>
      <c r="EB37" s="160">
        <f>Monthly_kWh!DC37</f>
        <v>0</v>
      </c>
      <c r="EC37" s="160">
        <f>Monthly_kWh!DD37</f>
        <v>0</v>
      </c>
      <c r="ED37" s="160">
        <f>Monthly_kWh!DE37</f>
        <v>0</v>
      </c>
      <c r="EE37" s="160">
        <f>Monthly_kWh!DF37</f>
        <v>0</v>
      </c>
      <c r="EF37" s="160">
        <f>Monthly_kWh!DG37</f>
        <v>0</v>
      </c>
      <c r="EG37" s="160">
        <f>Monthly_kWh!DH37</f>
        <v>0</v>
      </c>
      <c r="EH37" s="160">
        <f>Monthly_kWh!DI37</f>
        <v>0</v>
      </c>
      <c r="EI37" s="160">
        <f>Monthly_kWh!DJ37</f>
        <v>0</v>
      </c>
      <c r="EJ37" s="160">
        <f>Monthly_kWh!DK37</f>
        <v>0</v>
      </c>
      <c r="EK37" s="160">
        <f>Monthly_kWh!DL37</f>
        <v>0</v>
      </c>
      <c r="EL37" s="160">
        <f>Monthly_kWh!DM37</f>
        <v>0</v>
      </c>
      <c r="EM37" s="160">
        <f>Monthly_kWh!DN37</f>
        <v>0</v>
      </c>
      <c r="EN37" s="160">
        <f>Monthly_kWh!DO37</f>
        <v>0</v>
      </c>
      <c r="EO37" s="160">
        <f>Monthly_kWh!DP37</f>
        <v>0</v>
      </c>
      <c r="EP37" s="160">
        <f>Monthly_kWh!DQ37</f>
        <v>0</v>
      </c>
      <c r="EQ37" s="160">
        <f>Monthly_kWh!DR37</f>
        <v>0</v>
      </c>
      <c r="ER37" s="160">
        <f>Monthly_kWh!DS37</f>
        <v>0</v>
      </c>
      <c r="ES37" s="160">
        <f>Monthly_kWh!DT37</f>
        <v>0</v>
      </c>
      <c r="ET37" s="160">
        <f>Monthly_kWh!DU37</f>
        <v>0</v>
      </c>
      <c r="EU37" s="160">
        <f>Monthly_kWh!DV37</f>
        <v>0</v>
      </c>
      <c r="EV37" s="160">
        <f>Monthly_kWh!DW37</f>
        <v>0</v>
      </c>
      <c r="EW37" s="160">
        <f>Monthly_kWh!DX37</f>
        <v>0</v>
      </c>
      <c r="EX37" s="160">
        <f>Monthly_kWh!DY37</f>
        <v>0</v>
      </c>
      <c r="EY37" s="160">
        <f>Monthly_kWh!DZ37</f>
        <v>0</v>
      </c>
      <c r="EZ37" s="160">
        <f>Monthly_kWh!EA37</f>
        <v>0</v>
      </c>
      <c r="FA37" s="160">
        <f>Monthly_kWh!EB37</f>
        <v>0</v>
      </c>
      <c r="FB37" s="160">
        <f>Monthly_kWh!EC37</f>
        <v>0</v>
      </c>
      <c r="FC37" s="160">
        <f>Monthly_kWh!ED37</f>
        <v>0</v>
      </c>
      <c r="FD37" s="160">
        <f>Monthly_kWh!EE37</f>
        <v>0</v>
      </c>
      <c r="FE37" s="160">
        <f>Monthly_kWh!EF37</f>
        <v>0</v>
      </c>
      <c r="FF37" s="160">
        <f>Monthly_kWh!EG37</f>
        <v>0</v>
      </c>
      <c r="FG37" s="160">
        <f>Monthly_kWh!EH37</f>
        <v>0</v>
      </c>
      <c r="FH37" s="160">
        <f>Monthly_kWh!EI37</f>
        <v>0</v>
      </c>
      <c r="FI37" s="160">
        <f>Monthly_kWh!EJ37</f>
        <v>0</v>
      </c>
      <c r="FJ37" s="160">
        <f>Monthly_kWh!EK37</f>
        <v>0</v>
      </c>
      <c r="FK37" s="160">
        <f>Monthly_kWh!EL37</f>
        <v>0</v>
      </c>
      <c r="FL37" s="160">
        <f>Monthly_kWh!EM37</f>
        <v>0</v>
      </c>
      <c r="FM37" s="160">
        <f>Monthly_kWh!EN37</f>
        <v>0</v>
      </c>
      <c r="FN37" s="160">
        <f>Monthly_kWh!EO37</f>
        <v>0</v>
      </c>
      <c r="FO37" s="160">
        <f>Monthly_kWh!EP37</f>
        <v>0</v>
      </c>
      <c r="FP37" s="160">
        <f>Monthly_kWh!ER37</f>
        <v>0</v>
      </c>
      <c r="FQ37" s="160">
        <f>Monthly_kWh!EQ37</f>
        <v>0</v>
      </c>
      <c r="FR37" s="160">
        <f>Monthly_kWh!M37</f>
        <v>0</v>
      </c>
      <c r="FS37" s="160">
        <f>Monthly_kWh!G37</f>
        <v>0</v>
      </c>
      <c r="FT37" s="160">
        <f>Monthly_kWh!C37</f>
        <v>0</v>
      </c>
      <c r="FU37" s="160">
        <f>Monthly_kWh!D37</f>
        <v>0</v>
      </c>
      <c r="FV37" s="160">
        <f>Monthly_kWh!E37</f>
        <v>0</v>
      </c>
      <c r="FW37" s="160">
        <f>Monthly_kWh!F37</f>
        <v>0</v>
      </c>
      <c r="FX37" s="160">
        <f>Monthly_kWh!Q37</f>
        <v>0</v>
      </c>
      <c r="FY37" s="160">
        <f>Monthly_kWh!R37</f>
        <v>0</v>
      </c>
      <c r="FZ37" s="160">
        <f>Monthly_kWh!S37</f>
        <v>0</v>
      </c>
      <c r="GA37" s="160">
        <f>Monthly_kWh!T37</f>
        <v>0</v>
      </c>
      <c r="GB37" s="160">
        <f t="shared" si="0"/>
        <v>0</v>
      </c>
      <c r="GC37" s="160">
        <f t="shared" si="1"/>
        <v>0</v>
      </c>
      <c r="GD37" s="160">
        <f t="shared" si="2"/>
        <v>0</v>
      </c>
      <c r="GE37" s="159" t="e">
        <f t="shared" si="3"/>
        <v>#DIV/0!</v>
      </c>
    </row>
    <row r="38" spans="2:187" ht="32.25" customHeight="1" x14ac:dyDescent="0.25">
      <c r="B38" s="169"/>
    </row>
    <row r="39" spans="2:187" s="169" customFormat="1" ht="32.25" customHeight="1" x14ac:dyDescent="0.25">
      <c r="B39" s="170" t="s">
        <v>50</v>
      </c>
      <c r="C39" s="171">
        <f>SUM(C7:C37)</f>
        <v>4.0273710000000005</v>
      </c>
      <c r="D39" s="171">
        <f t="shared" ref="D39:BV39" si="4">SUM(D7:D37)</f>
        <v>4.7435829999999983</v>
      </c>
      <c r="E39" s="171">
        <f t="shared" si="4"/>
        <v>1.3901389999999996</v>
      </c>
      <c r="F39" s="171">
        <f t="shared" si="4"/>
        <v>0.97925899999999988</v>
      </c>
      <c r="G39" s="171">
        <f t="shared" si="4"/>
        <v>3.1092139999999988</v>
      </c>
      <c r="H39" s="171">
        <f t="shared" si="4"/>
        <v>13.141824</v>
      </c>
      <c r="I39" s="171">
        <f t="shared" si="4"/>
        <v>7.6628319999999963</v>
      </c>
      <c r="J39" s="171">
        <f t="shared" si="4"/>
        <v>110.47305100000005</v>
      </c>
      <c r="K39" s="171">
        <f t="shared" si="4"/>
        <v>111.09342500000014</v>
      </c>
      <c r="L39" s="171">
        <f t="shared" si="4"/>
        <v>544.43287499999997</v>
      </c>
      <c r="M39" s="171">
        <f t="shared" si="4"/>
        <v>135.83024</v>
      </c>
      <c r="N39" s="171">
        <f t="shared" si="4"/>
        <v>44.662335999999982</v>
      </c>
      <c r="O39" s="171">
        <f t="shared" si="4"/>
        <v>126.3993599999999</v>
      </c>
      <c r="P39" s="171">
        <f t="shared" si="4"/>
        <v>110.19871999999999</v>
      </c>
      <c r="Q39" s="171">
        <f t="shared" si="4"/>
        <v>321.06004800000034</v>
      </c>
      <c r="R39" s="171">
        <f t="shared" si="4"/>
        <v>38.963102937499997</v>
      </c>
      <c r="S39" s="171">
        <f t="shared" si="4"/>
        <v>65.594030796875003</v>
      </c>
      <c r="T39" s="171">
        <f t="shared" si="4"/>
        <v>35.355133999999929</v>
      </c>
      <c r="U39" s="171">
        <f t="shared" si="4"/>
        <v>78.822944000000078</v>
      </c>
      <c r="V39" s="171">
        <f t="shared" si="4"/>
        <v>317.35931200000022</v>
      </c>
      <c r="W39" s="171">
        <f t="shared" si="4"/>
        <v>10.444049500000002</v>
      </c>
      <c r="X39" s="171">
        <f t="shared" si="4"/>
        <v>0.61429412500000014</v>
      </c>
      <c r="Y39" s="171">
        <f t="shared" si="4"/>
        <v>41.275032968750011</v>
      </c>
      <c r="Z39" s="171">
        <f t="shared" si="4"/>
        <v>42.865167999999983</v>
      </c>
      <c r="AA39" s="171">
        <f t="shared" si="4"/>
        <v>29.026636937500008</v>
      </c>
      <c r="AB39" s="171">
        <f t="shared" si="4"/>
        <v>6.6235987924194353</v>
      </c>
      <c r="AC39" s="171">
        <f t="shared" si="4"/>
        <v>0</v>
      </c>
      <c r="AD39" s="171">
        <f t="shared" si="4"/>
        <v>48.029248000000045</v>
      </c>
      <c r="AE39" s="171">
        <f t="shared" si="4"/>
        <v>30.793696000000015</v>
      </c>
      <c r="AF39" s="171">
        <f t="shared" si="4"/>
        <v>48.869375999999882</v>
      </c>
      <c r="AG39" s="171">
        <f t="shared" si="4"/>
        <v>0</v>
      </c>
      <c r="AH39" s="171">
        <f t="shared" si="4"/>
        <v>56.579584000000075</v>
      </c>
      <c r="AI39" s="171">
        <f t="shared" si="4"/>
        <v>18.202432000000037</v>
      </c>
      <c r="AJ39" s="171"/>
      <c r="AK39" s="171">
        <f>SUM(AJ7:AJ37)</f>
        <v>91.728128000000211</v>
      </c>
      <c r="AL39" s="171">
        <f t="shared" si="4"/>
        <v>18.896384000000015</v>
      </c>
      <c r="AM39" s="171">
        <f t="shared" si="4"/>
        <v>1.3357310000000011</v>
      </c>
      <c r="AN39" s="171">
        <f t="shared" si="4"/>
        <v>6.0017410000000009</v>
      </c>
      <c r="AO39" s="171">
        <f t="shared" si="4"/>
        <v>1.7731433906249914</v>
      </c>
      <c r="AP39" s="171">
        <f t="shared" si="4"/>
        <v>0.86581399999999853</v>
      </c>
      <c r="AQ39" s="171">
        <f t="shared" si="4"/>
        <v>3.1897740000000003</v>
      </c>
      <c r="AR39" s="171">
        <f t="shared" si="4"/>
        <v>18.860447999999998</v>
      </c>
      <c r="AS39" s="171">
        <f t="shared" si="4"/>
        <v>5.8973999999999187E-2</v>
      </c>
      <c r="AT39" s="171">
        <f t="shared" si="4"/>
        <v>13.141824</v>
      </c>
      <c r="AU39" s="171">
        <f t="shared" si="4"/>
        <v>3.774054</v>
      </c>
      <c r="AV39" s="171">
        <f t="shared" si="4"/>
        <v>1.6838770000000007</v>
      </c>
      <c r="AW39" s="171">
        <f t="shared" si="4"/>
        <v>1.9131800000000005</v>
      </c>
      <c r="AX39" s="171">
        <f t="shared" si="4"/>
        <v>0</v>
      </c>
      <c r="AY39" s="171">
        <f t="shared" si="4"/>
        <v>1.3473400000000009</v>
      </c>
      <c r="AZ39" s="171">
        <f t="shared" si="4"/>
        <v>3.0588079999999991</v>
      </c>
      <c r="BA39" s="171">
        <f t="shared" si="4"/>
        <v>4.7117499999999968</v>
      </c>
      <c r="BB39" s="171">
        <f t="shared" si="4"/>
        <v>3.5413060000000041</v>
      </c>
      <c r="BC39" s="171">
        <f t="shared" si="4"/>
        <v>1.6591389999999999</v>
      </c>
      <c r="BD39" s="171">
        <f t="shared" si="4"/>
        <v>2.9231884999999989</v>
      </c>
      <c r="BE39" s="171">
        <f t="shared" si="4"/>
        <v>0</v>
      </c>
      <c r="BF39" s="171">
        <f t="shared" si="4"/>
        <v>0.53561274999999975</v>
      </c>
      <c r="BG39" s="171">
        <f t="shared" si="4"/>
        <v>51.397759999999998</v>
      </c>
      <c r="BH39" s="171">
        <f t="shared" si="4"/>
        <v>0</v>
      </c>
      <c r="BI39" s="171">
        <f t="shared" si="4"/>
        <v>1.0602035000000001</v>
      </c>
      <c r="BJ39" s="171">
        <f t="shared" si="4"/>
        <v>0</v>
      </c>
      <c r="BK39" s="171">
        <f t="shared" si="4"/>
        <v>8.6217362968750013</v>
      </c>
      <c r="BL39" s="171">
        <f t="shared" si="4"/>
        <v>12.536623999999989</v>
      </c>
      <c r="BM39" s="171">
        <f t="shared" si="4"/>
        <v>10.019431999999995</v>
      </c>
      <c r="BN39" s="171">
        <f t="shared" si="4"/>
        <v>4.0864899999999995</v>
      </c>
      <c r="BO39" s="171">
        <f t="shared" si="4"/>
        <v>2.4404579999999996</v>
      </c>
      <c r="BP39" s="171">
        <f t="shared" si="4"/>
        <v>8.3326520000000048</v>
      </c>
      <c r="BQ39" s="171">
        <f t="shared" si="4"/>
        <v>135.83024</v>
      </c>
      <c r="BR39" s="171">
        <f t="shared" si="4"/>
        <v>1.7098859999999994</v>
      </c>
      <c r="BS39" s="171">
        <f t="shared" si="4"/>
        <v>0</v>
      </c>
      <c r="BT39" s="171">
        <f t="shared" si="4"/>
        <v>1.400092000000001</v>
      </c>
      <c r="BU39" s="171">
        <f t="shared" si="4"/>
        <v>0.86065799999999992</v>
      </c>
      <c r="BV39" s="171">
        <f t="shared" si="4"/>
        <v>48.029248000000045</v>
      </c>
      <c r="BW39" s="171">
        <f t="shared" ref="BW39:EH39" si="5">SUM(BW7:BW37)</f>
        <v>0</v>
      </c>
      <c r="BX39" s="171">
        <f t="shared" si="5"/>
        <v>2.3367729999999995</v>
      </c>
      <c r="BY39" s="171">
        <f t="shared" si="5"/>
        <v>1.2849999999975381E-4</v>
      </c>
      <c r="BZ39" s="171">
        <f t="shared" si="5"/>
        <v>0</v>
      </c>
      <c r="CA39" s="171">
        <f t="shared" si="5"/>
        <v>0</v>
      </c>
      <c r="CB39" s="171">
        <f t="shared" si="5"/>
        <v>0</v>
      </c>
      <c r="CC39" s="171">
        <f t="shared" si="5"/>
        <v>0.1036623920288087</v>
      </c>
      <c r="CD39" s="171">
        <f t="shared" si="5"/>
        <v>4.5285519999999959</v>
      </c>
      <c r="CE39" s="171">
        <f t="shared" si="5"/>
        <v>0</v>
      </c>
      <c r="CF39" s="171">
        <f t="shared" si="5"/>
        <v>0.47568799999999983</v>
      </c>
      <c r="CG39" s="171">
        <f t="shared" si="5"/>
        <v>0.54119400000000084</v>
      </c>
      <c r="CH39" s="171">
        <f t="shared" si="5"/>
        <v>67.333167999999944</v>
      </c>
      <c r="CI39" s="171">
        <f t="shared" si="5"/>
        <v>5.8973999999999187E-2</v>
      </c>
      <c r="CJ39" s="171">
        <f t="shared" si="5"/>
        <v>1.9954485000000002</v>
      </c>
      <c r="CK39" s="171">
        <f t="shared" si="5"/>
        <v>2.3040000000023064E-3</v>
      </c>
      <c r="CL39" s="171">
        <f t="shared" si="5"/>
        <v>44.662335999999982</v>
      </c>
      <c r="CM39" s="171">
        <f t="shared" si="5"/>
        <v>0</v>
      </c>
      <c r="CN39" s="171">
        <f t="shared" si="5"/>
        <v>8.3317330000000016</v>
      </c>
      <c r="CO39" s="171">
        <f t="shared" si="5"/>
        <v>0</v>
      </c>
      <c r="CP39" s="171">
        <f t="shared" si="5"/>
        <v>0</v>
      </c>
      <c r="CQ39" s="171">
        <f t="shared" si="5"/>
        <v>0</v>
      </c>
      <c r="CR39" s="171">
        <f t="shared" si="5"/>
        <v>0</v>
      </c>
      <c r="CS39" s="171">
        <f t="shared" si="5"/>
        <v>5.2186679999999983</v>
      </c>
      <c r="CT39" s="171">
        <f t="shared" si="5"/>
        <v>0</v>
      </c>
      <c r="CU39" s="171">
        <f t="shared" si="5"/>
        <v>0</v>
      </c>
      <c r="CV39" s="171">
        <f t="shared" si="5"/>
        <v>0</v>
      </c>
      <c r="CW39" s="171">
        <f t="shared" si="5"/>
        <v>0</v>
      </c>
      <c r="CX39" s="171">
        <f t="shared" si="5"/>
        <v>6.8399999999990701E-4</v>
      </c>
      <c r="CY39" s="171">
        <f t="shared" si="5"/>
        <v>20.076736000000022</v>
      </c>
      <c r="CZ39" s="171">
        <f t="shared" si="5"/>
        <v>6.7434576874999967</v>
      </c>
      <c r="DA39" s="171">
        <f t="shared" si="5"/>
        <v>0</v>
      </c>
      <c r="DB39" s="171">
        <f t="shared" si="5"/>
        <v>0</v>
      </c>
      <c r="DC39" s="171">
        <f t="shared" si="5"/>
        <v>0</v>
      </c>
      <c r="DD39" s="171">
        <f t="shared" si="5"/>
        <v>0</v>
      </c>
      <c r="DE39" s="171">
        <f t="shared" si="5"/>
        <v>1.0956500000000009</v>
      </c>
      <c r="DF39" s="171">
        <f t="shared" si="5"/>
        <v>0</v>
      </c>
      <c r="DG39" s="171">
        <f t="shared" si="5"/>
        <v>0.19730624999999979</v>
      </c>
      <c r="DH39" s="171">
        <f t="shared" si="5"/>
        <v>0</v>
      </c>
      <c r="DI39" s="171">
        <f t="shared" si="5"/>
        <v>0</v>
      </c>
      <c r="DJ39" s="171">
        <f t="shared" si="5"/>
        <v>0</v>
      </c>
      <c r="DK39" s="171">
        <f t="shared" si="5"/>
        <v>2.1760660000000001</v>
      </c>
      <c r="DL39" s="171">
        <f t="shared" si="5"/>
        <v>126.3993599999999</v>
      </c>
      <c r="DM39" s="171">
        <f t="shared" si="5"/>
        <v>1.373051</v>
      </c>
      <c r="DN39" s="171">
        <f t="shared" si="5"/>
        <v>18.860447999999998</v>
      </c>
      <c r="DO39" s="171">
        <f t="shared" si="5"/>
        <v>0</v>
      </c>
      <c r="DP39" s="171">
        <f t="shared" si="5"/>
        <v>0</v>
      </c>
      <c r="DQ39" s="171">
        <f t="shared" si="5"/>
        <v>3.9197340000000005</v>
      </c>
      <c r="DR39" s="171">
        <f t="shared" si="5"/>
        <v>0</v>
      </c>
      <c r="DS39" s="171">
        <f t="shared" si="5"/>
        <v>3.9594960000000015</v>
      </c>
      <c r="DT39" s="171">
        <f t="shared" si="5"/>
        <v>0</v>
      </c>
      <c r="DU39" s="171">
        <f t="shared" si="5"/>
        <v>0.41698787500000012</v>
      </c>
      <c r="DV39" s="171">
        <f t="shared" si="5"/>
        <v>1.0892920000000004</v>
      </c>
      <c r="DW39" s="171">
        <f t="shared" si="5"/>
        <v>5.8000919999999994</v>
      </c>
      <c r="DX39" s="171">
        <f t="shared" si="5"/>
        <v>0.43904499999999946</v>
      </c>
      <c r="DY39" s="171">
        <f t="shared" si="5"/>
        <v>0.59332200000000024</v>
      </c>
      <c r="DZ39" s="171">
        <f t="shared" si="5"/>
        <v>7.6017919999999961</v>
      </c>
      <c r="EA39" s="171">
        <f t="shared" si="5"/>
        <v>3.1897740000000003</v>
      </c>
      <c r="EB39" s="171">
        <f t="shared" si="5"/>
        <v>5.0983332499999943</v>
      </c>
      <c r="EC39" s="171">
        <f t="shared" si="5"/>
        <v>0.83668543750000002</v>
      </c>
      <c r="ED39" s="171">
        <f t="shared" si="5"/>
        <v>0</v>
      </c>
      <c r="EE39" s="171">
        <f t="shared" si="5"/>
        <v>0</v>
      </c>
      <c r="EF39" s="171">
        <f t="shared" si="5"/>
        <v>0.42970249999999949</v>
      </c>
      <c r="EG39" s="171">
        <f t="shared" si="5"/>
        <v>0.41909800000000019</v>
      </c>
      <c r="EH39" s="171">
        <f t="shared" si="5"/>
        <v>110.19871999999999</v>
      </c>
      <c r="EI39" s="171">
        <f t="shared" ref="EI39:GE39" si="6">SUM(EI7:EI37)</f>
        <v>0</v>
      </c>
      <c r="EJ39" s="171">
        <f t="shared" si="6"/>
        <v>1.7865940000000009</v>
      </c>
      <c r="EK39" s="171">
        <f t="shared" si="6"/>
        <v>0.49615290039062465</v>
      </c>
      <c r="EL39" s="171">
        <f t="shared" si="6"/>
        <v>0.9594290000000002</v>
      </c>
      <c r="EM39" s="171">
        <f t="shared" si="6"/>
        <v>3.6614624999999998E-2</v>
      </c>
      <c r="EN39" s="171">
        <f t="shared" si="6"/>
        <v>15.749728000000006</v>
      </c>
      <c r="EO39" s="171">
        <f t="shared" si="6"/>
        <v>1.0302495000000007</v>
      </c>
      <c r="EP39" s="171">
        <f t="shared" si="6"/>
        <v>0</v>
      </c>
      <c r="EQ39" s="171">
        <f t="shared" si="6"/>
        <v>0</v>
      </c>
      <c r="ER39" s="171">
        <f t="shared" si="6"/>
        <v>30.793696000000015</v>
      </c>
      <c r="ES39" s="171">
        <f t="shared" si="6"/>
        <v>8.1405212812500007</v>
      </c>
      <c r="ET39" s="171">
        <f t="shared" si="6"/>
        <v>0.33624500000000013</v>
      </c>
      <c r="EU39" s="171">
        <f t="shared" si="6"/>
        <v>0.26302624999999985</v>
      </c>
      <c r="EV39" s="171">
        <f t="shared" si="6"/>
        <v>0</v>
      </c>
      <c r="EW39" s="171">
        <f t="shared" si="6"/>
        <v>4.1505515000000015</v>
      </c>
      <c r="EX39" s="171">
        <f t="shared" si="6"/>
        <v>0.17340406250000004</v>
      </c>
      <c r="EY39" s="171">
        <f t="shared" si="6"/>
        <v>2.6648439999999982</v>
      </c>
      <c r="EZ39" s="171">
        <f t="shared" si="6"/>
        <v>0</v>
      </c>
      <c r="FA39" s="171">
        <f t="shared" si="6"/>
        <v>28.787967999999982</v>
      </c>
      <c r="FB39" s="171">
        <f t="shared" si="6"/>
        <v>14.077200000000005</v>
      </c>
      <c r="FC39" s="171">
        <f t="shared" si="6"/>
        <v>0.6617940000000001</v>
      </c>
      <c r="FD39" s="171">
        <f t="shared" si="6"/>
        <v>3.327126499999999</v>
      </c>
      <c r="FE39" s="171">
        <f t="shared" si="6"/>
        <v>321.06004800000034</v>
      </c>
      <c r="FF39" s="171">
        <f t="shared" si="6"/>
        <v>0</v>
      </c>
      <c r="FG39" s="171">
        <f t="shared" si="6"/>
        <v>13.465407999999909</v>
      </c>
      <c r="FH39" s="171">
        <f t="shared" si="6"/>
        <v>18.896384000000015</v>
      </c>
      <c r="FI39" s="171">
        <f t="shared" si="6"/>
        <v>1.283456000000001</v>
      </c>
      <c r="FJ39" s="171">
        <f t="shared" si="6"/>
        <v>0</v>
      </c>
      <c r="FK39" s="171">
        <f t="shared" si="6"/>
        <v>48.869375999999882</v>
      </c>
      <c r="FL39" s="171">
        <f t="shared" si="6"/>
        <v>91.728128000000211</v>
      </c>
      <c r="FM39" s="171">
        <f t="shared" si="6"/>
        <v>56.579584000000075</v>
      </c>
      <c r="FN39" s="171">
        <f t="shared" si="6"/>
        <v>18.202432000000037</v>
      </c>
      <c r="FO39" s="171">
        <f t="shared" si="6"/>
        <v>0</v>
      </c>
      <c r="FP39" s="171">
        <f t="shared" si="6"/>
        <v>72.327777999999995</v>
      </c>
      <c r="FQ39" s="171">
        <f t="shared" si="6"/>
        <v>0</v>
      </c>
      <c r="FR39" s="171">
        <f t="shared" si="6"/>
        <v>17.151282999999982</v>
      </c>
      <c r="FS39" s="171">
        <f t="shared" si="6"/>
        <v>17.17399799999999</v>
      </c>
      <c r="FT39" s="171">
        <f t="shared" si="6"/>
        <v>155.41705000000005</v>
      </c>
      <c r="FU39" s="171">
        <f t="shared" si="6"/>
        <v>199.33437600000013</v>
      </c>
      <c r="FV39" s="171">
        <f t="shared" si="6"/>
        <v>129.22055499999999</v>
      </c>
      <c r="FW39" s="171">
        <f t="shared" si="6"/>
        <v>78.314871999999994</v>
      </c>
      <c r="FX39" s="171">
        <f t="shared" si="6"/>
        <v>151.39635199999975</v>
      </c>
      <c r="FY39" s="171">
        <f t="shared" si="6"/>
        <v>194.7381759999989</v>
      </c>
      <c r="FZ39" s="171">
        <f t="shared" si="6"/>
        <v>125.67705599999954</v>
      </c>
      <c r="GA39" s="171">
        <f t="shared" si="6"/>
        <v>76.027904000002309</v>
      </c>
      <c r="GB39" s="171">
        <f t="shared" si="6"/>
        <v>801.05357300000026</v>
      </c>
      <c r="GC39" s="171">
        <f t="shared" si="6"/>
        <v>738.15070400000036</v>
      </c>
      <c r="GD39" s="171">
        <f t="shared" si="6"/>
        <v>62.902868999999981</v>
      </c>
      <c r="GE39" s="171" t="e">
        <f t="shared" si="6"/>
        <v>#DIV/0!</v>
      </c>
    </row>
  </sheetData>
  <mergeCells count="37">
    <mergeCell ref="B2:D2"/>
    <mergeCell ref="F2:GE2"/>
    <mergeCell ref="B3:B5"/>
    <mergeCell ref="C3:L3"/>
    <mergeCell ref="M3:Q3"/>
    <mergeCell ref="R3:AS3"/>
    <mergeCell ref="AT3:BP3"/>
    <mergeCell ref="BQ3:FQ3"/>
    <mergeCell ref="FR3:GA3"/>
    <mergeCell ref="GB3:GB6"/>
    <mergeCell ref="GC3:GC6"/>
    <mergeCell ref="GD3:GD6"/>
    <mergeCell ref="GE3:GE6"/>
    <mergeCell ref="C4:G5"/>
    <mergeCell ref="H4:H5"/>
    <mergeCell ref="I4:K5"/>
    <mergeCell ref="L4:L5"/>
    <mergeCell ref="M4:Q5"/>
    <mergeCell ref="R4:V5"/>
    <mergeCell ref="W4:AC5"/>
    <mergeCell ref="EH4:FD5"/>
    <mergeCell ref="AD4:AE5"/>
    <mergeCell ref="AF4:AK5"/>
    <mergeCell ref="AL4:AN5"/>
    <mergeCell ref="AO4:AP5"/>
    <mergeCell ref="AQ4:AR5"/>
    <mergeCell ref="AS4:AS5"/>
    <mergeCell ref="AT4:BF5"/>
    <mergeCell ref="BG4:BP5"/>
    <mergeCell ref="BQ4:CK5"/>
    <mergeCell ref="CL4:DK5"/>
    <mergeCell ref="DL4:EG5"/>
    <mergeCell ref="FE4:FQ5"/>
    <mergeCell ref="FR4:FR5"/>
    <mergeCell ref="FS4:FS5"/>
    <mergeCell ref="FT4:FW5"/>
    <mergeCell ref="FX4:GA5"/>
  </mergeCells>
  <pageMargins left="0.7" right="0.7" top="0.75" bottom="0.75" header="0.3" footer="0.3"/>
  <pageSetup orientation="portrait" r:id="rId1"/>
  <headerFooter>
    <oddFooter>&amp;C&amp;1#&amp;"Arial"&amp;6&amp;K626469Internal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4B1D7-8843-48B3-9BF0-8BB13C5CE42F}">
  <dimension ref="B1:GE20"/>
  <sheetViews>
    <sheetView topLeftCell="A2" zoomScale="60" zoomScaleNormal="60" workbookViewId="0">
      <pane xSplit="2" ySplit="5" topLeftCell="C7" activePane="bottomRight" state="frozen"/>
      <selection activeCell="A2" sqref="A2"/>
      <selection pane="topRight" activeCell="C2" sqref="C2"/>
      <selection pane="bottomLeft" activeCell="A8" sqref="A8"/>
      <selection pane="bottomRight" activeCell="F10" sqref="F10"/>
    </sheetView>
  </sheetViews>
  <sheetFormatPr defaultColWidth="12.453125" defaultRowHeight="32.25" customHeight="1" x14ac:dyDescent="0.25"/>
  <cols>
    <col min="1" max="1" width="2.81640625" style="143" customWidth="1"/>
    <col min="2" max="2" width="23.7265625" style="143" customWidth="1"/>
    <col min="3" max="29" width="16.81640625" style="143" customWidth="1"/>
    <col min="30" max="30" width="19.1796875" style="143" customWidth="1"/>
    <col min="31" max="31" width="18.7265625" style="143" customWidth="1"/>
    <col min="32" max="36" width="16.81640625" style="143" customWidth="1"/>
    <col min="37" max="43" width="16.81640625" style="144" customWidth="1"/>
    <col min="44" max="44" width="16.81640625" style="143" customWidth="1"/>
    <col min="45" max="54" width="16.81640625" style="144" customWidth="1"/>
    <col min="55" max="183" width="16.81640625" style="143" customWidth="1"/>
    <col min="184" max="16384" width="12.453125" style="143"/>
  </cols>
  <sheetData>
    <row r="1" spans="2:187" ht="32.25" hidden="1" customHeight="1" x14ac:dyDescent="0.25"/>
    <row r="2" spans="2:187" ht="58.75" customHeight="1" x14ac:dyDescent="0.25">
      <c r="B2" s="312">
        <f>DAILY_ENERGY!B2</f>
        <v>45838.291666666664</v>
      </c>
      <c r="C2" s="313"/>
      <c r="D2" s="314"/>
      <c r="E2" s="145"/>
      <c r="F2" s="296" t="s">
        <v>724</v>
      </c>
      <c r="G2" s="297"/>
      <c r="H2" s="297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297"/>
      <c r="AC2" s="297"/>
      <c r="AD2" s="297"/>
      <c r="AE2" s="297"/>
      <c r="AF2" s="297"/>
      <c r="AG2" s="297"/>
      <c r="AH2" s="297"/>
      <c r="AI2" s="297"/>
      <c r="AJ2" s="297"/>
      <c r="AK2" s="297"/>
      <c r="AL2" s="297"/>
      <c r="AM2" s="297"/>
      <c r="AN2" s="297"/>
      <c r="AO2" s="297"/>
      <c r="AP2" s="297"/>
      <c r="AQ2" s="297"/>
      <c r="AR2" s="297"/>
      <c r="AS2" s="297"/>
      <c r="AT2" s="297"/>
      <c r="AU2" s="297"/>
      <c r="AV2" s="297"/>
      <c r="AW2" s="297"/>
      <c r="AX2" s="297"/>
      <c r="AY2" s="297"/>
      <c r="AZ2" s="297"/>
      <c r="BA2" s="297"/>
      <c r="BB2" s="297"/>
      <c r="BC2" s="297"/>
      <c r="BD2" s="297"/>
      <c r="BE2" s="297"/>
      <c r="BF2" s="297"/>
      <c r="BG2" s="297"/>
      <c r="BH2" s="297"/>
      <c r="BI2" s="297"/>
      <c r="BJ2" s="297"/>
      <c r="BK2" s="297"/>
      <c r="BL2" s="297"/>
      <c r="BM2" s="297"/>
      <c r="BN2" s="297"/>
      <c r="BO2" s="297"/>
      <c r="BP2" s="297"/>
      <c r="BQ2" s="297"/>
      <c r="BR2" s="297"/>
      <c r="BS2" s="297"/>
      <c r="BT2" s="297"/>
      <c r="BU2" s="297"/>
      <c r="BV2" s="297"/>
      <c r="BW2" s="297"/>
      <c r="BX2" s="297"/>
      <c r="BY2" s="297"/>
      <c r="BZ2" s="297"/>
      <c r="CA2" s="297"/>
      <c r="CB2" s="297"/>
      <c r="CC2" s="297"/>
      <c r="CD2" s="297"/>
      <c r="CE2" s="297"/>
      <c r="CF2" s="297"/>
      <c r="CG2" s="297"/>
      <c r="CH2" s="297"/>
      <c r="CI2" s="297"/>
      <c r="CJ2" s="297"/>
      <c r="CK2" s="297"/>
      <c r="CL2" s="297"/>
      <c r="CM2" s="297"/>
      <c r="CN2" s="297"/>
      <c r="CO2" s="297"/>
      <c r="CP2" s="297"/>
      <c r="CQ2" s="297"/>
      <c r="CR2" s="297"/>
      <c r="CS2" s="297"/>
      <c r="CT2" s="297"/>
      <c r="CU2" s="297"/>
      <c r="CV2" s="297"/>
      <c r="CW2" s="297"/>
      <c r="CX2" s="297"/>
      <c r="CY2" s="297"/>
      <c r="CZ2" s="297"/>
      <c r="DA2" s="297"/>
      <c r="DB2" s="297"/>
      <c r="DC2" s="297"/>
      <c r="DD2" s="297"/>
      <c r="DE2" s="297"/>
      <c r="DF2" s="297"/>
      <c r="DG2" s="297"/>
      <c r="DH2" s="297"/>
      <c r="DI2" s="297"/>
      <c r="DJ2" s="297"/>
      <c r="DK2" s="297"/>
      <c r="DL2" s="297"/>
      <c r="DM2" s="297"/>
      <c r="DN2" s="297"/>
      <c r="DO2" s="297"/>
      <c r="DP2" s="297"/>
      <c r="DQ2" s="297"/>
      <c r="DR2" s="297"/>
      <c r="DS2" s="297"/>
      <c r="DT2" s="297"/>
      <c r="DU2" s="297"/>
      <c r="DV2" s="297"/>
      <c r="DW2" s="297"/>
      <c r="DX2" s="297"/>
      <c r="DY2" s="297"/>
      <c r="DZ2" s="297"/>
      <c r="EA2" s="297"/>
      <c r="EB2" s="297"/>
      <c r="EC2" s="297"/>
      <c r="ED2" s="297"/>
      <c r="EE2" s="297"/>
      <c r="EF2" s="297"/>
      <c r="EG2" s="297"/>
      <c r="EH2" s="297"/>
      <c r="EI2" s="297"/>
      <c r="EJ2" s="297"/>
      <c r="EK2" s="297"/>
      <c r="EL2" s="297"/>
      <c r="EM2" s="297"/>
      <c r="EN2" s="297"/>
      <c r="EO2" s="297"/>
      <c r="EP2" s="297"/>
      <c r="EQ2" s="297"/>
      <c r="ER2" s="297"/>
      <c r="ES2" s="297"/>
      <c r="ET2" s="297"/>
      <c r="EU2" s="297"/>
      <c r="EV2" s="297"/>
      <c r="EW2" s="297"/>
      <c r="EX2" s="297"/>
      <c r="EY2" s="297"/>
      <c r="EZ2" s="297"/>
      <c r="FA2" s="297"/>
      <c r="FB2" s="297"/>
      <c r="FC2" s="297"/>
      <c r="FD2" s="297"/>
      <c r="FE2" s="297"/>
      <c r="FF2" s="297"/>
      <c r="FG2" s="297"/>
      <c r="FH2" s="297"/>
      <c r="FI2" s="297"/>
      <c r="FJ2" s="297"/>
      <c r="FK2" s="297"/>
      <c r="FL2" s="297"/>
      <c r="FM2" s="297"/>
      <c r="FN2" s="297"/>
      <c r="FO2" s="297"/>
      <c r="FP2" s="297"/>
      <c r="FQ2" s="297"/>
      <c r="FR2" s="297"/>
      <c r="FS2" s="297"/>
      <c r="FT2" s="297"/>
      <c r="FU2" s="297"/>
      <c r="FV2" s="297"/>
      <c r="FW2" s="297"/>
      <c r="FX2" s="297"/>
      <c r="FY2" s="297"/>
      <c r="FZ2" s="297"/>
      <c r="GA2" s="297"/>
      <c r="GB2" s="297"/>
      <c r="GC2" s="297"/>
      <c r="GD2" s="297"/>
      <c r="GE2" s="297"/>
    </row>
    <row r="3" spans="2:187" s="146" customFormat="1" ht="32.25" customHeight="1" x14ac:dyDescent="0.25">
      <c r="B3" s="293" t="s">
        <v>725</v>
      </c>
      <c r="C3" s="292" t="s">
        <v>484</v>
      </c>
      <c r="D3" s="292"/>
      <c r="E3" s="292"/>
      <c r="F3" s="292"/>
      <c r="G3" s="292"/>
      <c r="H3" s="292"/>
      <c r="I3" s="292"/>
      <c r="J3" s="292"/>
      <c r="K3" s="292"/>
      <c r="L3" s="292"/>
      <c r="M3" s="252" t="s">
        <v>467</v>
      </c>
      <c r="N3" s="252"/>
      <c r="O3" s="252"/>
      <c r="P3" s="252"/>
      <c r="Q3" s="252"/>
      <c r="R3" s="292" t="s">
        <v>465</v>
      </c>
      <c r="S3" s="292"/>
      <c r="T3" s="292"/>
      <c r="U3" s="292"/>
      <c r="V3" s="292"/>
      <c r="W3" s="292"/>
      <c r="X3" s="292"/>
      <c r="Y3" s="292"/>
      <c r="Z3" s="292"/>
      <c r="AA3" s="292"/>
      <c r="AB3" s="292"/>
      <c r="AC3" s="292"/>
      <c r="AD3" s="292"/>
      <c r="AE3" s="292"/>
      <c r="AF3" s="292"/>
      <c r="AG3" s="292"/>
      <c r="AH3" s="292"/>
      <c r="AI3" s="292"/>
      <c r="AJ3" s="292"/>
      <c r="AK3" s="292"/>
      <c r="AL3" s="292"/>
      <c r="AM3" s="292"/>
      <c r="AN3" s="292"/>
      <c r="AO3" s="292"/>
      <c r="AP3" s="292"/>
      <c r="AQ3" s="292"/>
      <c r="AR3" s="292"/>
      <c r="AS3" s="292"/>
      <c r="AT3" s="252" t="s">
        <v>462</v>
      </c>
      <c r="AU3" s="252"/>
      <c r="AV3" s="252"/>
      <c r="AW3" s="252"/>
      <c r="AX3" s="252"/>
      <c r="AY3" s="252"/>
      <c r="AZ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 t="s">
        <v>495</v>
      </c>
      <c r="BR3" s="252"/>
      <c r="BS3" s="252"/>
      <c r="BT3" s="252"/>
      <c r="BU3" s="252"/>
      <c r="BV3" s="252"/>
      <c r="BW3" s="252"/>
      <c r="BX3" s="252"/>
      <c r="BY3" s="252"/>
      <c r="BZ3" s="252"/>
      <c r="CA3" s="252"/>
      <c r="CB3" s="252"/>
      <c r="CC3" s="252"/>
      <c r="CD3" s="252"/>
      <c r="CE3" s="252"/>
      <c r="CF3" s="252"/>
      <c r="CG3" s="252"/>
      <c r="CH3" s="252"/>
      <c r="CI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  <c r="DB3" s="252"/>
      <c r="DC3" s="252"/>
      <c r="DD3" s="252"/>
      <c r="DE3" s="252"/>
      <c r="DF3" s="252"/>
      <c r="DG3" s="252"/>
      <c r="DH3" s="252"/>
      <c r="DI3" s="252"/>
      <c r="DJ3" s="252"/>
      <c r="DK3" s="252"/>
      <c r="DL3" s="252"/>
      <c r="DM3" s="252"/>
      <c r="DN3" s="252"/>
      <c r="DO3" s="252"/>
      <c r="DP3" s="252"/>
      <c r="DQ3" s="252"/>
      <c r="DR3" s="252"/>
      <c r="DS3" s="252"/>
      <c r="DT3" s="252"/>
      <c r="DU3" s="252"/>
      <c r="DV3" s="252"/>
      <c r="DW3" s="252"/>
      <c r="DX3" s="252"/>
      <c r="DY3" s="252"/>
      <c r="DZ3" s="252"/>
      <c r="EA3" s="252"/>
      <c r="EB3" s="252"/>
      <c r="EC3" s="252"/>
      <c r="ED3" s="252"/>
      <c r="EE3" s="252"/>
      <c r="EF3" s="252"/>
      <c r="EG3" s="252"/>
      <c r="EH3" s="252"/>
      <c r="EI3" s="252"/>
      <c r="EJ3" s="252"/>
      <c r="EK3" s="252"/>
      <c r="EL3" s="252"/>
      <c r="EM3" s="252"/>
      <c r="EN3" s="252"/>
      <c r="EO3" s="252"/>
      <c r="EP3" s="252"/>
      <c r="EQ3" s="252"/>
      <c r="ER3" s="252"/>
      <c r="ES3" s="252"/>
      <c r="ET3" s="252"/>
      <c r="EU3" s="252"/>
      <c r="EV3" s="252"/>
      <c r="EW3" s="252"/>
      <c r="EX3" s="252"/>
      <c r="EY3" s="252"/>
      <c r="EZ3" s="252"/>
      <c r="FA3" s="252"/>
      <c r="FB3" s="252"/>
      <c r="FC3" s="252"/>
      <c r="FD3" s="252"/>
      <c r="FE3" s="252"/>
      <c r="FF3" s="252"/>
      <c r="FG3" s="252"/>
      <c r="FH3" s="252"/>
      <c r="FI3" s="252"/>
      <c r="FJ3" s="252"/>
      <c r="FK3" s="252"/>
      <c r="FL3" s="252"/>
      <c r="FM3" s="252"/>
      <c r="FN3" s="252"/>
      <c r="FO3" s="252"/>
      <c r="FP3" s="252"/>
      <c r="FQ3" s="252"/>
      <c r="FR3" s="252" t="s">
        <v>385</v>
      </c>
      <c r="FS3" s="252"/>
      <c r="FT3" s="252"/>
      <c r="FU3" s="252"/>
      <c r="FV3" s="252"/>
      <c r="FW3" s="252"/>
      <c r="FX3" s="252"/>
      <c r="FY3" s="252"/>
      <c r="FZ3" s="252"/>
      <c r="GA3" s="252"/>
      <c r="GB3" s="252" t="s">
        <v>372</v>
      </c>
      <c r="GC3" s="252" t="s">
        <v>371</v>
      </c>
      <c r="GD3" s="252" t="s">
        <v>370</v>
      </c>
      <c r="GE3" s="252" t="s">
        <v>369</v>
      </c>
    </row>
    <row r="4" spans="2:187" s="146" customFormat="1" ht="32.25" hidden="1" customHeight="1" x14ac:dyDescent="0.25">
      <c r="B4" s="294"/>
      <c r="C4" s="252" t="s">
        <v>483</v>
      </c>
      <c r="D4" s="252"/>
      <c r="E4" s="252"/>
      <c r="F4" s="252"/>
      <c r="G4" s="252"/>
      <c r="H4" s="252" t="s">
        <v>476</v>
      </c>
      <c r="I4" s="252" t="s">
        <v>474</v>
      </c>
      <c r="J4" s="252"/>
      <c r="K4" s="252"/>
      <c r="L4" s="252" t="s">
        <v>470</v>
      </c>
      <c r="M4" s="252" t="s">
        <v>466</v>
      </c>
      <c r="N4" s="252"/>
      <c r="O4" s="252"/>
      <c r="P4" s="252"/>
      <c r="Q4" s="252"/>
      <c r="R4" s="292" t="s">
        <v>464</v>
      </c>
      <c r="S4" s="292"/>
      <c r="T4" s="292"/>
      <c r="U4" s="292"/>
      <c r="V4" s="292"/>
      <c r="W4" s="292" t="s">
        <v>458</v>
      </c>
      <c r="X4" s="292"/>
      <c r="Y4" s="292"/>
      <c r="Z4" s="292"/>
      <c r="AA4" s="292"/>
      <c r="AB4" s="292"/>
      <c r="AC4" s="292"/>
      <c r="AD4" s="252" t="s">
        <v>496</v>
      </c>
      <c r="AE4" s="252"/>
      <c r="AF4" s="252" t="s">
        <v>449</v>
      </c>
      <c r="AG4" s="252"/>
      <c r="AH4" s="252"/>
      <c r="AI4" s="252"/>
      <c r="AJ4" s="252"/>
      <c r="AK4" s="252"/>
      <c r="AL4" s="252" t="s">
        <v>442</v>
      </c>
      <c r="AM4" s="252"/>
      <c r="AN4" s="252"/>
      <c r="AO4" s="252" t="s">
        <v>438</v>
      </c>
      <c r="AP4" s="252"/>
      <c r="AQ4" s="252" t="s">
        <v>436</v>
      </c>
      <c r="AR4" s="252"/>
      <c r="AS4" s="252" t="s">
        <v>431</v>
      </c>
      <c r="AT4" s="252" t="s">
        <v>429</v>
      </c>
      <c r="AU4" s="252"/>
      <c r="AV4" s="252"/>
      <c r="AW4" s="252"/>
      <c r="AX4" s="252"/>
      <c r="AY4" s="252"/>
      <c r="AZ4" s="252"/>
      <c r="BA4" s="252"/>
      <c r="BB4" s="252"/>
      <c r="BC4" s="252"/>
      <c r="BD4" s="252"/>
      <c r="BE4" s="252"/>
      <c r="BF4" s="252"/>
      <c r="BG4" s="252" t="s">
        <v>425</v>
      </c>
      <c r="BH4" s="252"/>
      <c r="BI4" s="252"/>
      <c r="BJ4" s="252"/>
      <c r="BK4" s="252"/>
      <c r="BL4" s="252"/>
      <c r="BM4" s="252"/>
      <c r="BN4" s="252"/>
      <c r="BO4" s="252"/>
      <c r="BP4" s="252"/>
      <c r="BQ4" s="252" t="s">
        <v>122</v>
      </c>
      <c r="BR4" s="252"/>
      <c r="BS4" s="252"/>
      <c r="BT4" s="252"/>
      <c r="BU4" s="252"/>
      <c r="BV4" s="252"/>
      <c r="BW4" s="252"/>
      <c r="BX4" s="252"/>
      <c r="BY4" s="252"/>
      <c r="BZ4" s="252"/>
      <c r="CA4" s="252"/>
      <c r="CB4" s="252"/>
      <c r="CC4" s="252"/>
      <c r="CD4" s="252"/>
      <c r="CE4" s="252"/>
      <c r="CF4" s="252"/>
      <c r="CG4" s="252"/>
      <c r="CH4" s="252"/>
      <c r="CI4" s="252"/>
      <c r="CJ4" s="252"/>
      <c r="CK4" s="252"/>
      <c r="CL4" s="252" t="s">
        <v>123</v>
      </c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  <c r="DB4" s="252"/>
      <c r="DC4" s="252"/>
      <c r="DD4" s="252"/>
      <c r="DE4" s="252"/>
      <c r="DF4" s="252"/>
      <c r="DG4" s="252"/>
      <c r="DH4" s="252"/>
      <c r="DI4" s="252"/>
      <c r="DJ4" s="252"/>
      <c r="DK4" s="252"/>
      <c r="DL4" s="252" t="s">
        <v>124</v>
      </c>
      <c r="DM4" s="252"/>
      <c r="DN4" s="252"/>
      <c r="DO4" s="252"/>
      <c r="DP4" s="252"/>
      <c r="DQ4" s="252"/>
      <c r="DR4" s="252"/>
      <c r="DS4" s="252"/>
      <c r="DT4" s="252"/>
      <c r="DU4" s="252"/>
      <c r="DV4" s="252"/>
      <c r="DW4" s="252"/>
      <c r="DX4" s="252"/>
      <c r="DY4" s="252"/>
      <c r="DZ4" s="252"/>
      <c r="EA4" s="252"/>
      <c r="EB4" s="252"/>
      <c r="EC4" s="252"/>
      <c r="ED4" s="252"/>
      <c r="EE4" s="252"/>
      <c r="EF4" s="252"/>
      <c r="EG4" s="252"/>
      <c r="EH4" s="252" t="s">
        <v>125</v>
      </c>
      <c r="EI4" s="252"/>
      <c r="EJ4" s="252"/>
      <c r="EK4" s="252"/>
      <c r="EL4" s="252"/>
      <c r="EM4" s="252"/>
      <c r="EN4" s="252"/>
      <c r="EO4" s="252"/>
      <c r="EP4" s="252"/>
      <c r="EQ4" s="252"/>
      <c r="ER4" s="252"/>
      <c r="ES4" s="252"/>
      <c r="ET4" s="252"/>
      <c r="EU4" s="252"/>
      <c r="EV4" s="252"/>
      <c r="EW4" s="252"/>
      <c r="EX4" s="252"/>
      <c r="EY4" s="252"/>
      <c r="EZ4" s="252"/>
      <c r="FA4" s="252"/>
      <c r="FB4" s="252"/>
      <c r="FC4" s="252"/>
      <c r="FD4" s="252"/>
      <c r="FE4" s="252" t="s">
        <v>126</v>
      </c>
      <c r="FF4" s="252"/>
      <c r="FG4" s="252"/>
      <c r="FH4" s="252"/>
      <c r="FI4" s="252"/>
      <c r="FJ4" s="252"/>
      <c r="FK4" s="252"/>
      <c r="FL4" s="252"/>
      <c r="FM4" s="252"/>
      <c r="FN4" s="252"/>
      <c r="FO4" s="252"/>
      <c r="FP4" s="252"/>
      <c r="FQ4" s="252"/>
      <c r="FR4" s="252" t="s">
        <v>384</v>
      </c>
      <c r="FS4" s="252" t="s">
        <v>383</v>
      </c>
      <c r="FT4" s="252" t="s">
        <v>382</v>
      </c>
      <c r="FU4" s="252"/>
      <c r="FV4" s="252"/>
      <c r="FW4" s="252"/>
      <c r="FX4" s="252" t="s">
        <v>377</v>
      </c>
      <c r="FY4" s="252"/>
      <c r="FZ4" s="252"/>
      <c r="GA4" s="252"/>
      <c r="GB4" s="252"/>
      <c r="GC4" s="252"/>
      <c r="GD4" s="252"/>
      <c r="GE4" s="252"/>
    </row>
    <row r="5" spans="2:187" s="147" customFormat="1" ht="32.25" customHeight="1" x14ac:dyDescent="0.25">
      <c r="B5" s="295"/>
      <c r="C5" s="252"/>
      <c r="D5" s="252"/>
      <c r="E5" s="252"/>
      <c r="F5" s="252"/>
      <c r="G5" s="252"/>
      <c r="H5" s="252"/>
      <c r="I5" s="252"/>
      <c r="J5" s="252"/>
      <c r="K5" s="252"/>
      <c r="L5" s="252"/>
      <c r="M5" s="252"/>
      <c r="N5" s="252"/>
      <c r="O5" s="252"/>
      <c r="P5" s="252"/>
      <c r="Q5" s="252"/>
      <c r="R5" s="292"/>
      <c r="S5" s="292"/>
      <c r="T5" s="292"/>
      <c r="U5" s="292"/>
      <c r="V5" s="292"/>
      <c r="W5" s="292"/>
      <c r="X5" s="292"/>
      <c r="Y5" s="292"/>
      <c r="Z5" s="292"/>
      <c r="AA5" s="292"/>
      <c r="AB5" s="292"/>
      <c r="AC5" s="292"/>
      <c r="AD5" s="252"/>
      <c r="AE5" s="252"/>
      <c r="AF5" s="252"/>
      <c r="AG5" s="252"/>
      <c r="AH5" s="252"/>
      <c r="AI5" s="252"/>
      <c r="AJ5" s="252"/>
      <c r="AK5" s="252"/>
      <c r="AL5" s="252"/>
      <c r="AM5" s="252"/>
      <c r="AN5" s="252"/>
      <c r="AO5" s="252"/>
      <c r="AP5" s="252"/>
      <c r="AQ5" s="252"/>
      <c r="AR5" s="252"/>
      <c r="AS5" s="252"/>
      <c r="AT5" s="252"/>
      <c r="AU5" s="252"/>
      <c r="AV5" s="252"/>
      <c r="AW5" s="252"/>
      <c r="AX5" s="252"/>
      <c r="AY5" s="252"/>
      <c r="AZ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BW5" s="252"/>
      <c r="BX5" s="252"/>
      <c r="BY5" s="252"/>
      <c r="BZ5" s="252"/>
      <c r="CA5" s="252"/>
      <c r="CB5" s="252"/>
      <c r="CC5" s="252"/>
      <c r="CD5" s="252"/>
      <c r="CE5" s="252"/>
      <c r="CF5" s="252"/>
      <c r="CG5" s="252"/>
      <c r="CH5" s="252"/>
      <c r="CI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  <c r="DB5" s="252"/>
      <c r="DC5" s="252"/>
      <c r="DD5" s="252"/>
      <c r="DE5" s="252"/>
      <c r="DF5" s="252"/>
      <c r="DG5" s="252"/>
      <c r="DH5" s="252"/>
      <c r="DI5" s="252"/>
      <c r="DJ5" s="252"/>
      <c r="DK5" s="252"/>
      <c r="DL5" s="252"/>
      <c r="DM5" s="252"/>
      <c r="DN5" s="252"/>
      <c r="DO5" s="252"/>
      <c r="DP5" s="252"/>
      <c r="DQ5" s="252"/>
      <c r="DR5" s="252"/>
      <c r="DS5" s="252"/>
      <c r="DT5" s="252"/>
      <c r="DU5" s="252"/>
      <c r="DV5" s="252"/>
      <c r="DW5" s="252"/>
      <c r="DX5" s="252"/>
      <c r="DY5" s="252"/>
      <c r="DZ5" s="252"/>
      <c r="EA5" s="252"/>
      <c r="EB5" s="252"/>
      <c r="EC5" s="252"/>
      <c r="ED5" s="252"/>
      <c r="EE5" s="252"/>
      <c r="EF5" s="252"/>
      <c r="EG5" s="252"/>
      <c r="EH5" s="252"/>
      <c r="EI5" s="252"/>
      <c r="EJ5" s="252"/>
      <c r="EK5" s="252"/>
      <c r="EL5" s="252"/>
      <c r="EM5" s="252"/>
      <c r="EN5" s="252"/>
      <c r="EO5" s="252"/>
      <c r="EP5" s="252"/>
      <c r="EQ5" s="252"/>
      <c r="ER5" s="252"/>
      <c r="ES5" s="252"/>
      <c r="ET5" s="252"/>
      <c r="EU5" s="252"/>
      <c r="EV5" s="252"/>
      <c r="EW5" s="252"/>
      <c r="EX5" s="252"/>
      <c r="EY5" s="252"/>
      <c r="EZ5" s="252"/>
      <c r="FA5" s="252"/>
      <c r="FB5" s="252"/>
      <c r="FC5" s="252"/>
      <c r="FD5" s="252"/>
      <c r="FE5" s="252"/>
      <c r="FF5" s="252"/>
      <c r="FG5" s="252"/>
      <c r="FH5" s="252"/>
      <c r="FI5" s="252"/>
      <c r="FJ5" s="252"/>
      <c r="FK5" s="252"/>
      <c r="FL5" s="252"/>
      <c r="FM5" s="252"/>
      <c r="FN5" s="252"/>
      <c r="FO5" s="252"/>
      <c r="FP5" s="252"/>
      <c r="FQ5" s="252"/>
      <c r="FR5" s="252"/>
      <c r="FS5" s="252"/>
      <c r="FT5" s="252"/>
      <c r="FU5" s="252"/>
      <c r="FV5" s="252"/>
      <c r="FW5" s="252"/>
      <c r="FX5" s="252"/>
      <c r="FY5" s="252"/>
      <c r="FZ5" s="252"/>
      <c r="GA5" s="252"/>
      <c r="GB5" s="252"/>
      <c r="GC5" s="252"/>
      <c r="GD5" s="252"/>
      <c r="GE5" s="252"/>
    </row>
    <row r="6" spans="2:187" s="147" customFormat="1" ht="50.15" customHeight="1" x14ac:dyDescent="0.25">
      <c r="B6" s="148"/>
      <c r="C6" s="100" t="s">
        <v>482</v>
      </c>
      <c r="D6" s="100" t="s">
        <v>480</v>
      </c>
      <c r="E6" s="100" t="s">
        <v>478</v>
      </c>
      <c r="F6" s="100" t="s">
        <v>477</v>
      </c>
      <c r="G6" s="100" t="s">
        <v>96</v>
      </c>
      <c r="H6" s="100" t="s">
        <v>475</v>
      </c>
      <c r="I6" s="100" t="s">
        <v>473</v>
      </c>
      <c r="J6" s="100" t="s">
        <v>472</v>
      </c>
      <c r="K6" s="100" t="s">
        <v>471</v>
      </c>
      <c r="L6" s="100" t="s">
        <v>469</v>
      </c>
      <c r="M6" s="100" t="s">
        <v>122</v>
      </c>
      <c r="N6" s="100" t="s">
        <v>123</v>
      </c>
      <c r="O6" s="100" t="s">
        <v>124</v>
      </c>
      <c r="P6" s="100" t="s">
        <v>125</v>
      </c>
      <c r="Q6" s="100" t="s">
        <v>126</v>
      </c>
      <c r="R6" s="100" t="s">
        <v>498</v>
      </c>
      <c r="S6" s="100" t="s">
        <v>462</v>
      </c>
      <c r="T6" s="100" t="s">
        <v>461</v>
      </c>
      <c r="U6" s="100" t="s">
        <v>460</v>
      </c>
      <c r="V6" s="100" t="s">
        <v>459</v>
      </c>
      <c r="W6" s="100" t="s">
        <v>457</v>
      </c>
      <c r="X6" s="100" t="s">
        <v>236</v>
      </c>
      <c r="Y6" s="100" t="s">
        <v>456</v>
      </c>
      <c r="Z6" s="100" t="s">
        <v>455</v>
      </c>
      <c r="AA6" s="100" t="s">
        <v>454</v>
      </c>
      <c r="AB6" s="100" t="s">
        <v>656</v>
      </c>
      <c r="AC6" s="100" t="s">
        <v>505</v>
      </c>
      <c r="AD6" s="100" t="s">
        <v>453</v>
      </c>
      <c r="AE6" s="100" t="s">
        <v>451</v>
      </c>
      <c r="AF6" s="100" t="s">
        <v>448</v>
      </c>
      <c r="AG6" s="100" t="s">
        <v>447</v>
      </c>
      <c r="AH6" s="100" t="s">
        <v>446</v>
      </c>
      <c r="AI6" s="100" t="s">
        <v>445</v>
      </c>
      <c r="AJ6" s="100" t="s">
        <v>444</v>
      </c>
      <c r="AK6" s="100" t="s">
        <v>654</v>
      </c>
      <c r="AL6" s="100" t="s">
        <v>441</v>
      </c>
      <c r="AM6" s="100" t="s">
        <v>440</v>
      </c>
      <c r="AN6" s="100" t="s">
        <v>439</v>
      </c>
      <c r="AO6" s="100" t="s">
        <v>425</v>
      </c>
      <c r="AP6" s="100" t="s">
        <v>437</v>
      </c>
      <c r="AQ6" s="100" t="s">
        <v>435</v>
      </c>
      <c r="AR6" s="100" t="s">
        <v>433</v>
      </c>
      <c r="AS6" s="100" t="s">
        <v>431</v>
      </c>
      <c r="AT6" s="100" t="s">
        <v>97</v>
      </c>
      <c r="AU6" s="100" t="s">
        <v>157</v>
      </c>
      <c r="AV6" s="100" t="s">
        <v>158</v>
      </c>
      <c r="AW6" s="100" t="s">
        <v>159</v>
      </c>
      <c r="AX6" s="100" t="s">
        <v>160</v>
      </c>
      <c r="AY6" s="100" t="s">
        <v>161</v>
      </c>
      <c r="AZ6" s="100" t="s">
        <v>162</v>
      </c>
      <c r="BA6" s="100" t="s">
        <v>163</v>
      </c>
      <c r="BB6" s="100" t="s">
        <v>164</v>
      </c>
      <c r="BC6" s="100" t="s">
        <v>165</v>
      </c>
      <c r="BD6" s="100" t="s">
        <v>166</v>
      </c>
      <c r="BE6" s="100" t="s">
        <v>167</v>
      </c>
      <c r="BF6" s="100" t="s">
        <v>168</v>
      </c>
      <c r="BG6" s="100" t="s">
        <v>97</v>
      </c>
      <c r="BH6" s="100" t="s">
        <v>493</v>
      </c>
      <c r="BI6" s="100" t="s">
        <v>151</v>
      </c>
      <c r="BJ6" s="100" t="s">
        <v>24</v>
      </c>
      <c r="BK6" s="100" t="s">
        <v>152</v>
      </c>
      <c r="BL6" s="100" t="s">
        <v>153</v>
      </c>
      <c r="BM6" s="100" t="s">
        <v>154</v>
      </c>
      <c r="BN6" s="100" t="s">
        <v>155</v>
      </c>
      <c r="BO6" s="100" t="s">
        <v>494</v>
      </c>
      <c r="BP6" s="100" t="s">
        <v>156</v>
      </c>
      <c r="BQ6" s="100" t="s">
        <v>169</v>
      </c>
      <c r="BR6" s="100" t="s">
        <v>170</v>
      </c>
      <c r="BS6" s="100" t="s">
        <v>24</v>
      </c>
      <c r="BT6" s="100" t="s">
        <v>171</v>
      </c>
      <c r="BU6" s="100" t="s">
        <v>172</v>
      </c>
      <c r="BV6" s="100" t="s">
        <v>173</v>
      </c>
      <c r="BW6" s="100" t="s">
        <v>24</v>
      </c>
      <c r="BX6" s="100" t="s">
        <v>174</v>
      </c>
      <c r="BY6" s="100" t="s">
        <v>175</v>
      </c>
      <c r="BZ6" s="100" t="s">
        <v>24</v>
      </c>
      <c r="CA6" s="100" t="s">
        <v>24</v>
      </c>
      <c r="CB6" s="100" t="s">
        <v>24</v>
      </c>
      <c r="CC6" s="100" t="s">
        <v>176</v>
      </c>
      <c r="CD6" s="100" t="s">
        <v>167</v>
      </c>
      <c r="CE6" s="100" t="s">
        <v>24</v>
      </c>
      <c r="CF6" s="100" t="s">
        <v>177</v>
      </c>
      <c r="CG6" s="100" t="s">
        <v>178</v>
      </c>
      <c r="CH6" s="100" t="s">
        <v>179</v>
      </c>
      <c r="CI6" s="100" t="s">
        <v>180</v>
      </c>
      <c r="CJ6" s="100" t="s">
        <v>181</v>
      </c>
      <c r="CK6" s="100" t="s">
        <v>182</v>
      </c>
      <c r="CL6" s="100" t="s">
        <v>98</v>
      </c>
      <c r="CM6" s="100" t="s">
        <v>24</v>
      </c>
      <c r="CN6" s="100" t="s">
        <v>99</v>
      </c>
      <c r="CO6" s="100" t="s">
        <v>183</v>
      </c>
      <c r="CP6" s="100" t="s">
        <v>100</v>
      </c>
      <c r="CQ6" s="100" t="s">
        <v>184</v>
      </c>
      <c r="CR6" s="100" t="s">
        <v>185</v>
      </c>
      <c r="CS6" s="100" t="s">
        <v>101</v>
      </c>
      <c r="CT6" s="100" t="s">
        <v>186</v>
      </c>
      <c r="CU6" s="100" t="s">
        <v>187</v>
      </c>
      <c r="CV6" s="100" t="s">
        <v>188</v>
      </c>
      <c r="CW6" s="100" t="s">
        <v>189</v>
      </c>
      <c r="CX6" s="100" t="s">
        <v>190</v>
      </c>
      <c r="CY6" s="100" t="s">
        <v>102</v>
      </c>
      <c r="CZ6" s="100" t="s">
        <v>103</v>
      </c>
      <c r="DA6" s="100" t="s">
        <v>191</v>
      </c>
      <c r="DB6" s="100" t="s">
        <v>192</v>
      </c>
      <c r="DC6" s="100" t="s">
        <v>24</v>
      </c>
      <c r="DD6" s="100" t="s">
        <v>24</v>
      </c>
      <c r="DE6" s="100" t="s">
        <v>104</v>
      </c>
      <c r="DF6" s="100" t="s">
        <v>193</v>
      </c>
      <c r="DG6" s="100" t="s">
        <v>105</v>
      </c>
      <c r="DH6" s="100" t="s">
        <v>194</v>
      </c>
      <c r="DI6" s="100" t="s">
        <v>24</v>
      </c>
      <c r="DJ6" s="100" t="s">
        <v>106</v>
      </c>
      <c r="DK6" s="100" t="s">
        <v>182</v>
      </c>
      <c r="DL6" s="100" t="s">
        <v>107</v>
      </c>
      <c r="DM6" s="100" t="s">
        <v>195</v>
      </c>
      <c r="DN6" s="100" t="s">
        <v>196</v>
      </c>
      <c r="DO6" s="100" t="s">
        <v>24</v>
      </c>
      <c r="DP6" s="100" t="s">
        <v>197</v>
      </c>
      <c r="DQ6" s="100" t="s">
        <v>198</v>
      </c>
      <c r="DR6" s="100" t="s">
        <v>24</v>
      </c>
      <c r="DS6" s="100" t="s">
        <v>199</v>
      </c>
      <c r="DT6" s="100" t="s">
        <v>24</v>
      </c>
      <c r="DU6" s="100" t="s">
        <v>200</v>
      </c>
      <c r="DV6" s="100" t="s">
        <v>108</v>
      </c>
      <c r="DW6" s="100" t="s">
        <v>201</v>
      </c>
      <c r="DX6" s="100" t="s">
        <v>202</v>
      </c>
      <c r="DY6" s="100" t="s">
        <v>109</v>
      </c>
      <c r="DZ6" s="100" t="s">
        <v>203</v>
      </c>
      <c r="EA6" s="100" t="s">
        <v>204</v>
      </c>
      <c r="EB6" s="100" t="s">
        <v>205</v>
      </c>
      <c r="EC6" s="100" t="s">
        <v>206</v>
      </c>
      <c r="ED6" s="100" t="s">
        <v>207</v>
      </c>
      <c r="EE6" s="100" t="s">
        <v>208</v>
      </c>
      <c r="EF6" s="100" t="s">
        <v>110</v>
      </c>
      <c r="EG6" s="100" t="s">
        <v>182</v>
      </c>
      <c r="EH6" s="100" t="s">
        <v>111</v>
      </c>
      <c r="EI6" s="100" t="s">
        <v>209</v>
      </c>
      <c r="EJ6" s="100" t="s">
        <v>210</v>
      </c>
      <c r="EK6" s="100" t="s">
        <v>211</v>
      </c>
      <c r="EL6" s="100" t="s">
        <v>212</v>
      </c>
      <c r="EM6" s="100" t="s">
        <v>112</v>
      </c>
      <c r="EN6" s="100" t="s">
        <v>213</v>
      </c>
      <c r="EO6" s="100" t="s">
        <v>214</v>
      </c>
      <c r="EP6" s="100" t="s">
        <v>215</v>
      </c>
      <c r="EQ6" s="100" t="s">
        <v>216</v>
      </c>
      <c r="ER6" s="100" t="s">
        <v>217</v>
      </c>
      <c r="ES6" s="100" t="s">
        <v>218</v>
      </c>
      <c r="ET6" s="100" t="s">
        <v>219</v>
      </c>
      <c r="EU6" s="100" t="s">
        <v>220</v>
      </c>
      <c r="EV6" s="100" t="s">
        <v>221</v>
      </c>
      <c r="EW6" s="100" t="s">
        <v>113</v>
      </c>
      <c r="EX6" s="100" t="s">
        <v>114</v>
      </c>
      <c r="EY6" s="100" t="s">
        <v>222</v>
      </c>
      <c r="EZ6" s="100" t="s">
        <v>223</v>
      </c>
      <c r="FA6" s="100" t="s">
        <v>224</v>
      </c>
      <c r="FB6" s="100" t="s">
        <v>225</v>
      </c>
      <c r="FC6" s="100" t="s">
        <v>115</v>
      </c>
      <c r="FD6" s="100" t="s">
        <v>182</v>
      </c>
      <c r="FE6" s="100" t="s">
        <v>97</v>
      </c>
      <c r="FF6" s="100" t="s">
        <v>116</v>
      </c>
      <c r="FG6" s="100" t="s">
        <v>226</v>
      </c>
      <c r="FH6" s="100" t="s">
        <v>227</v>
      </c>
      <c r="FI6" s="100" t="s">
        <v>228</v>
      </c>
      <c r="FJ6" s="100" t="s">
        <v>117</v>
      </c>
      <c r="FK6" s="100" t="s">
        <v>118</v>
      </c>
      <c r="FL6" s="100" t="s">
        <v>119</v>
      </c>
      <c r="FM6" s="100" t="s">
        <v>120</v>
      </c>
      <c r="FN6" s="100" t="s">
        <v>121</v>
      </c>
      <c r="FO6" s="100" t="s">
        <v>229</v>
      </c>
      <c r="FP6" s="100" t="s">
        <v>654</v>
      </c>
      <c r="FQ6" s="100" t="s">
        <v>127</v>
      </c>
      <c r="FR6" s="100" t="s">
        <v>384</v>
      </c>
      <c r="FS6" s="100" t="s">
        <v>383</v>
      </c>
      <c r="FT6" s="100" t="s">
        <v>381</v>
      </c>
      <c r="FU6" s="100" t="s">
        <v>380</v>
      </c>
      <c r="FV6" s="100" t="s">
        <v>379</v>
      </c>
      <c r="FW6" s="100" t="s">
        <v>378</v>
      </c>
      <c r="FX6" s="100" t="s">
        <v>376</v>
      </c>
      <c r="FY6" s="100" t="s">
        <v>375</v>
      </c>
      <c r="FZ6" s="100" t="s">
        <v>374</v>
      </c>
      <c r="GA6" s="100" t="s">
        <v>373</v>
      </c>
      <c r="GB6" s="252"/>
      <c r="GC6" s="252"/>
      <c r="GD6" s="252"/>
      <c r="GE6" s="252"/>
    </row>
    <row r="7" spans="2:187" s="150" customFormat="1" ht="32.25" customHeight="1" x14ac:dyDescent="0.25">
      <c r="B7" s="168" t="s">
        <v>73</v>
      </c>
      <c r="C7" s="160">
        <f>This_Year_KWH!H7</f>
        <v>0</v>
      </c>
      <c r="D7" s="160">
        <f>This_Year_KWH!I7</f>
        <v>0</v>
      </c>
      <c r="E7" s="160">
        <f>This_Year_KWH!J7</f>
        <v>0</v>
      </c>
      <c r="F7" s="160">
        <f>This_Year_KWH!K7</f>
        <v>0</v>
      </c>
      <c r="G7" s="160">
        <f>This_Year_KWH!L7</f>
        <v>0</v>
      </c>
      <c r="H7" s="160">
        <f>This_Year_KWH!U7</f>
        <v>0</v>
      </c>
      <c r="I7" s="160">
        <f>This_Year_KWH!P7</f>
        <v>0</v>
      </c>
      <c r="J7" s="160">
        <f>This_Year_KWH!N7</f>
        <v>0</v>
      </c>
      <c r="K7" s="160">
        <f>This_Year_KWH!O7</f>
        <v>0</v>
      </c>
      <c r="L7" s="160">
        <f>This_Year_KWH!B7</f>
        <v>0</v>
      </c>
      <c r="M7" s="160">
        <f>This_Year_KWH!AR7</f>
        <v>0</v>
      </c>
      <c r="N7" s="160">
        <f>This_Year_KWH!BM7</f>
        <v>0</v>
      </c>
      <c r="O7" s="160">
        <f>This_Year_KWH!CM7</f>
        <v>0</v>
      </c>
      <c r="P7" s="160">
        <f>This_Year_KWH!DI7</f>
        <v>0</v>
      </c>
      <c r="Q7" s="160">
        <f>This_Year_KWH!EF7</f>
        <v>0</v>
      </c>
      <c r="R7" s="119">
        <f>SUM('Zone wise Meter data'!O62:AF62)</f>
        <v>0</v>
      </c>
      <c r="S7" s="115">
        <f>SUM('Zone wise Meter data'!AG62:AW62)</f>
        <v>0</v>
      </c>
      <c r="T7" s="115">
        <f>SUM('Zone wise Meter data'!AX62:BA62)</f>
        <v>0</v>
      </c>
      <c r="U7" s="115">
        <f>SUM('Zone wise Meter data'!BB62:BC62)</f>
        <v>0</v>
      </c>
      <c r="V7" s="115">
        <f>SUM('Zone wise Meter data'!BD62:BL62)</f>
        <v>0</v>
      </c>
      <c r="W7" s="115">
        <f>SUM('Zone wise Meter data'!BM62:BX62)</f>
        <v>0</v>
      </c>
      <c r="X7" s="115">
        <f>SUM('Zone wise Meter data'!BY62:CE62)</f>
        <v>0</v>
      </c>
      <c r="Y7" s="115">
        <f>SUM('Zone wise Meter data'!CF62:CK62)</f>
        <v>0</v>
      </c>
      <c r="Z7" s="115">
        <f>SUM('Zone wise Meter data'!CL62:CO62)</f>
        <v>0</v>
      </c>
      <c r="AA7" s="115">
        <f>SUM('Zone wise Meter data'!CP62:DD62)</f>
        <v>0</v>
      </c>
      <c r="AB7" s="115">
        <f>SUM('Zone wise Meter data'!DE62:DN62)</f>
        <v>0</v>
      </c>
      <c r="AC7" s="115">
        <f>SUM('Zone wise Meter data'!DO62:ED62)</f>
        <v>0</v>
      </c>
      <c r="AD7" s="160">
        <f>This_Year_KWH!AW7</f>
        <v>0</v>
      </c>
      <c r="AE7" s="160">
        <f>This_Year_KWH!DS7</f>
        <v>0</v>
      </c>
      <c r="AF7" s="160">
        <f>This_Year_KWH!EL7</f>
        <v>0</v>
      </c>
      <c r="AG7" s="160">
        <f>This_Year_KWH!EK7</f>
        <v>0</v>
      </c>
      <c r="AH7" s="160">
        <f>This_Year_KWH!EN7</f>
        <v>0</v>
      </c>
      <c r="AI7" s="160">
        <f>This_Year_KWH!EO7</f>
        <v>0</v>
      </c>
      <c r="AJ7" s="160">
        <f>This_Year_KWH!EM7</f>
        <v>0</v>
      </c>
      <c r="AK7" s="160">
        <f>This_Year_KWH!ER7</f>
        <v>0</v>
      </c>
      <c r="AL7" s="160">
        <f>This_Year_KWH!EI7</f>
        <v>0</v>
      </c>
      <c r="AM7" s="160">
        <f>This_Year_KWH!EJ7+Hourly_kWh!AS7</f>
        <v>1.6175000000000495E-3</v>
      </c>
      <c r="AN7" s="160">
        <f>This_Year_KWH!CX7+Hourly_kWh!CY7+Hourly_kWh!DC7+Hourly_kWh!DD7</f>
        <v>2.4666250000000556E-3</v>
      </c>
      <c r="AO7" s="160">
        <f>SUM(Hourly_kWh!AI7:AQ7)</f>
        <v>7.5341828124993349E-2</v>
      </c>
      <c r="AP7" s="160">
        <f>SUM(Hourly_kWh!V7:AG7)</f>
        <v>2.8999499999998513E-2</v>
      </c>
      <c r="AQ7" s="160">
        <f>This_Year_KWH!DB7</f>
        <v>0</v>
      </c>
      <c r="AR7" s="160">
        <f>This_Year_KWH!CO7</f>
        <v>0</v>
      </c>
      <c r="AS7" s="160">
        <f>This_Year_KWH!BJ7</f>
        <v>0</v>
      </c>
      <c r="AT7" s="160">
        <f>This_Year_KWH!U7</f>
        <v>0</v>
      </c>
      <c r="AU7" s="160">
        <f>This_Year_KWH!V7</f>
        <v>0</v>
      </c>
      <c r="AV7" s="160">
        <f>This_Year_KWH!W7</f>
        <v>0</v>
      </c>
      <c r="AW7" s="160">
        <f>This_Year_KWH!X7</f>
        <v>0</v>
      </c>
      <c r="AX7" s="160">
        <f>This_Year_KWH!Y7</f>
        <v>0</v>
      </c>
      <c r="AY7" s="160">
        <f>This_Year_KWH!Z7</f>
        <v>0</v>
      </c>
      <c r="AZ7" s="160">
        <f>This_Year_KWH!AA7</f>
        <v>0</v>
      </c>
      <c r="BA7" s="160">
        <f>This_Year_KWH!AB7</f>
        <v>0</v>
      </c>
      <c r="BB7" s="160">
        <f>This_Year_KWH!AC7</f>
        <v>0</v>
      </c>
      <c r="BC7" s="160">
        <f>This_Year_KWH!AD7</f>
        <v>0</v>
      </c>
      <c r="BD7" s="160">
        <f>This_Year_KWH!AE7</f>
        <v>0</v>
      </c>
      <c r="BE7" s="160">
        <f>This_Year_KWH!AF7</f>
        <v>0</v>
      </c>
      <c r="BF7" s="160">
        <f>This_Year_KWH!AG7</f>
        <v>0</v>
      </c>
      <c r="BG7" s="160">
        <f>This_Year_KWH!AH7</f>
        <v>0</v>
      </c>
      <c r="BH7" s="160">
        <f>This_Year_KWH!AI7</f>
        <v>0</v>
      </c>
      <c r="BI7" s="160">
        <f>This_Year_KWH!AJ7</f>
        <v>0</v>
      </c>
      <c r="BJ7" s="160">
        <f>This_Year_KWH!AK7</f>
        <v>0</v>
      </c>
      <c r="BK7" s="160">
        <f>This_Year_KWH!AL7</f>
        <v>0</v>
      </c>
      <c r="BL7" s="160">
        <f>This_Year_KWH!AM7</f>
        <v>0</v>
      </c>
      <c r="BM7" s="160">
        <f>This_Year_KWH!AN7</f>
        <v>0</v>
      </c>
      <c r="BN7" s="160">
        <f>This_Year_KWH!AO7</f>
        <v>0</v>
      </c>
      <c r="BO7" s="160">
        <f>This_Year_KWH!AP7</f>
        <v>0</v>
      </c>
      <c r="BP7" s="160">
        <f>This_Year_KWH!AQ7</f>
        <v>0</v>
      </c>
      <c r="BQ7" s="160">
        <f>This_Year_KWH!AR7</f>
        <v>0</v>
      </c>
      <c r="BR7" s="160">
        <f>This_Year_KWH!AS7</f>
        <v>0</v>
      </c>
      <c r="BS7" s="160">
        <f>This_Year_KWH!AT7</f>
        <v>0</v>
      </c>
      <c r="BT7" s="160">
        <f>This_Year_KWH!AU7</f>
        <v>0</v>
      </c>
      <c r="BU7" s="160">
        <f>This_Year_KWH!AV7</f>
        <v>0</v>
      </c>
      <c r="BV7" s="160">
        <f>This_Year_KWH!AW7</f>
        <v>0</v>
      </c>
      <c r="BW7" s="160">
        <f>This_Year_KWH!AX7</f>
        <v>0</v>
      </c>
      <c r="BX7" s="160">
        <f>This_Year_KWH!AY7</f>
        <v>0</v>
      </c>
      <c r="BY7" s="160">
        <f>This_Year_KWH!AZ7</f>
        <v>0</v>
      </c>
      <c r="BZ7" s="160">
        <f>This_Year_KWH!BA7</f>
        <v>0</v>
      </c>
      <c r="CA7" s="160">
        <f>This_Year_KWH!BB7</f>
        <v>0</v>
      </c>
      <c r="CB7" s="160">
        <f>This_Year_KWH!BC7</f>
        <v>0</v>
      </c>
      <c r="CC7" s="160">
        <f>This_Year_KWH!BD7</f>
        <v>0</v>
      </c>
      <c r="CD7" s="160">
        <f>This_Year_KWH!BE7</f>
        <v>0</v>
      </c>
      <c r="CE7" s="160">
        <f>This_Year_KWH!BF7</f>
        <v>0</v>
      </c>
      <c r="CF7" s="160">
        <f>This_Year_KWH!BG7</f>
        <v>0</v>
      </c>
      <c r="CG7" s="160">
        <f>This_Year_KWH!BH7</f>
        <v>0</v>
      </c>
      <c r="CH7" s="160">
        <f>This_Year_KWH!BI7</f>
        <v>0</v>
      </c>
      <c r="CI7" s="160">
        <f>This_Year_KWH!BJ7</f>
        <v>0</v>
      </c>
      <c r="CJ7" s="160">
        <f>This_Year_KWH!BK7</f>
        <v>0</v>
      </c>
      <c r="CK7" s="160">
        <f>This_Year_KWH!BL7</f>
        <v>0</v>
      </c>
      <c r="CL7" s="160">
        <f>This_Year_KWH!BM7</f>
        <v>0</v>
      </c>
      <c r="CM7" s="160">
        <f>This_Year_KWH!BN7</f>
        <v>0</v>
      </c>
      <c r="CN7" s="160">
        <f>This_Year_KWH!BO7</f>
        <v>0</v>
      </c>
      <c r="CO7" s="160">
        <f>This_Year_KWH!BP7</f>
        <v>0</v>
      </c>
      <c r="CP7" s="160">
        <f>This_Year_KWH!BQ7</f>
        <v>0</v>
      </c>
      <c r="CQ7" s="160">
        <f>This_Year_KWH!BR7</f>
        <v>0</v>
      </c>
      <c r="CR7" s="160">
        <f>This_Year_KWH!BS7</f>
        <v>0</v>
      </c>
      <c r="CS7" s="160">
        <f>This_Year_KWH!BT7</f>
        <v>0</v>
      </c>
      <c r="CT7" s="160">
        <f>This_Year_KWH!BU7</f>
        <v>0</v>
      </c>
      <c r="CU7" s="160">
        <f>This_Year_KWH!BV7</f>
        <v>0</v>
      </c>
      <c r="CV7" s="160">
        <f>This_Year_KWH!BW7</f>
        <v>0</v>
      </c>
      <c r="CW7" s="160">
        <f>This_Year_KWH!BX7</f>
        <v>0</v>
      </c>
      <c r="CX7" s="160">
        <f>This_Year_KWH!BY7</f>
        <v>0</v>
      </c>
      <c r="CY7" s="160">
        <f>This_Year_KWH!BZ7</f>
        <v>0</v>
      </c>
      <c r="CZ7" s="160">
        <f>This_Year_KWH!CA7</f>
        <v>0</v>
      </c>
      <c r="DA7" s="160">
        <f>This_Year_KWH!CB7</f>
        <v>0</v>
      </c>
      <c r="DB7" s="160">
        <f>This_Year_KWH!CC7</f>
        <v>0</v>
      </c>
      <c r="DC7" s="160">
        <f>This_Year_KWH!CD7</f>
        <v>0</v>
      </c>
      <c r="DD7" s="160">
        <f>This_Year_KWH!CE7</f>
        <v>0</v>
      </c>
      <c r="DE7" s="160">
        <f>This_Year_KWH!CF7</f>
        <v>0</v>
      </c>
      <c r="DF7" s="160">
        <f>This_Year_KWH!CG7</f>
        <v>0</v>
      </c>
      <c r="DG7" s="160">
        <f>This_Year_KWH!CH7</f>
        <v>0</v>
      </c>
      <c r="DH7" s="160">
        <f>This_Year_KWH!CI7</f>
        <v>0</v>
      </c>
      <c r="DI7" s="160">
        <f>This_Year_KWH!CJ7</f>
        <v>0</v>
      </c>
      <c r="DJ7" s="160">
        <f>This_Year_KWH!CK7</f>
        <v>0</v>
      </c>
      <c r="DK7" s="160">
        <f>This_Year_KWH!CL7</f>
        <v>0</v>
      </c>
      <c r="DL7" s="160">
        <f>This_Year_KWH!CM7</f>
        <v>0</v>
      </c>
      <c r="DM7" s="160">
        <f>This_Year_KWH!CN7</f>
        <v>0</v>
      </c>
      <c r="DN7" s="160">
        <f>This_Year_KWH!CO7</f>
        <v>0</v>
      </c>
      <c r="DO7" s="160">
        <f>This_Year_KWH!CP7</f>
        <v>0</v>
      </c>
      <c r="DP7" s="160">
        <f>This_Year_KWH!CQ7</f>
        <v>0</v>
      </c>
      <c r="DQ7" s="160">
        <f>This_Year_KWH!CR7</f>
        <v>0</v>
      </c>
      <c r="DR7" s="160">
        <f>This_Year_KWH!CS7</f>
        <v>0</v>
      </c>
      <c r="DS7" s="160">
        <f>This_Year_KWH!CT7</f>
        <v>0</v>
      </c>
      <c r="DT7" s="160">
        <f>This_Year_KWH!CU7</f>
        <v>0</v>
      </c>
      <c r="DU7" s="160">
        <f>This_Year_KWH!CV7</f>
        <v>0</v>
      </c>
      <c r="DV7" s="160">
        <f>This_Year_KWH!CW7</f>
        <v>0</v>
      </c>
      <c r="DW7" s="160">
        <f>This_Year_KWH!CX7</f>
        <v>0</v>
      </c>
      <c r="DX7" s="160">
        <f>This_Year_KWH!CY7</f>
        <v>0</v>
      </c>
      <c r="DY7" s="160">
        <f>This_Year_KWH!CZ7</f>
        <v>0</v>
      </c>
      <c r="DZ7" s="160">
        <f>This_Year_KWH!DA7</f>
        <v>0</v>
      </c>
      <c r="EA7" s="160">
        <f>This_Year_KWH!DB7</f>
        <v>0</v>
      </c>
      <c r="EB7" s="160">
        <f>This_Year_KWH!DC7</f>
        <v>0</v>
      </c>
      <c r="EC7" s="160">
        <f>This_Year_KWH!DD7</f>
        <v>0</v>
      </c>
      <c r="ED7" s="160">
        <f>This_Year_KWH!DE7</f>
        <v>0</v>
      </c>
      <c r="EE7" s="160">
        <f>This_Year_KWH!DF7</f>
        <v>0</v>
      </c>
      <c r="EF7" s="160">
        <f>This_Year_KWH!DG7</f>
        <v>0</v>
      </c>
      <c r="EG7" s="160">
        <f>This_Year_KWH!DH7</f>
        <v>0</v>
      </c>
      <c r="EH7" s="160">
        <f>This_Year_KWH!DI7</f>
        <v>0</v>
      </c>
      <c r="EI7" s="160">
        <f>This_Year_KWH!DJ7</f>
        <v>0</v>
      </c>
      <c r="EJ7" s="160">
        <f>This_Year_KWH!DK7</f>
        <v>0</v>
      </c>
      <c r="EK7" s="160">
        <f>This_Year_KWH!DL7</f>
        <v>0</v>
      </c>
      <c r="EL7" s="160">
        <f>This_Year_KWH!DM7</f>
        <v>0</v>
      </c>
      <c r="EM7" s="160">
        <f>This_Year_KWH!DN7</f>
        <v>0</v>
      </c>
      <c r="EN7" s="160">
        <f>This_Year_KWH!DO7</f>
        <v>0</v>
      </c>
      <c r="EO7" s="160">
        <f>This_Year_KWH!DP7</f>
        <v>0</v>
      </c>
      <c r="EP7" s="160">
        <f>This_Year_KWH!DQ7</f>
        <v>0</v>
      </c>
      <c r="EQ7" s="160">
        <f>This_Year_KWH!DR7</f>
        <v>0</v>
      </c>
      <c r="ER7" s="160">
        <f>This_Year_KWH!DS7</f>
        <v>0</v>
      </c>
      <c r="ES7" s="160">
        <f>This_Year_KWH!DT7</f>
        <v>0</v>
      </c>
      <c r="ET7" s="160">
        <f>This_Year_KWH!DU7</f>
        <v>0</v>
      </c>
      <c r="EU7" s="160">
        <f>This_Year_KWH!DV7</f>
        <v>0</v>
      </c>
      <c r="EV7" s="160">
        <f>This_Year_KWH!DW7</f>
        <v>0</v>
      </c>
      <c r="EW7" s="160">
        <f>This_Year_KWH!DX7</f>
        <v>0</v>
      </c>
      <c r="EX7" s="160">
        <f>This_Year_KWH!DY7</f>
        <v>0</v>
      </c>
      <c r="EY7" s="160">
        <f>This_Year_KWH!DZ7</f>
        <v>0</v>
      </c>
      <c r="EZ7" s="160">
        <f>This_Year_KWH!EA7</f>
        <v>0</v>
      </c>
      <c r="FA7" s="160">
        <f>This_Year_KWH!EB7</f>
        <v>0</v>
      </c>
      <c r="FB7" s="160">
        <f>This_Year_KWH!EC7</f>
        <v>0</v>
      </c>
      <c r="FC7" s="160">
        <f>This_Year_KWH!ED7</f>
        <v>0</v>
      </c>
      <c r="FD7" s="160">
        <f>This_Year_KWH!EE7</f>
        <v>0</v>
      </c>
      <c r="FE7" s="160">
        <f>This_Year_KWH!EF7</f>
        <v>0</v>
      </c>
      <c r="FF7" s="160">
        <f>This_Year_KWH!EG7</f>
        <v>0</v>
      </c>
      <c r="FG7" s="160">
        <f>This_Year_KWH!EH7</f>
        <v>0</v>
      </c>
      <c r="FH7" s="160">
        <f>This_Year_KWH!EI7</f>
        <v>0</v>
      </c>
      <c r="FI7" s="160">
        <f>This_Year_KWH!EJ7</f>
        <v>0</v>
      </c>
      <c r="FJ7" s="160">
        <f>This_Year_KWH!EK7</f>
        <v>0</v>
      </c>
      <c r="FK7" s="160">
        <f>This_Year_KWH!EL7</f>
        <v>0</v>
      </c>
      <c r="FL7" s="160">
        <f>This_Year_KWH!EM7</f>
        <v>0</v>
      </c>
      <c r="FM7" s="160">
        <f>This_Year_KWH!EN7</f>
        <v>0</v>
      </c>
      <c r="FN7" s="160">
        <f>This_Year_KWH!EO7</f>
        <v>0</v>
      </c>
      <c r="FO7" s="160">
        <f>This_Year_KWH!EP7</f>
        <v>0</v>
      </c>
      <c r="FP7" s="160">
        <f>This_Year_KWH!ER7</f>
        <v>0</v>
      </c>
      <c r="FQ7" s="160">
        <f>This_Year_KWH!EQ7</f>
        <v>0</v>
      </c>
      <c r="FR7" s="160">
        <f>This_Year_KWH!M7</f>
        <v>0</v>
      </c>
      <c r="FS7" s="160">
        <f>This_Year_KWH!G7</f>
        <v>0</v>
      </c>
      <c r="FT7" s="160">
        <f>This_Year_KWH!C7</f>
        <v>0</v>
      </c>
      <c r="FU7" s="160">
        <f>This_Year_KWH!D7</f>
        <v>0</v>
      </c>
      <c r="FV7" s="160">
        <f>This_Year_KWH!E7</f>
        <v>0</v>
      </c>
      <c r="FW7" s="160">
        <f>This_Year_KWH!F7</f>
        <v>0</v>
      </c>
      <c r="FX7" s="160">
        <f>This_Year_KWH!Q7</f>
        <v>0</v>
      </c>
      <c r="FY7" s="160">
        <f>This_Year_KWH!R7</f>
        <v>0</v>
      </c>
      <c r="FZ7" s="160">
        <f>This_Year_KWH!S7</f>
        <v>0</v>
      </c>
      <c r="GA7" s="160">
        <f>This_Year_KWH!T7</f>
        <v>0</v>
      </c>
      <c r="GB7" s="160">
        <f>SUM(C7:L7)</f>
        <v>0</v>
      </c>
      <c r="GC7" s="160">
        <f>SUM(M7:Q7)</f>
        <v>0</v>
      </c>
      <c r="GD7" s="160">
        <f>GB7-GC7</f>
        <v>0</v>
      </c>
      <c r="GE7" s="159" t="e">
        <f>GD7/GB7</f>
        <v>#DIV/0!</v>
      </c>
    </row>
    <row r="8" spans="2:187" s="150" customFormat="1" ht="32.25" customHeight="1" x14ac:dyDescent="0.25">
      <c r="B8" s="168" t="s">
        <v>74</v>
      </c>
      <c r="C8" s="160">
        <f>This_Year_KWH!H8</f>
        <v>0</v>
      </c>
      <c r="D8" s="160">
        <f>This_Year_KWH!I8</f>
        <v>0</v>
      </c>
      <c r="E8" s="160">
        <f>This_Year_KWH!J8</f>
        <v>0</v>
      </c>
      <c r="F8" s="160">
        <f>This_Year_KWH!K8</f>
        <v>0</v>
      </c>
      <c r="G8" s="160">
        <f>This_Year_KWH!L8</f>
        <v>0</v>
      </c>
      <c r="H8" s="160">
        <f>This_Year_KWH!U8</f>
        <v>0</v>
      </c>
      <c r="I8" s="160">
        <f>This_Year_KWH!P8</f>
        <v>0</v>
      </c>
      <c r="J8" s="160">
        <f>This_Year_KWH!N8</f>
        <v>0</v>
      </c>
      <c r="K8" s="160">
        <f>This_Year_KWH!O8</f>
        <v>0</v>
      </c>
      <c r="L8" s="160">
        <f>This_Year_KWH!B8</f>
        <v>0</v>
      </c>
      <c r="M8" s="160">
        <f>This_Year_KWH!AR8</f>
        <v>0</v>
      </c>
      <c r="N8" s="160">
        <f>This_Year_KWH!BM8</f>
        <v>0</v>
      </c>
      <c r="O8" s="160">
        <f>This_Year_KWH!CM8</f>
        <v>0</v>
      </c>
      <c r="P8" s="160">
        <f>This_Year_KWH!DI8</f>
        <v>0</v>
      </c>
      <c r="Q8" s="160">
        <f>This_Year_KWH!EF8</f>
        <v>0</v>
      </c>
      <c r="R8" s="119">
        <f>SUM('Zone wise Meter data'!O63:AF63)</f>
        <v>0</v>
      </c>
      <c r="S8" s="115">
        <f>SUM('Zone wise Meter data'!AG63:AW63)</f>
        <v>0</v>
      </c>
      <c r="T8" s="115">
        <f>SUM('Zone wise Meter data'!AX63:BA63)</f>
        <v>0</v>
      </c>
      <c r="U8" s="115">
        <f>SUM('Zone wise Meter data'!BB63:BC63)</f>
        <v>0</v>
      </c>
      <c r="V8" s="115">
        <f>SUM('Zone wise Meter data'!BD63:BL63)</f>
        <v>0</v>
      </c>
      <c r="W8" s="115">
        <f>SUM('Zone wise Meter data'!BM63:BX63)</f>
        <v>0</v>
      </c>
      <c r="X8" s="115">
        <f>SUM('Zone wise Meter data'!BY63:CE63)</f>
        <v>0</v>
      </c>
      <c r="Y8" s="115">
        <f>SUM('Zone wise Meter data'!CF63:CK63)</f>
        <v>0</v>
      </c>
      <c r="Z8" s="115">
        <f>SUM('Zone wise Meter data'!CL63:CO63)</f>
        <v>0</v>
      </c>
      <c r="AA8" s="115">
        <f>SUM('Zone wise Meter data'!CP63:DD63)</f>
        <v>0</v>
      </c>
      <c r="AB8" s="115">
        <f>SUM('Zone wise Meter data'!DE63:DN63)</f>
        <v>0</v>
      </c>
      <c r="AC8" s="115">
        <f>SUM('Zone wise Meter data'!DO63:ED63)</f>
        <v>0</v>
      </c>
      <c r="AD8" s="160">
        <f>This_Year_KWH!AW8</f>
        <v>0</v>
      </c>
      <c r="AE8" s="160">
        <f>This_Year_KWH!DS8</f>
        <v>0</v>
      </c>
      <c r="AF8" s="160">
        <f>This_Year_KWH!EL8</f>
        <v>0</v>
      </c>
      <c r="AG8" s="160">
        <f>This_Year_KWH!EK8</f>
        <v>0</v>
      </c>
      <c r="AH8" s="160">
        <f>This_Year_KWH!EN8</f>
        <v>0</v>
      </c>
      <c r="AI8" s="160">
        <f>This_Year_KWH!EO8</f>
        <v>0</v>
      </c>
      <c r="AJ8" s="160">
        <f>This_Year_KWH!EM8</f>
        <v>0</v>
      </c>
      <c r="AK8" s="160">
        <f>This_Year_KWH!ER8</f>
        <v>0</v>
      </c>
      <c r="AL8" s="160">
        <f>This_Year_KWH!EI8</f>
        <v>0</v>
      </c>
      <c r="AM8" s="160">
        <f>This_Year_KWH!EJ8+Hourly_kWh!AS8</f>
        <v>2.0885000000001597E-3</v>
      </c>
      <c r="AN8" s="160">
        <f>This_Year_KWH!CX8+Hourly_kWh!CY8+Hourly_kWh!DC8+Hourly_kWh!DD8</f>
        <v>6.53725000000005E-3</v>
      </c>
      <c r="AO8" s="160">
        <f>SUM(Hourly_kWh!AI8:AQ8)</f>
        <v>7.7292734375006916E-2</v>
      </c>
      <c r="AP8" s="160">
        <f>SUM(Hourly_kWh!V8:AG8)</f>
        <v>3.6006000000003091E-2</v>
      </c>
      <c r="AQ8" s="160">
        <f>This_Year_KWH!DB8</f>
        <v>0</v>
      </c>
      <c r="AR8" s="160">
        <f>This_Year_KWH!CO8</f>
        <v>0</v>
      </c>
      <c r="AS8" s="160">
        <f>This_Year_KWH!BJ8</f>
        <v>0</v>
      </c>
      <c r="AT8" s="160">
        <f>This_Year_KWH!U8</f>
        <v>0</v>
      </c>
      <c r="AU8" s="160">
        <f>This_Year_KWH!V8</f>
        <v>0</v>
      </c>
      <c r="AV8" s="160">
        <f>This_Year_KWH!W8</f>
        <v>0</v>
      </c>
      <c r="AW8" s="160">
        <f>This_Year_KWH!X8</f>
        <v>0</v>
      </c>
      <c r="AX8" s="160">
        <f>This_Year_KWH!Y8</f>
        <v>0</v>
      </c>
      <c r="AY8" s="160">
        <f>This_Year_KWH!Z8</f>
        <v>0</v>
      </c>
      <c r="AZ8" s="160">
        <f>This_Year_KWH!AA8</f>
        <v>0</v>
      </c>
      <c r="BA8" s="160">
        <f>This_Year_KWH!AB8</f>
        <v>0</v>
      </c>
      <c r="BB8" s="160">
        <f>This_Year_KWH!AC8</f>
        <v>0</v>
      </c>
      <c r="BC8" s="160">
        <f>This_Year_KWH!AD8</f>
        <v>0</v>
      </c>
      <c r="BD8" s="160">
        <f>This_Year_KWH!AE8</f>
        <v>0</v>
      </c>
      <c r="BE8" s="160">
        <f>This_Year_KWH!AF8</f>
        <v>0</v>
      </c>
      <c r="BF8" s="160">
        <f>This_Year_KWH!AG8</f>
        <v>0</v>
      </c>
      <c r="BG8" s="160">
        <f>This_Year_KWH!AH8</f>
        <v>0</v>
      </c>
      <c r="BH8" s="160">
        <f>This_Year_KWH!AI8</f>
        <v>0</v>
      </c>
      <c r="BI8" s="160">
        <f>This_Year_KWH!AJ8</f>
        <v>0</v>
      </c>
      <c r="BJ8" s="160">
        <f>This_Year_KWH!AK8</f>
        <v>0</v>
      </c>
      <c r="BK8" s="160">
        <f>This_Year_KWH!AL8</f>
        <v>0</v>
      </c>
      <c r="BL8" s="160">
        <f>This_Year_KWH!AM8</f>
        <v>0</v>
      </c>
      <c r="BM8" s="160">
        <f>This_Year_KWH!AN8</f>
        <v>0</v>
      </c>
      <c r="BN8" s="160">
        <f>This_Year_KWH!AO8</f>
        <v>0</v>
      </c>
      <c r="BO8" s="160">
        <f>This_Year_KWH!AP8</f>
        <v>0</v>
      </c>
      <c r="BP8" s="160">
        <f>This_Year_KWH!AQ8</f>
        <v>0</v>
      </c>
      <c r="BQ8" s="160">
        <f>This_Year_KWH!AR8</f>
        <v>0</v>
      </c>
      <c r="BR8" s="160">
        <f>This_Year_KWH!AS8</f>
        <v>0</v>
      </c>
      <c r="BS8" s="160">
        <f>This_Year_KWH!AT8</f>
        <v>0</v>
      </c>
      <c r="BT8" s="160">
        <f>This_Year_KWH!AU8</f>
        <v>0</v>
      </c>
      <c r="BU8" s="160">
        <f>This_Year_KWH!AV8</f>
        <v>0</v>
      </c>
      <c r="BV8" s="160">
        <f>This_Year_KWH!AW8</f>
        <v>0</v>
      </c>
      <c r="BW8" s="160">
        <f>This_Year_KWH!AX8</f>
        <v>0</v>
      </c>
      <c r="BX8" s="160">
        <f>This_Year_KWH!AY8</f>
        <v>0</v>
      </c>
      <c r="BY8" s="160">
        <f>This_Year_KWH!AZ8</f>
        <v>0</v>
      </c>
      <c r="BZ8" s="160">
        <f>This_Year_KWH!BA8</f>
        <v>0</v>
      </c>
      <c r="CA8" s="160">
        <f>This_Year_KWH!BB8</f>
        <v>0</v>
      </c>
      <c r="CB8" s="160">
        <f>This_Year_KWH!BC8</f>
        <v>0</v>
      </c>
      <c r="CC8" s="160">
        <f>This_Year_KWH!BD8</f>
        <v>0</v>
      </c>
      <c r="CD8" s="160">
        <f>This_Year_KWH!BE8</f>
        <v>0</v>
      </c>
      <c r="CE8" s="160">
        <f>This_Year_KWH!BF8</f>
        <v>0</v>
      </c>
      <c r="CF8" s="160">
        <f>This_Year_KWH!BG8</f>
        <v>0</v>
      </c>
      <c r="CG8" s="160">
        <f>This_Year_KWH!BH8</f>
        <v>0</v>
      </c>
      <c r="CH8" s="160">
        <f>This_Year_KWH!BI8</f>
        <v>0</v>
      </c>
      <c r="CI8" s="160">
        <f>This_Year_KWH!BJ8</f>
        <v>0</v>
      </c>
      <c r="CJ8" s="160">
        <f>This_Year_KWH!BK8</f>
        <v>0</v>
      </c>
      <c r="CK8" s="160">
        <f>This_Year_KWH!BL8</f>
        <v>0</v>
      </c>
      <c r="CL8" s="160">
        <f>This_Year_KWH!BM8</f>
        <v>0</v>
      </c>
      <c r="CM8" s="160">
        <f>This_Year_KWH!BN8</f>
        <v>0</v>
      </c>
      <c r="CN8" s="160">
        <f>This_Year_KWH!BO8</f>
        <v>0</v>
      </c>
      <c r="CO8" s="160">
        <f>This_Year_KWH!BP8</f>
        <v>0</v>
      </c>
      <c r="CP8" s="160">
        <f>This_Year_KWH!BQ8</f>
        <v>0</v>
      </c>
      <c r="CQ8" s="160">
        <f>This_Year_KWH!BR8</f>
        <v>0</v>
      </c>
      <c r="CR8" s="160">
        <f>This_Year_KWH!BS8</f>
        <v>0</v>
      </c>
      <c r="CS8" s="160">
        <f>This_Year_KWH!BT8</f>
        <v>0</v>
      </c>
      <c r="CT8" s="160">
        <f>This_Year_KWH!BU8</f>
        <v>0</v>
      </c>
      <c r="CU8" s="160">
        <f>This_Year_KWH!BV8</f>
        <v>0</v>
      </c>
      <c r="CV8" s="160">
        <f>This_Year_KWH!BW8</f>
        <v>0</v>
      </c>
      <c r="CW8" s="160">
        <f>This_Year_KWH!BX8</f>
        <v>0</v>
      </c>
      <c r="CX8" s="160">
        <f>This_Year_KWH!BY8</f>
        <v>0</v>
      </c>
      <c r="CY8" s="160">
        <f>This_Year_KWH!BZ8</f>
        <v>0</v>
      </c>
      <c r="CZ8" s="160">
        <f>This_Year_KWH!CA8</f>
        <v>0</v>
      </c>
      <c r="DA8" s="160">
        <f>This_Year_KWH!CB8</f>
        <v>0</v>
      </c>
      <c r="DB8" s="160">
        <f>This_Year_KWH!CC8</f>
        <v>0</v>
      </c>
      <c r="DC8" s="160">
        <f>This_Year_KWH!CD8</f>
        <v>0</v>
      </c>
      <c r="DD8" s="160">
        <f>This_Year_KWH!CE8</f>
        <v>0</v>
      </c>
      <c r="DE8" s="160">
        <f>This_Year_KWH!CF8</f>
        <v>0</v>
      </c>
      <c r="DF8" s="160">
        <f>This_Year_KWH!CG8</f>
        <v>0</v>
      </c>
      <c r="DG8" s="160">
        <f>This_Year_KWH!CH8</f>
        <v>0</v>
      </c>
      <c r="DH8" s="160">
        <f>This_Year_KWH!CI8</f>
        <v>0</v>
      </c>
      <c r="DI8" s="160">
        <f>This_Year_KWH!CJ8</f>
        <v>0</v>
      </c>
      <c r="DJ8" s="160">
        <f>This_Year_KWH!CK8</f>
        <v>0</v>
      </c>
      <c r="DK8" s="160">
        <f>This_Year_KWH!CL8</f>
        <v>0</v>
      </c>
      <c r="DL8" s="160">
        <f>This_Year_KWH!CM8</f>
        <v>0</v>
      </c>
      <c r="DM8" s="160">
        <f>This_Year_KWH!CN8</f>
        <v>0</v>
      </c>
      <c r="DN8" s="160">
        <f>This_Year_KWH!CO8</f>
        <v>0</v>
      </c>
      <c r="DO8" s="160">
        <f>This_Year_KWH!CP8</f>
        <v>0</v>
      </c>
      <c r="DP8" s="160">
        <f>This_Year_KWH!CQ8</f>
        <v>0</v>
      </c>
      <c r="DQ8" s="160">
        <f>This_Year_KWH!CR8</f>
        <v>0</v>
      </c>
      <c r="DR8" s="160">
        <f>This_Year_KWH!CS8</f>
        <v>0</v>
      </c>
      <c r="DS8" s="160">
        <f>This_Year_KWH!CT8</f>
        <v>0</v>
      </c>
      <c r="DT8" s="160">
        <f>This_Year_KWH!CU8</f>
        <v>0</v>
      </c>
      <c r="DU8" s="160">
        <f>This_Year_KWH!CV8</f>
        <v>0</v>
      </c>
      <c r="DV8" s="160">
        <f>This_Year_KWH!CW8</f>
        <v>0</v>
      </c>
      <c r="DW8" s="160">
        <f>This_Year_KWH!CX8</f>
        <v>0</v>
      </c>
      <c r="DX8" s="160">
        <f>This_Year_KWH!CY8</f>
        <v>0</v>
      </c>
      <c r="DY8" s="160">
        <f>This_Year_KWH!CZ8</f>
        <v>0</v>
      </c>
      <c r="DZ8" s="160">
        <f>This_Year_KWH!DA8</f>
        <v>0</v>
      </c>
      <c r="EA8" s="160">
        <f>This_Year_KWH!DB8</f>
        <v>0</v>
      </c>
      <c r="EB8" s="160">
        <f>This_Year_KWH!DC8</f>
        <v>0</v>
      </c>
      <c r="EC8" s="160">
        <f>This_Year_KWH!DD8</f>
        <v>0</v>
      </c>
      <c r="ED8" s="160">
        <f>This_Year_KWH!DE8</f>
        <v>0</v>
      </c>
      <c r="EE8" s="160">
        <f>This_Year_KWH!DF8</f>
        <v>0</v>
      </c>
      <c r="EF8" s="160">
        <f>This_Year_KWH!DG8</f>
        <v>0</v>
      </c>
      <c r="EG8" s="160">
        <f>This_Year_KWH!DH8</f>
        <v>0</v>
      </c>
      <c r="EH8" s="160">
        <f>This_Year_KWH!DI8</f>
        <v>0</v>
      </c>
      <c r="EI8" s="160">
        <f>This_Year_KWH!DJ8</f>
        <v>0</v>
      </c>
      <c r="EJ8" s="160">
        <f>This_Year_KWH!DK8</f>
        <v>0</v>
      </c>
      <c r="EK8" s="160">
        <f>This_Year_KWH!DL8</f>
        <v>0</v>
      </c>
      <c r="EL8" s="160">
        <f>This_Year_KWH!DM8</f>
        <v>0</v>
      </c>
      <c r="EM8" s="160">
        <f>This_Year_KWH!DN8</f>
        <v>0</v>
      </c>
      <c r="EN8" s="160">
        <f>This_Year_KWH!DO8</f>
        <v>0</v>
      </c>
      <c r="EO8" s="160">
        <f>This_Year_KWH!DP8</f>
        <v>0</v>
      </c>
      <c r="EP8" s="160">
        <f>This_Year_KWH!DQ8</f>
        <v>0</v>
      </c>
      <c r="EQ8" s="160">
        <f>This_Year_KWH!DR8</f>
        <v>0</v>
      </c>
      <c r="ER8" s="160">
        <f>This_Year_KWH!DS8</f>
        <v>0</v>
      </c>
      <c r="ES8" s="160">
        <f>This_Year_KWH!DT8</f>
        <v>0</v>
      </c>
      <c r="ET8" s="160">
        <f>This_Year_KWH!DU8</f>
        <v>0</v>
      </c>
      <c r="EU8" s="160">
        <f>This_Year_KWH!DV8</f>
        <v>0</v>
      </c>
      <c r="EV8" s="160">
        <f>This_Year_KWH!DW8</f>
        <v>0</v>
      </c>
      <c r="EW8" s="160">
        <f>This_Year_KWH!DX8</f>
        <v>0</v>
      </c>
      <c r="EX8" s="160">
        <f>This_Year_KWH!DY8</f>
        <v>0</v>
      </c>
      <c r="EY8" s="160">
        <f>This_Year_KWH!DZ8</f>
        <v>0</v>
      </c>
      <c r="EZ8" s="160">
        <f>This_Year_KWH!EA8</f>
        <v>0</v>
      </c>
      <c r="FA8" s="160">
        <f>This_Year_KWH!EB8</f>
        <v>0</v>
      </c>
      <c r="FB8" s="160">
        <f>This_Year_KWH!EC8</f>
        <v>0</v>
      </c>
      <c r="FC8" s="160">
        <f>This_Year_KWH!ED8</f>
        <v>0</v>
      </c>
      <c r="FD8" s="160">
        <f>This_Year_KWH!EE8</f>
        <v>0</v>
      </c>
      <c r="FE8" s="160">
        <f>This_Year_KWH!EF8</f>
        <v>0</v>
      </c>
      <c r="FF8" s="160">
        <f>This_Year_KWH!EG8</f>
        <v>0</v>
      </c>
      <c r="FG8" s="160">
        <f>This_Year_KWH!EH8</f>
        <v>0</v>
      </c>
      <c r="FH8" s="160">
        <f>This_Year_KWH!EI8</f>
        <v>0</v>
      </c>
      <c r="FI8" s="160">
        <f>This_Year_KWH!EJ8</f>
        <v>0</v>
      </c>
      <c r="FJ8" s="160">
        <f>This_Year_KWH!EK8</f>
        <v>0</v>
      </c>
      <c r="FK8" s="160">
        <f>This_Year_KWH!EL8</f>
        <v>0</v>
      </c>
      <c r="FL8" s="160">
        <f>This_Year_KWH!EM8</f>
        <v>0</v>
      </c>
      <c r="FM8" s="160">
        <f>This_Year_KWH!EN8</f>
        <v>0</v>
      </c>
      <c r="FN8" s="160">
        <f>This_Year_KWH!EO8</f>
        <v>0</v>
      </c>
      <c r="FO8" s="160">
        <f>This_Year_KWH!EP8</f>
        <v>0</v>
      </c>
      <c r="FP8" s="160">
        <f>This_Year_KWH!ER8</f>
        <v>0</v>
      </c>
      <c r="FQ8" s="160">
        <f>This_Year_KWH!EQ8</f>
        <v>0</v>
      </c>
      <c r="FR8" s="160">
        <f>This_Year_KWH!M8</f>
        <v>0</v>
      </c>
      <c r="FS8" s="160">
        <f>This_Year_KWH!G8</f>
        <v>0</v>
      </c>
      <c r="FT8" s="160">
        <f>This_Year_KWH!C8</f>
        <v>0</v>
      </c>
      <c r="FU8" s="160">
        <f>This_Year_KWH!D8</f>
        <v>0</v>
      </c>
      <c r="FV8" s="160">
        <f>This_Year_KWH!E8</f>
        <v>0</v>
      </c>
      <c r="FW8" s="160">
        <f>This_Year_KWH!F8</f>
        <v>0</v>
      </c>
      <c r="FX8" s="160">
        <f>This_Year_KWH!Q8</f>
        <v>0</v>
      </c>
      <c r="FY8" s="160">
        <f>This_Year_KWH!R8</f>
        <v>0</v>
      </c>
      <c r="FZ8" s="160">
        <f>This_Year_KWH!S8</f>
        <v>0</v>
      </c>
      <c r="GA8" s="160">
        <f>This_Year_KWH!T8</f>
        <v>0</v>
      </c>
      <c r="GB8" s="160">
        <f t="shared" ref="GB8:GB18" si="0">SUM(C8:L8)</f>
        <v>0</v>
      </c>
      <c r="GC8" s="160">
        <f t="shared" ref="GC8:GC18" si="1">SUM(M8:Q8)</f>
        <v>0</v>
      </c>
      <c r="GD8" s="160">
        <f t="shared" ref="GD8:GD18" si="2">GB8-GC8</f>
        <v>0</v>
      </c>
      <c r="GE8" s="159" t="e">
        <f t="shared" ref="GE8:GE18" si="3">GD8/GB8</f>
        <v>#DIV/0!</v>
      </c>
    </row>
    <row r="9" spans="2:187" s="150" customFormat="1" ht="32.25" customHeight="1" x14ac:dyDescent="0.25">
      <c r="B9" s="168" t="s">
        <v>75</v>
      </c>
      <c r="C9" s="160">
        <f>This_Year_KWH!H9</f>
        <v>0</v>
      </c>
      <c r="D9" s="160">
        <f>This_Year_KWH!I9</f>
        <v>0</v>
      </c>
      <c r="E9" s="160">
        <f>This_Year_KWH!J9</f>
        <v>0</v>
      </c>
      <c r="F9" s="160">
        <f>This_Year_KWH!K9</f>
        <v>0</v>
      </c>
      <c r="G9" s="160">
        <f>This_Year_KWH!L9</f>
        <v>0</v>
      </c>
      <c r="H9" s="160">
        <f>This_Year_KWH!U9</f>
        <v>0</v>
      </c>
      <c r="I9" s="160">
        <f>This_Year_KWH!P9</f>
        <v>0</v>
      </c>
      <c r="J9" s="160">
        <f>This_Year_KWH!N9</f>
        <v>0</v>
      </c>
      <c r="K9" s="160">
        <f>This_Year_KWH!O9</f>
        <v>0</v>
      </c>
      <c r="L9" s="160">
        <f>This_Year_KWH!B9</f>
        <v>0</v>
      </c>
      <c r="M9" s="160">
        <f>This_Year_KWH!AR9</f>
        <v>0</v>
      </c>
      <c r="N9" s="160">
        <f>This_Year_KWH!BM9</f>
        <v>0</v>
      </c>
      <c r="O9" s="160">
        <f>This_Year_KWH!CM9</f>
        <v>0</v>
      </c>
      <c r="P9" s="160">
        <f>This_Year_KWH!DI9</f>
        <v>0</v>
      </c>
      <c r="Q9" s="160">
        <f>This_Year_KWH!EF9</f>
        <v>0</v>
      </c>
      <c r="R9" s="119">
        <f>SUM('Zone wise Meter data'!O64:AF64)</f>
        <v>0</v>
      </c>
      <c r="S9" s="115">
        <f>SUM('Zone wise Meter data'!AG64:AW64)</f>
        <v>0</v>
      </c>
      <c r="T9" s="115">
        <f>SUM('Zone wise Meter data'!AX64:BA64)</f>
        <v>0</v>
      </c>
      <c r="U9" s="115">
        <f>SUM('Zone wise Meter data'!BB64:BC64)</f>
        <v>0</v>
      </c>
      <c r="V9" s="115">
        <f>SUM('Zone wise Meter data'!BD64:BL64)</f>
        <v>0</v>
      </c>
      <c r="W9" s="115">
        <f>SUM('Zone wise Meter data'!BM64:BX64)</f>
        <v>0</v>
      </c>
      <c r="X9" s="115">
        <f>SUM('Zone wise Meter data'!BY64:CE64)</f>
        <v>0</v>
      </c>
      <c r="Y9" s="115">
        <f>SUM('Zone wise Meter data'!CF64:CK64)</f>
        <v>0</v>
      </c>
      <c r="Z9" s="115">
        <f>SUM('Zone wise Meter data'!CL64:CO64)</f>
        <v>0</v>
      </c>
      <c r="AA9" s="115">
        <f>SUM('Zone wise Meter data'!CP64:DD64)</f>
        <v>0</v>
      </c>
      <c r="AB9" s="115">
        <f>SUM('Zone wise Meter data'!DE64:DN64)</f>
        <v>0</v>
      </c>
      <c r="AC9" s="115">
        <f>SUM('Zone wise Meter data'!DO64:ED64)</f>
        <v>0</v>
      </c>
      <c r="AD9" s="160">
        <f>This_Year_KWH!AW9</f>
        <v>0</v>
      </c>
      <c r="AE9" s="160">
        <f>This_Year_KWH!DS9</f>
        <v>0</v>
      </c>
      <c r="AF9" s="160">
        <f>This_Year_KWH!EL9</f>
        <v>0</v>
      </c>
      <c r="AG9" s="160">
        <f>This_Year_KWH!EK9</f>
        <v>0</v>
      </c>
      <c r="AH9" s="160">
        <f>This_Year_KWH!EN9</f>
        <v>0</v>
      </c>
      <c r="AI9" s="160">
        <f>This_Year_KWH!EO9</f>
        <v>0</v>
      </c>
      <c r="AJ9" s="160">
        <f>This_Year_KWH!EM9</f>
        <v>0</v>
      </c>
      <c r="AK9" s="160">
        <f>This_Year_KWH!ER9</f>
        <v>0</v>
      </c>
      <c r="AL9" s="160">
        <f>This_Year_KWH!EI9</f>
        <v>0</v>
      </c>
      <c r="AM9" s="160">
        <f>This_Year_KWH!EJ9+Hourly_kWh!AS9</f>
        <v>2.9260000000004283E-3</v>
      </c>
      <c r="AN9" s="160">
        <f>This_Year_KWH!CX9+Hourly_kWh!CY9+Hourly_kWh!DC9+Hourly_kWh!DD9</f>
        <v>1.0235624999999748E-2</v>
      </c>
      <c r="AO9" s="160">
        <f>SUM(Hourly_kWh!AI9:AQ9)</f>
        <v>8.176846874998861E-2</v>
      </c>
      <c r="AP9" s="160">
        <f>SUM(Hourly_kWh!V9:AG9)</f>
        <v>3.8933499999999732E-2</v>
      </c>
      <c r="AQ9" s="160">
        <f>This_Year_KWH!DB9</f>
        <v>0</v>
      </c>
      <c r="AR9" s="160">
        <f>This_Year_KWH!CO9</f>
        <v>0</v>
      </c>
      <c r="AS9" s="160">
        <f>This_Year_KWH!BJ9</f>
        <v>0</v>
      </c>
      <c r="AT9" s="160">
        <f>This_Year_KWH!U9</f>
        <v>0</v>
      </c>
      <c r="AU9" s="160">
        <f>This_Year_KWH!V9</f>
        <v>0</v>
      </c>
      <c r="AV9" s="160">
        <f>This_Year_KWH!W9</f>
        <v>0</v>
      </c>
      <c r="AW9" s="160">
        <f>This_Year_KWH!X9</f>
        <v>0</v>
      </c>
      <c r="AX9" s="160">
        <f>This_Year_KWH!Y9</f>
        <v>0</v>
      </c>
      <c r="AY9" s="160">
        <f>This_Year_KWH!Z9</f>
        <v>0</v>
      </c>
      <c r="AZ9" s="160">
        <f>This_Year_KWH!AA9</f>
        <v>0</v>
      </c>
      <c r="BA9" s="160">
        <f>This_Year_KWH!AB9</f>
        <v>0</v>
      </c>
      <c r="BB9" s="160">
        <f>This_Year_KWH!AC9</f>
        <v>0</v>
      </c>
      <c r="BC9" s="160">
        <f>This_Year_KWH!AD9</f>
        <v>0</v>
      </c>
      <c r="BD9" s="160">
        <f>This_Year_KWH!AE9</f>
        <v>0</v>
      </c>
      <c r="BE9" s="160">
        <f>This_Year_KWH!AF9</f>
        <v>0</v>
      </c>
      <c r="BF9" s="160">
        <f>This_Year_KWH!AG9</f>
        <v>0</v>
      </c>
      <c r="BG9" s="160">
        <f>This_Year_KWH!AH9</f>
        <v>0</v>
      </c>
      <c r="BH9" s="160">
        <f>This_Year_KWH!AI9</f>
        <v>0</v>
      </c>
      <c r="BI9" s="160">
        <f>This_Year_KWH!AJ9</f>
        <v>0</v>
      </c>
      <c r="BJ9" s="160">
        <f>This_Year_KWH!AK9</f>
        <v>0</v>
      </c>
      <c r="BK9" s="160">
        <f>This_Year_KWH!AL9</f>
        <v>0</v>
      </c>
      <c r="BL9" s="160">
        <f>This_Year_KWH!AM9</f>
        <v>0</v>
      </c>
      <c r="BM9" s="160">
        <f>This_Year_KWH!AN9</f>
        <v>0</v>
      </c>
      <c r="BN9" s="160">
        <f>This_Year_KWH!AO9</f>
        <v>0</v>
      </c>
      <c r="BO9" s="160">
        <f>This_Year_KWH!AP9</f>
        <v>0</v>
      </c>
      <c r="BP9" s="160">
        <f>This_Year_KWH!AQ9</f>
        <v>0</v>
      </c>
      <c r="BQ9" s="160">
        <f>This_Year_KWH!AR9</f>
        <v>0</v>
      </c>
      <c r="BR9" s="160">
        <f>This_Year_KWH!AS9</f>
        <v>0</v>
      </c>
      <c r="BS9" s="160">
        <f>This_Year_KWH!AT9</f>
        <v>0</v>
      </c>
      <c r="BT9" s="160">
        <f>This_Year_KWH!AU9</f>
        <v>0</v>
      </c>
      <c r="BU9" s="160">
        <f>This_Year_KWH!AV9</f>
        <v>0</v>
      </c>
      <c r="BV9" s="160">
        <f>This_Year_KWH!AW9</f>
        <v>0</v>
      </c>
      <c r="BW9" s="160">
        <f>This_Year_KWH!AX9</f>
        <v>0</v>
      </c>
      <c r="BX9" s="160">
        <f>This_Year_KWH!AY9</f>
        <v>0</v>
      </c>
      <c r="BY9" s="160">
        <f>This_Year_KWH!AZ9</f>
        <v>0</v>
      </c>
      <c r="BZ9" s="160">
        <f>This_Year_KWH!BA9</f>
        <v>0</v>
      </c>
      <c r="CA9" s="160">
        <f>This_Year_KWH!BB9</f>
        <v>0</v>
      </c>
      <c r="CB9" s="160">
        <f>This_Year_KWH!BC9</f>
        <v>0</v>
      </c>
      <c r="CC9" s="160">
        <f>This_Year_KWH!BD9</f>
        <v>0</v>
      </c>
      <c r="CD9" s="160">
        <f>This_Year_KWH!BE9</f>
        <v>0</v>
      </c>
      <c r="CE9" s="160">
        <f>This_Year_KWH!BF9</f>
        <v>0</v>
      </c>
      <c r="CF9" s="160">
        <f>This_Year_KWH!BG9</f>
        <v>0</v>
      </c>
      <c r="CG9" s="160">
        <f>This_Year_KWH!BH9</f>
        <v>0</v>
      </c>
      <c r="CH9" s="160">
        <f>This_Year_KWH!BI9</f>
        <v>0</v>
      </c>
      <c r="CI9" s="160">
        <f>This_Year_KWH!BJ9</f>
        <v>0</v>
      </c>
      <c r="CJ9" s="160">
        <f>This_Year_KWH!BK9</f>
        <v>0</v>
      </c>
      <c r="CK9" s="160">
        <f>This_Year_KWH!BL9</f>
        <v>0</v>
      </c>
      <c r="CL9" s="160">
        <f>This_Year_KWH!BM9</f>
        <v>0</v>
      </c>
      <c r="CM9" s="160">
        <f>This_Year_KWH!BN9</f>
        <v>0</v>
      </c>
      <c r="CN9" s="160">
        <f>This_Year_KWH!BO9</f>
        <v>0</v>
      </c>
      <c r="CO9" s="160">
        <f>This_Year_KWH!BP9</f>
        <v>0</v>
      </c>
      <c r="CP9" s="160">
        <f>This_Year_KWH!BQ9</f>
        <v>0</v>
      </c>
      <c r="CQ9" s="160">
        <f>This_Year_KWH!BR9</f>
        <v>0</v>
      </c>
      <c r="CR9" s="160">
        <f>This_Year_KWH!BS9</f>
        <v>0</v>
      </c>
      <c r="CS9" s="160">
        <f>This_Year_KWH!BT9</f>
        <v>0</v>
      </c>
      <c r="CT9" s="160">
        <f>This_Year_KWH!BU9</f>
        <v>0</v>
      </c>
      <c r="CU9" s="160">
        <f>This_Year_KWH!BV9</f>
        <v>0</v>
      </c>
      <c r="CV9" s="160">
        <f>This_Year_KWH!BW9</f>
        <v>0</v>
      </c>
      <c r="CW9" s="160">
        <f>This_Year_KWH!BX9</f>
        <v>0</v>
      </c>
      <c r="CX9" s="160">
        <f>This_Year_KWH!BY9</f>
        <v>0</v>
      </c>
      <c r="CY9" s="160">
        <f>This_Year_KWH!BZ9</f>
        <v>0</v>
      </c>
      <c r="CZ9" s="160">
        <f>This_Year_KWH!CA9</f>
        <v>0</v>
      </c>
      <c r="DA9" s="160">
        <f>This_Year_KWH!CB9</f>
        <v>0</v>
      </c>
      <c r="DB9" s="160">
        <f>This_Year_KWH!CC9</f>
        <v>0</v>
      </c>
      <c r="DC9" s="160">
        <f>This_Year_KWH!CD9</f>
        <v>0</v>
      </c>
      <c r="DD9" s="160">
        <f>This_Year_KWH!CE9</f>
        <v>0</v>
      </c>
      <c r="DE9" s="160">
        <f>This_Year_KWH!CF9</f>
        <v>0</v>
      </c>
      <c r="DF9" s="160">
        <f>This_Year_KWH!CG9</f>
        <v>0</v>
      </c>
      <c r="DG9" s="160">
        <f>This_Year_KWH!CH9</f>
        <v>0</v>
      </c>
      <c r="DH9" s="160">
        <f>This_Year_KWH!CI9</f>
        <v>0</v>
      </c>
      <c r="DI9" s="160">
        <f>This_Year_KWH!CJ9</f>
        <v>0</v>
      </c>
      <c r="DJ9" s="160">
        <f>This_Year_KWH!CK9</f>
        <v>0</v>
      </c>
      <c r="DK9" s="160">
        <f>This_Year_KWH!CL9</f>
        <v>0</v>
      </c>
      <c r="DL9" s="160">
        <f>This_Year_KWH!CM9</f>
        <v>0</v>
      </c>
      <c r="DM9" s="160">
        <f>This_Year_KWH!CN9</f>
        <v>0</v>
      </c>
      <c r="DN9" s="160">
        <f>This_Year_KWH!CO9</f>
        <v>0</v>
      </c>
      <c r="DO9" s="160">
        <f>This_Year_KWH!CP9</f>
        <v>0</v>
      </c>
      <c r="DP9" s="160">
        <f>This_Year_KWH!CQ9</f>
        <v>0</v>
      </c>
      <c r="DQ9" s="160">
        <f>This_Year_KWH!CR9</f>
        <v>0</v>
      </c>
      <c r="DR9" s="160">
        <f>This_Year_KWH!CS9</f>
        <v>0</v>
      </c>
      <c r="DS9" s="160">
        <f>This_Year_KWH!CT9</f>
        <v>0</v>
      </c>
      <c r="DT9" s="160">
        <f>This_Year_KWH!CU9</f>
        <v>0</v>
      </c>
      <c r="DU9" s="160">
        <f>This_Year_KWH!CV9</f>
        <v>0</v>
      </c>
      <c r="DV9" s="160">
        <f>This_Year_KWH!CW9</f>
        <v>0</v>
      </c>
      <c r="DW9" s="160">
        <f>This_Year_KWH!CX9</f>
        <v>0</v>
      </c>
      <c r="DX9" s="160">
        <f>This_Year_KWH!CY9</f>
        <v>0</v>
      </c>
      <c r="DY9" s="160">
        <f>This_Year_KWH!CZ9</f>
        <v>0</v>
      </c>
      <c r="DZ9" s="160">
        <f>This_Year_KWH!DA9</f>
        <v>0</v>
      </c>
      <c r="EA9" s="160">
        <f>This_Year_KWH!DB9</f>
        <v>0</v>
      </c>
      <c r="EB9" s="160">
        <f>This_Year_KWH!DC9</f>
        <v>0</v>
      </c>
      <c r="EC9" s="160">
        <f>This_Year_KWH!DD9</f>
        <v>0</v>
      </c>
      <c r="ED9" s="160">
        <f>This_Year_KWH!DE9</f>
        <v>0</v>
      </c>
      <c r="EE9" s="160">
        <f>This_Year_KWH!DF9</f>
        <v>0</v>
      </c>
      <c r="EF9" s="160">
        <f>This_Year_KWH!DG9</f>
        <v>0</v>
      </c>
      <c r="EG9" s="160">
        <f>This_Year_KWH!DH9</f>
        <v>0</v>
      </c>
      <c r="EH9" s="160">
        <f>This_Year_KWH!DI9</f>
        <v>0</v>
      </c>
      <c r="EI9" s="160">
        <f>This_Year_KWH!DJ9</f>
        <v>0</v>
      </c>
      <c r="EJ9" s="160">
        <f>This_Year_KWH!DK9</f>
        <v>0</v>
      </c>
      <c r="EK9" s="160">
        <f>This_Year_KWH!DL9</f>
        <v>0</v>
      </c>
      <c r="EL9" s="160">
        <f>This_Year_KWH!DM9</f>
        <v>0</v>
      </c>
      <c r="EM9" s="160">
        <f>This_Year_KWH!DN9</f>
        <v>0</v>
      </c>
      <c r="EN9" s="160">
        <f>This_Year_KWH!DO9</f>
        <v>0</v>
      </c>
      <c r="EO9" s="160">
        <f>This_Year_KWH!DP9</f>
        <v>0</v>
      </c>
      <c r="EP9" s="160">
        <f>This_Year_KWH!DQ9</f>
        <v>0</v>
      </c>
      <c r="EQ9" s="160">
        <f>This_Year_KWH!DR9</f>
        <v>0</v>
      </c>
      <c r="ER9" s="160">
        <f>This_Year_KWH!DS9</f>
        <v>0</v>
      </c>
      <c r="ES9" s="160">
        <f>This_Year_KWH!DT9</f>
        <v>0</v>
      </c>
      <c r="ET9" s="160">
        <f>This_Year_KWH!DU9</f>
        <v>0</v>
      </c>
      <c r="EU9" s="160">
        <f>This_Year_KWH!DV9</f>
        <v>0</v>
      </c>
      <c r="EV9" s="160">
        <f>This_Year_KWH!DW9</f>
        <v>0</v>
      </c>
      <c r="EW9" s="160">
        <f>This_Year_KWH!DX9</f>
        <v>0</v>
      </c>
      <c r="EX9" s="160">
        <f>This_Year_KWH!DY9</f>
        <v>0</v>
      </c>
      <c r="EY9" s="160">
        <f>This_Year_KWH!DZ9</f>
        <v>0</v>
      </c>
      <c r="EZ9" s="160">
        <f>This_Year_KWH!EA9</f>
        <v>0</v>
      </c>
      <c r="FA9" s="160">
        <f>This_Year_KWH!EB9</f>
        <v>0</v>
      </c>
      <c r="FB9" s="160">
        <f>This_Year_KWH!EC9</f>
        <v>0</v>
      </c>
      <c r="FC9" s="160">
        <f>This_Year_KWH!ED9</f>
        <v>0</v>
      </c>
      <c r="FD9" s="160">
        <f>This_Year_KWH!EE9</f>
        <v>0</v>
      </c>
      <c r="FE9" s="160">
        <f>This_Year_KWH!EF9</f>
        <v>0</v>
      </c>
      <c r="FF9" s="160">
        <f>This_Year_KWH!EG9</f>
        <v>0</v>
      </c>
      <c r="FG9" s="160">
        <f>This_Year_KWH!EH9</f>
        <v>0</v>
      </c>
      <c r="FH9" s="160">
        <f>This_Year_KWH!EI9</f>
        <v>0</v>
      </c>
      <c r="FI9" s="160">
        <f>This_Year_KWH!EJ9</f>
        <v>0</v>
      </c>
      <c r="FJ9" s="160">
        <f>This_Year_KWH!EK9</f>
        <v>0</v>
      </c>
      <c r="FK9" s="160">
        <f>This_Year_KWH!EL9</f>
        <v>0</v>
      </c>
      <c r="FL9" s="160">
        <f>This_Year_KWH!EM9</f>
        <v>0</v>
      </c>
      <c r="FM9" s="160">
        <f>This_Year_KWH!EN9</f>
        <v>0</v>
      </c>
      <c r="FN9" s="160">
        <f>This_Year_KWH!EO9</f>
        <v>0</v>
      </c>
      <c r="FO9" s="160">
        <f>This_Year_KWH!EP9</f>
        <v>0</v>
      </c>
      <c r="FP9" s="160">
        <f>This_Year_KWH!ER9</f>
        <v>0</v>
      </c>
      <c r="FQ9" s="160">
        <f>This_Year_KWH!EQ9</f>
        <v>0</v>
      </c>
      <c r="FR9" s="160">
        <f>This_Year_KWH!M9</f>
        <v>0</v>
      </c>
      <c r="FS9" s="160">
        <f>This_Year_KWH!G9</f>
        <v>0</v>
      </c>
      <c r="FT9" s="160">
        <f>This_Year_KWH!C9</f>
        <v>0</v>
      </c>
      <c r="FU9" s="160">
        <f>This_Year_KWH!D9</f>
        <v>0</v>
      </c>
      <c r="FV9" s="160">
        <f>This_Year_KWH!E9</f>
        <v>0</v>
      </c>
      <c r="FW9" s="160">
        <f>This_Year_KWH!F9</f>
        <v>0</v>
      </c>
      <c r="FX9" s="160">
        <f>This_Year_KWH!Q9</f>
        <v>0</v>
      </c>
      <c r="FY9" s="160">
        <f>This_Year_KWH!R9</f>
        <v>0</v>
      </c>
      <c r="FZ9" s="160">
        <f>This_Year_KWH!S9</f>
        <v>0</v>
      </c>
      <c r="GA9" s="160">
        <f>This_Year_KWH!T9</f>
        <v>0</v>
      </c>
      <c r="GB9" s="160">
        <f t="shared" si="0"/>
        <v>0</v>
      </c>
      <c r="GC9" s="160">
        <f t="shared" si="1"/>
        <v>0</v>
      </c>
      <c r="GD9" s="160">
        <f t="shared" si="2"/>
        <v>0</v>
      </c>
      <c r="GE9" s="159" t="e">
        <f t="shared" si="3"/>
        <v>#DIV/0!</v>
      </c>
    </row>
    <row r="10" spans="2:187" s="150" customFormat="1" ht="32.25" customHeight="1" x14ac:dyDescent="0.25">
      <c r="B10" s="168" t="s">
        <v>76</v>
      </c>
      <c r="C10" s="160">
        <f>This_Year_KWH!H10</f>
        <v>1.0811380000000002</v>
      </c>
      <c r="D10" s="160">
        <f>This_Year_KWH!I10</f>
        <v>0.74798799999999999</v>
      </c>
      <c r="E10" s="160">
        <f>This_Year_KWH!J10</f>
        <v>8.5940000000000016E-2</v>
      </c>
      <c r="F10" s="160">
        <f>This_Year_KWH!K10</f>
        <v>0.53002899999999997</v>
      </c>
      <c r="G10" s="160">
        <f>This_Year_KWH!L10</f>
        <v>0.93309500000000078</v>
      </c>
      <c r="H10" s="160">
        <f>This_Year_KWH!U10</f>
        <v>11.835067999999998</v>
      </c>
      <c r="I10" s="160">
        <f>This_Year_KWH!P10</f>
        <v>10.134324000000003</v>
      </c>
      <c r="J10" s="160">
        <f>This_Year_KWH!N10</f>
        <v>87.991025999999962</v>
      </c>
      <c r="K10" s="160">
        <f>This_Year_KWH!O10</f>
        <v>108.00513199999997</v>
      </c>
      <c r="L10" s="160">
        <f>This_Year_KWH!B10</f>
        <v>470.45971875000004</v>
      </c>
      <c r="M10" s="160">
        <f>This_Year_KWH!AR10</f>
        <v>129.39443999999997</v>
      </c>
      <c r="N10" s="160">
        <f>This_Year_KWH!BM10</f>
        <v>48.815943999999973</v>
      </c>
      <c r="O10" s="160">
        <f>This_Year_KWH!CM10</f>
        <v>103.78491199999996</v>
      </c>
      <c r="P10" s="160">
        <f>This_Year_KWH!DI10</f>
        <v>127.03995199999994</v>
      </c>
      <c r="Q10" s="160">
        <f>This_Year_KWH!EF10</f>
        <v>186.61742500000037</v>
      </c>
      <c r="R10" s="119">
        <f>SUM('Zone wise Meter data'!O65:AF65)</f>
        <v>186.31200900000002</v>
      </c>
      <c r="S10" s="115">
        <f>SUM('Zone wise Meter data'!AG65:AW65)</f>
        <v>62.449102499999995</v>
      </c>
      <c r="T10" s="115">
        <f>SUM('Zone wise Meter data'!AX65:BA65)</f>
        <v>24.464969749999895</v>
      </c>
      <c r="U10" s="115">
        <f>SUM('Zone wise Meter data'!BB65:BC65)</f>
        <v>89.892096000000123</v>
      </c>
      <c r="V10" s="115">
        <f>SUM('Zone wise Meter data'!BD65:BL65)</f>
        <v>138.09208500000011</v>
      </c>
      <c r="W10" s="115">
        <f>SUM('Zone wise Meter data'!BM65:BX65)</f>
        <v>7.0290287669677873</v>
      </c>
      <c r="X10" s="115">
        <f>SUM('Zone wise Meter data'!BY65:CE65)</f>
        <v>1.9940760010986329</v>
      </c>
      <c r="Y10" s="115">
        <f>SUM('Zone wise Meter data'!CF65:CK65)</f>
        <v>48.574405000000013</v>
      </c>
      <c r="Z10" s="115">
        <f>SUM('Zone wise Meter data'!CL65:CO65)</f>
        <v>49.551742468749993</v>
      </c>
      <c r="AA10" s="115">
        <f>SUM('Zone wise Meter data'!CP65:DD65)</f>
        <v>32.974039823242201</v>
      </c>
      <c r="AB10" s="115">
        <f>SUM('Zone wise Meter data'!DE65:DN65)</f>
        <v>6.733400625000006</v>
      </c>
      <c r="AC10" s="115">
        <f>SUM('Zone wise Meter data'!DO65:ED65)</f>
        <v>0</v>
      </c>
      <c r="AD10" s="160">
        <f>This_Year_KWH!AW10</f>
        <v>52.881232000000111</v>
      </c>
      <c r="AE10" s="160">
        <f>This_Year_KWH!DS10</f>
        <v>37.010864000000005</v>
      </c>
      <c r="AF10" s="160">
        <f>This_Year_KWH!EL10</f>
        <v>22.190208000000055</v>
      </c>
      <c r="AG10" s="160">
        <f>This_Year_KWH!EK10</f>
        <v>2.126079999999837</v>
      </c>
      <c r="AH10" s="160">
        <f>This_Year_KWH!EN10</f>
        <v>29.051136000000358</v>
      </c>
      <c r="AI10" s="160">
        <f>This_Year_KWH!EO10</f>
        <v>20.733439999999934</v>
      </c>
      <c r="AJ10" s="160">
        <f>This_Year_KWH!EM10</f>
        <v>40.650751999999926</v>
      </c>
      <c r="AK10" s="160">
        <f>This_Year_KWH!ER10</f>
        <v>0</v>
      </c>
      <c r="AL10" s="160">
        <f>This_Year_KWH!EI10</f>
        <v>11.359743999999937</v>
      </c>
      <c r="AM10" s="160">
        <f>This_Year_KWH!EJ10+Hourly_kWh!AS10</f>
        <v>0.87504600000002819</v>
      </c>
      <c r="AN10" s="160">
        <f>This_Year_KWH!CX10+Hourly_kWh!CY10+Hourly_kWh!DC10+Hourly_kWh!DD10</f>
        <v>7.0646136249999989</v>
      </c>
      <c r="AO10" s="160">
        <f>SUM(Hourly_kWh!AI10:AQ10)</f>
        <v>7.8777984375004523E-2</v>
      </c>
      <c r="AP10" s="160">
        <f>SUM(Hourly_kWh!V10:AG10)</f>
        <v>4.0846000000001936E-2</v>
      </c>
      <c r="AQ10" s="160">
        <f>This_Year_KWH!DB10</f>
        <v>2.901076999999999</v>
      </c>
      <c r="AR10" s="160">
        <f>This_Year_KWH!CO10</f>
        <v>12.394032000000003</v>
      </c>
      <c r="AS10" s="160">
        <f>This_Year_KWH!BJ10</f>
        <v>2.0229999999991422E-3</v>
      </c>
      <c r="AT10" s="160">
        <f>This_Year_KWH!U10</f>
        <v>11.835067999999998</v>
      </c>
      <c r="AU10" s="160">
        <f>This_Year_KWH!V10</f>
        <v>3.3890160000000007</v>
      </c>
      <c r="AV10" s="160">
        <f>This_Year_KWH!W10</f>
        <v>1.8280179999999999</v>
      </c>
      <c r="AW10" s="160">
        <f>This_Year_KWH!X10</f>
        <v>1.9593564999999988</v>
      </c>
      <c r="AX10" s="160">
        <f>This_Year_KWH!Y10</f>
        <v>0</v>
      </c>
      <c r="AY10" s="160">
        <f>This_Year_KWH!Z10</f>
        <v>1.4087114999999995</v>
      </c>
      <c r="AZ10" s="160">
        <f>This_Year_KWH!AA10</f>
        <v>3.1834019999999996</v>
      </c>
      <c r="BA10" s="160">
        <f>This_Year_KWH!AB10</f>
        <v>4.3301670000000003</v>
      </c>
      <c r="BB10" s="160">
        <f>This_Year_KWH!AC10</f>
        <v>3.0314180000000004</v>
      </c>
      <c r="BC10" s="160">
        <f>This_Year_KWH!AD10</f>
        <v>1.3578745000000003</v>
      </c>
      <c r="BD10" s="160">
        <f>This_Year_KWH!AE10</f>
        <v>0.60595612499999962</v>
      </c>
      <c r="BE10" s="160">
        <f>This_Year_KWH!AF10</f>
        <v>1.00399999999823E-3</v>
      </c>
      <c r="BF10" s="160">
        <f>This_Year_KWH!AG10</f>
        <v>0.25407100000000055</v>
      </c>
      <c r="BG10" s="160">
        <f>This_Year_KWH!AH10</f>
        <v>49.690727999999972</v>
      </c>
      <c r="BH10" s="160">
        <f>This_Year_KWH!AI10</f>
        <v>0</v>
      </c>
      <c r="BI10" s="160">
        <f>This_Year_KWH!AJ10</f>
        <v>0.828148</v>
      </c>
      <c r="BJ10" s="160">
        <f>This_Year_KWH!AK10</f>
        <v>0</v>
      </c>
      <c r="BK10" s="160">
        <f>This_Year_KWH!AL10</f>
        <v>7.6579760000000041</v>
      </c>
      <c r="BL10" s="160">
        <f>This_Year_KWH!AM10</f>
        <v>12.745708000000004</v>
      </c>
      <c r="BM10" s="160">
        <f>This_Year_KWH!AN10</f>
        <v>9.9763959999999976</v>
      </c>
      <c r="BN10" s="160">
        <f>This_Year_KWH!AO10</f>
        <v>4.4612220000000011</v>
      </c>
      <c r="BO10" s="160">
        <f>This_Year_KWH!AP10</f>
        <v>2.3062870000000006</v>
      </c>
      <c r="BP10" s="160">
        <f>This_Year_KWH!AQ10</f>
        <v>8.1011520000000026</v>
      </c>
      <c r="BQ10" s="160">
        <f>This_Year_KWH!AR10</f>
        <v>129.39443999999997</v>
      </c>
      <c r="BR10" s="160">
        <f>This_Year_KWH!AS10</f>
        <v>0.9567777500000002</v>
      </c>
      <c r="BS10" s="160">
        <f>This_Year_KWH!AT10</f>
        <v>0</v>
      </c>
      <c r="BT10" s="160">
        <f>This_Year_KWH!AU10</f>
        <v>1.1521020000000051</v>
      </c>
      <c r="BU10" s="160">
        <f>This_Year_KWH!AV10</f>
        <v>0.72786474999999995</v>
      </c>
      <c r="BV10" s="160">
        <f>This_Year_KWH!AW10</f>
        <v>52.881232000000111</v>
      </c>
      <c r="BW10" s="160">
        <f>This_Year_KWH!AX10</f>
        <v>0</v>
      </c>
      <c r="BX10" s="160">
        <f>This_Year_KWH!AY10</f>
        <v>1.490048375</v>
      </c>
      <c r="BY10" s="160">
        <f>This_Year_KWH!AZ10</f>
        <v>1.0200000000052969E-4</v>
      </c>
      <c r="BZ10" s="160">
        <f>This_Year_KWH!BA10</f>
        <v>0</v>
      </c>
      <c r="CA10" s="160">
        <f>This_Year_KWH!BB10</f>
        <v>0</v>
      </c>
      <c r="CB10" s="160">
        <f>This_Year_KWH!BC10</f>
        <v>0</v>
      </c>
      <c r="CC10" s="160">
        <f>This_Year_KWH!BD10</f>
        <v>0.10507837500000024</v>
      </c>
      <c r="CD10" s="160">
        <f>This_Year_KWH!BE10</f>
        <v>3.8277300000000012</v>
      </c>
      <c r="CE10" s="160">
        <f>This_Year_KWH!BF10</f>
        <v>0</v>
      </c>
      <c r="CF10" s="160">
        <f>This_Year_KWH!BG10</f>
        <v>0.59957199999999999</v>
      </c>
      <c r="CG10" s="160">
        <f>This_Year_KWH!BH10</f>
        <v>0.62710599999999972</v>
      </c>
      <c r="CH10" s="160">
        <f>This_Year_KWH!BI10</f>
        <v>60.146119999999996</v>
      </c>
      <c r="CI10" s="160">
        <f>This_Year_KWH!BJ10</f>
        <v>2.0229999999991422E-3</v>
      </c>
      <c r="CJ10" s="160">
        <f>This_Year_KWH!BK10</f>
        <v>1.6512365000000007</v>
      </c>
      <c r="CK10" s="160">
        <f>This_Year_KWH!BL10</f>
        <v>3.0290780000000117</v>
      </c>
      <c r="CL10" s="160">
        <f>This_Year_KWH!BM10</f>
        <v>48.815943999999973</v>
      </c>
      <c r="CM10" s="160">
        <f>This_Year_KWH!BN10</f>
        <v>0</v>
      </c>
      <c r="CN10" s="160">
        <f>This_Year_KWH!BO10</f>
        <v>5.3897377669677908</v>
      </c>
      <c r="CO10" s="160">
        <f>This_Year_KWH!BP10</f>
        <v>0</v>
      </c>
      <c r="CP10" s="160">
        <f>This_Year_KWH!BQ10</f>
        <v>0</v>
      </c>
      <c r="CQ10" s="160">
        <f>This_Year_KWH!BR10</f>
        <v>0.34157430419921869</v>
      </c>
      <c r="CR10" s="160">
        <f>This_Year_KWH!BS10</f>
        <v>0</v>
      </c>
      <c r="CS10" s="160">
        <f>This_Year_KWH!BT10</f>
        <v>6.3992919999999982</v>
      </c>
      <c r="CT10" s="160">
        <f>This_Year_KWH!BU10</f>
        <v>0.84777018750000033</v>
      </c>
      <c r="CU10" s="160">
        <f>This_Year_KWH!BV10</f>
        <v>0</v>
      </c>
      <c r="CV10" s="160">
        <f>This_Year_KWH!BW10</f>
        <v>0</v>
      </c>
      <c r="CW10" s="160">
        <f>This_Year_KWH!BX10</f>
        <v>0.39852575939941376</v>
      </c>
      <c r="CX10" s="160">
        <f>This_Year_KWH!BY10</f>
        <v>0</v>
      </c>
      <c r="CY10" s="160">
        <f>This_Year_KWH!BZ10</f>
        <v>23.415671999999997</v>
      </c>
      <c r="CZ10" s="160">
        <f>This_Year_KWH!CA10</f>
        <v>6.9394080000000073</v>
      </c>
      <c r="DA10" s="160">
        <f>This_Year_KWH!CB10</f>
        <v>0</v>
      </c>
      <c r="DB10" s="160">
        <f>This_Year_KWH!CC10</f>
        <v>0</v>
      </c>
      <c r="DC10" s="160">
        <f>This_Year_KWH!CD10</f>
        <v>0</v>
      </c>
      <c r="DD10" s="160">
        <f>This_Year_KWH!CE10</f>
        <v>0</v>
      </c>
      <c r="DE10" s="160">
        <f>This_Year_KWH!CF10</f>
        <v>1.5052170000000002</v>
      </c>
      <c r="DF10" s="160">
        <f>This_Year_KWH!CG10</f>
        <v>0</v>
      </c>
      <c r="DG10" s="160">
        <f>This_Year_KWH!CH10</f>
        <v>4.6161500000000077E-2</v>
      </c>
      <c r="DH10" s="160">
        <f>This_Year_KWH!CI10</f>
        <v>0</v>
      </c>
      <c r="DI10" s="160">
        <f>This_Year_KWH!CJ10</f>
        <v>0</v>
      </c>
      <c r="DJ10" s="160">
        <f>This_Year_KWH!CK10</f>
        <v>0</v>
      </c>
      <c r="DK10" s="160">
        <f>This_Year_KWH!CL10</f>
        <v>45.612764000000048</v>
      </c>
      <c r="DL10" s="160">
        <f>This_Year_KWH!CM10</f>
        <v>103.78491199999996</v>
      </c>
      <c r="DM10" s="160">
        <f>This_Year_KWH!CN10</f>
        <v>1.0415810000000008</v>
      </c>
      <c r="DN10" s="160">
        <f>This_Year_KWH!CO10</f>
        <v>12.394032000000003</v>
      </c>
      <c r="DO10" s="160">
        <f>This_Year_KWH!CP10</f>
        <v>0</v>
      </c>
      <c r="DP10" s="160">
        <f>This_Year_KWH!CQ10</f>
        <v>6.4687499999878134E-6</v>
      </c>
      <c r="DQ10" s="160">
        <f>This_Year_KWH!CR10</f>
        <v>2.5618519999999996</v>
      </c>
      <c r="DR10" s="160">
        <f>This_Year_KWH!CS10</f>
        <v>0</v>
      </c>
      <c r="DS10" s="160">
        <f>This_Year_KWH!CT10</f>
        <v>4.7457799999999963</v>
      </c>
      <c r="DT10" s="160">
        <f>This_Year_KWH!CU10</f>
        <v>0</v>
      </c>
      <c r="DU10" s="160">
        <f>This_Year_KWH!CV10</f>
        <v>0.36004425000000012</v>
      </c>
      <c r="DV10" s="160">
        <f>This_Year_KWH!CW10</f>
        <v>0.89828799999999509</v>
      </c>
      <c r="DW10" s="160">
        <f>This_Year_KWH!CX10</f>
        <v>7.0544179999999983</v>
      </c>
      <c r="DX10" s="160">
        <f>This_Year_KWH!CY10</f>
        <v>0.42009500000000005</v>
      </c>
      <c r="DY10" s="160">
        <f>This_Year_KWH!CZ10</f>
        <v>0.46950050000000021</v>
      </c>
      <c r="DZ10" s="160">
        <f>This_Year_KWH!DA10</f>
        <v>8.0453600000000005</v>
      </c>
      <c r="EA10" s="160">
        <f>This_Year_KWH!DB10</f>
        <v>2.901076999999999</v>
      </c>
      <c r="EB10" s="160">
        <f>This_Year_KWH!DC10</f>
        <v>0.93638399999999999</v>
      </c>
      <c r="EC10" s="160">
        <f>This_Year_KWH!DD10</f>
        <v>0.28743199999999808</v>
      </c>
      <c r="ED10" s="160">
        <f>This_Year_KWH!DE10</f>
        <v>0</v>
      </c>
      <c r="EE10" s="160">
        <f>This_Year_KWH!DF10</f>
        <v>0</v>
      </c>
      <c r="EF10" s="160">
        <f>This_Year_KWH!DG10</f>
        <v>0.27150250000000026</v>
      </c>
      <c r="EG10" s="160">
        <f>This_Year_KWH!DH10</f>
        <v>14.275708</v>
      </c>
      <c r="EH10" s="160">
        <f>This_Year_KWH!DI10</f>
        <v>127.03995199999994</v>
      </c>
      <c r="EI10" s="160">
        <f>This_Year_KWH!DJ10</f>
        <v>0</v>
      </c>
      <c r="EJ10" s="160">
        <f>This_Year_KWH!DK10</f>
        <v>1.7985400000000016</v>
      </c>
      <c r="EK10" s="160">
        <f>This_Year_KWH!DL10</f>
        <v>0.50742650000000067</v>
      </c>
      <c r="EL10" s="160">
        <f>This_Year_KWH!DM10</f>
        <v>1.2156089999999991</v>
      </c>
      <c r="EM10" s="160">
        <f>This_Year_KWH!DN10</f>
        <v>3.4285500000000121E-2</v>
      </c>
      <c r="EN10" s="160">
        <f>This_Year_KWH!DO10</f>
        <v>18.746936000000012</v>
      </c>
      <c r="EO10" s="160">
        <f>This_Year_KWH!DP10</f>
        <v>1.0488694999999995</v>
      </c>
      <c r="EP10" s="160">
        <f>This_Year_KWH!DQ10</f>
        <v>0</v>
      </c>
      <c r="EQ10" s="160">
        <f>This_Year_KWH!DR10</f>
        <v>0</v>
      </c>
      <c r="ER10" s="160">
        <f>This_Year_KWH!DS10</f>
        <v>37.010864000000005</v>
      </c>
      <c r="ES10" s="160">
        <f>This_Year_KWH!DT10</f>
        <v>10.314816000000004</v>
      </c>
      <c r="ET10" s="160">
        <f>This_Year_KWH!DU10</f>
        <v>0.40217399999999959</v>
      </c>
      <c r="EU10" s="160">
        <f>This_Year_KWH!DV10</f>
        <v>0.26131724999999972</v>
      </c>
      <c r="EV10" s="160">
        <f>This_Year_KWH!DW10</f>
        <v>0</v>
      </c>
      <c r="EW10" s="160">
        <f>This_Year_KWH!DX10</f>
        <v>3.7087774921874956</v>
      </c>
      <c r="EX10" s="160">
        <f>This_Year_KWH!DY10</f>
        <v>0.32200551855468745</v>
      </c>
      <c r="EY10" s="160">
        <f>This_Year_KWH!DZ10</f>
        <v>2.5247100000000051</v>
      </c>
      <c r="EZ10" s="160">
        <f>This_Year_KWH!EA10</f>
        <v>3.1067374999999942E-2</v>
      </c>
      <c r="FA10" s="160">
        <f>This_Year_KWH!EB10</f>
        <v>33.595752000000026</v>
      </c>
      <c r="FB10" s="160">
        <f>This_Year_KWH!EC10</f>
        <v>15.955983999999969</v>
      </c>
      <c r="FC10" s="160">
        <f>This_Year_KWH!ED10</f>
        <v>1.1481171875</v>
      </c>
      <c r="FD10" s="160">
        <f>This_Year_KWH!EE10</f>
        <v>99.143725999999987</v>
      </c>
      <c r="FE10" s="160">
        <f>This_Year_KWH!EF10</f>
        <v>186.61742500000037</v>
      </c>
      <c r="FF10" s="160">
        <f>This_Year_KWH!EG10</f>
        <v>0</v>
      </c>
      <c r="FG10" s="160">
        <f>This_Year_KWH!EH10</f>
        <v>11.277055999999931</v>
      </c>
      <c r="FH10" s="160">
        <f>This_Year_KWH!EI10</f>
        <v>11.359743999999937</v>
      </c>
      <c r="FI10" s="160">
        <f>This_Year_KWH!EJ10</f>
        <v>0.87139200000002814</v>
      </c>
      <c r="FJ10" s="160">
        <f>This_Year_KWH!EK10</f>
        <v>2.126079999999837</v>
      </c>
      <c r="FK10" s="160">
        <f>This_Year_KWH!EL10</f>
        <v>22.190208000000055</v>
      </c>
      <c r="FL10" s="160">
        <f>This_Year_KWH!EM10</f>
        <v>40.650751999999926</v>
      </c>
      <c r="FM10" s="160">
        <f>This_Year_KWH!EN10</f>
        <v>29.051136000000358</v>
      </c>
      <c r="FN10" s="160">
        <f>This_Year_KWH!EO10</f>
        <v>20.733439999999934</v>
      </c>
      <c r="FO10" s="160">
        <f>This_Year_KWH!EP10</f>
        <v>1.1520000000018601E-3</v>
      </c>
      <c r="FP10" s="160">
        <f>This_Year_KWH!ER10</f>
        <v>0</v>
      </c>
      <c r="FQ10" s="160">
        <f>This_Year_KWH!EQ10</f>
        <v>0</v>
      </c>
      <c r="FR10" s="160">
        <f>This_Year_KWH!M10</f>
        <v>3.5573439999999978</v>
      </c>
      <c r="FS10" s="160">
        <f>This_Year_KWH!G10</f>
        <v>3.5638190000000005</v>
      </c>
      <c r="FT10" s="160">
        <f>This_Year_KWH!C10</f>
        <v>99.630034999999992</v>
      </c>
      <c r="FU10" s="160">
        <f>This_Year_KWH!D10</f>
        <v>162.14761000000001</v>
      </c>
      <c r="FV10" s="160">
        <f>This_Year_KWH!E10</f>
        <v>136.18546100000003</v>
      </c>
      <c r="FW10" s="160">
        <f>This_Year_KWH!F10</f>
        <v>56.185717999999973</v>
      </c>
      <c r="FX10" s="160">
        <f>This_Year_KWH!Q10</f>
        <v>93.805448000000055</v>
      </c>
      <c r="FY10" s="160">
        <f>This_Year_KWH!R10</f>
        <v>155.07958400000135</v>
      </c>
      <c r="FZ10" s="160">
        <f>This_Year_KWH!S10</f>
        <v>129.33468800000094</v>
      </c>
      <c r="GA10" s="160">
        <f>This_Year_KWH!T10</f>
        <v>54.527999999998428</v>
      </c>
      <c r="GB10" s="160">
        <f t="shared" si="0"/>
        <v>691.80345875</v>
      </c>
      <c r="GC10" s="160">
        <f t="shared" si="1"/>
        <v>595.65267300000028</v>
      </c>
      <c r="GD10" s="160">
        <f t="shared" si="2"/>
        <v>96.150785749999727</v>
      </c>
      <c r="GE10" s="159">
        <f t="shared" si="3"/>
        <v>0.13898569678118095</v>
      </c>
    </row>
    <row r="11" spans="2:187" s="150" customFormat="1" ht="32.25" customHeight="1" x14ac:dyDescent="0.25">
      <c r="B11" s="168" t="s">
        <v>77</v>
      </c>
      <c r="C11" s="160">
        <f>This_Year_KWH!H11</f>
        <v>3.2147490000000003</v>
      </c>
      <c r="D11" s="160">
        <f>This_Year_KWH!I11</f>
        <v>3.5458029999999994</v>
      </c>
      <c r="E11" s="160">
        <f>This_Year_KWH!J11</f>
        <v>1.2886140000000001</v>
      </c>
      <c r="F11" s="160">
        <f>This_Year_KWH!K11</f>
        <v>0.78343600000000002</v>
      </c>
      <c r="G11" s="160">
        <f>This_Year_KWH!L11</f>
        <v>2.537385</v>
      </c>
      <c r="H11" s="160">
        <f>This_Year_KWH!U11</f>
        <v>12.205163999999989</v>
      </c>
      <c r="I11" s="160">
        <f>This_Year_KWH!P11</f>
        <v>7.7220280000000034</v>
      </c>
      <c r="J11" s="160">
        <f>This_Year_KWH!N11</f>
        <v>104.66609099999989</v>
      </c>
      <c r="K11" s="160">
        <f>This_Year_KWH!O11</f>
        <v>109.05477199999997</v>
      </c>
      <c r="L11" s="160">
        <f>This_Year_KWH!B11</f>
        <v>520.69737499999997</v>
      </c>
      <c r="M11" s="160">
        <f>This_Year_KWH!AR11</f>
        <v>124.79465600000003</v>
      </c>
      <c r="N11" s="160">
        <f>This_Year_KWH!BM11</f>
        <v>46.073408000000001</v>
      </c>
      <c r="O11" s="160">
        <f>This_Year_KWH!CM11</f>
        <v>112.78924800000004</v>
      </c>
      <c r="P11" s="160">
        <f>This_Year_KWH!DI11</f>
        <v>127.25983999999994</v>
      </c>
      <c r="Q11" s="160">
        <f>This_Year_KWH!EF11</f>
        <v>280.12855699999739</v>
      </c>
      <c r="R11" s="119">
        <f>SUM('Zone wise Meter data'!O66:AF66)</f>
        <v>116.47162361523441</v>
      </c>
      <c r="S11" s="115">
        <f>SUM('Zone wise Meter data'!AG66:AW66)</f>
        <v>60.368806749999997</v>
      </c>
      <c r="T11" s="115">
        <f>SUM('Zone wise Meter data'!AX66:BA66)</f>
        <v>31.852387750000112</v>
      </c>
      <c r="U11" s="115">
        <f>SUM('Zone wise Meter data'!BB66:BC66)</f>
        <v>86.469152000000037</v>
      </c>
      <c r="V11" s="115">
        <f>SUM('Zone wise Meter data'!BD66:BL66)</f>
        <v>238.28258</v>
      </c>
      <c r="W11" s="115">
        <f>SUM('Zone wise Meter data'!BM66:BX66)</f>
        <v>6.9464123750000013</v>
      </c>
      <c r="X11" s="115">
        <f>SUM('Zone wise Meter data'!BY66:CE66)</f>
        <v>1.5421505937499993</v>
      </c>
      <c r="Y11" s="115">
        <f>SUM('Zone wise Meter data'!CF66:CK66)</f>
        <v>46.281378999999959</v>
      </c>
      <c r="Z11" s="115">
        <f>SUM('Zone wise Meter data'!CL66:CO66)</f>
        <v>47.063332000000003</v>
      </c>
      <c r="AA11" s="115">
        <f>SUM('Zone wise Meter data'!CP66:DD66)</f>
        <v>32.516394921875019</v>
      </c>
      <c r="AB11" s="115">
        <f>SUM('Zone wise Meter data'!DE66:DN66)</f>
        <v>7.1860852499999943</v>
      </c>
      <c r="AC11" s="115">
        <f>SUM('Zone wise Meter data'!DO66:ED66)</f>
        <v>0</v>
      </c>
      <c r="AD11" s="160">
        <f>This_Year_KWH!AW11</f>
        <v>46.182015999999976</v>
      </c>
      <c r="AE11" s="160">
        <f>This_Year_KWH!DS11</f>
        <v>40.287136000000054</v>
      </c>
      <c r="AF11" s="160">
        <f>This_Year_KWH!EL11</f>
        <v>56.4586240000001</v>
      </c>
      <c r="AG11" s="160">
        <f>This_Year_KWH!EK11</f>
        <v>0</v>
      </c>
      <c r="AH11" s="160">
        <f>This_Year_KWH!EN11</f>
        <v>61.642240000000136</v>
      </c>
      <c r="AI11" s="160">
        <f>This_Year_KWH!EO11</f>
        <v>3.0912000000057522E-2</v>
      </c>
      <c r="AJ11" s="160">
        <f>This_Year_KWH!EM11</f>
        <v>72.42086399999971</v>
      </c>
      <c r="AK11" s="160">
        <f>This_Year_KWH!ER11</f>
        <v>19.033065000000001</v>
      </c>
      <c r="AL11" s="160">
        <f>This_Year_KWH!EI11</f>
        <v>17.724544000000147</v>
      </c>
      <c r="AM11" s="160">
        <f>This_Year_KWH!EJ11+Hourly_kWh!AS11</f>
        <v>0.97330349999999566</v>
      </c>
      <c r="AN11" s="160">
        <f>This_Year_KWH!CX11+Hourly_kWh!CY11+Hourly_kWh!DC11+Hourly_kWh!DD11</f>
        <v>7.284148874999989</v>
      </c>
      <c r="AO11" s="160">
        <f>SUM(Hourly_kWh!AI11:AQ11)</f>
        <v>7.974945312500295E-2</v>
      </c>
      <c r="AP11" s="160">
        <f>SUM(Hourly_kWh!V11:AG11)</f>
        <v>4.1311499999995505E-2</v>
      </c>
      <c r="AQ11" s="160">
        <f>This_Year_KWH!DB11</f>
        <v>3.1526389999999989</v>
      </c>
      <c r="AR11" s="160">
        <f>This_Year_KWH!CO11</f>
        <v>17.440191999999996</v>
      </c>
      <c r="AS11" s="160">
        <f>This_Year_KWH!BJ11</f>
        <v>4.9425000000002904E-2</v>
      </c>
      <c r="AT11" s="160">
        <f>This_Year_KWH!U11</f>
        <v>12.205163999999989</v>
      </c>
      <c r="AU11" s="160">
        <f>This_Year_KWH!V11</f>
        <v>3.2724419999999994</v>
      </c>
      <c r="AV11" s="160">
        <f>This_Year_KWH!W11</f>
        <v>1.6116399999999977</v>
      </c>
      <c r="AW11" s="160">
        <f>This_Year_KWH!X11</f>
        <v>1.9054989999999989</v>
      </c>
      <c r="AX11" s="160">
        <f>This_Year_KWH!Y11</f>
        <v>0</v>
      </c>
      <c r="AY11" s="160">
        <f>This_Year_KWH!Z11</f>
        <v>1.1823299999999983</v>
      </c>
      <c r="AZ11" s="160">
        <f>This_Year_KWH!AA11</f>
        <v>2.9132459999999973</v>
      </c>
      <c r="BA11" s="160">
        <f>This_Year_KWH!AB11</f>
        <v>4.1729399999999988</v>
      </c>
      <c r="BB11" s="160">
        <f>This_Year_KWH!AC11</f>
        <v>2.9601089999999988</v>
      </c>
      <c r="BC11" s="160">
        <f>This_Year_KWH!AD11</f>
        <v>1.2400674999999997</v>
      </c>
      <c r="BD11" s="160">
        <f>This_Year_KWH!AE11</f>
        <v>1.9942447500000005</v>
      </c>
      <c r="BE11" s="160">
        <f>This_Year_KWH!AF11</f>
        <v>0</v>
      </c>
      <c r="BF11" s="160">
        <f>This_Year_KWH!AG11</f>
        <v>0.44267824999999983</v>
      </c>
      <c r="BG11" s="160">
        <f>This_Year_KWH!AH11</f>
        <v>47.772735999999952</v>
      </c>
      <c r="BH11" s="160">
        <f>This_Year_KWH!AI11</f>
        <v>0</v>
      </c>
      <c r="BI11" s="160">
        <f>This_Year_KWH!AJ11</f>
        <v>0.78231474999999939</v>
      </c>
      <c r="BJ11" s="160">
        <f>This_Year_KWH!AK11</f>
        <v>0</v>
      </c>
      <c r="BK11" s="160">
        <f>This_Year_KWH!AL11</f>
        <v>7.7194719999999961</v>
      </c>
      <c r="BL11" s="160">
        <f>This_Year_KWH!AM11</f>
        <v>12.438808000000002</v>
      </c>
      <c r="BM11" s="160">
        <f>This_Year_KWH!AN11</f>
        <v>9.5780000000000118</v>
      </c>
      <c r="BN11" s="160">
        <f>This_Year_KWH!AO11</f>
        <v>3.6022979999999989</v>
      </c>
      <c r="BO11" s="160">
        <f>This_Year_KWH!AP11</f>
        <v>2.2242610000000003</v>
      </c>
      <c r="BP11" s="160">
        <f>This_Year_KWH!AQ11</f>
        <v>7.9237080000000049</v>
      </c>
      <c r="BQ11" s="160">
        <f>This_Year_KWH!AR11</f>
        <v>124.79465600000003</v>
      </c>
      <c r="BR11" s="160">
        <f>This_Year_KWH!AS11</f>
        <v>1.46198775</v>
      </c>
      <c r="BS11" s="160">
        <f>This_Year_KWH!AT11</f>
        <v>0</v>
      </c>
      <c r="BT11" s="160">
        <f>This_Year_KWH!AU11</f>
        <v>1.0537919999999943</v>
      </c>
      <c r="BU11" s="160">
        <f>This_Year_KWH!AV11</f>
        <v>0.87647350000000057</v>
      </c>
      <c r="BV11" s="160">
        <f>This_Year_KWH!AW11</f>
        <v>46.182015999999976</v>
      </c>
      <c r="BW11" s="160">
        <f>This_Year_KWH!AX11</f>
        <v>0</v>
      </c>
      <c r="BX11" s="160">
        <f>This_Year_KWH!AY11</f>
        <v>1.7909152499999998</v>
      </c>
      <c r="BY11" s="160">
        <f>This_Year_KWH!AZ11</f>
        <v>1.0499999999957763E-4</v>
      </c>
      <c r="BZ11" s="160">
        <f>This_Year_KWH!BA11</f>
        <v>0</v>
      </c>
      <c r="CA11" s="160">
        <f>This_Year_KWH!BB11</f>
        <v>0</v>
      </c>
      <c r="CB11" s="160">
        <f>This_Year_KWH!BC11</f>
        <v>0</v>
      </c>
      <c r="CC11" s="160">
        <f>This_Year_KWH!BD11</f>
        <v>0.10776774999999984</v>
      </c>
      <c r="CD11" s="160">
        <f>This_Year_KWH!BE11</f>
        <v>4.3297499999999998</v>
      </c>
      <c r="CE11" s="160">
        <f>This_Year_KWH!BF11</f>
        <v>0</v>
      </c>
      <c r="CF11" s="160">
        <f>This_Year_KWH!BG11</f>
        <v>0.53252200000000016</v>
      </c>
      <c r="CG11" s="160">
        <f>This_Year_KWH!BH11</f>
        <v>1.2742299999999993</v>
      </c>
      <c r="CH11" s="160">
        <f>This_Year_KWH!BI11</f>
        <v>60.238607999999985</v>
      </c>
      <c r="CI11" s="160">
        <f>This_Year_KWH!BJ11</f>
        <v>4.9425000000002904E-2</v>
      </c>
      <c r="CJ11" s="160">
        <f>This_Year_KWH!BK11</f>
        <v>1.4904174999999995</v>
      </c>
      <c r="CK11" s="160">
        <f>This_Year_KWH!BL11</f>
        <v>22.32307999999998</v>
      </c>
      <c r="CL11" s="160">
        <f>This_Year_KWH!BM11</f>
        <v>46.073408000000001</v>
      </c>
      <c r="CM11" s="160">
        <f>This_Year_KWH!BN11</f>
        <v>0</v>
      </c>
      <c r="CN11" s="160">
        <f>This_Year_KWH!BO11</f>
        <v>5.5728817499999996</v>
      </c>
      <c r="CO11" s="160">
        <f>This_Year_KWH!BP11</f>
        <v>0</v>
      </c>
      <c r="CP11" s="160">
        <f>This_Year_KWH!BQ11</f>
        <v>0</v>
      </c>
      <c r="CQ11" s="160">
        <f>This_Year_KWH!BR11</f>
        <v>0.30379934374999995</v>
      </c>
      <c r="CR11" s="160">
        <f>This_Year_KWH!BS11</f>
        <v>0</v>
      </c>
      <c r="CS11" s="160">
        <f>This_Year_KWH!BT11</f>
        <v>5.8206599999999984</v>
      </c>
      <c r="CT11" s="160">
        <f>This_Year_KWH!BU11</f>
        <v>0.31616799999999962</v>
      </c>
      <c r="CU11" s="160">
        <f>This_Year_KWH!BV11</f>
        <v>0</v>
      </c>
      <c r="CV11" s="160">
        <f>This_Year_KWH!BW11</f>
        <v>0</v>
      </c>
      <c r="CW11" s="160">
        <f>This_Year_KWH!BX11</f>
        <v>0.25929106249999978</v>
      </c>
      <c r="CX11" s="160">
        <f>This_Year_KWH!BY11</f>
        <v>1.3160000000000901E-3</v>
      </c>
      <c r="CY11" s="160">
        <f>This_Year_KWH!BZ11</f>
        <v>22.289011999999985</v>
      </c>
      <c r="CZ11" s="160">
        <f>This_Year_KWH!CA11</f>
        <v>6.7997519999999971</v>
      </c>
      <c r="DA11" s="160">
        <f>This_Year_KWH!CB11</f>
        <v>0</v>
      </c>
      <c r="DB11" s="160">
        <f>This_Year_KWH!CC11</f>
        <v>0</v>
      </c>
      <c r="DC11" s="160">
        <f>This_Year_KWH!CD11</f>
        <v>0</v>
      </c>
      <c r="DD11" s="160">
        <f>This_Year_KWH!CE11</f>
        <v>0</v>
      </c>
      <c r="DE11" s="160">
        <f>This_Year_KWH!CF11</f>
        <v>1.6225789999999982</v>
      </c>
      <c r="DF11" s="160">
        <f>This_Year_KWH!CG11</f>
        <v>0</v>
      </c>
      <c r="DG11" s="160">
        <f>This_Year_KWH!CH11</f>
        <v>0.26650149999999984</v>
      </c>
      <c r="DH11" s="160">
        <f>This_Year_KWH!CI11</f>
        <v>0</v>
      </c>
      <c r="DI11" s="160">
        <f>This_Year_KWH!CJ11</f>
        <v>0</v>
      </c>
      <c r="DJ11" s="160">
        <f>This_Year_KWH!CK11</f>
        <v>0</v>
      </c>
      <c r="DK11" s="160">
        <f>This_Year_KWH!CL11</f>
        <v>33.07883200000002</v>
      </c>
      <c r="DL11" s="160">
        <f>This_Year_KWH!CM11</f>
        <v>112.78924800000004</v>
      </c>
      <c r="DM11" s="160">
        <f>This_Year_KWH!CN11</f>
        <v>1.141067500000001</v>
      </c>
      <c r="DN11" s="160">
        <f>This_Year_KWH!CO11</f>
        <v>17.440191999999996</v>
      </c>
      <c r="DO11" s="160">
        <f>This_Year_KWH!CP11</f>
        <v>0</v>
      </c>
      <c r="DP11" s="160">
        <f>This_Year_KWH!CQ11</f>
        <v>3.9999999999484892E-6</v>
      </c>
      <c r="DQ11" s="160">
        <f>This_Year_KWH!CR11</f>
        <v>3.1459859999999988</v>
      </c>
      <c r="DR11" s="160">
        <f>This_Year_KWH!CS11</f>
        <v>0</v>
      </c>
      <c r="DS11" s="160">
        <f>This_Year_KWH!CT11</f>
        <v>4.2288480000000011</v>
      </c>
      <c r="DT11" s="160">
        <f>This_Year_KWH!CU11</f>
        <v>0</v>
      </c>
      <c r="DU11" s="160">
        <f>This_Year_KWH!CV11</f>
        <v>0.39639068750000006</v>
      </c>
      <c r="DV11" s="160">
        <f>This_Year_KWH!CW11</f>
        <v>0.68563600000000224</v>
      </c>
      <c r="DW11" s="160">
        <f>This_Year_KWH!CX11</f>
        <v>7.2739399999999899</v>
      </c>
      <c r="DX11" s="160">
        <f>This_Year_KWH!CY11</f>
        <v>0.35280100000000025</v>
      </c>
      <c r="DY11" s="160">
        <f>This_Year_KWH!CZ11</f>
        <v>0.42758812499999999</v>
      </c>
      <c r="DZ11" s="160">
        <f>This_Year_KWH!DA11</f>
        <v>8.1040440000000018</v>
      </c>
      <c r="EA11" s="160">
        <f>This_Year_KWH!DB11</f>
        <v>3.1526389999999989</v>
      </c>
      <c r="EB11" s="160">
        <f>This_Year_KWH!DC11</f>
        <v>1.0028000000000004</v>
      </c>
      <c r="EC11" s="160">
        <f>This_Year_KWH!DD11</f>
        <v>0.66055636523437522</v>
      </c>
      <c r="ED11" s="160">
        <f>This_Year_KWH!DE11</f>
        <v>0</v>
      </c>
      <c r="EE11" s="160">
        <f>This_Year_KWH!DF11</f>
        <v>0</v>
      </c>
      <c r="EF11" s="160">
        <f>This_Year_KWH!DG11</f>
        <v>0.26030649999999955</v>
      </c>
      <c r="EG11" s="160">
        <f>This_Year_KWH!DH11</f>
        <v>6.5086820000000101</v>
      </c>
      <c r="EH11" s="160">
        <f>This_Year_KWH!DI11</f>
        <v>127.25983999999994</v>
      </c>
      <c r="EI11" s="160">
        <f>This_Year_KWH!DJ11</f>
        <v>0</v>
      </c>
      <c r="EJ11" s="160">
        <f>This_Year_KWH!DK11</f>
        <v>1.7041020000000024</v>
      </c>
      <c r="EK11" s="160">
        <f>This_Year_KWH!DL11</f>
        <v>0.48290099999999819</v>
      </c>
      <c r="EL11" s="160">
        <f>This_Year_KWH!DM11</f>
        <v>1.1541920000000001</v>
      </c>
      <c r="EM11" s="160">
        <f>This_Year_KWH!DN11</f>
        <v>4.4294687500000006E-2</v>
      </c>
      <c r="EN11" s="160">
        <f>This_Year_KWH!DO11</f>
        <v>18.394592000000021</v>
      </c>
      <c r="EO11" s="160">
        <f>This_Year_KWH!DP11</f>
        <v>0.94436300000000017</v>
      </c>
      <c r="EP11" s="160">
        <f>This_Year_KWH!DQ11</f>
        <v>0</v>
      </c>
      <c r="EQ11" s="160">
        <f>This_Year_KWH!DR11</f>
        <v>0</v>
      </c>
      <c r="ER11" s="160">
        <f>This_Year_KWH!DS11</f>
        <v>40.287136000000054</v>
      </c>
      <c r="ES11" s="160">
        <f>This_Year_KWH!DT11</f>
        <v>9.7493759999999856</v>
      </c>
      <c r="ET11" s="160">
        <f>This_Year_KWH!DU11</f>
        <v>0.40332900000000316</v>
      </c>
      <c r="EU11" s="160">
        <f>This_Year_KWH!DV11</f>
        <v>0.21369899999999994</v>
      </c>
      <c r="EV11" s="160">
        <f>This_Year_KWH!DW11</f>
        <v>0</v>
      </c>
      <c r="EW11" s="160">
        <f>This_Year_KWH!DX11</f>
        <v>4.9048988750000007</v>
      </c>
      <c r="EX11" s="160">
        <f>This_Year_KWH!DY11</f>
        <v>0.31918798437500001</v>
      </c>
      <c r="EY11" s="160">
        <f>This_Year_KWH!DZ11</f>
        <v>2.2624959999999983</v>
      </c>
      <c r="EZ11" s="160">
        <f>This_Year_KWH!EA11</f>
        <v>3.8450000000000901E-3</v>
      </c>
      <c r="FA11" s="160">
        <f>This_Year_KWH!EB11</f>
        <v>32.317087999999977</v>
      </c>
      <c r="FB11" s="160">
        <f>This_Year_KWH!EC11</f>
        <v>14.746240000000029</v>
      </c>
      <c r="FC11" s="160">
        <f>This_Year_KWH!ED11</f>
        <v>0.7955253750000002</v>
      </c>
      <c r="FD11" s="160">
        <f>This_Year_KWH!EE11</f>
        <v>27.728119500000037</v>
      </c>
      <c r="FE11" s="160">
        <f>This_Year_KWH!EF11</f>
        <v>280.12855699999739</v>
      </c>
      <c r="FF11" s="160">
        <f>This_Year_KWH!EG11</f>
        <v>0</v>
      </c>
      <c r="FG11" s="160">
        <f>This_Year_KWH!EH11</f>
        <v>11.696383999999968</v>
      </c>
      <c r="FH11" s="160">
        <f>This_Year_KWH!EI11</f>
        <v>17.724544000000147</v>
      </c>
      <c r="FI11" s="160">
        <f>This_Year_KWH!EJ11</f>
        <v>0.96947199999999611</v>
      </c>
      <c r="FJ11" s="160">
        <f>This_Year_KWH!EK11</f>
        <v>0</v>
      </c>
      <c r="FK11" s="160">
        <f>This_Year_KWH!EL11</f>
        <v>56.4586240000001</v>
      </c>
      <c r="FL11" s="160">
        <f>This_Year_KWH!EM11</f>
        <v>72.42086399999971</v>
      </c>
      <c r="FM11" s="160">
        <f>This_Year_KWH!EN11</f>
        <v>61.642240000000136</v>
      </c>
      <c r="FN11" s="160">
        <f>This_Year_KWH!EO11</f>
        <v>3.0912000000057522E-2</v>
      </c>
      <c r="FO11" s="160">
        <f>This_Year_KWH!EP11</f>
        <v>0</v>
      </c>
      <c r="FP11" s="160">
        <f>This_Year_KWH!ER11</f>
        <v>19.033065000000001</v>
      </c>
      <c r="FQ11" s="160">
        <f>This_Year_KWH!EQ11</f>
        <v>0</v>
      </c>
      <c r="FR11" s="160">
        <f>This_Year_KWH!M11</f>
        <v>14.002668999999999</v>
      </c>
      <c r="FS11" s="160">
        <f>This_Year_KWH!G11</f>
        <v>14.031363000000002</v>
      </c>
      <c r="FT11" s="160">
        <f>This_Year_KWH!C11</f>
        <v>93.765378999999996</v>
      </c>
      <c r="FU11" s="160">
        <f>This_Year_KWH!D11</f>
        <v>182.58832100000006</v>
      </c>
      <c r="FV11" s="160">
        <f>This_Year_KWH!E11</f>
        <v>71.224301000000011</v>
      </c>
      <c r="FW11" s="160">
        <f>This_Year_KWH!F11</f>
        <v>173.10741699999997</v>
      </c>
      <c r="FX11" s="160">
        <f>This_Year_KWH!Q11</f>
        <v>91.369471999998524</v>
      </c>
      <c r="FY11" s="160">
        <f>This_Year_KWH!R11</f>
        <v>178.25689599999532</v>
      </c>
      <c r="FZ11" s="160">
        <f>This_Year_KWH!S11</f>
        <v>69.246975999999435</v>
      </c>
      <c r="GA11" s="160">
        <f>This_Year_KWH!T11</f>
        <v>168.39680000000226</v>
      </c>
      <c r="GB11" s="160">
        <f t="shared" si="0"/>
        <v>765.71541699999989</v>
      </c>
      <c r="GC11" s="160">
        <f t="shared" si="1"/>
        <v>691.04570899999737</v>
      </c>
      <c r="GD11" s="160">
        <f t="shared" si="2"/>
        <v>74.669708000002515</v>
      </c>
      <c r="GE11" s="159">
        <f t="shared" si="3"/>
        <v>9.7516265628490709E-2</v>
      </c>
    </row>
    <row r="12" spans="2:187" s="150" customFormat="1" ht="32.25" customHeight="1" x14ac:dyDescent="0.25">
      <c r="B12" s="168" t="s">
        <v>78</v>
      </c>
      <c r="C12" s="160">
        <f>This_Year_KWH!H12</f>
        <v>4.0273710000000005</v>
      </c>
      <c r="D12" s="160">
        <f>This_Year_KWH!I12</f>
        <v>4.7435829999999983</v>
      </c>
      <c r="E12" s="160">
        <f>This_Year_KWH!J12</f>
        <v>1.3901389999999996</v>
      </c>
      <c r="F12" s="160">
        <f>This_Year_KWH!K12</f>
        <v>0.97925899999999988</v>
      </c>
      <c r="G12" s="160">
        <f>This_Year_KWH!L12</f>
        <v>3.1092139999999988</v>
      </c>
      <c r="H12" s="160">
        <f>This_Year_KWH!U12</f>
        <v>13.141823999999998</v>
      </c>
      <c r="I12" s="160">
        <f>This_Year_KWH!P12</f>
        <v>7.6628319999999945</v>
      </c>
      <c r="J12" s="160">
        <f>This_Year_KWH!N12</f>
        <v>110.47305100000005</v>
      </c>
      <c r="K12" s="160">
        <f>This_Year_KWH!O12</f>
        <v>111.09342500000014</v>
      </c>
      <c r="L12" s="160">
        <f>This_Year_KWH!B12</f>
        <v>544.43287499999997</v>
      </c>
      <c r="M12" s="160">
        <f>This_Year_KWH!AR12</f>
        <v>135.83023999999997</v>
      </c>
      <c r="N12" s="160">
        <f>This_Year_KWH!BM12</f>
        <v>44.662335999999982</v>
      </c>
      <c r="O12" s="160">
        <f>This_Year_KWH!CM12</f>
        <v>126.39935999999987</v>
      </c>
      <c r="P12" s="160">
        <f>This_Year_KWH!DI12</f>
        <v>110.19871999999998</v>
      </c>
      <c r="Q12" s="160">
        <f>This_Year_KWH!EF12</f>
        <v>321.06004800000034</v>
      </c>
      <c r="R12" s="119">
        <f>SUM('Zone wise Meter data'!O67:AF67)</f>
        <v>38.963102937499997</v>
      </c>
      <c r="S12" s="115">
        <f>SUM('Zone wise Meter data'!AG67:AW67)</f>
        <v>65.594030796874989</v>
      </c>
      <c r="T12" s="115">
        <f>SUM('Zone wise Meter data'!AX67:BA67)</f>
        <v>35.355133999999921</v>
      </c>
      <c r="U12" s="115">
        <f>SUM('Zone wise Meter data'!BB67:BC67)</f>
        <v>78.822944000000064</v>
      </c>
      <c r="V12" s="115">
        <f>SUM('Zone wise Meter data'!BD67:BL67)</f>
        <v>317.35931200000022</v>
      </c>
      <c r="W12" s="115">
        <f>SUM('Zone wise Meter data'!BM67:BX67)</f>
        <v>10.444049500000002</v>
      </c>
      <c r="X12" s="115">
        <f>SUM('Zone wise Meter data'!BY67:CE67)</f>
        <v>0.61429412499999991</v>
      </c>
      <c r="Y12" s="115">
        <f>SUM('Zone wise Meter data'!CF67:CK67)</f>
        <v>41.275032968750025</v>
      </c>
      <c r="Z12" s="115">
        <f>SUM('Zone wise Meter data'!CL67:CO67)</f>
        <v>42.865167999999983</v>
      </c>
      <c r="AA12" s="115">
        <f>SUM('Zone wise Meter data'!CP67:DD67)</f>
        <v>29.026636937500008</v>
      </c>
      <c r="AB12" s="115">
        <f>SUM('Zone wise Meter data'!DE67:DN67)</f>
        <v>6.6235987924194362</v>
      </c>
      <c r="AC12" s="115">
        <f>SUM('Zone wise Meter data'!DO67:ED67)</f>
        <v>0</v>
      </c>
      <c r="AD12" s="160">
        <f>This_Year_KWH!AW12</f>
        <v>48.029248000000052</v>
      </c>
      <c r="AE12" s="160">
        <f>This_Year_KWH!DS12</f>
        <v>30.793696000000018</v>
      </c>
      <c r="AF12" s="160">
        <f>This_Year_KWH!EL12</f>
        <v>48.869375999999882</v>
      </c>
      <c r="AG12" s="160">
        <f>This_Year_KWH!EK12</f>
        <v>0</v>
      </c>
      <c r="AH12" s="160">
        <f>This_Year_KWH!EN12</f>
        <v>56.579584000000075</v>
      </c>
      <c r="AI12" s="160">
        <f>This_Year_KWH!EO12</f>
        <v>18.202432000000034</v>
      </c>
      <c r="AJ12" s="160">
        <f>This_Year_KWH!EM12</f>
        <v>91.728128000000197</v>
      </c>
      <c r="AK12" s="160">
        <f>This_Year_KWH!ER12</f>
        <v>72.327778000000023</v>
      </c>
      <c r="AL12" s="160">
        <f>This_Year_KWH!EI12</f>
        <v>18.896384000000015</v>
      </c>
      <c r="AM12" s="160">
        <f>This_Year_KWH!EJ12+Hourly_kWh!AS12</f>
        <v>1.2872070000000013</v>
      </c>
      <c r="AN12" s="160">
        <f>This_Year_KWH!CX12+Hourly_kWh!CY12+Hourly_kWh!DC12+Hourly_kWh!DD12</f>
        <v>5.8105010000000012</v>
      </c>
      <c r="AO12" s="160">
        <f>SUM(Hourly_kWh!AI12:AQ12)</f>
        <v>8.1482531250007095E-2</v>
      </c>
      <c r="AP12" s="160">
        <f>SUM(Hourly_kWh!V12:AG12)</f>
        <v>4.0404500000006394E-2</v>
      </c>
      <c r="AQ12" s="160">
        <f>This_Year_KWH!DB12</f>
        <v>3.1897739999999999</v>
      </c>
      <c r="AR12" s="160">
        <f>This_Year_KWH!CO12</f>
        <v>18.860447999999998</v>
      </c>
      <c r="AS12" s="160">
        <f>This_Year_KWH!BJ12</f>
        <v>5.8973999999999187E-2</v>
      </c>
      <c r="AT12" s="160">
        <f>This_Year_KWH!U12</f>
        <v>13.141823999999998</v>
      </c>
      <c r="AU12" s="160">
        <f>This_Year_KWH!V12</f>
        <v>3.7740539999999991</v>
      </c>
      <c r="AV12" s="160">
        <f>This_Year_KWH!W12</f>
        <v>1.6838770000000007</v>
      </c>
      <c r="AW12" s="160">
        <f>This_Year_KWH!X12</f>
        <v>1.9131800000000005</v>
      </c>
      <c r="AX12" s="160">
        <f>This_Year_KWH!Y12</f>
        <v>0</v>
      </c>
      <c r="AY12" s="160">
        <f>This_Year_KWH!Z12</f>
        <v>1.3473400000000011</v>
      </c>
      <c r="AZ12" s="160">
        <f>This_Year_KWH!AA12</f>
        <v>3.0588079999999986</v>
      </c>
      <c r="BA12" s="160">
        <f>This_Year_KWH!AB12</f>
        <v>4.7117499999999986</v>
      </c>
      <c r="BB12" s="160">
        <f>This_Year_KWH!AC12</f>
        <v>3.5413060000000041</v>
      </c>
      <c r="BC12" s="160">
        <f>This_Year_KWH!AD12</f>
        <v>1.6591389999999997</v>
      </c>
      <c r="BD12" s="160">
        <f>This_Year_KWH!AE12</f>
        <v>2.9231884999999984</v>
      </c>
      <c r="BE12" s="160">
        <f>This_Year_KWH!AF12</f>
        <v>0</v>
      </c>
      <c r="BF12" s="160">
        <f>This_Year_KWH!AG12</f>
        <v>0.53561274999999975</v>
      </c>
      <c r="BG12" s="160">
        <f>This_Year_KWH!AH12</f>
        <v>51.397759999999998</v>
      </c>
      <c r="BH12" s="160">
        <f>This_Year_KWH!AI12</f>
        <v>0</v>
      </c>
      <c r="BI12" s="160">
        <f>This_Year_KWH!AJ12</f>
        <v>1.0602035000000003</v>
      </c>
      <c r="BJ12" s="160">
        <f>This_Year_KWH!AK12</f>
        <v>0</v>
      </c>
      <c r="BK12" s="160">
        <f>This_Year_KWH!AL12</f>
        <v>8.6217362968749978</v>
      </c>
      <c r="BL12" s="160">
        <f>This_Year_KWH!AM12</f>
        <v>12.536623999999987</v>
      </c>
      <c r="BM12" s="160">
        <f>This_Year_KWH!AN12</f>
        <v>10.019431999999997</v>
      </c>
      <c r="BN12" s="160">
        <f>This_Year_KWH!AO12</f>
        <v>4.0864899999999995</v>
      </c>
      <c r="BO12" s="160">
        <f>This_Year_KWH!AP12</f>
        <v>2.4404579999999996</v>
      </c>
      <c r="BP12" s="160">
        <f>This_Year_KWH!AQ12</f>
        <v>8.3326520000000048</v>
      </c>
      <c r="BQ12" s="160">
        <f>This_Year_KWH!AR12</f>
        <v>135.83023999999997</v>
      </c>
      <c r="BR12" s="160">
        <f>This_Year_KWH!AS12</f>
        <v>1.7098859999999991</v>
      </c>
      <c r="BS12" s="160">
        <f>This_Year_KWH!AT12</f>
        <v>0</v>
      </c>
      <c r="BT12" s="160">
        <f>This_Year_KWH!AU12</f>
        <v>1.4000920000000008</v>
      </c>
      <c r="BU12" s="160">
        <f>This_Year_KWH!AV12</f>
        <v>0.86065800000000003</v>
      </c>
      <c r="BV12" s="160">
        <f>This_Year_KWH!AW12</f>
        <v>48.029248000000052</v>
      </c>
      <c r="BW12" s="160">
        <f>This_Year_KWH!AX12</f>
        <v>0</v>
      </c>
      <c r="BX12" s="160">
        <f>This_Year_KWH!AY12</f>
        <v>2.3367729999999995</v>
      </c>
      <c r="BY12" s="160">
        <f>This_Year_KWH!AZ12</f>
        <v>1.2849999999975381E-4</v>
      </c>
      <c r="BZ12" s="160">
        <f>This_Year_KWH!BA12</f>
        <v>0</v>
      </c>
      <c r="CA12" s="160">
        <f>This_Year_KWH!BB12</f>
        <v>0</v>
      </c>
      <c r="CB12" s="160">
        <f>This_Year_KWH!BC12</f>
        <v>0</v>
      </c>
      <c r="CC12" s="160">
        <f>This_Year_KWH!BD12</f>
        <v>0.1036623920288087</v>
      </c>
      <c r="CD12" s="160">
        <f>This_Year_KWH!BE12</f>
        <v>4.5285519999999968</v>
      </c>
      <c r="CE12" s="160">
        <f>This_Year_KWH!BF12</f>
        <v>0</v>
      </c>
      <c r="CF12" s="160">
        <f>This_Year_KWH!BG12</f>
        <v>0.47568799999999983</v>
      </c>
      <c r="CG12" s="160">
        <f>This_Year_KWH!BH12</f>
        <v>0.54119400000000084</v>
      </c>
      <c r="CH12" s="160">
        <f>This_Year_KWH!BI12</f>
        <v>67.333167999999944</v>
      </c>
      <c r="CI12" s="160">
        <f>This_Year_KWH!BJ12</f>
        <v>5.8973999999999187E-2</v>
      </c>
      <c r="CJ12" s="160">
        <f>This_Year_KWH!BK12</f>
        <v>1.9954485000000002</v>
      </c>
      <c r="CK12" s="160">
        <f>This_Year_KWH!BL12</f>
        <v>2.3040000000023064E-3</v>
      </c>
      <c r="CL12" s="160">
        <f>This_Year_KWH!BM12</f>
        <v>44.662335999999982</v>
      </c>
      <c r="CM12" s="160">
        <f>This_Year_KWH!BN12</f>
        <v>0</v>
      </c>
      <c r="CN12" s="160">
        <f>This_Year_KWH!BO12</f>
        <v>8.3317330000000016</v>
      </c>
      <c r="CO12" s="160">
        <f>This_Year_KWH!BP12</f>
        <v>0</v>
      </c>
      <c r="CP12" s="160">
        <f>This_Year_KWH!BQ12</f>
        <v>0</v>
      </c>
      <c r="CQ12" s="160">
        <f>This_Year_KWH!BR12</f>
        <v>0</v>
      </c>
      <c r="CR12" s="160">
        <f>This_Year_KWH!BS12</f>
        <v>0</v>
      </c>
      <c r="CS12" s="160">
        <f>This_Year_KWH!BT12</f>
        <v>5.2186679999999992</v>
      </c>
      <c r="CT12" s="160">
        <f>This_Year_KWH!BU12</f>
        <v>0</v>
      </c>
      <c r="CU12" s="160">
        <f>This_Year_KWH!BV12</f>
        <v>0</v>
      </c>
      <c r="CV12" s="160">
        <f>This_Year_KWH!BW12</f>
        <v>0</v>
      </c>
      <c r="CW12" s="160">
        <f>This_Year_KWH!BX12</f>
        <v>0</v>
      </c>
      <c r="CX12" s="160">
        <f>This_Year_KWH!BY12</f>
        <v>6.8399999999990701E-4</v>
      </c>
      <c r="CY12" s="160">
        <f>This_Year_KWH!BZ12</f>
        <v>20.076736000000022</v>
      </c>
      <c r="CZ12" s="160">
        <f>This_Year_KWH!CA12</f>
        <v>6.7434576874999976</v>
      </c>
      <c r="DA12" s="160">
        <f>This_Year_KWH!CB12</f>
        <v>0</v>
      </c>
      <c r="DB12" s="160">
        <f>This_Year_KWH!CC12</f>
        <v>0</v>
      </c>
      <c r="DC12" s="160">
        <f>This_Year_KWH!CD12</f>
        <v>0</v>
      </c>
      <c r="DD12" s="160">
        <f>This_Year_KWH!CE12</f>
        <v>0</v>
      </c>
      <c r="DE12" s="160">
        <f>This_Year_KWH!CF12</f>
        <v>1.0956500000000009</v>
      </c>
      <c r="DF12" s="160">
        <f>This_Year_KWH!CG12</f>
        <v>0</v>
      </c>
      <c r="DG12" s="160">
        <f>This_Year_KWH!CH12</f>
        <v>0.19730624999999979</v>
      </c>
      <c r="DH12" s="160">
        <f>This_Year_KWH!CI12</f>
        <v>0</v>
      </c>
      <c r="DI12" s="160">
        <f>This_Year_KWH!CJ12</f>
        <v>0</v>
      </c>
      <c r="DJ12" s="160">
        <f>This_Year_KWH!CK12</f>
        <v>0</v>
      </c>
      <c r="DK12" s="160">
        <f>This_Year_KWH!CL12</f>
        <v>2.1760660000000001</v>
      </c>
      <c r="DL12" s="160">
        <f>This_Year_KWH!CM12</f>
        <v>126.39935999999987</v>
      </c>
      <c r="DM12" s="160">
        <f>This_Year_KWH!CN12</f>
        <v>1.3730510000000002</v>
      </c>
      <c r="DN12" s="160">
        <f>This_Year_KWH!CO12</f>
        <v>18.860447999999998</v>
      </c>
      <c r="DO12" s="160">
        <f>This_Year_KWH!CP12</f>
        <v>0</v>
      </c>
      <c r="DP12" s="160">
        <f>This_Year_KWH!CQ12</f>
        <v>0</v>
      </c>
      <c r="DQ12" s="160">
        <f>This_Year_KWH!CR12</f>
        <v>3.9197340000000005</v>
      </c>
      <c r="DR12" s="160">
        <f>This_Year_KWH!CS12</f>
        <v>0</v>
      </c>
      <c r="DS12" s="160">
        <f>This_Year_KWH!CT12</f>
        <v>3.9594960000000015</v>
      </c>
      <c r="DT12" s="160">
        <f>This_Year_KWH!CU12</f>
        <v>0</v>
      </c>
      <c r="DU12" s="160">
        <f>This_Year_KWH!CV12</f>
        <v>0.41698787500000012</v>
      </c>
      <c r="DV12" s="160">
        <f>This_Year_KWH!CW12</f>
        <v>1.0892920000000004</v>
      </c>
      <c r="DW12" s="160">
        <f>This_Year_KWH!CX12</f>
        <v>5.8000920000000011</v>
      </c>
      <c r="DX12" s="160">
        <f>This_Year_KWH!CY12</f>
        <v>0.43904499999999952</v>
      </c>
      <c r="DY12" s="160">
        <f>This_Year_KWH!CZ12</f>
        <v>0.59332200000000024</v>
      </c>
      <c r="DZ12" s="160">
        <f>This_Year_KWH!DA12</f>
        <v>7.6017919999999988</v>
      </c>
      <c r="EA12" s="160">
        <f>This_Year_KWH!DB12</f>
        <v>3.1897739999999999</v>
      </c>
      <c r="EB12" s="160">
        <f>This_Year_KWH!DC12</f>
        <v>5.0983332499999934</v>
      </c>
      <c r="EC12" s="160">
        <f>This_Year_KWH!DD12</f>
        <v>0.83668543750000002</v>
      </c>
      <c r="ED12" s="160">
        <f>This_Year_KWH!DE12</f>
        <v>0</v>
      </c>
      <c r="EE12" s="160">
        <f>This_Year_KWH!DF12</f>
        <v>0</v>
      </c>
      <c r="EF12" s="160">
        <f>This_Year_KWH!DG12</f>
        <v>0.42970249999999938</v>
      </c>
      <c r="EG12" s="160">
        <f>This_Year_KWH!DH12</f>
        <v>0.41909800000000008</v>
      </c>
      <c r="EH12" s="160">
        <f>This_Year_KWH!DI12</f>
        <v>110.19871999999998</v>
      </c>
      <c r="EI12" s="160">
        <f>This_Year_KWH!DJ12</f>
        <v>0</v>
      </c>
      <c r="EJ12" s="160">
        <f>This_Year_KWH!DK12</f>
        <v>1.7865940000000011</v>
      </c>
      <c r="EK12" s="160">
        <f>This_Year_KWH!DL12</f>
        <v>0.49615290039062454</v>
      </c>
      <c r="EL12" s="160">
        <f>This_Year_KWH!DM12</f>
        <v>0.95942900000000009</v>
      </c>
      <c r="EM12" s="160">
        <f>This_Year_KWH!DN12</f>
        <v>3.6614624999999998E-2</v>
      </c>
      <c r="EN12" s="160">
        <f>This_Year_KWH!DO12</f>
        <v>15.749728000000006</v>
      </c>
      <c r="EO12" s="160">
        <f>This_Year_KWH!DP12</f>
        <v>1.0302495000000007</v>
      </c>
      <c r="EP12" s="160">
        <f>This_Year_KWH!DQ12</f>
        <v>0</v>
      </c>
      <c r="EQ12" s="160">
        <f>This_Year_KWH!DR12</f>
        <v>0</v>
      </c>
      <c r="ER12" s="160">
        <f>This_Year_KWH!DS12</f>
        <v>30.793696000000018</v>
      </c>
      <c r="ES12" s="160">
        <f>This_Year_KWH!DT12</f>
        <v>8.1405212812500007</v>
      </c>
      <c r="ET12" s="160">
        <f>This_Year_KWH!DU12</f>
        <v>0.33624500000000013</v>
      </c>
      <c r="EU12" s="160">
        <f>This_Year_KWH!DV12</f>
        <v>0.26302624999999985</v>
      </c>
      <c r="EV12" s="160">
        <f>This_Year_KWH!DW12</f>
        <v>0</v>
      </c>
      <c r="EW12" s="160">
        <f>This_Year_KWH!DX12</f>
        <v>4.1505515000000015</v>
      </c>
      <c r="EX12" s="160">
        <f>This_Year_KWH!DY12</f>
        <v>0.17340406250000004</v>
      </c>
      <c r="EY12" s="160">
        <f>This_Year_KWH!DZ12</f>
        <v>2.6648439999999982</v>
      </c>
      <c r="EZ12" s="160">
        <f>This_Year_KWH!EA12</f>
        <v>0</v>
      </c>
      <c r="FA12" s="160">
        <f>This_Year_KWH!EB12</f>
        <v>28.787967999999982</v>
      </c>
      <c r="FB12" s="160">
        <f>This_Year_KWH!EC12</f>
        <v>14.077200000000003</v>
      </c>
      <c r="FC12" s="160">
        <f>This_Year_KWH!ED12</f>
        <v>0.66179400000000022</v>
      </c>
      <c r="FD12" s="160">
        <f>This_Year_KWH!EE12</f>
        <v>3.3271264999999999</v>
      </c>
      <c r="FE12" s="160">
        <f>This_Year_KWH!EF12</f>
        <v>321.06004800000034</v>
      </c>
      <c r="FF12" s="160">
        <f>This_Year_KWH!EG12</f>
        <v>0</v>
      </c>
      <c r="FG12" s="160">
        <f>This_Year_KWH!EH12</f>
        <v>13.465407999999909</v>
      </c>
      <c r="FH12" s="160">
        <f>This_Year_KWH!EI12</f>
        <v>18.896384000000015</v>
      </c>
      <c r="FI12" s="160">
        <f>This_Year_KWH!EJ12</f>
        <v>1.283456000000001</v>
      </c>
      <c r="FJ12" s="160">
        <f>This_Year_KWH!EK12</f>
        <v>0</v>
      </c>
      <c r="FK12" s="160">
        <f>This_Year_KWH!EL12</f>
        <v>48.869375999999882</v>
      </c>
      <c r="FL12" s="160">
        <f>This_Year_KWH!EM12</f>
        <v>91.728128000000197</v>
      </c>
      <c r="FM12" s="160">
        <f>This_Year_KWH!EN12</f>
        <v>56.579584000000075</v>
      </c>
      <c r="FN12" s="160">
        <f>This_Year_KWH!EO12</f>
        <v>18.202432000000034</v>
      </c>
      <c r="FO12" s="160">
        <f>This_Year_KWH!EP12</f>
        <v>0</v>
      </c>
      <c r="FP12" s="160">
        <f>This_Year_KWH!ER12</f>
        <v>72.327778000000023</v>
      </c>
      <c r="FQ12" s="160">
        <f>This_Year_KWH!EQ12</f>
        <v>0</v>
      </c>
      <c r="FR12" s="160">
        <f>This_Year_KWH!M12</f>
        <v>17.151282999999985</v>
      </c>
      <c r="FS12" s="160">
        <f>This_Year_KWH!G12</f>
        <v>17.17399799999999</v>
      </c>
      <c r="FT12" s="160">
        <f>This_Year_KWH!C12</f>
        <v>155.41705000000005</v>
      </c>
      <c r="FU12" s="160">
        <f>This_Year_KWH!D12</f>
        <v>199.33437600000013</v>
      </c>
      <c r="FV12" s="160">
        <f>This_Year_KWH!E12</f>
        <v>129.22055499999999</v>
      </c>
      <c r="FW12" s="160">
        <f>This_Year_KWH!F12</f>
        <v>78.31487199999998</v>
      </c>
      <c r="FX12" s="160">
        <f>This_Year_KWH!Q12</f>
        <v>151.39635199999975</v>
      </c>
      <c r="FY12" s="160">
        <f>This_Year_KWH!R12</f>
        <v>194.7381759999989</v>
      </c>
      <c r="FZ12" s="160">
        <f>This_Year_KWH!S12</f>
        <v>125.67705599999955</v>
      </c>
      <c r="GA12" s="160">
        <f>This_Year_KWH!T12</f>
        <v>76.027904000002309</v>
      </c>
      <c r="GB12" s="160">
        <f t="shared" si="0"/>
        <v>801.05357300000014</v>
      </c>
      <c r="GC12" s="160">
        <f t="shared" si="1"/>
        <v>738.15070400000013</v>
      </c>
      <c r="GD12" s="160">
        <f t="shared" si="2"/>
        <v>62.90286900000001</v>
      </c>
      <c r="GE12" s="159">
        <f t="shared" si="3"/>
        <v>7.8525171249688691E-2</v>
      </c>
    </row>
    <row r="13" spans="2:187" s="150" customFormat="1" ht="32.25" customHeight="1" x14ac:dyDescent="0.25">
      <c r="B13" s="168" t="s">
        <v>79</v>
      </c>
      <c r="C13" s="160">
        <f>This_Year_KWH!H13</f>
        <v>0</v>
      </c>
      <c r="D13" s="160">
        <f>This_Year_KWH!I13</f>
        <v>0</v>
      </c>
      <c r="E13" s="160">
        <f>This_Year_KWH!J13</f>
        <v>0</v>
      </c>
      <c r="F13" s="160">
        <f>This_Year_KWH!K13</f>
        <v>0</v>
      </c>
      <c r="G13" s="160">
        <f>This_Year_KWH!L13</f>
        <v>0</v>
      </c>
      <c r="H13" s="160">
        <f>This_Year_KWH!U13</f>
        <v>0</v>
      </c>
      <c r="I13" s="160">
        <f>This_Year_KWH!P13</f>
        <v>0</v>
      </c>
      <c r="J13" s="160">
        <f>This_Year_KWH!N13</f>
        <v>0</v>
      </c>
      <c r="K13" s="160">
        <f>This_Year_KWH!O13</f>
        <v>0</v>
      </c>
      <c r="L13" s="160">
        <f>This_Year_KWH!B13</f>
        <v>0</v>
      </c>
      <c r="M13" s="160">
        <f>This_Year_KWH!AR13</f>
        <v>0</v>
      </c>
      <c r="N13" s="160">
        <f>This_Year_KWH!BM13</f>
        <v>0</v>
      </c>
      <c r="O13" s="160">
        <f>This_Year_KWH!CM13</f>
        <v>0</v>
      </c>
      <c r="P13" s="160">
        <f>This_Year_KWH!DI13</f>
        <v>0</v>
      </c>
      <c r="Q13" s="160">
        <f>This_Year_KWH!EF13</f>
        <v>0</v>
      </c>
      <c r="R13" s="119">
        <f>SUM('Zone wise Meter data'!O68:AF68)</f>
        <v>0</v>
      </c>
      <c r="S13" s="115">
        <f>SUM('Zone wise Meter data'!AG68:AW68)</f>
        <v>0</v>
      </c>
      <c r="T13" s="115">
        <f>SUM('Zone wise Meter data'!AX68:BA68)</f>
        <v>0</v>
      </c>
      <c r="U13" s="115">
        <f>SUM('Zone wise Meter data'!BB68:BC68)</f>
        <v>0</v>
      </c>
      <c r="V13" s="115">
        <f>SUM('Zone wise Meter data'!BD68:BL68)</f>
        <v>0</v>
      </c>
      <c r="W13" s="115">
        <f>SUM('Zone wise Meter data'!BM68:BX68)</f>
        <v>0</v>
      </c>
      <c r="X13" s="115">
        <f>SUM('Zone wise Meter data'!BY68:CE68)</f>
        <v>0</v>
      </c>
      <c r="Y13" s="115">
        <f>SUM('Zone wise Meter data'!CF68:CK68)</f>
        <v>0</v>
      </c>
      <c r="Z13" s="115">
        <f>SUM('Zone wise Meter data'!CL68:CO68)</f>
        <v>0</v>
      </c>
      <c r="AA13" s="115">
        <f>SUM('Zone wise Meter data'!CP68:DD68)</f>
        <v>0</v>
      </c>
      <c r="AB13" s="115">
        <f>SUM('Zone wise Meter data'!DE68:DN68)</f>
        <v>0</v>
      </c>
      <c r="AC13" s="115">
        <f>SUM('Zone wise Meter data'!DO68:ED68)</f>
        <v>0</v>
      </c>
      <c r="AD13" s="160">
        <f>This_Year_KWH!AW13</f>
        <v>0</v>
      </c>
      <c r="AE13" s="160">
        <f>This_Year_KWH!DS13</f>
        <v>0</v>
      </c>
      <c r="AF13" s="160">
        <f>This_Year_KWH!EL13</f>
        <v>0</v>
      </c>
      <c r="AG13" s="160">
        <f>This_Year_KWH!EK13</f>
        <v>0</v>
      </c>
      <c r="AH13" s="160">
        <f>This_Year_KWH!EN13</f>
        <v>0</v>
      </c>
      <c r="AI13" s="160">
        <f>This_Year_KWH!EO13</f>
        <v>0</v>
      </c>
      <c r="AJ13" s="160">
        <f>This_Year_KWH!EM13</f>
        <v>0</v>
      </c>
      <c r="AK13" s="160">
        <f>This_Year_KWH!ER13</f>
        <v>0</v>
      </c>
      <c r="AL13" s="160">
        <f>This_Year_KWH!EI13</f>
        <v>0</v>
      </c>
      <c r="AM13" s="160">
        <f>This_Year_KWH!EJ13+Hourly_kWh!AS13</f>
        <v>3.1924999999999315E-3</v>
      </c>
      <c r="AN13" s="160">
        <f>This_Year_KWH!CX13+Hourly_kWh!CY13+Hourly_kWh!DC13+Hourly_kWh!DD13</f>
        <v>1.0520124999999991E-2</v>
      </c>
      <c r="AO13" s="160">
        <f>SUM(Hourly_kWh!AI13:AQ13)</f>
        <v>8.1136890624983249E-2</v>
      </c>
      <c r="AP13" s="160">
        <f>SUM(Hourly_kWh!V13:AG13)</f>
        <v>4.1157499999996183E-2</v>
      </c>
      <c r="AQ13" s="160">
        <f>This_Year_KWH!DB13</f>
        <v>0</v>
      </c>
      <c r="AR13" s="160">
        <f>This_Year_KWH!CO13</f>
        <v>0</v>
      </c>
      <c r="AS13" s="160">
        <f>This_Year_KWH!BJ13</f>
        <v>0</v>
      </c>
      <c r="AT13" s="160">
        <f>This_Year_KWH!U13</f>
        <v>0</v>
      </c>
      <c r="AU13" s="160">
        <f>This_Year_KWH!V13</f>
        <v>0</v>
      </c>
      <c r="AV13" s="160">
        <f>This_Year_KWH!W13</f>
        <v>0</v>
      </c>
      <c r="AW13" s="160">
        <f>This_Year_KWH!X13</f>
        <v>0</v>
      </c>
      <c r="AX13" s="160">
        <f>This_Year_KWH!Y13</f>
        <v>0</v>
      </c>
      <c r="AY13" s="160">
        <f>This_Year_KWH!Z13</f>
        <v>0</v>
      </c>
      <c r="AZ13" s="160">
        <f>This_Year_KWH!AA13</f>
        <v>0</v>
      </c>
      <c r="BA13" s="160">
        <f>This_Year_KWH!AB13</f>
        <v>0</v>
      </c>
      <c r="BB13" s="160">
        <f>This_Year_KWH!AC13</f>
        <v>0</v>
      </c>
      <c r="BC13" s="160">
        <f>This_Year_KWH!AD13</f>
        <v>0</v>
      </c>
      <c r="BD13" s="160">
        <f>This_Year_KWH!AE13</f>
        <v>0</v>
      </c>
      <c r="BE13" s="160">
        <f>This_Year_KWH!AF13</f>
        <v>0</v>
      </c>
      <c r="BF13" s="160">
        <f>This_Year_KWH!AG13</f>
        <v>0</v>
      </c>
      <c r="BG13" s="160">
        <f>This_Year_KWH!AH13</f>
        <v>0</v>
      </c>
      <c r="BH13" s="160">
        <f>This_Year_KWH!AI13</f>
        <v>0</v>
      </c>
      <c r="BI13" s="160">
        <f>This_Year_KWH!AJ13</f>
        <v>0</v>
      </c>
      <c r="BJ13" s="160">
        <f>This_Year_KWH!AK13</f>
        <v>0</v>
      </c>
      <c r="BK13" s="160">
        <f>This_Year_KWH!AL13</f>
        <v>0</v>
      </c>
      <c r="BL13" s="160">
        <f>This_Year_KWH!AM13</f>
        <v>0</v>
      </c>
      <c r="BM13" s="160">
        <f>This_Year_KWH!AN13</f>
        <v>0</v>
      </c>
      <c r="BN13" s="160">
        <f>This_Year_KWH!AO13</f>
        <v>0</v>
      </c>
      <c r="BO13" s="160">
        <f>This_Year_KWH!AP13</f>
        <v>0</v>
      </c>
      <c r="BP13" s="160">
        <f>This_Year_KWH!AQ13</f>
        <v>0</v>
      </c>
      <c r="BQ13" s="160">
        <f>This_Year_KWH!AR13</f>
        <v>0</v>
      </c>
      <c r="BR13" s="160">
        <f>This_Year_KWH!AS13</f>
        <v>0</v>
      </c>
      <c r="BS13" s="160">
        <f>This_Year_KWH!AT13</f>
        <v>0</v>
      </c>
      <c r="BT13" s="160">
        <f>This_Year_KWH!AU13</f>
        <v>0</v>
      </c>
      <c r="BU13" s="160">
        <f>This_Year_KWH!AV13</f>
        <v>0</v>
      </c>
      <c r="BV13" s="160">
        <f>This_Year_KWH!AW13</f>
        <v>0</v>
      </c>
      <c r="BW13" s="160">
        <f>This_Year_KWH!AX13</f>
        <v>0</v>
      </c>
      <c r="BX13" s="160">
        <f>This_Year_KWH!AY13</f>
        <v>0</v>
      </c>
      <c r="BY13" s="160">
        <f>This_Year_KWH!AZ13</f>
        <v>0</v>
      </c>
      <c r="BZ13" s="160">
        <f>This_Year_KWH!BA13</f>
        <v>0</v>
      </c>
      <c r="CA13" s="160">
        <f>This_Year_KWH!BB13</f>
        <v>0</v>
      </c>
      <c r="CB13" s="160">
        <f>This_Year_KWH!BC13</f>
        <v>0</v>
      </c>
      <c r="CC13" s="160">
        <f>This_Year_KWH!BD13</f>
        <v>0</v>
      </c>
      <c r="CD13" s="160">
        <f>This_Year_KWH!BE13</f>
        <v>0</v>
      </c>
      <c r="CE13" s="160">
        <f>This_Year_KWH!BF13</f>
        <v>0</v>
      </c>
      <c r="CF13" s="160">
        <f>This_Year_KWH!BG13</f>
        <v>0</v>
      </c>
      <c r="CG13" s="160">
        <f>This_Year_KWH!BH13</f>
        <v>0</v>
      </c>
      <c r="CH13" s="160">
        <f>This_Year_KWH!BI13</f>
        <v>0</v>
      </c>
      <c r="CI13" s="160">
        <f>This_Year_KWH!BJ13</f>
        <v>0</v>
      </c>
      <c r="CJ13" s="160">
        <f>This_Year_KWH!BK13</f>
        <v>0</v>
      </c>
      <c r="CK13" s="160">
        <f>This_Year_KWH!BL13</f>
        <v>0</v>
      </c>
      <c r="CL13" s="160">
        <f>This_Year_KWH!BM13</f>
        <v>0</v>
      </c>
      <c r="CM13" s="160">
        <f>This_Year_KWH!BN13</f>
        <v>0</v>
      </c>
      <c r="CN13" s="160">
        <f>This_Year_KWH!BO13</f>
        <v>0</v>
      </c>
      <c r="CO13" s="160">
        <f>This_Year_KWH!BP13</f>
        <v>0</v>
      </c>
      <c r="CP13" s="160">
        <f>This_Year_KWH!BQ13</f>
        <v>0</v>
      </c>
      <c r="CQ13" s="160">
        <f>This_Year_KWH!BR13</f>
        <v>0</v>
      </c>
      <c r="CR13" s="160">
        <f>This_Year_KWH!BS13</f>
        <v>0</v>
      </c>
      <c r="CS13" s="160">
        <f>This_Year_KWH!BT13</f>
        <v>0</v>
      </c>
      <c r="CT13" s="160">
        <f>This_Year_KWH!BU13</f>
        <v>0</v>
      </c>
      <c r="CU13" s="160">
        <f>This_Year_KWH!BV13</f>
        <v>0</v>
      </c>
      <c r="CV13" s="160">
        <f>This_Year_KWH!BW13</f>
        <v>0</v>
      </c>
      <c r="CW13" s="160">
        <f>This_Year_KWH!BX13</f>
        <v>0</v>
      </c>
      <c r="CX13" s="160">
        <f>This_Year_KWH!BY13</f>
        <v>0</v>
      </c>
      <c r="CY13" s="160">
        <f>This_Year_KWH!BZ13</f>
        <v>0</v>
      </c>
      <c r="CZ13" s="160">
        <f>This_Year_KWH!CA13</f>
        <v>0</v>
      </c>
      <c r="DA13" s="160">
        <f>This_Year_KWH!CB13</f>
        <v>0</v>
      </c>
      <c r="DB13" s="160">
        <f>This_Year_KWH!CC13</f>
        <v>0</v>
      </c>
      <c r="DC13" s="160">
        <f>This_Year_KWH!CD13</f>
        <v>0</v>
      </c>
      <c r="DD13" s="160">
        <f>This_Year_KWH!CE13</f>
        <v>0</v>
      </c>
      <c r="DE13" s="160">
        <f>This_Year_KWH!CF13</f>
        <v>0</v>
      </c>
      <c r="DF13" s="160">
        <f>This_Year_KWH!CG13</f>
        <v>0</v>
      </c>
      <c r="DG13" s="160">
        <f>This_Year_KWH!CH13</f>
        <v>0</v>
      </c>
      <c r="DH13" s="160">
        <f>This_Year_KWH!CI13</f>
        <v>0</v>
      </c>
      <c r="DI13" s="160">
        <f>This_Year_KWH!CJ13</f>
        <v>0</v>
      </c>
      <c r="DJ13" s="160">
        <f>This_Year_KWH!CK13</f>
        <v>0</v>
      </c>
      <c r="DK13" s="160">
        <f>This_Year_KWH!CL13</f>
        <v>0</v>
      </c>
      <c r="DL13" s="160">
        <f>This_Year_KWH!CM13</f>
        <v>0</v>
      </c>
      <c r="DM13" s="160">
        <f>This_Year_KWH!CN13</f>
        <v>0</v>
      </c>
      <c r="DN13" s="160">
        <f>This_Year_KWH!CO13</f>
        <v>0</v>
      </c>
      <c r="DO13" s="160">
        <f>This_Year_KWH!CP13</f>
        <v>0</v>
      </c>
      <c r="DP13" s="160">
        <f>This_Year_KWH!CQ13</f>
        <v>0</v>
      </c>
      <c r="DQ13" s="160">
        <f>This_Year_KWH!CR13</f>
        <v>0</v>
      </c>
      <c r="DR13" s="160">
        <f>This_Year_KWH!CS13</f>
        <v>0</v>
      </c>
      <c r="DS13" s="160">
        <f>This_Year_KWH!CT13</f>
        <v>0</v>
      </c>
      <c r="DT13" s="160">
        <f>This_Year_KWH!CU13</f>
        <v>0</v>
      </c>
      <c r="DU13" s="160">
        <f>This_Year_KWH!CV13</f>
        <v>0</v>
      </c>
      <c r="DV13" s="160">
        <f>This_Year_KWH!CW13</f>
        <v>0</v>
      </c>
      <c r="DW13" s="160">
        <f>This_Year_KWH!CX13</f>
        <v>0</v>
      </c>
      <c r="DX13" s="160">
        <f>This_Year_KWH!CY13</f>
        <v>0</v>
      </c>
      <c r="DY13" s="160">
        <f>This_Year_KWH!CZ13</f>
        <v>0</v>
      </c>
      <c r="DZ13" s="160">
        <f>This_Year_KWH!DA13</f>
        <v>0</v>
      </c>
      <c r="EA13" s="160">
        <f>This_Year_KWH!DB13</f>
        <v>0</v>
      </c>
      <c r="EB13" s="160">
        <f>This_Year_KWH!DC13</f>
        <v>0</v>
      </c>
      <c r="EC13" s="160">
        <f>This_Year_KWH!DD13</f>
        <v>0</v>
      </c>
      <c r="ED13" s="160">
        <f>This_Year_KWH!DE13</f>
        <v>0</v>
      </c>
      <c r="EE13" s="160">
        <f>This_Year_KWH!DF13</f>
        <v>0</v>
      </c>
      <c r="EF13" s="160">
        <f>This_Year_KWH!DG13</f>
        <v>0</v>
      </c>
      <c r="EG13" s="160">
        <f>This_Year_KWH!DH13</f>
        <v>0</v>
      </c>
      <c r="EH13" s="160">
        <f>This_Year_KWH!DI13</f>
        <v>0</v>
      </c>
      <c r="EI13" s="160">
        <f>This_Year_KWH!DJ13</f>
        <v>0</v>
      </c>
      <c r="EJ13" s="160">
        <f>This_Year_KWH!DK13</f>
        <v>0</v>
      </c>
      <c r="EK13" s="160">
        <f>This_Year_KWH!DL13</f>
        <v>0</v>
      </c>
      <c r="EL13" s="160">
        <f>This_Year_KWH!DM13</f>
        <v>0</v>
      </c>
      <c r="EM13" s="160">
        <f>This_Year_KWH!DN13</f>
        <v>0</v>
      </c>
      <c r="EN13" s="160">
        <f>This_Year_KWH!DO13</f>
        <v>0</v>
      </c>
      <c r="EO13" s="160">
        <f>This_Year_KWH!DP13</f>
        <v>0</v>
      </c>
      <c r="EP13" s="160">
        <f>This_Year_KWH!DQ13</f>
        <v>0</v>
      </c>
      <c r="EQ13" s="160">
        <f>This_Year_KWH!DR13</f>
        <v>0</v>
      </c>
      <c r="ER13" s="160">
        <f>This_Year_KWH!DS13</f>
        <v>0</v>
      </c>
      <c r="ES13" s="160">
        <f>This_Year_KWH!DT13</f>
        <v>0</v>
      </c>
      <c r="ET13" s="160">
        <f>This_Year_KWH!DU13</f>
        <v>0</v>
      </c>
      <c r="EU13" s="160">
        <f>This_Year_KWH!DV13</f>
        <v>0</v>
      </c>
      <c r="EV13" s="160">
        <f>This_Year_KWH!DW13</f>
        <v>0</v>
      </c>
      <c r="EW13" s="160">
        <f>This_Year_KWH!DX13</f>
        <v>0</v>
      </c>
      <c r="EX13" s="160">
        <f>This_Year_KWH!DY13</f>
        <v>0</v>
      </c>
      <c r="EY13" s="160">
        <f>This_Year_KWH!DZ13</f>
        <v>0</v>
      </c>
      <c r="EZ13" s="160">
        <f>This_Year_KWH!EA13</f>
        <v>0</v>
      </c>
      <c r="FA13" s="160">
        <f>This_Year_KWH!EB13</f>
        <v>0</v>
      </c>
      <c r="FB13" s="160">
        <f>This_Year_KWH!EC13</f>
        <v>0</v>
      </c>
      <c r="FC13" s="160">
        <f>This_Year_KWH!ED13</f>
        <v>0</v>
      </c>
      <c r="FD13" s="160">
        <f>This_Year_KWH!EE13</f>
        <v>0</v>
      </c>
      <c r="FE13" s="160">
        <f>This_Year_KWH!EF13</f>
        <v>0</v>
      </c>
      <c r="FF13" s="160">
        <f>This_Year_KWH!EG13</f>
        <v>0</v>
      </c>
      <c r="FG13" s="160">
        <f>This_Year_KWH!EH13</f>
        <v>0</v>
      </c>
      <c r="FH13" s="160">
        <f>This_Year_KWH!EI13</f>
        <v>0</v>
      </c>
      <c r="FI13" s="160">
        <f>This_Year_KWH!EJ13</f>
        <v>0</v>
      </c>
      <c r="FJ13" s="160">
        <f>This_Year_KWH!EK13</f>
        <v>0</v>
      </c>
      <c r="FK13" s="160">
        <f>This_Year_KWH!EL13</f>
        <v>0</v>
      </c>
      <c r="FL13" s="160">
        <f>This_Year_KWH!EM13</f>
        <v>0</v>
      </c>
      <c r="FM13" s="160">
        <f>This_Year_KWH!EN13</f>
        <v>0</v>
      </c>
      <c r="FN13" s="160">
        <f>This_Year_KWH!EO13</f>
        <v>0</v>
      </c>
      <c r="FO13" s="160">
        <f>This_Year_KWH!EP13</f>
        <v>0</v>
      </c>
      <c r="FP13" s="160">
        <f>This_Year_KWH!ER13</f>
        <v>0</v>
      </c>
      <c r="FQ13" s="160">
        <f>This_Year_KWH!EQ13</f>
        <v>0</v>
      </c>
      <c r="FR13" s="160">
        <f>This_Year_KWH!M13</f>
        <v>0</v>
      </c>
      <c r="FS13" s="160">
        <f>This_Year_KWH!G13</f>
        <v>0</v>
      </c>
      <c r="FT13" s="160">
        <f>This_Year_KWH!C13</f>
        <v>0</v>
      </c>
      <c r="FU13" s="160">
        <f>This_Year_KWH!D13</f>
        <v>0</v>
      </c>
      <c r="FV13" s="160">
        <f>This_Year_KWH!E13</f>
        <v>0</v>
      </c>
      <c r="FW13" s="160">
        <f>This_Year_KWH!F13</f>
        <v>0</v>
      </c>
      <c r="FX13" s="160">
        <f>This_Year_KWH!Q13</f>
        <v>0</v>
      </c>
      <c r="FY13" s="160">
        <f>This_Year_KWH!R13</f>
        <v>0</v>
      </c>
      <c r="FZ13" s="160">
        <f>This_Year_KWH!S13</f>
        <v>0</v>
      </c>
      <c r="GA13" s="160">
        <f>This_Year_KWH!T13</f>
        <v>0</v>
      </c>
      <c r="GB13" s="160">
        <f t="shared" si="0"/>
        <v>0</v>
      </c>
      <c r="GC13" s="160">
        <f t="shared" si="1"/>
        <v>0</v>
      </c>
      <c r="GD13" s="160">
        <f t="shared" si="2"/>
        <v>0</v>
      </c>
      <c r="GE13" s="159" t="e">
        <f t="shared" si="3"/>
        <v>#DIV/0!</v>
      </c>
    </row>
    <row r="14" spans="2:187" s="150" customFormat="1" ht="32.25" customHeight="1" x14ac:dyDescent="0.25">
      <c r="B14" s="168" t="s">
        <v>80</v>
      </c>
      <c r="C14" s="160">
        <f>This_Year_KWH!H14</f>
        <v>0</v>
      </c>
      <c r="D14" s="160">
        <f>This_Year_KWH!I14</f>
        <v>0</v>
      </c>
      <c r="E14" s="160">
        <f>This_Year_KWH!J14</f>
        <v>0</v>
      </c>
      <c r="F14" s="160">
        <f>This_Year_KWH!K14</f>
        <v>0</v>
      </c>
      <c r="G14" s="160">
        <f>This_Year_KWH!L14</f>
        <v>0</v>
      </c>
      <c r="H14" s="160">
        <f>This_Year_KWH!U14</f>
        <v>0</v>
      </c>
      <c r="I14" s="160">
        <f>This_Year_KWH!P14</f>
        <v>0</v>
      </c>
      <c r="J14" s="160">
        <f>This_Year_KWH!N14</f>
        <v>0</v>
      </c>
      <c r="K14" s="160">
        <f>This_Year_KWH!O14</f>
        <v>0</v>
      </c>
      <c r="L14" s="160">
        <f>This_Year_KWH!B14</f>
        <v>0</v>
      </c>
      <c r="M14" s="160">
        <f>This_Year_KWH!AR14</f>
        <v>0</v>
      </c>
      <c r="N14" s="160">
        <f>This_Year_KWH!BM14</f>
        <v>0</v>
      </c>
      <c r="O14" s="160">
        <f>This_Year_KWH!CM14</f>
        <v>0</v>
      </c>
      <c r="P14" s="160">
        <f>This_Year_KWH!DI14</f>
        <v>0</v>
      </c>
      <c r="Q14" s="160">
        <f>This_Year_KWH!EF14</f>
        <v>0</v>
      </c>
      <c r="R14" s="119">
        <f>SUM('Zone wise Meter data'!O69:AF69)</f>
        <v>0</v>
      </c>
      <c r="S14" s="115">
        <f>SUM('Zone wise Meter data'!AG69:AW69)</f>
        <v>0</v>
      </c>
      <c r="T14" s="115">
        <f>SUM('Zone wise Meter data'!AX69:BA69)</f>
        <v>0</v>
      </c>
      <c r="U14" s="115">
        <f>SUM('Zone wise Meter data'!BB69:BC69)</f>
        <v>0</v>
      </c>
      <c r="V14" s="115">
        <f>SUM('Zone wise Meter data'!BD69:BL69)</f>
        <v>0</v>
      </c>
      <c r="W14" s="115">
        <f>SUM('Zone wise Meter data'!BM69:BX69)</f>
        <v>0</v>
      </c>
      <c r="X14" s="115">
        <f>SUM('Zone wise Meter data'!BY69:CE69)</f>
        <v>0</v>
      </c>
      <c r="Y14" s="115">
        <f>SUM('Zone wise Meter data'!CF69:CK69)</f>
        <v>0</v>
      </c>
      <c r="Z14" s="115">
        <f>SUM('Zone wise Meter data'!CL69:CO69)</f>
        <v>0</v>
      </c>
      <c r="AA14" s="115">
        <f>SUM('Zone wise Meter data'!CP69:DD69)</f>
        <v>0</v>
      </c>
      <c r="AB14" s="115">
        <f>SUM('Zone wise Meter data'!DE69:DN69)</f>
        <v>0</v>
      </c>
      <c r="AC14" s="115">
        <f>SUM('Zone wise Meter data'!DO69:ED69)</f>
        <v>0</v>
      </c>
      <c r="AD14" s="160">
        <f>This_Year_KWH!AW14</f>
        <v>0</v>
      </c>
      <c r="AE14" s="160">
        <f>This_Year_KWH!DS14</f>
        <v>0</v>
      </c>
      <c r="AF14" s="160">
        <f>This_Year_KWH!EL14</f>
        <v>0</v>
      </c>
      <c r="AG14" s="160">
        <f>This_Year_KWH!EK14</f>
        <v>0</v>
      </c>
      <c r="AH14" s="160">
        <f>This_Year_KWH!EN14</f>
        <v>0</v>
      </c>
      <c r="AI14" s="160">
        <f>This_Year_KWH!EO14</f>
        <v>0</v>
      </c>
      <c r="AJ14" s="160">
        <f>This_Year_KWH!EM14</f>
        <v>0</v>
      </c>
      <c r="AK14" s="160">
        <f>This_Year_KWH!ER14</f>
        <v>0</v>
      </c>
      <c r="AL14" s="160">
        <f>This_Year_KWH!EI14</f>
        <v>0</v>
      </c>
      <c r="AM14" s="160">
        <f>This_Year_KWH!EJ14+Hourly_kWh!AS14</f>
        <v>4.1184999999996919E-3</v>
      </c>
      <c r="AN14" s="160">
        <f>This_Year_KWH!CX14+Hourly_kWh!CY14+Hourly_kWh!DC14+Hourly_kWh!DD14</f>
        <v>1.0484249999999973E-2</v>
      </c>
      <c r="AO14" s="160">
        <f>SUM(Hourly_kWh!AI14:AQ14)</f>
        <v>8.2492875000007515E-2</v>
      </c>
      <c r="AP14" s="160">
        <f>SUM(Hourly_kWh!V14:AG14)</f>
        <v>4.3047500000000127E-2</v>
      </c>
      <c r="AQ14" s="160">
        <f>This_Year_KWH!DB14</f>
        <v>0</v>
      </c>
      <c r="AR14" s="160">
        <f>This_Year_KWH!CO14</f>
        <v>0</v>
      </c>
      <c r="AS14" s="160">
        <f>This_Year_KWH!BJ14</f>
        <v>0</v>
      </c>
      <c r="AT14" s="160">
        <f>This_Year_KWH!U14</f>
        <v>0</v>
      </c>
      <c r="AU14" s="160">
        <f>This_Year_KWH!V14</f>
        <v>0</v>
      </c>
      <c r="AV14" s="160">
        <f>This_Year_KWH!W14</f>
        <v>0</v>
      </c>
      <c r="AW14" s="160">
        <f>This_Year_KWH!X14</f>
        <v>0</v>
      </c>
      <c r="AX14" s="160">
        <f>This_Year_KWH!Y14</f>
        <v>0</v>
      </c>
      <c r="AY14" s="160">
        <f>This_Year_KWH!Z14</f>
        <v>0</v>
      </c>
      <c r="AZ14" s="160">
        <f>This_Year_KWH!AA14</f>
        <v>0</v>
      </c>
      <c r="BA14" s="160">
        <f>This_Year_KWH!AB14</f>
        <v>0</v>
      </c>
      <c r="BB14" s="160">
        <f>This_Year_KWH!AC14</f>
        <v>0</v>
      </c>
      <c r="BC14" s="160">
        <f>This_Year_KWH!AD14</f>
        <v>0</v>
      </c>
      <c r="BD14" s="160">
        <f>This_Year_KWH!AE14</f>
        <v>0</v>
      </c>
      <c r="BE14" s="160">
        <f>This_Year_KWH!AF14</f>
        <v>0</v>
      </c>
      <c r="BF14" s="160">
        <f>This_Year_KWH!AG14</f>
        <v>0</v>
      </c>
      <c r="BG14" s="160">
        <f>This_Year_KWH!AH14</f>
        <v>0</v>
      </c>
      <c r="BH14" s="160">
        <f>This_Year_KWH!AI14</f>
        <v>0</v>
      </c>
      <c r="BI14" s="160">
        <f>This_Year_KWH!AJ14</f>
        <v>0</v>
      </c>
      <c r="BJ14" s="160">
        <f>This_Year_KWH!AK14</f>
        <v>0</v>
      </c>
      <c r="BK14" s="160">
        <f>This_Year_KWH!AL14</f>
        <v>0</v>
      </c>
      <c r="BL14" s="160">
        <f>This_Year_KWH!AM14</f>
        <v>0</v>
      </c>
      <c r="BM14" s="160">
        <f>This_Year_KWH!AN14</f>
        <v>0</v>
      </c>
      <c r="BN14" s="160">
        <f>This_Year_KWH!AO14</f>
        <v>0</v>
      </c>
      <c r="BO14" s="160">
        <f>This_Year_KWH!AP14</f>
        <v>0</v>
      </c>
      <c r="BP14" s="160">
        <f>This_Year_KWH!AQ14</f>
        <v>0</v>
      </c>
      <c r="BQ14" s="160">
        <f>This_Year_KWH!AR14</f>
        <v>0</v>
      </c>
      <c r="BR14" s="160">
        <f>This_Year_KWH!AS14</f>
        <v>0</v>
      </c>
      <c r="BS14" s="160">
        <f>This_Year_KWH!AT14</f>
        <v>0</v>
      </c>
      <c r="BT14" s="160">
        <f>This_Year_KWH!AU14</f>
        <v>0</v>
      </c>
      <c r="BU14" s="160">
        <f>This_Year_KWH!AV14</f>
        <v>0</v>
      </c>
      <c r="BV14" s="160">
        <f>This_Year_KWH!AW14</f>
        <v>0</v>
      </c>
      <c r="BW14" s="160">
        <f>This_Year_KWH!AX14</f>
        <v>0</v>
      </c>
      <c r="BX14" s="160">
        <f>This_Year_KWH!AY14</f>
        <v>0</v>
      </c>
      <c r="BY14" s="160">
        <f>This_Year_KWH!AZ14</f>
        <v>0</v>
      </c>
      <c r="BZ14" s="160">
        <f>This_Year_KWH!BA14</f>
        <v>0</v>
      </c>
      <c r="CA14" s="160">
        <f>This_Year_KWH!BB14</f>
        <v>0</v>
      </c>
      <c r="CB14" s="160">
        <f>This_Year_KWH!BC14</f>
        <v>0</v>
      </c>
      <c r="CC14" s="160">
        <f>This_Year_KWH!BD14</f>
        <v>0</v>
      </c>
      <c r="CD14" s="160">
        <f>This_Year_KWH!BE14</f>
        <v>0</v>
      </c>
      <c r="CE14" s="160">
        <f>This_Year_KWH!BF14</f>
        <v>0</v>
      </c>
      <c r="CF14" s="160">
        <f>This_Year_KWH!BG14</f>
        <v>0</v>
      </c>
      <c r="CG14" s="160">
        <f>This_Year_KWH!BH14</f>
        <v>0</v>
      </c>
      <c r="CH14" s="160">
        <f>This_Year_KWH!BI14</f>
        <v>0</v>
      </c>
      <c r="CI14" s="160">
        <f>This_Year_KWH!BJ14</f>
        <v>0</v>
      </c>
      <c r="CJ14" s="160">
        <f>This_Year_KWH!BK14</f>
        <v>0</v>
      </c>
      <c r="CK14" s="160">
        <f>This_Year_KWH!BL14</f>
        <v>0</v>
      </c>
      <c r="CL14" s="160">
        <f>This_Year_KWH!BM14</f>
        <v>0</v>
      </c>
      <c r="CM14" s="160">
        <f>This_Year_KWH!BN14</f>
        <v>0</v>
      </c>
      <c r="CN14" s="160">
        <f>This_Year_KWH!BO14</f>
        <v>0</v>
      </c>
      <c r="CO14" s="160">
        <f>This_Year_KWH!BP14</f>
        <v>0</v>
      </c>
      <c r="CP14" s="160">
        <f>This_Year_KWH!BQ14</f>
        <v>0</v>
      </c>
      <c r="CQ14" s="160">
        <f>This_Year_KWH!BR14</f>
        <v>0</v>
      </c>
      <c r="CR14" s="160">
        <f>This_Year_KWH!BS14</f>
        <v>0</v>
      </c>
      <c r="CS14" s="160">
        <f>This_Year_KWH!BT14</f>
        <v>0</v>
      </c>
      <c r="CT14" s="160">
        <f>This_Year_KWH!BU14</f>
        <v>0</v>
      </c>
      <c r="CU14" s="160">
        <f>This_Year_KWH!BV14</f>
        <v>0</v>
      </c>
      <c r="CV14" s="160">
        <f>This_Year_KWH!BW14</f>
        <v>0</v>
      </c>
      <c r="CW14" s="160">
        <f>This_Year_KWH!BX14</f>
        <v>0</v>
      </c>
      <c r="CX14" s="160">
        <f>This_Year_KWH!BY14</f>
        <v>0</v>
      </c>
      <c r="CY14" s="160">
        <f>This_Year_KWH!BZ14</f>
        <v>0</v>
      </c>
      <c r="CZ14" s="160">
        <f>This_Year_KWH!CA14</f>
        <v>0</v>
      </c>
      <c r="DA14" s="160">
        <f>This_Year_KWH!CB14</f>
        <v>0</v>
      </c>
      <c r="DB14" s="160">
        <f>This_Year_KWH!CC14</f>
        <v>0</v>
      </c>
      <c r="DC14" s="160">
        <f>This_Year_KWH!CD14</f>
        <v>0</v>
      </c>
      <c r="DD14" s="160">
        <f>This_Year_KWH!CE14</f>
        <v>0</v>
      </c>
      <c r="DE14" s="160">
        <f>This_Year_KWH!CF14</f>
        <v>0</v>
      </c>
      <c r="DF14" s="160">
        <f>This_Year_KWH!CG14</f>
        <v>0</v>
      </c>
      <c r="DG14" s="160">
        <f>This_Year_KWH!CH14</f>
        <v>0</v>
      </c>
      <c r="DH14" s="160">
        <f>This_Year_KWH!CI14</f>
        <v>0</v>
      </c>
      <c r="DI14" s="160">
        <f>This_Year_KWH!CJ14</f>
        <v>0</v>
      </c>
      <c r="DJ14" s="160">
        <f>This_Year_KWH!CK14</f>
        <v>0</v>
      </c>
      <c r="DK14" s="160">
        <f>This_Year_KWH!CL14</f>
        <v>0</v>
      </c>
      <c r="DL14" s="160">
        <f>This_Year_KWH!CM14</f>
        <v>0</v>
      </c>
      <c r="DM14" s="160">
        <f>This_Year_KWH!CN14</f>
        <v>0</v>
      </c>
      <c r="DN14" s="160">
        <f>This_Year_KWH!CO14</f>
        <v>0</v>
      </c>
      <c r="DO14" s="160">
        <f>This_Year_KWH!CP14</f>
        <v>0</v>
      </c>
      <c r="DP14" s="160">
        <f>This_Year_KWH!CQ14</f>
        <v>0</v>
      </c>
      <c r="DQ14" s="160">
        <f>This_Year_KWH!CR14</f>
        <v>0</v>
      </c>
      <c r="DR14" s="160">
        <f>This_Year_KWH!CS14</f>
        <v>0</v>
      </c>
      <c r="DS14" s="160">
        <f>This_Year_KWH!CT14</f>
        <v>0</v>
      </c>
      <c r="DT14" s="160">
        <f>This_Year_KWH!CU14</f>
        <v>0</v>
      </c>
      <c r="DU14" s="160">
        <f>This_Year_KWH!CV14</f>
        <v>0</v>
      </c>
      <c r="DV14" s="160">
        <f>This_Year_KWH!CW14</f>
        <v>0</v>
      </c>
      <c r="DW14" s="160">
        <f>This_Year_KWH!CX14</f>
        <v>0</v>
      </c>
      <c r="DX14" s="160">
        <f>This_Year_KWH!CY14</f>
        <v>0</v>
      </c>
      <c r="DY14" s="160">
        <f>This_Year_KWH!CZ14</f>
        <v>0</v>
      </c>
      <c r="DZ14" s="160">
        <f>This_Year_KWH!DA14</f>
        <v>0</v>
      </c>
      <c r="EA14" s="160">
        <f>This_Year_KWH!DB14</f>
        <v>0</v>
      </c>
      <c r="EB14" s="160">
        <f>This_Year_KWH!DC14</f>
        <v>0</v>
      </c>
      <c r="EC14" s="160">
        <f>This_Year_KWH!DD14</f>
        <v>0</v>
      </c>
      <c r="ED14" s="160">
        <f>This_Year_KWH!DE14</f>
        <v>0</v>
      </c>
      <c r="EE14" s="160">
        <f>This_Year_KWH!DF14</f>
        <v>0</v>
      </c>
      <c r="EF14" s="160">
        <f>This_Year_KWH!DG14</f>
        <v>0</v>
      </c>
      <c r="EG14" s="160">
        <f>This_Year_KWH!DH14</f>
        <v>0</v>
      </c>
      <c r="EH14" s="160">
        <f>This_Year_KWH!DI14</f>
        <v>0</v>
      </c>
      <c r="EI14" s="160">
        <f>This_Year_KWH!DJ14</f>
        <v>0</v>
      </c>
      <c r="EJ14" s="160">
        <f>This_Year_KWH!DK14</f>
        <v>0</v>
      </c>
      <c r="EK14" s="160">
        <f>This_Year_KWH!DL14</f>
        <v>0</v>
      </c>
      <c r="EL14" s="160">
        <f>This_Year_KWH!DM14</f>
        <v>0</v>
      </c>
      <c r="EM14" s="160">
        <f>This_Year_KWH!DN14</f>
        <v>0</v>
      </c>
      <c r="EN14" s="160">
        <f>This_Year_KWH!DO14</f>
        <v>0</v>
      </c>
      <c r="EO14" s="160">
        <f>This_Year_KWH!DP14</f>
        <v>0</v>
      </c>
      <c r="EP14" s="160">
        <f>This_Year_KWH!DQ14</f>
        <v>0</v>
      </c>
      <c r="EQ14" s="160">
        <f>This_Year_KWH!DR14</f>
        <v>0</v>
      </c>
      <c r="ER14" s="160">
        <f>This_Year_KWH!DS14</f>
        <v>0</v>
      </c>
      <c r="ES14" s="160">
        <f>This_Year_KWH!DT14</f>
        <v>0</v>
      </c>
      <c r="ET14" s="160">
        <f>This_Year_KWH!DU14</f>
        <v>0</v>
      </c>
      <c r="EU14" s="160">
        <f>This_Year_KWH!DV14</f>
        <v>0</v>
      </c>
      <c r="EV14" s="160">
        <f>This_Year_KWH!DW14</f>
        <v>0</v>
      </c>
      <c r="EW14" s="160">
        <f>This_Year_KWH!DX14</f>
        <v>0</v>
      </c>
      <c r="EX14" s="160">
        <f>This_Year_KWH!DY14</f>
        <v>0</v>
      </c>
      <c r="EY14" s="160">
        <f>This_Year_KWH!DZ14</f>
        <v>0</v>
      </c>
      <c r="EZ14" s="160">
        <f>This_Year_KWH!EA14</f>
        <v>0</v>
      </c>
      <c r="FA14" s="160">
        <f>This_Year_KWH!EB14</f>
        <v>0</v>
      </c>
      <c r="FB14" s="160">
        <f>This_Year_KWH!EC14</f>
        <v>0</v>
      </c>
      <c r="FC14" s="160">
        <f>This_Year_KWH!ED14</f>
        <v>0</v>
      </c>
      <c r="FD14" s="160">
        <f>This_Year_KWH!EE14</f>
        <v>0</v>
      </c>
      <c r="FE14" s="160">
        <f>This_Year_KWH!EF14</f>
        <v>0</v>
      </c>
      <c r="FF14" s="160">
        <f>This_Year_KWH!EG14</f>
        <v>0</v>
      </c>
      <c r="FG14" s="160">
        <f>This_Year_KWH!EH14</f>
        <v>0</v>
      </c>
      <c r="FH14" s="160">
        <f>This_Year_KWH!EI14</f>
        <v>0</v>
      </c>
      <c r="FI14" s="160">
        <f>This_Year_KWH!EJ14</f>
        <v>0</v>
      </c>
      <c r="FJ14" s="160">
        <f>This_Year_KWH!EK14</f>
        <v>0</v>
      </c>
      <c r="FK14" s="160">
        <f>This_Year_KWH!EL14</f>
        <v>0</v>
      </c>
      <c r="FL14" s="160">
        <f>This_Year_KWH!EM14</f>
        <v>0</v>
      </c>
      <c r="FM14" s="160">
        <f>This_Year_KWH!EN14</f>
        <v>0</v>
      </c>
      <c r="FN14" s="160">
        <f>This_Year_KWH!EO14</f>
        <v>0</v>
      </c>
      <c r="FO14" s="160">
        <f>This_Year_KWH!EP14</f>
        <v>0</v>
      </c>
      <c r="FP14" s="160">
        <f>This_Year_KWH!ER14</f>
        <v>0</v>
      </c>
      <c r="FQ14" s="160">
        <f>This_Year_KWH!EQ14</f>
        <v>0</v>
      </c>
      <c r="FR14" s="160">
        <f>This_Year_KWH!M14</f>
        <v>0</v>
      </c>
      <c r="FS14" s="160">
        <f>This_Year_KWH!G14</f>
        <v>0</v>
      </c>
      <c r="FT14" s="160">
        <f>This_Year_KWH!C14</f>
        <v>0</v>
      </c>
      <c r="FU14" s="160">
        <f>This_Year_KWH!D14</f>
        <v>0</v>
      </c>
      <c r="FV14" s="160">
        <f>This_Year_KWH!E14</f>
        <v>0</v>
      </c>
      <c r="FW14" s="160">
        <f>This_Year_KWH!F14</f>
        <v>0</v>
      </c>
      <c r="FX14" s="160">
        <f>This_Year_KWH!Q14</f>
        <v>0</v>
      </c>
      <c r="FY14" s="160">
        <f>This_Year_KWH!R14</f>
        <v>0</v>
      </c>
      <c r="FZ14" s="160">
        <f>This_Year_KWH!S14</f>
        <v>0</v>
      </c>
      <c r="GA14" s="160">
        <f>This_Year_KWH!T14</f>
        <v>0</v>
      </c>
      <c r="GB14" s="160">
        <f t="shared" si="0"/>
        <v>0</v>
      </c>
      <c r="GC14" s="160">
        <f t="shared" si="1"/>
        <v>0</v>
      </c>
      <c r="GD14" s="160">
        <f t="shared" si="2"/>
        <v>0</v>
      </c>
      <c r="GE14" s="159" t="e">
        <f t="shared" si="3"/>
        <v>#DIV/0!</v>
      </c>
    </row>
    <row r="15" spans="2:187" s="150" customFormat="1" ht="32.25" customHeight="1" x14ac:dyDescent="0.25">
      <c r="B15" s="168" t="s">
        <v>81</v>
      </c>
      <c r="C15" s="160">
        <f>This_Year_KWH!H15</f>
        <v>0</v>
      </c>
      <c r="D15" s="160">
        <f>This_Year_KWH!I15</f>
        <v>0</v>
      </c>
      <c r="E15" s="160">
        <f>This_Year_KWH!J15</f>
        <v>0</v>
      </c>
      <c r="F15" s="160">
        <f>This_Year_KWH!K15</f>
        <v>0</v>
      </c>
      <c r="G15" s="160">
        <f>This_Year_KWH!L15</f>
        <v>0</v>
      </c>
      <c r="H15" s="160">
        <f>This_Year_KWH!U15</f>
        <v>0</v>
      </c>
      <c r="I15" s="160">
        <f>This_Year_KWH!P15</f>
        <v>0</v>
      </c>
      <c r="J15" s="160">
        <f>This_Year_KWH!N15</f>
        <v>0</v>
      </c>
      <c r="K15" s="160">
        <f>This_Year_KWH!O15</f>
        <v>0</v>
      </c>
      <c r="L15" s="160">
        <f>This_Year_KWH!B15</f>
        <v>0</v>
      </c>
      <c r="M15" s="160">
        <f>This_Year_KWH!AR15</f>
        <v>0</v>
      </c>
      <c r="N15" s="160">
        <f>This_Year_KWH!BM15</f>
        <v>0</v>
      </c>
      <c r="O15" s="160">
        <f>This_Year_KWH!CM15</f>
        <v>0</v>
      </c>
      <c r="P15" s="160">
        <f>This_Year_KWH!DI15</f>
        <v>0</v>
      </c>
      <c r="Q15" s="160">
        <f>This_Year_KWH!EF15</f>
        <v>0</v>
      </c>
      <c r="R15" s="119">
        <f>SUM('Zone wise Meter data'!O70:AF70)</f>
        <v>0</v>
      </c>
      <c r="S15" s="115">
        <f>SUM('Zone wise Meter data'!AG70:AW70)</f>
        <v>0</v>
      </c>
      <c r="T15" s="115">
        <f>SUM('Zone wise Meter data'!AX70:BA70)</f>
        <v>0</v>
      </c>
      <c r="U15" s="115">
        <f>SUM('Zone wise Meter data'!BB70:BC70)</f>
        <v>0</v>
      </c>
      <c r="V15" s="115">
        <f>SUM('Zone wise Meter data'!BD70:BL70)</f>
        <v>0</v>
      </c>
      <c r="W15" s="115">
        <f>SUM('Zone wise Meter data'!BM70:BX70)</f>
        <v>0</v>
      </c>
      <c r="X15" s="115">
        <f>SUM('Zone wise Meter data'!BY70:CE70)</f>
        <v>0</v>
      </c>
      <c r="Y15" s="115">
        <f>SUM('Zone wise Meter data'!CF70:CK70)</f>
        <v>0</v>
      </c>
      <c r="Z15" s="115">
        <f>SUM('Zone wise Meter data'!CL70:CO70)</f>
        <v>0</v>
      </c>
      <c r="AA15" s="115">
        <f>SUM('Zone wise Meter data'!CP70:DD70)</f>
        <v>0</v>
      </c>
      <c r="AB15" s="115">
        <f>SUM('Zone wise Meter data'!DE70:DN70)</f>
        <v>0</v>
      </c>
      <c r="AC15" s="115">
        <f>SUM('Zone wise Meter data'!DO70:ED70)</f>
        <v>0</v>
      </c>
      <c r="AD15" s="160">
        <f>This_Year_KWH!AW15</f>
        <v>0</v>
      </c>
      <c r="AE15" s="160">
        <f>This_Year_KWH!DS15</f>
        <v>0</v>
      </c>
      <c r="AF15" s="160">
        <f>This_Year_KWH!EL15</f>
        <v>0</v>
      </c>
      <c r="AG15" s="160">
        <f>This_Year_KWH!EK15</f>
        <v>0</v>
      </c>
      <c r="AH15" s="160">
        <f>This_Year_KWH!EN15</f>
        <v>0</v>
      </c>
      <c r="AI15" s="160">
        <f>This_Year_KWH!EO15</f>
        <v>0</v>
      </c>
      <c r="AJ15" s="160">
        <f>This_Year_KWH!EM15</f>
        <v>0</v>
      </c>
      <c r="AK15" s="160">
        <f>This_Year_KWH!ER15</f>
        <v>0</v>
      </c>
      <c r="AL15" s="160">
        <f>This_Year_KWH!EI15</f>
        <v>0</v>
      </c>
      <c r="AM15" s="160">
        <f>This_Year_KWH!EJ15+Hourly_kWh!AS15</f>
        <v>3.8955000000004958E-3</v>
      </c>
      <c r="AN15" s="160">
        <f>This_Year_KWH!CX15+Hourly_kWh!CY15+Hourly_kWh!DC15+Hourly_kWh!DD15</f>
        <v>1.0692000000000146E-2</v>
      </c>
      <c r="AO15" s="160">
        <f>SUM(Hourly_kWh!AI15:AQ15)</f>
        <v>8.1332406250002931E-2</v>
      </c>
      <c r="AP15" s="160">
        <f>SUM(Hourly_kWh!V15:AG15)</f>
        <v>3.8053999999998922E-2</v>
      </c>
      <c r="AQ15" s="160">
        <f>This_Year_KWH!DB15</f>
        <v>0</v>
      </c>
      <c r="AR15" s="160">
        <f>This_Year_KWH!CO15</f>
        <v>0</v>
      </c>
      <c r="AS15" s="160">
        <f>This_Year_KWH!BJ15</f>
        <v>0</v>
      </c>
      <c r="AT15" s="160">
        <f>This_Year_KWH!U15</f>
        <v>0</v>
      </c>
      <c r="AU15" s="160">
        <f>This_Year_KWH!V15</f>
        <v>0</v>
      </c>
      <c r="AV15" s="160">
        <f>This_Year_KWH!W15</f>
        <v>0</v>
      </c>
      <c r="AW15" s="160">
        <f>This_Year_KWH!X15</f>
        <v>0</v>
      </c>
      <c r="AX15" s="160">
        <f>This_Year_KWH!Y15</f>
        <v>0</v>
      </c>
      <c r="AY15" s="160">
        <f>This_Year_KWH!Z15</f>
        <v>0</v>
      </c>
      <c r="AZ15" s="160">
        <f>This_Year_KWH!AA15</f>
        <v>0</v>
      </c>
      <c r="BA15" s="160">
        <f>This_Year_KWH!AB15</f>
        <v>0</v>
      </c>
      <c r="BB15" s="160">
        <f>This_Year_KWH!AC15</f>
        <v>0</v>
      </c>
      <c r="BC15" s="160">
        <f>This_Year_KWH!AD15</f>
        <v>0</v>
      </c>
      <c r="BD15" s="160">
        <f>This_Year_KWH!AE15</f>
        <v>0</v>
      </c>
      <c r="BE15" s="160">
        <f>This_Year_KWH!AF15</f>
        <v>0</v>
      </c>
      <c r="BF15" s="160">
        <f>This_Year_KWH!AG15</f>
        <v>0</v>
      </c>
      <c r="BG15" s="160">
        <f>This_Year_KWH!AH15</f>
        <v>0</v>
      </c>
      <c r="BH15" s="160">
        <f>This_Year_KWH!AI15</f>
        <v>0</v>
      </c>
      <c r="BI15" s="160">
        <f>This_Year_KWH!AJ15</f>
        <v>0</v>
      </c>
      <c r="BJ15" s="160">
        <f>This_Year_KWH!AK15</f>
        <v>0</v>
      </c>
      <c r="BK15" s="160">
        <f>This_Year_KWH!AL15</f>
        <v>0</v>
      </c>
      <c r="BL15" s="160">
        <f>This_Year_KWH!AM15</f>
        <v>0</v>
      </c>
      <c r="BM15" s="160">
        <f>This_Year_KWH!AN15</f>
        <v>0</v>
      </c>
      <c r="BN15" s="160">
        <f>This_Year_KWH!AO15</f>
        <v>0</v>
      </c>
      <c r="BO15" s="160">
        <f>This_Year_KWH!AP15</f>
        <v>0</v>
      </c>
      <c r="BP15" s="160">
        <f>This_Year_KWH!AQ15</f>
        <v>0</v>
      </c>
      <c r="BQ15" s="160">
        <f>This_Year_KWH!AR15</f>
        <v>0</v>
      </c>
      <c r="BR15" s="160">
        <f>This_Year_KWH!AS15</f>
        <v>0</v>
      </c>
      <c r="BS15" s="160">
        <f>This_Year_KWH!AT15</f>
        <v>0</v>
      </c>
      <c r="BT15" s="160">
        <f>This_Year_KWH!AU15</f>
        <v>0</v>
      </c>
      <c r="BU15" s="160">
        <f>This_Year_KWH!AV15</f>
        <v>0</v>
      </c>
      <c r="BV15" s="160">
        <f>This_Year_KWH!AW15</f>
        <v>0</v>
      </c>
      <c r="BW15" s="160">
        <f>This_Year_KWH!AX15</f>
        <v>0</v>
      </c>
      <c r="BX15" s="160">
        <f>This_Year_KWH!AY15</f>
        <v>0</v>
      </c>
      <c r="BY15" s="160">
        <f>This_Year_KWH!AZ15</f>
        <v>0</v>
      </c>
      <c r="BZ15" s="160">
        <f>This_Year_KWH!BA15</f>
        <v>0</v>
      </c>
      <c r="CA15" s="160">
        <f>This_Year_KWH!BB15</f>
        <v>0</v>
      </c>
      <c r="CB15" s="160">
        <f>This_Year_KWH!BC15</f>
        <v>0</v>
      </c>
      <c r="CC15" s="160">
        <f>This_Year_KWH!BD15</f>
        <v>0</v>
      </c>
      <c r="CD15" s="160">
        <f>This_Year_KWH!BE15</f>
        <v>0</v>
      </c>
      <c r="CE15" s="160">
        <f>This_Year_KWH!BF15</f>
        <v>0</v>
      </c>
      <c r="CF15" s="160">
        <f>This_Year_KWH!BG15</f>
        <v>0</v>
      </c>
      <c r="CG15" s="160">
        <f>This_Year_KWH!BH15</f>
        <v>0</v>
      </c>
      <c r="CH15" s="160">
        <f>This_Year_KWH!BI15</f>
        <v>0</v>
      </c>
      <c r="CI15" s="160">
        <f>This_Year_KWH!BJ15</f>
        <v>0</v>
      </c>
      <c r="CJ15" s="160">
        <f>This_Year_KWH!BK15</f>
        <v>0</v>
      </c>
      <c r="CK15" s="160">
        <f>This_Year_KWH!BL15</f>
        <v>0</v>
      </c>
      <c r="CL15" s="160">
        <f>This_Year_KWH!BM15</f>
        <v>0</v>
      </c>
      <c r="CM15" s="160">
        <f>This_Year_KWH!BN15</f>
        <v>0</v>
      </c>
      <c r="CN15" s="160">
        <f>This_Year_KWH!BO15</f>
        <v>0</v>
      </c>
      <c r="CO15" s="160">
        <f>This_Year_KWH!BP15</f>
        <v>0</v>
      </c>
      <c r="CP15" s="160">
        <f>This_Year_KWH!BQ15</f>
        <v>0</v>
      </c>
      <c r="CQ15" s="160">
        <f>This_Year_KWH!BR15</f>
        <v>0</v>
      </c>
      <c r="CR15" s="160">
        <f>This_Year_KWH!BS15</f>
        <v>0</v>
      </c>
      <c r="CS15" s="160">
        <f>This_Year_KWH!BT15</f>
        <v>0</v>
      </c>
      <c r="CT15" s="160">
        <f>This_Year_KWH!BU15</f>
        <v>0</v>
      </c>
      <c r="CU15" s="160">
        <f>This_Year_KWH!BV15</f>
        <v>0</v>
      </c>
      <c r="CV15" s="160">
        <f>This_Year_KWH!BW15</f>
        <v>0</v>
      </c>
      <c r="CW15" s="160">
        <f>This_Year_KWH!BX15</f>
        <v>0</v>
      </c>
      <c r="CX15" s="160">
        <f>This_Year_KWH!BY15</f>
        <v>0</v>
      </c>
      <c r="CY15" s="160">
        <f>This_Year_KWH!BZ15</f>
        <v>0</v>
      </c>
      <c r="CZ15" s="160">
        <f>This_Year_KWH!CA15</f>
        <v>0</v>
      </c>
      <c r="DA15" s="160">
        <f>This_Year_KWH!CB15</f>
        <v>0</v>
      </c>
      <c r="DB15" s="160">
        <f>This_Year_KWH!CC15</f>
        <v>0</v>
      </c>
      <c r="DC15" s="160">
        <f>This_Year_KWH!CD15</f>
        <v>0</v>
      </c>
      <c r="DD15" s="160">
        <f>This_Year_KWH!CE15</f>
        <v>0</v>
      </c>
      <c r="DE15" s="160">
        <f>This_Year_KWH!CF15</f>
        <v>0</v>
      </c>
      <c r="DF15" s="160">
        <f>This_Year_KWH!CG15</f>
        <v>0</v>
      </c>
      <c r="DG15" s="160">
        <f>This_Year_KWH!CH15</f>
        <v>0</v>
      </c>
      <c r="DH15" s="160">
        <f>This_Year_KWH!CI15</f>
        <v>0</v>
      </c>
      <c r="DI15" s="160">
        <f>This_Year_KWH!CJ15</f>
        <v>0</v>
      </c>
      <c r="DJ15" s="160">
        <f>This_Year_KWH!CK15</f>
        <v>0</v>
      </c>
      <c r="DK15" s="160">
        <f>This_Year_KWH!CL15</f>
        <v>0</v>
      </c>
      <c r="DL15" s="160">
        <f>This_Year_KWH!CM15</f>
        <v>0</v>
      </c>
      <c r="DM15" s="160">
        <f>This_Year_KWH!CN15</f>
        <v>0</v>
      </c>
      <c r="DN15" s="160">
        <f>This_Year_KWH!CO15</f>
        <v>0</v>
      </c>
      <c r="DO15" s="160">
        <f>This_Year_KWH!CP15</f>
        <v>0</v>
      </c>
      <c r="DP15" s="160">
        <f>This_Year_KWH!CQ15</f>
        <v>0</v>
      </c>
      <c r="DQ15" s="160">
        <f>This_Year_KWH!CR15</f>
        <v>0</v>
      </c>
      <c r="DR15" s="160">
        <f>This_Year_KWH!CS15</f>
        <v>0</v>
      </c>
      <c r="DS15" s="160">
        <f>This_Year_KWH!CT15</f>
        <v>0</v>
      </c>
      <c r="DT15" s="160">
        <f>This_Year_KWH!CU15</f>
        <v>0</v>
      </c>
      <c r="DU15" s="160">
        <f>This_Year_KWH!CV15</f>
        <v>0</v>
      </c>
      <c r="DV15" s="160">
        <f>This_Year_KWH!CW15</f>
        <v>0</v>
      </c>
      <c r="DW15" s="160">
        <f>This_Year_KWH!CX15</f>
        <v>0</v>
      </c>
      <c r="DX15" s="160">
        <f>This_Year_KWH!CY15</f>
        <v>0</v>
      </c>
      <c r="DY15" s="160">
        <f>This_Year_KWH!CZ15</f>
        <v>0</v>
      </c>
      <c r="DZ15" s="160">
        <f>This_Year_KWH!DA15</f>
        <v>0</v>
      </c>
      <c r="EA15" s="160">
        <f>This_Year_KWH!DB15</f>
        <v>0</v>
      </c>
      <c r="EB15" s="160">
        <f>This_Year_KWH!DC15</f>
        <v>0</v>
      </c>
      <c r="EC15" s="160">
        <f>This_Year_KWH!DD15</f>
        <v>0</v>
      </c>
      <c r="ED15" s="160">
        <f>This_Year_KWH!DE15</f>
        <v>0</v>
      </c>
      <c r="EE15" s="160">
        <f>This_Year_KWH!DF15</f>
        <v>0</v>
      </c>
      <c r="EF15" s="160">
        <f>This_Year_KWH!DG15</f>
        <v>0</v>
      </c>
      <c r="EG15" s="160">
        <f>This_Year_KWH!DH15</f>
        <v>0</v>
      </c>
      <c r="EH15" s="160">
        <f>This_Year_KWH!DI15</f>
        <v>0</v>
      </c>
      <c r="EI15" s="160">
        <f>This_Year_KWH!DJ15</f>
        <v>0</v>
      </c>
      <c r="EJ15" s="160">
        <f>This_Year_KWH!DK15</f>
        <v>0</v>
      </c>
      <c r="EK15" s="160">
        <f>This_Year_KWH!DL15</f>
        <v>0</v>
      </c>
      <c r="EL15" s="160">
        <f>This_Year_KWH!DM15</f>
        <v>0</v>
      </c>
      <c r="EM15" s="160">
        <f>This_Year_KWH!DN15</f>
        <v>0</v>
      </c>
      <c r="EN15" s="160">
        <f>This_Year_KWH!DO15</f>
        <v>0</v>
      </c>
      <c r="EO15" s="160">
        <f>This_Year_KWH!DP15</f>
        <v>0</v>
      </c>
      <c r="EP15" s="160">
        <f>This_Year_KWH!DQ15</f>
        <v>0</v>
      </c>
      <c r="EQ15" s="160">
        <f>This_Year_KWH!DR15</f>
        <v>0</v>
      </c>
      <c r="ER15" s="160">
        <f>This_Year_KWH!DS15</f>
        <v>0</v>
      </c>
      <c r="ES15" s="160">
        <f>This_Year_KWH!DT15</f>
        <v>0</v>
      </c>
      <c r="ET15" s="160">
        <f>This_Year_KWH!DU15</f>
        <v>0</v>
      </c>
      <c r="EU15" s="160">
        <f>This_Year_KWH!DV15</f>
        <v>0</v>
      </c>
      <c r="EV15" s="160">
        <f>This_Year_KWH!DW15</f>
        <v>0</v>
      </c>
      <c r="EW15" s="160">
        <f>This_Year_KWH!DX15</f>
        <v>0</v>
      </c>
      <c r="EX15" s="160">
        <f>This_Year_KWH!DY15</f>
        <v>0</v>
      </c>
      <c r="EY15" s="160">
        <f>This_Year_KWH!DZ15</f>
        <v>0</v>
      </c>
      <c r="EZ15" s="160">
        <f>This_Year_KWH!EA15</f>
        <v>0</v>
      </c>
      <c r="FA15" s="160">
        <f>This_Year_KWH!EB15</f>
        <v>0</v>
      </c>
      <c r="FB15" s="160">
        <f>This_Year_KWH!EC15</f>
        <v>0</v>
      </c>
      <c r="FC15" s="160">
        <f>This_Year_KWH!ED15</f>
        <v>0</v>
      </c>
      <c r="FD15" s="160">
        <f>This_Year_KWH!EE15</f>
        <v>0</v>
      </c>
      <c r="FE15" s="160">
        <f>This_Year_KWH!EF15</f>
        <v>0</v>
      </c>
      <c r="FF15" s="160">
        <f>This_Year_KWH!EG15</f>
        <v>0</v>
      </c>
      <c r="FG15" s="160">
        <f>This_Year_KWH!EH15</f>
        <v>0</v>
      </c>
      <c r="FH15" s="160">
        <f>This_Year_KWH!EI15</f>
        <v>0</v>
      </c>
      <c r="FI15" s="160">
        <f>This_Year_KWH!EJ15</f>
        <v>0</v>
      </c>
      <c r="FJ15" s="160">
        <f>This_Year_KWH!EK15</f>
        <v>0</v>
      </c>
      <c r="FK15" s="160">
        <f>This_Year_KWH!EL15</f>
        <v>0</v>
      </c>
      <c r="FL15" s="160">
        <f>This_Year_KWH!EM15</f>
        <v>0</v>
      </c>
      <c r="FM15" s="160">
        <f>This_Year_KWH!EN15</f>
        <v>0</v>
      </c>
      <c r="FN15" s="160">
        <f>This_Year_KWH!EO15</f>
        <v>0</v>
      </c>
      <c r="FO15" s="160">
        <f>This_Year_KWH!EP15</f>
        <v>0</v>
      </c>
      <c r="FP15" s="160">
        <f>This_Year_KWH!ER15</f>
        <v>0</v>
      </c>
      <c r="FQ15" s="160">
        <f>This_Year_KWH!EQ15</f>
        <v>0</v>
      </c>
      <c r="FR15" s="160">
        <f>This_Year_KWH!M15</f>
        <v>0</v>
      </c>
      <c r="FS15" s="160">
        <f>This_Year_KWH!G15</f>
        <v>0</v>
      </c>
      <c r="FT15" s="160">
        <f>This_Year_KWH!C15</f>
        <v>0</v>
      </c>
      <c r="FU15" s="160">
        <f>This_Year_KWH!D15</f>
        <v>0</v>
      </c>
      <c r="FV15" s="160">
        <f>This_Year_KWH!E15</f>
        <v>0</v>
      </c>
      <c r="FW15" s="160">
        <f>This_Year_KWH!F15</f>
        <v>0</v>
      </c>
      <c r="FX15" s="160">
        <f>This_Year_KWH!Q15</f>
        <v>0</v>
      </c>
      <c r="FY15" s="160">
        <f>This_Year_KWH!R15</f>
        <v>0</v>
      </c>
      <c r="FZ15" s="160">
        <f>This_Year_KWH!S15</f>
        <v>0</v>
      </c>
      <c r="GA15" s="160">
        <f>This_Year_KWH!T15</f>
        <v>0</v>
      </c>
      <c r="GB15" s="160">
        <f t="shared" si="0"/>
        <v>0</v>
      </c>
      <c r="GC15" s="160">
        <f t="shared" si="1"/>
        <v>0</v>
      </c>
      <c r="GD15" s="160">
        <f t="shared" si="2"/>
        <v>0</v>
      </c>
      <c r="GE15" s="159" t="e">
        <f t="shared" si="3"/>
        <v>#DIV/0!</v>
      </c>
    </row>
    <row r="16" spans="2:187" s="150" customFormat="1" ht="32.25" customHeight="1" x14ac:dyDescent="0.25">
      <c r="B16" s="168" t="s">
        <v>82</v>
      </c>
      <c r="C16" s="160">
        <f>This_Year_KWH!H16</f>
        <v>0</v>
      </c>
      <c r="D16" s="160">
        <f>This_Year_KWH!I16</f>
        <v>0</v>
      </c>
      <c r="E16" s="160">
        <f>This_Year_KWH!J16</f>
        <v>0</v>
      </c>
      <c r="F16" s="160">
        <f>This_Year_KWH!K16</f>
        <v>0</v>
      </c>
      <c r="G16" s="160">
        <f>This_Year_KWH!L16</f>
        <v>0</v>
      </c>
      <c r="H16" s="160">
        <f>This_Year_KWH!U16</f>
        <v>0</v>
      </c>
      <c r="I16" s="160">
        <f>This_Year_KWH!P16</f>
        <v>0</v>
      </c>
      <c r="J16" s="160">
        <f>This_Year_KWH!N16</f>
        <v>0</v>
      </c>
      <c r="K16" s="160">
        <f>This_Year_KWH!O16</f>
        <v>0</v>
      </c>
      <c r="L16" s="160">
        <f>This_Year_KWH!B16</f>
        <v>0</v>
      </c>
      <c r="M16" s="160">
        <f>This_Year_KWH!AR16</f>
        <v>0</v>
      </c>
      <c r="N16" s="160">
        <f>This_Year_KWH!BM16</f>
        <v>0</v>
      </c>
      <c r="O16" s="160">
        <f>This_Year_KWH!CM16</f>
        <v>0</v>
      </c>
      <c r="P16" s="160">
        <f>This_Year_KWH!DI16</f>
        <v>0</v>
      </c>
      <c r="Q16" s="160">
        <f>This_Year_KWH!EF16</f>
        <v>0</v>
      </c>
      <c r="R16" s="119">
        <f>SUM('Zone wise Meter data'!O71:AF71)</f>
        <v>0</v>
      </c>
      <c r="S16" s="115">
        <f>SUM('Zone wise Meter data'!AG71:AW71)</f>
        <v>0</v>
      </c>
      <c r="T16" s="115">
        <f>SUM('Zone wise Meter data'!AX71:BA71)</f>
        <v>0</v>
      </c>
      <c r="U16" s="115">
        <f>SUM('Zone wise Meter data'!BB71:BC71)</f>
        <v>0</v>
      </c>
      <c r="V16" s="115">
        <f>SUM('Zone wise Meter data'!BD71:BL71)</f>
        <v>0</v>
      </c>
      <c r="W16" s="115">
        <f>SUM('Zone wise Meter data'!BM71:BX71)</f>
        <v>0</v>
      </c>
      <c r="X16" s="115">
        <f>SUM('Zone wise Meter data'!BY71:CE71)</f>
        <v>0</v>
      </c>
      <c r="Y16" s="115">
        <f>SUM('Zone wise Meter data'!CF71:CK71)</f>
        <v>0</v>
      </c>
      <c r="Z16" s="115">
        <f>SUM('Zone wise Meter data'!CL71:CO71)</f>
        <v>0</v>
      </c>
      <c r="AA16" s="115">
        <f>SUM('Zone wise Meter data'!CP71:DD71)</f>
        <v>0</v>
      </c>
      <c r="AB16" s="115">
        <f>SUM('Zone wise Meter data'!DE71:DN71)</f>
        <v>0</v>
      </c>
      <c r="AC16" s="115">
        <f>SUM('Zone wise Meter data'!DO71:ED71)</f>
        <v>0</v>
      </c>
      <c r="AD16" s="160">
        <f>This_Year_KWH!AW16</f>
        <v>0</v>
      </c>
      <c r="AE16" s="160">
        <f>This_Year_KWH!DS16</f>
        <v>0</v>
      </c>
      <c r="AF16" s="160">
        <f>This_Year_KWH!EL16</f>
        <v>0</v>
      </c>
      <c r="AG16" s="160">
        <f>This_Year_KWH!EK16</f>
        <v>0</v>
      </c>
      <c r="AH16" s="160">
        <f>This_Year_KWH!EN16</f>
        <v>0</v>
      </c>
      <c r="AI16" s="160">
        <f>This_Year_KWH!EO16</f>
        <v>0</v>
      </c>
      <c r="AJ16" s="160">
        <f>This_Year_KWH!EM16</f>
        <v>0</v>
      </c>
      <c r="AK16" s="160">
        <f>This_Year_KWH!ER16</f>
        <v>0</v>
      </c>
      <c r="AL16" s="160">
        <f>This_Year_KWH!EI16</f>
        <v>0</v>
      </c>
      <c r="AM16" s="160">
        <f>This_Year_KWH!EJ16+Hourly_kWh!AS16</f>
        <v>3.4829999999992367E-3</v>
      </c>
      <c r="AN16" s="160">
        <f>This_Year_KWH!CX16+Hourly_kWh!CY16+Hourly_kWh!DC16+Hourly_kWh!DD16</f>
        <v>1.0254374999999705E-2</v>
      </c>
      <c r="AO16" s="160">
        <f>SUM(Hourly_kWh!AI16:AQ16)</f>
        <v>7.8995031249995018E-2</v>
      </c>
      <c r="AP16" s="160">
        <f>SUM(Hourly_kWh!V16:AG16)</f>
        <v>3.6383999999998196E-2</v>
      </c>
      <c r="AQ16" s="160">
        <f>This_Year_KWH!DB16</f>
        <v>0</v>
      </c>
      <c r="AR16" s="160">
        <f>This_Year_KWH!CO16</f>
        <v>0</v>
      </c>
      <c r="AS16" s="160">
        <f>This_Year_KWH!BJ16</f>
        <v>0</v>
      </c>
      <c r="AT16" s="160">
        <f>This_Year_KWH!U16</f>
        <v>0</v>
      </c>
      <c r="AU16" s="160">
        <f>This_Year_KWH!V16</f>
        <v>0</v>
      </c>
      <c r="AV16" s="160">
        <f>This_Year_KWH!W16</f>
        <v>0</v>
      </c>
      <c r="AW16" s="160">
        <f>This_Year_KWH!X16</f>
        <v>0</v>
      </c>
      <c r="AX16" s="160">
        <f>This_Year_KWH!Y16</f>
        <v>0</v>
      </c>
      <c r="AY16" s="160">
        <f>This_Year_KWH!Z16</f>
        <v>0</v>
      </c>
      <c r="AZ16" s="160">
        <f>This_Year_KWH!AA16</f>
        <v>0</v>
      </c>
      <c r="BA16" s="160">
        <f>This_Year_KWH!AB16</f>
        <v>0</v>
      </c>
      <c r="BB16" s="160">
        <f>This_Year_KWH!AC16</f>
        <v>0</v>
      </c>
      <c r="BC16" s="160">
        <f>This_Year_KWH!AD16</f>
        <v>0</v>
      </c>
      <c r="BD16" s="160">
        <f>This_Year_KWH!AE16</f>
        <v>0</v>
      </c>
      <c r="BE16" s="160">
        <f>This_Year_KWH!AF16</f>
        <v>0</v>
      </c>
      <c r="BF16" s="160">
        <f>This_Year_KWH!AG16</f>
        <v>0</v>
      </c>
      <c r="BG16" s="160">
        <f>This_Year_KWH!AH16</f>
        <v>0</v>
      </c>
      <c r="BH16" s="160">
        <f>This_Year_KWH!AI16</f>
        <v>0</v>
      </c>
      <c r="BI16" s="160">
        <f>This_Year_KWH!AJ16</f>
        <v>0</v>
      </c>
      <c r="BJ16" s="160">
        <f>This_Year_KWH!AK16</f>
        <v>0</v>
      </c>
      <c r="BK16" s="160">
        <f>This_Year_KWH!AL16</f>
        <v>0</v>
      </c>
      <c r="BL16" s="160">
        <f>This_Year_KWH!AM16</f>
        <v>0</v>
      </c>
      <c r="BM16" s="160">
        <f>This_Year_KWH!AN16</f>
        <v>0</v>
      </c>
      <c r="BN16" s="160">
        <f>This_Year_KWH!AO16</f>
        <v>0</v>
      </c>
      <c r="BO16" s="160">
        <f>This_Year_KWH!AP16</f>
        <v>0</v>
      </c>
      <c r="BP16" s="160">
        <f>This_Year_KWH!AQ16</f>
        <v>0</v>
      </c>
      <c r="BQ16" s="160">
        <f>This_Year_KWH!AR16</f>
        <v>0</v>
      </c>
      <c r="BR16" s="160">
        <f>This_Year_KWH!AS16</f>
        <v>0</v>
      </c>
      <c r="BS16" s="160">
        <f>This_Year_KWH!AT16</f>
        <v>0</v>
      </c>
      <c r="BT16" s="160">
        <f>This_Year_KWH!AU16</f>
        <v>0</v>
      </c>
      <c r="BU16" s="160">
        <f>This_Year_KWH!AV16</f>
        <v>0</v>
      </c>
      <c r="BV16" s="160">
        <f>This_Year_KWH!AW16</f>
        <v>0</v>
      </c>
      <c r="BW16" s="160">
        <f>This_Year_KWH!AX16</f>
        <v>0</v>
      </c>
      <c r="BX16" s="160">
        <f>This_Year_KWH!AY16</f>
        <v>0</v>
      </c>
      <c r="BY16" s="160">
        <f>This_Year_KWH!AZ16</f>
        <v>0</v>
      </c>
      <c r="BZ16" s="160">
        <f>This_Year_KWH!BA16</f>
        <v>0</v>
      </c>
      <c r="CA16" s="160">
        <f>This_Year_KWH!BB16</f>
        <v>0</v>
      </c>
      <c r="CB16" s="160">
        <f>This_Year_KWH!BC16</f>
        <v>0</v>
      </c>
      <c r="CC16" s="160">
        <f>This_Year_KWH!BD16</f>
        <v>0</v>
      </c>
      <c r="CD16" s="160">
        <f>This_Year_KWH!BE16</f>
        <v>0</v>
      </c>
      <c r="CE16" s="160">
        <f>This_Year_KWH!BF16</f>
        <v>0</v>
      </c>
      <c r="CF16" s="160">
        <f>This_Year_KWH!BG16</f>
        <v>0</v>
      </c>
      <c r="CG16" s="160">
        <f>This_Year_KWH!BH16</f>
        <v>0</v>
      </c>
      <c r="CH16" s="160">
        <f>This_Year_KWH!BI16</f>
        <v>0</v>
      </c>
      <c r="CI16" s="160">
        <f>This_Year_KWH!BJ16</f>
        <v>0</v>
      </c>
      <c r="CJ16" s="160">
        <f>This_Year_KWH!BK16</f>
        <v>0</v>
      </c>
      <c r="CK16" s="160">
        <f>This_Year_KWH!BL16</f>
        <v>0</v>
      </c>
      <c r="CL16" s="160">
        <f>This_Year_KWH!BM16</f>
        <v>0</v>
      </c>
      <c r="CM16" s="160">
        <f>This_Year_KWH!BN16</f>
        <v>0</v>
      </c>
      <c r="CN16" s="160">
        <f>This_Year_KWH!BO16</f>
        <v>0</v>
      </c>
      <c r="CO16" s="160">
        <f>This_Year_KWH!BP16</f>
        <v>0</v>
      </c>
      <c r="CP16" s="160">
        <f>This_Year_KWH!BQ16</f>
        <v>0</v>
      </c>
      <c r="CQ16" s="160">
        <f>This_Year_KWH!BR16</f>
        <v>0</v>
      </c>
      <c r="CR16" s="160">
        <f>This_Year_KWH!BS16</f>
        <v>0</v>
      </c>
      <c r="CS16" s="160">
        <f>This_Year_KWH!BT16</f>
        <v>0</v>
      </c>
      <c r="CT16" s="160">
        <f>This_Year_KWH!BU16</f>
        <v>0</v>
      </c>
      <c r="CU16" s="160">
        <f>This_Year_KWH!BV16</f>
        <v>0</v>
      </c>
      <c r="CV16" s="160">
        <f>This_Year_KWH!BW16</f>
        <v>0</v>
      </c>
      <c r="CW16" s="160">
        <f>This_Year_KWH!BX16</f>
        <v>0</v>
      </c>
      <c r="CX16" s="160">
        <f>This_Year_KWH!BY16</f>
        <v>0</v>
      </c>
      <c r="CY16" s="160">
        <f>This_Year_KWH!BZ16</f>
        <v>0</v>
      </c>
      <c r="CZ16" s="160">
        <f>This_Year_KWH!CA16</f>
        <v>0</v>
      </c>
      <c r="DA16" s="160">
        <f>This_Year_KWH!CB16</f>
        <v>0</v>
      </c>
      <c r="DB16" s="160">
        <f>This_Year_KWH!CC16</f>
        <v>0</v>
      </c>
      <c r="DC16" s="160">
        <f>This_Year_KWH!CD16</f>
        <v>0</v>
      </c>
      <c r="DD16" s="160">
        <f>This_Year_KWH!CE16</f>
        <v>0</v>
      </c>
      <c r="DE16" s="160">
        <f>This_Year_KWH!CF16</f>
        <v>0</v>
      </c>
      <c r="DF16" s="160">
        <f>This_Year_KWH!CG16</f>
        <v>0</v>
      </c>
      <c r="DG16" s="160">
        <f>This_Year_KWH!CH16</f>
        <v>0</v>
      </c>
      <c r="DH16" s="160">
        <f>This_Year_KWH!CI16</f>
        <v>0</v>
      </c>
      <c r="DI16" s="160">
        <f>This_Year_KWH!CJ16</f>
        <v>0</v>
      </c>
      <c r="DJ16" s="160">
        <f>This_Year_KWH!CK16</f>
        <v>0</v>
      </c>
      <c r="DK16" s="160">
        <f>This_Year_KWH!CL16</f>
        <v>0</v>
      </c>
      <c r="DL16" s="160">
        <f>This_Year_KWH!CM16</f>
        <v>0</v>
      </c>
      <c r="DM16" s="160">
        <f>This_Year_KWH!CN16</f>
        <v>0</v>
      </c>
      <c r="DN16" s="160">
        <f>This_Year_KWH!CO16</f>
        <v>0</v>
      </c>
      <c r="DO16" s="160">
        <f>This_Year_KWH!CP16</f>
        <v>0</v>
      </c>
      <c r="DP16" s="160">
        <f>This_Year_KWH!CQ16</f>
        <v>0</v>
      </c>
      <c r="DQ16" s="160">
        <f>This_Year_KWH!CR16</f>
        <v>0</v>
      </c>
      <c r="DR16" s="160">
        <f>This_Year_KWH!CS16</f>
        <v>0</v>
      </c>
      <c r="DS16" s="160">
        <f>This_Year_KWH!CT16</f>
        <v>0</v>
      </c>
      <c r="DT16" s="160">
        <f>This_Year_KWH!CU16</f>
        <v>0</v>
      </c>
      <c r="DU16" s="160">
        <f>This_Year_KWH!CV16</f>
        <v>0</v>
      </c>
      <c r="DV16" s="160">
        <f>This_Year_KWH!CW16</f>
        <v>0</v>
      </c>
      <c r="DW16" s="160">
        <f>This_Year_KWH!CX16</f>
        <v>0</v>
      </c>
      <c r="DX16" s="160">
        <f>This_Year_KWH!CY16</f>
        <v>0</v>
      </c>
      <c r="DY16" s="160">
        <f>This_Year_KWH!CZ16</f>
        <v>0</v>
      </c>
      <c r="DZ16" s="160">
        <f>This_Year_KWH!DA16</f>
        <v>0</v>
      </c>
      <c r="EA16" s="160">
        <f>This_Year_KWH!DB16</f>
        <v>0</v>
      </c>
      <c r="EB16" s="160">
        <f>This_Year_KWH!DC16</f>
        <v>0</v>
      </c>
      <c r="EC16" s="160">
        <f>This_Year_KWH!DD16</f>
        <v>0</v>
      </c>
      <c r="ED16" s="160">
        <f>This_Year_KWH!DE16</f>
        <v>0</v>
      </c>
      <c r="EE16" s="160">
        <f>This_Year_KWH!DF16</f>
        <v>0</v>
      </c>
      <c r="EF16" s="160">
        <f>This_Year_KWH!DG16</f>
        <v>0</v>
      </c>
      <c r="EG16" s="160">
        <f>This_Year_KWH!DH16</f>
        <v>0</v>
      </c>
      <c r="EH16" s="160">
        <f>This_Year_KWH!DI16</f>
        <v>0</v>
      </c>
      <c r="EI16" s="160">
        <f>This_Year_KWH!DJ16</f>
        <v>0</v>
      </c>
      <c r="EJ16" s="160">
        <f>This_Year_KWH!DK16</f>
        <v>0</v>
      </c>
      <c r="EK16" s="160">
        <f>This_Year_KWH!DL16</f>
        <v>0</v>
      </c>
      <c r="EL16" s="160">
        <f>This_Year_KWH!DM16</f>
        <v>0</v>
      </c>
      <c r="EM16" s="160">
        <f>This_Year_KWH!DN16</f>
        <v>0</v>
      </c>
      <c r="EN16" s="160">
        <f>This_Year_KWH!DO16</f>
        <v>0</v>
      </c>
      <c r="EO16" s="160">
        <f>This_Year_KWH!DP16</f>
        <v>0</v>
      </c>
      <c r="EP16" s="160">
        <f>This_Year_KWH!DQ16</f>
        <v>0</v>
      </c>
      <c r="EQ16" s="160">
        <f>This_Year_KWH!DR16</f>
        <v>0</v>
      </c>
      <c r="ER16" s="160">
        <f>This_Year_KWH!DS16</f>
        <v>0</v>
      </c>
      <c r="ES16" s="160">
        <f>This_Year_KWH!DT16</f>
        <v>0</v>
      </c>
      <c r="ET16" s="160">
        <f>This_Year_KWH!DU16</f>
        <v>0</v>
      </c>
      <c r="EU16" s="160">
        <f>This_Year_KWH!DV16</f>
        <v>0</v>
      </c>
      <c r="EV16" s="160">
        <f>This_Year_KWH!DW16</f>
        <v>0</v>
      </c>
      <c r="EW16" s="160">
        <f>This_Year_KWH!DX16</f>
        <v>0</v>
      </c>
      <c r="EX16" s="160">
        <f>This_Year_KWH!DY16</f>
        <v>0</v>
      </c>
      <c r="EY16" s="160">
        <f>This_Year_KWH!DZ16</f>
        <v>0</v>
      </c>
      <c r="EZ16" s="160">
        <f>This_Year_KWH!EA16</f>
        <v>0</v>
      </c>
      <c r="FA16" s="160">
        <f>This_Year_KWH!EB16</f>
        <v>0</v>
      </c>
      <c r="FB16" s="160">
        <f>This_Year_KWH!EC16</f>
        <v>0</v>
      </c>
      <c r="FC16" s="160">
        <f>This_Year_KWH!ED16</f>
        <v>0</v>
      </c>
      <c r="FD16" s="160">
        <f>This_Year_KWH!EE16</f>
        <v>0</v>
      </c>
      <c r="FE16" s="160">
        <f>This_Year_KWH!EF16</f>
        <v>0</v>
      </c>
      <c r="FF16" s="160">
        <f>This_Year_KWH!EG16</f>
        <v>0</v>
      </c>
      <c r="FG16" s="160">
        <f>This_Year_KWH!EH16</f>
        <v>0</v>
      </c>
      <c r="FH16" s="160">
        <f>This_Year_KWH!EI16</f>
        <v>0</v>
      </c>
      <c r="FI16" s="160">
        <f>This_Year_KWH!EJ16</f>
        <v>0</v>
      </c>
      <c r="FJ16" s="160">
        <f>This_Year_KWH!EK16</f>
        <v>0</v>
      </c>
      <c r="FK16" s="160">
        <f>This_Year_KWH!EL16</f>
        <v>0</v>
      </c>
      <c r="FL16" s="160">
        <f>This_Year_KWH!EM16</f>
        <v>0</v>
      </c>
      <c r="FM16" s="160">
        <f>This_Year_KWH!EN16</f>
        <v>0</v>
      </c>
      <c r="FN16" s="160">
        <f>This_Year_KWH!EO16</f>
        <v>0</v>
      </c>
      <c r="FO16" s="160">
        <f>This_Year_KWH!EP16</f>
        <v>0</v>
      </c>
      <c r="FP16" s="160">
        <f>This_Year_KWH!ER16</f>
        <v>0</v>
      </c>
      <c r="FQ16" s="160">
        <f>This_Year_KWH!EQ16</f>
        <v>0</v>
      </c>
      <c r="FR16" s="160">
        <f>This_Year_KWH!M16</f>
        <v>0</v>
      </c>
      <c r="FS16" s="160">
        <f>This_Year_KWH!G16</f>
        <v>0</v>
      </c>
      <c r="FT16" s="160">
        <f>This_Year_KWH!C16</f>
        <v>0</v>
      </c>
      <c r="FU16" s="160">
        <f>This_Year_KWH!D16</f>
        <v>0</v>
      </c>
      <c r="FV16" s="160">
        <f>This_Year_KWH!E16</f>
        <v>0</v>
      </c>
      <c r="FW16" s="160">
        <f>This_Year_KWH!F16</f>
        <v>0</v>
      </c>
      <c r="FX16" s="160">
        <f>This_Year_KWH!Q16</f>
        <v>0</v>
      </c>
      <c r="FY16" s="160">
        <f>This_Year_KWH!R16</f>
        <v>0</v>
      </c>
      <c r="FZ16" s="160">
        <f>This_Year_KWH!S16</f>
        <v>0</v>
      </c>
      <c r="GA16" s="160">
        <f>This_Year_KWH!T16</f>
        <v>0</v>
      </c>
      <c r="GB16" s="160">
        <f t="shared" si="0"/>
        <v>0</v>
      </c>
      <c r="GC16" s="160">
        <f t="shared" si="1"/>
        <v>0</v>
      </c>
      <c r="GD16" s="160">
        <f t="shared" si="2"/>
        <v>0</v>
      </c>
      <c r="GE16" s="159" t="e">
        <f t="shared" si="3"/>
        <v>#DIV/0!</v>
      </c>
    </row>
    <row r="17" spans="2:187" s="150" customFormat="1" ht="32.25" customHeight="1" x14ac:dyDescent="0.25">
      <c r="B17" s="168" t="s">
        <v>83</v>
      </c>
      <c r="C17" s="160">
        <f>This_Year_KWH!H17</f>
        <v>0</v>
      </c>
      <c r="D17" s="160">
        <f>This_Year_KWH!I17</f>
        <v>0</v>
      </c>
      <c r="E17" s="160">
        <f>This_Year_KWH!J17</f>
        <v>0</v>
      </c>
      <c r="F17" s="160">
        <f>This_Year_KWH!K17</f>
        <v>0</v>
      </c>
      <c r="G17" s="160">
        <f>This_Year_KWH!L17</f>
        <v>0</v>
      </c>
      <c r="H17" s="160">
        <f>This_Year_KWH!U17</f>
        <v>0</v>
      </c>
      <c r="I17" s="160">
        <f>This_Year_KWH!P17</f>
        <v>0</v>
      </c>
      <c r="J17" s="160">
        <f>This_Year_KWH!N17</f>
        <v>0</v>
      </c>
      <c r="K17" s="160">
        <f>This_Year_KWH!O17</f>
        <v>0</v>
      </c>
      <c r="L17" s="160">
        <f>This_Year_KWH!B17</f>
        <v>0</v>
      </c>
      <c r="M17" s="160">
        <f>This_Year_KWH!AR17</f>
        <v>0</v>
      </c>
      <c r="N17" s="160">
        <f>This_Year_KWH!BM17</f>
        <v>0</v>
      </c>
      <c r="O17" s="160">
        <f>This_Year_KWH!CM17</f>
        <v>0</v>
      </c>
      <c r="P17" s="160">
        <f>This_Year_KWH!DI17</f>
        <v>0</v>
      </c>
      <c r="Q17" s="160">
        <f>This_Year_KWH!EF17</f>
        <v>0</v>
      </c>
      <c r="R17" s="119">
        <f>SUM('Zone wise Meter data'!O72:AF72)</f>
        <v>0</v>
      </c>
      <c r="S17" s="115">
        <f>SUM('Zone wise Meter data'!AG72:AW72)</f>
        <v>0</v>
      </c>
      <c r="T17" s="115">
        <f>SUM('Zone wise Meter data'!AX72:BA72)</f>
        <v>0</v>
      </c>
      <c r="U17" s="115">
        <f>SUM('Zone wise Meter data'!BB72:BC72)</f>
        <v>0</v>
      </c>
      <c r="V17" s="115">
        <f>SUM('Zone wise Meter data'!BD72:BL72)</f>
        <v>0</v>
      </c>
      <c r="W17" s="115">
        <f>SUM('Zone wise Meter data'!BM72:BX72)</f>
        <v>0</v>
      </c>
      <c r="X17" s="115">
        <f>SUM('Zone wise Meter data'!BY72:CE72)</f>
        <v>0</v>
      </c>
      <c r="Y17" s="115">
        <f>SUM('Zone wise Meter data'!CF72:CK72)</f>
        <v>0</v>
      </c>
      <c r="Z17" s="115">
        <f>SUM('Zone wise Meter data'!CL72:CO72)</f>
        <v>0</v>
      </c>
      <c r="AA17" s="115">
        <f>SUM('Zone wise Meter data'!CP72:DD72)</f>
        <v>0</v>
      </c>
      <c r="AB17" s="115">
        <f>SUM('Zone wise Meter data'!DE72:DN72)</f>
        <v>0</v>
      </c>
      <c r="AC17" s="115">
        <f>SUM('Zone wise Meter data'!DO72:ED72)</f>
        <v>0</v>
      </c>
      <c r="AD17" s="160">
        <f>This_Year_KWH!AW17</f>
        <v>0</v>
      </c>
      <c r="AE17" s="160">
        <f>This_Year_KWH!DS17</f>
        <v>0</v>
      </c>
      <c r="AF17" s="160">
        <f>This_Year_KWH!EL17</f>
        <v>0</v>
      </c>
      <c r="AG17" s="160">
        <f>This_Year_KWH!EK17</f>
        <v>0</v>
      </c>
      <c r="AH17" s="160">
        <f>This_Year_KWH!EN17</f>
        <v>0</v>
      </c>
      <c r="AI17" s="160">
        <f>This_Year_KWH!EO17</f>
        <v>0</v>
      </c>
      <c r="AJ17" s="160">
        <f>This_Year_KWH!EM17</f>
        <v>0</v>
      </c>
      <c r="AK17" s="160">
        <f>This_Year_KWH!ER17</f>
        <v>0</v>
      </c>
      <c r="AL17" s="160">
        <f>This_Year_KWH!EI17</f>
        <v>0</v>
      </c>
      <c r="AM17" s="160">
        <f>This_Year_KWH!EJ17+Hourly_kWh!AS17</f>
        <v>2.3730000000004026E-3</v>
      </c>
      <c r="AN17" s="160">
        <f>This_Year_KWH!CX17+Hourly_kWh!CY17+Hourly_kWh!DC17+Hourly_kWh!DD17</f>
        <v>9.1069999999999762E-3</v>
      </c>
      <c r="AO17" s="160">
        <f>SUM(Hourly_kWh!AI17:AQ17)</f>
        <v>7.5952499999993706E-2</v>
      </c>
      <c r="AP17" s="160">
        <f>SUM(Hourly_kWh!V17:AG17)</f>
        <v>3.8105000000000722E-2</v>
      </c>
      <c r="AQ17" s="160">
        <f>This_Year_KWH!DB17</f>
        <v>0</v>
      </c>
      <c r="AR17" s="160">
        <f>This_Year_KWH!CO17</f>
        <v>0</v>
      </c>
      <c r="AS17" s="160">
        <f>This_Year_KWH!BJ17</f>
        <v>0</v>
      </c>
      <c r="AT17" s="160">
        <f>This_Year_KWH!U17</f>
        <v>0</v>
      </c>
      <c r="AU17" s="160">
        <f>This_Year_KWH!V17</f>
        <v>0</v>
      </c>
      <c r="AV17" s="160">
        <f>This_Year_KWH!W17</f>
        <v>0</v>
      </c>
      <c r="AW17" s="160">
        <f>This_Year_KWH!X17</f>
        <v>0</v>
      </c>
      <c r="AX17" s="160">
        <f>This_Year_KWH!Y17</f>
        <v>0</v>
      </c>
      <c r="AY17" s="160">
        <f>This_Year_KWH!Z17</f>
        <v>0</v>
      </c>
      <c r="AZ17" s="160">
        <f>This_Year_KWH!AA17</f>
        <v>0</v>
      </c>
      <c r="BA17" s="160">
        <f>This_Year_KWH!AB17</f>
        <v>0</v>
      </c>
      <c r="BB17" s="160">
        <f>This_Year_KWH!AC17</f>
        <v>0</v>
      </c>
      <c r="BC17" s="160">
        <f>This_Year_KWH!AD17</f>
        <v>0</v>
      </c>
      <c r="BD17" s="160">
        <f>This_Year_KWH!AE17</f>
        <v>0</v>
      </c>
      <c r="BE17" s="160">
        <f>This_Year_KWH!AF17</f>
        <v>0</v>
      </c>
      <c r="BF17" s="160">
        <f>This_Year_KWH!AG17</f>
        <v>0</v>
      </c>
      <c r="BG17" s="160">
        <f>This_Year_KWH!AH17</f>
        <v>0</v>
      </c>
      <c r="BH17" s="160">
        <f>This_Year_KWH!AI17</f>
        <v>0</v>
      </c>
      <c r="BI17" s="160">
        <f>This_Year_KWH!AJ17</f>
        <v>0</v>
      </c>
      <c r="BJ17" s="160">
        <f>This_Year_KWH!AK17</f>
        <v>0</v>
      </c>
      <c r="BK17" s="160">
        <f>This_Year_KWH!AL17</f>
        <v>0</v>
      </c>
      <c r="BL17" s="160">
        <f>This_Year_KWH!AM17</f>
        <v>0</v>
      </c>
      <c r="BM17" s="160">
        <f>This_Year_KWH!AN17</f>
        <v>0</v>
      </c>
      <c r="BN17" s="160">
        <f>This_Year_KWH!AO17</f>
        <v>0</v>
      </c>
      <c r="BO17" s="160">
        <f>This_Year_KWH!AP17</f>
        <v>0</v>
      </c>
      <c r="BP17" s="160">
        <f>This_Year_KWH!AQ17</f>
        <v>0</v>
      </c>
      <c r="BQ17" s="160">
        <f>This_Year_KWH!AR17</f>
        <v>0</v>
      </c>
      <c r="BR17" s="160">
        <f>This_Year_KWH!AS17</f>
        <v>0</v>
      </c>
      <c r="BS17" s="160">
        <f>This_Year_KWH!AT17</f>
        <v>0</v>
      </c>
      <c r="BT17" s="160">
        <f>This_Year_KWH!AU17</f>
        <v>0</v>
      </c>
      <c r="BU17" s="160">
        <f>This_Year_KWH!AV17</f>
        <v>0</v>
      </c>
      <c r="BV17" s="160">
        <f>This_Year_KWH!AW17</f>
        <v>0</v>
      </c>
      <c r="BW17" s="160">
        <f>This_Year_KWH!AX17</f>
        <v>0</v>
      </c>
      <c r="BX17" s="160">
        <f>This_Year_KWH!AY17</f>
        <v>0</v>
      </c>
      <c r="BY17" s="160">
        <f>This_Year_KWH!AZ17</f>
        <v>0</v>
      </c>
      <c r="BZ17" s="160">
        <f>This_Year_KWH!BA17</f>
        <v>0</v>
      </c>
      <c r="CA17" s="160">
        <f>This_Year_KWH!BB17</f>
        <v>0</v>
      </c>
      <c r="CB17" s="160">
        <f>This_Year_KWH!BC17</f>
        <v>0</v>
      </c>
      <c r="CC17" s="160">
        <f>This_Year_KWH!BD17</f>
        <v>0</v>
      </c>
      <c r="CD17" s="160">
        <f>This_Year_KWH!BE17</f>
        <v>0</v>
      </c>
      <c r="CE17" s="160">
        <f>This_Year_KWH!BF17</f>
        <v>0</v>
      </c>
      <c r="CF17" s="160">
        <f>This_Year_KWH!BG17</f>
        <v>0</v>
      </c>
      <c r="CG17" s="160">
        <f>This_Year_KWH!BH17</f>
        <v>0</v>
      </c>
      <c r="CH17" s="160">
        <f>This_Year_KWH!BI17</f>
        <v>0</v>
      </c>
      <c r="CI17" s="160">
        <f>This_Year_KWH!BJ17</f>
        <v>0</v>
      </c>
      <c r="CJ17" s="160">
        <f>This_Year_KWH!BK17</f>
        <v>0</v>
      </c>
      <c r="CK17" s="160">
        <f>This_Year_KWH!BL17</f>
        <v>0</v>
      </c>
      <c r="CL17" s="160">
        <f>This_Year_KWH!BM17</f>
        <v>0</v>
      </c>
      <c r="CM17" s="160">
        <f>This_Year_KWH!BN17</f>
        <v>0</v>
      </c>
      <c r="CN17" s="160">
        <f>This_Year_KWH!BO17</f>
        <v>0</v>
      </c>
      <c r="CO17" s="160">
        <f>This_Year_KWH!BP17</f>
        <v>0</v>
      </c>
      <c r="CP17" s="160">
        <f>This_Year_KWH!BQ17</f>
        <v>0</v>
      </c>
      <c r="CQ17" s="160">
        <f>This_Year_KWH!BR17</f>
        <v>0</v>
      </c>
      <c r="CR17" s="160">
        <f>This_Year_KWH!BS17</f>
        <v>0</v>
      </c>
      <c r="CS17" s="160">
        <f>This_Year_KWH!BT17</f>
        <v>0</v>
      </c>
      <c r="CT17" s="160">
        <f>This_Year_KWH!BU17</f>
        <v>0</v>
      </c>
      <c r="CU17" s="160">
        <f>This_Year_KWH!BV17</f>
        <v>0</v>
      </c>
      <c r="CV17" s="160">
        <f>This_Year_KWH!BW17</f>
        <v>0</v>
      </c>
      <c r="CW17" s="160">
        <f>This_Year_KWH!BX17</f>
        <v>0</v>
      </c>
      <c r="CX17" s="160">
        <f>This_Year_KWH!BY17</f>
        <v>0</v>
      </c>
      <c r="CY17" s="160">
        <f>This_Year_KWH!BZ17</f>
        <v>0</v>
      </c>
      <c r="CZ17" s="160">
        <f>This_Year_KWH!CA17</f>
        <v>0</v>
      </c>
      <c r="DA17" s="160">
        <f>This_Year_KWH!CB17</f>
        <v>0</v>
      </c>
      <c r="DB17" s="160">
        <f>This_Year_KWH!CC17</f>
        <v>0</v>
      </c>
      <c r="DC17" s="160">
        <f>This_Year_KWH!CD17</f>
        <v>0</v>
      </c>
      <c r="DD17" s="160">
        <f>This_Year_KWH!CE17</f>
        <v>0</v>
      </c>
      <c r="DE17" s="160">
        <f>This_Year_KWH!CF17</f>
        <v>0</v>
      </c>
      <c r="DF17" s="160">
        <f>This_Year_KWH!CG17</f>
        <v>0</v>
      </c>
      <c r="DG17" s="160">
        <f>This_Year_KWH!CH17</f>
        <v>0</v>
      </c>
      <c r="DH17" s="160">
        <f>This_Year_KWH!CI17</f>
        <v>0</v>
      </c>
      <c r="DI17" s="160">
        <f>This_Year_KWH!CJ17</f>
        <v>0</v>
      </c>
      <c r="DJ17" s="160">
        <f>This_Year_KWH!CK17</f>
        <v>0</v>
      </c>
      <c r="DK17" s="160">
        <f>This_Year_KWH!CL17</f>
        <v>0</v>
      </c>
      <c r="DL17" s="160">
        <f>This_Year_KWH!CM17</f>
        <v>0</v>
      </c>
      <c r="DM17" s="160">
        <f>This_Year_KWH!CN17</f>
        <v>0</v>
      </c>
      <c r="DN17" s="160">
        <f>This_Year_KWH!CO17</f>
        <v>0</v>
      </c>
      <c r="DO17" s="160">
        <f>This_Year_KWH!CP17</f>
        <v>0</v>
      </c>
      <c r="DP17" s="160">
        <f>This_Year_KWH!CQ17</f>
        <v>0</v>
      </c>
      <c r="DQ17" s="160">
        <f>This_Year_KWH!CR17</f>
        <v>0</v>
      </c>
      <c r="DR17" s="160">
        <f>This_Year_KWH!CS17</f>
        <v>0</v>
      </c>
      <c r="DS17" s="160">
        <f>This_Year_KWH!CT17</f>
        <v>0</v>
      </c>
      <c r="DT17" s="160">
        <f>This_Year_KWH!CU17</f>
        <v>0</v>
      </c>
      <c r="DU17" s="160">
        <f>This_Year_KWH!CV17</f>
        <v>0</v>
      </c>
      <c r="DV17" s="160">
        <f>This_Year_KWH!CW17</f>
        <v>0</v>
      </c>
      <c r="DW17" s="160">
        <f>This_Year_KWH!CX17</f>
        <v>0</v>
      </c>
      <c r="DX17" s="160">
        <f>This_Year_KWH!CY17</f>
        <v>0</v>
      </c>
      <c r="DY17" s="160">
        <f>This_Year_KWH!CZ17</f>
        <v>0</v>
      </c>
      <c r="DZ17" s="160">
        <f>This_Year_KWH!DA17</f>
        <v>0</v>
      </c>
      <c r="EA17" s="160">
        <f>This_Year_KWH!DB17</f>
        <v>0</v>
      </c>
      <c r="EB17" s="160">
        <f>This_Year_KWH!DC17</f>
        <v>0</v>
      </c>
      <c r="EC17" s="160">
        <f>This_Year_KWH!DD17</f>
        <v>0</v>
      </c>
      <c r="ED17" s="160">
        <f>This_Year_KWH!DE17</f>
        <v>0</v>
      </c>
      <c r="EE17" s="160">
        <f>This_Year_KWH!DF17</f>
        <v>0</v>
      </c>
      <c r="EF17" s="160">
        <f>This_Year_KWH!DG17</f>
        <v>0</v>
      </c>
      <c r="EG17" s="160">
        <f>This_Year_KWH!DH17</f>
        <v>0</v>
      </c>
      <c r="EH17" s="160">
        <f>This_Year_KWH!DI17</f>
        <v>0</v>
      </c>
      <c r="EI17" s="160">
        <f>This_Year_KWH!DJ17</f>
        <v>0</v>
      </c>
      <c r="EJ17" s="160">
        <f>This_Year_KWH!DK17</f>
        <v>0</v>
      </c>
      <c r="EK17" s="160">
        <f>This_Year_KWH!DL17</f>
        <v>0</v>
      </c>
      <c r="EL17" s="160">
        <f>This_Year_KWH!DM17</f>
        <v>0</v>
      </c>
      <c r="EM17" s="160">
        <f>This_Year_KWH!DN17</f>
        <v>0</v>
      </c>
      <c r="EN17" s="160">
        <f>This_Year_KWH!DO17</f>
        <v>0</v>
      </c>
      <c r="EO17" s="160">
        <f>This_Year_KWH!DP17</f>
        <v>0</v>
      </c>
      <c r="EP17" s="160">
        <f>This_Year_KWH!DQ17</f>
        <v>0</v>
      </c>
      <c r="EQ17" s="160">
        <f>This_Year_KWH!DR17</f>
        <v>0</v>
      </c>
      <c r="ER17" s="160">
        <f>This_Year_KWH!DS17</f>
        <v>0</v>
      </c>
      <c r="ES17" s="160">
        <f>This_Year_KWH!DT17</f>
        <v>0</v>
      </c>
      <c r="ET17" s="160">
        <f>This_Year_KWH!DU17</f>
        <v>0</v>
      </c>
      <c r="EU17" s="160">
        <f>This_Year_KWH!DV17</f>
        <v>0</v>
      </c>
      <c r="EV17" s="160">
        <f>This_Year_KWH!DW17</f>
        <v>0</v>
      </c>
      <c r="EW17" s="160">
        <f>This_Year_KWH!DX17</f>
        <v>0</v>
      </c>
      <c r="EX17" s="160">
        <f>This_Year_KWH!DY17</f>
        <v>0</v>
      </c>
      <c r="EY17" s="160">
        <f>This_Year_KWH!DZ17</f>
        <v>0</v>
      </c>
      <c r="EZ17" s="160">
        <f>This_Year_KWH!EA17</f>
        <v>0</v>
      </c>
      <c r="FA17" s="160">
        <f>This_Year_KWH!EB17</f>
        <v>0</v>
      </c>
      <c r="FB17" s="160">
        <f>This_Year_KWH!EC17</f>
        <v>0</v>
      </c>
      <c r="FC17" s="160">
        <f>This_Year_KWH!ED17</f>
        <v>0</v>
      </c>
      <c r="FD17" s="160">
        <f>This_Year_KWH!EE17</f>
        <v>0</v>
      </c>
      <c r="FE17" s="160">
        <f>This_Year_KWH!EF17</f>
        <v>0</v>
      </c>
      <c r="FF17" s="160">
        <f>This_Year_KWH!EG17</f>
        <v>0</v>
      </c>
      <c r="FG17" s="160">
        <f>This_Year_KWH!EH17</f>
        <v>0</v>
      </c>
      <c r="FH17" s="160">
        <f>This_Year_KWH!EI17</f>
        <v>0</v>
      </c>
      <c r="FI17" s="160">
        <f>This_Year_KWH!EJ17</f>
        <v>0</v>
      </c>
      <c r="FJ17" s="160">
        <f>This_Year_KWH!EK17</f>
        <v>0</v>
      </c>
      <c r="FK17" s="160">
        <f>This_Year_KWH!EL17</f>
        <v>0</v>
      </c>
      <c r="FL17" s="160">
        <f>This_Year_KWH!EM17</f>
        <v>0</v>
      </c>
      <c r="FM17" s="160">
        <f>This_Year_KWH!EN17</f>
        <v>0</v>
      </c>
      <c r="FN17" s="160">
        <f>This_Year_KWH!EO17</f>
        <v>0</v>
      </c>
      <c r="FO17" s="160">
        <f>This_Year_KWH!EP17</f>
        <v>0</v>
      </c>
      <c r="FP17" s="160">
        <f>This_Year_KWH!ER17</f>
        <v>0</v>
      </c>
      <c r="FQ17" s="160">
        <f>This_Year_KWH!EQ17</f>
        <v>0</v>
      </c>
      <c r="FR17" s="160">
        <f>This_Year_KWH!M17</f>
        <v>0</v>
      </c>
      <c r="FS17" s="160">
        <f>This_Year_KWH!G17</f>
        <v>0</v>
      </c>
      <c r="FT17" s="160">
        <f>This_Year_KWH!C17</f>
        <v>0</v>
      </c>
      <c r="FU17" s="160">
        <f>This_Year_KWH!D17</f>
        <v>0</v>
      </c>
      <c r="FV17" s="160">
        <f>This_Year_KWH!E17</f>
        <v>0</v>
      </c>
      <c r="FW17" s="160">
        <f>This_Year_KWH!F17</f>
        <v>0</v>
      </c>
      <c r="FX17" s="160">
        <f>This_Year_KWH!Q17</f>
        <v>0</v>
      </c>
      <c r="FY17" s="160">
        <f>This_Year_KWH!R17</f>
        <v>0</v>
      </c>
      <c r="FZ17" s="160">
        <f>This_Year_KWH!S17</f>
        <v>0</v>
      </c>
      <c r="GA17" s="160">
        <f>This_Year_KWH!T17</f>
        <v>0</v>
      </c>
      <c r="GB17" s="160">
        <f t="shared" si="0"/>
        <v>0</v>
      </c>
      <c r="GC17" s="160">
        <f t="shared" si="1"/>
        <v>0</v>
      </c>
      <c r="GD17" s="160">
        <f t="shared" si="2"/>
        <v>0</v>
      </c>
      <c r="GE17" s="159" t="e">
        <f t="shared" si="3"/>
        <v>#DIV/0!</v>
      </c>
    </row>
    <row r="18" spans="2:187" s="150" customFormat="1" ht="32.25" customHeight="1" x14ac:dyDescent="0.25">
      <c r="B18" s="168" t="s">
        <v>84</v>
      </c>
      <c r="C18" s="160">
        <f>This_Year_KWH!H18</f>
        <v>0</v>
      </c>
      <c r="D18" s="160">
        <f>This_Year_KWH!I18</f>
        <v>0</v>
      </c>
      <c r="E18" s="160">
        <f>This_Year_KWH!J18</f>
        <v>0</v>
      </c>
      <c r="F18" s="160">
        <f>This_Year_KWH!K18</f>
        <v>0</v>
      </c>
      <c r="G18" s="160">
        <f>This_Year_KWH!L18</f>
        <v>0</v>
      </c>
      <c r="H18" s="160">
        <f>This_Year_KWH!U18</f>
        <v>0</v>
      </c>
      <c r="I18" s="160">
        <f>This_Year_KWH!P18</f>
        <v>0</v>
      </c>
      <c r="J18" s="160">
        <f>This_Year_KWH!N18</f>
        <v>0</v>
      </c>
      <c r="K18" s="160">
        <f>This_Year_KWH!O18</f>
        <v>0</v>
      </c>
      <c r="L18" s="160">
        <f>This_Year_KWH!B18</f>
        <v>0</v>
      </c>
      <c r="M18" s="160">
        <f>This_Year_KWH!AR18</f>
        <v>0</v>
      </c>
      <c r="N18" s="160">
        <f>This_Year_KWH!BM18</f>
        <v>0</v>
      </c>
      <c r="O18" s="160">
        <f>This_Year_KWH!CM18</f>
        <v>0</v>
      </c>
      <c r="P18" s="160">
        <f>This_Year_KWH!DI18</f>
        <v>0</v>
      </c>
      <c r="Q18" s="160">
        <f>This_Year_KWH!EF18</f>
        <v>0</v>
      </c>
      <c r="R18" s="119">
        <f>SUM('Zone wise Meter data'!O73:AF73)</f>
        <v>0</v>
      </c>
      <c r="S18" s="115">
        <f>SUM('Zone wise Meter data'!AG73:AW73)</f>
        <v>0</v>
      </c>
      <c r="T18" s="115">
        <f>SUM('Zone wise Meter data'!AX73:BA73)</f>
        <v>0</v>
      </c>
      <c r="U18" s="115">
        <f>SUM('Zone wise Meter data'!BB73:BC73)</f>
        <v>0</v>
      </c>
      <c r="V18" s="115">
        <f>SUM('Zone wise Meter data'!BD73:BL73)</f>
        <v>0</v>
      </c>
      <c r="W18" s="115">
        <f>SUM('Zone wise Meter data'!BM73:BX73)</f>
        <v>0</v>
      </c>
      <c r="X18" s="115">
        <f>SUM('Zone wise Meter data'!BY73:CE73)</f>
        <v>0</v>
      </c>
      <c r="Y18" s="115">
        <f>SUM('Zone wise Meter data'!CF73:CK73)</f>
        <v>0</v>
      </c>
      <c r="Z18" s="115">
        <f>SUM('Zone wise Meter data'!CL73:CO73)</f>
        <v>0</v>
      </c>
      <c r="AA18" s="115">
        <f>SUM('Zone wise Meter data'!CP73:DD73)</f>
        <v>0</v>
      </c>
      <c r="AB18" s="115">
        <f>SUM('Zone wise Meter data'!DE73:DN73)</f>
        <v>0</v>
      </c>
      <c r="AC18" s="115">
        <f>SUM('Zone wise Meter data'!DO73:ED73)</f>
        <v>0</v>
      </c>
      <c r="AD18" s="160">
        <f>This_Year_KWH!AW18</f>
        <v>0</v>
      </c>
      <c r="AE18" s="160">
        <f>This_Year_KWH!DS18</f>
        <v>0</v>
      </c>
      <c r="AF18" s="160">
        <f>This_Year_KWH!EL18</f>
        <v>0</v>
      </c>
      <c r="AG18" s="160">
        <f>This_Year_KWH!EK18</f>
        <v>0</v>
      </c>
      <c r="AH18" s="160">
        <f>This_Year_KWH!EN18</f>
        <v>0</v>
      </c>
      <c r="AI18" s="160">
        <f>This_Year_KWH!EO18</f>
        <v>0</v>
      </c>
      <c r="AJ18" s="160">
        <f>This_Year_KWH!EM18</f>
        <v>0</v>
      </c>
      <c r="AK18" s="160">
        <f>This_Year_KWH!ER18</f>
        <v>0</v>
      </c>
      <c r="AL18" s="160">
        <f>This_Year_KWH!EI18</f>
        <v>0</v>
      </c>
      <c r="AM18" s="160">
        <f>This_Year_KWH!EJ18+Hourly_kWh!AS18</f>
        <v>2.8965000000003016E-3</v>
      </c>
      <c r="AN18" s="160">
        <f>This_Year_KWH!CX18+Hourly_kWh!CY18+Hourly_kWh!DC18+Hourly_kWh!DD18</f>
        <v>9.4242500000001339E-3</v>
      </c>
      <c r="AO18" s="160">
        <f>SUM(Hourly_kWh!AI18:AQ18)</f>
        <v>7.24435937500158E-2</v>
      </c>
      <c r="AP18" s="160">
        <f>SUM(Hourly_kWh!V18:AG18)</f>
        <v>3.6612999999999118E-2</v>
      </c>
      <c r="AQ18" s="160">
        <f>This_Year_KWH!DB18</f>
        <v>0</v>
      </c>
      <c r="AR18" s="160">
        <f>This_Year_KWH!CO18</f>
        <v>0</v>
      </c>
      <c r="AS18" s="160">
        <f>This_Year_KWH!BJ18</f>
        <v>0</v>
      </c>
      <c r="AT18" s="160">
        <f>This_Year_KWH!U18</f>
        <v>0</v>
      </c>
      <c r="AU18" s="160">
        <f>This_Year_KWH!V18</f>
        <v>0</v>
      </c>
      <c r="AV18" s="160">
        <f>This_Year_KWH!W18</f>
        <v>0</v>
      </c>
      <c r="AW18" s="160">
        <f>This_Year_KWH!X18</f>
        <v>0</v>
      </c>
      <c r="AX18" s="160">
        <f>This_Year_KWH!Y18</f>
        <v>0</v>
      </c>
      <c r="AY18" s="160">
        <f>This_Year_KWH!Z18</f>
        <v>0</v>
      </c>
      <c r="AZ18" s="160">
        <f>This_Year_KWH!AA18</f>
        <v>0</v>
      </c>
      <c r="BA18" s="160">
        <f>This_Year_KWH!AB18</f>
        <v>0</v>
      </c>
      <c r="BB18" s="160">
        <f>This_Year_KWH!AC18</f>
        <v>0</v>
      </c>
      <c r="BC18" s="160">
        <f>This_Year_KWH!AD18</f>
        <v>0</v>
      </c>
      <c r="BD18" s="160">
        <f>This_Year_KWH!AE18</f>
        <v>0</v>
      </c>
      <c r="BE18" s="160">
        <f>This_Year_KWH!AF18</f>
        <v>0</v>
      </c>
      <c r="BF18" s="160">
        <f>This_Year_KWH!AG18</f>
        <v>0</v>
      </c>
      <c r="BG18" s="160">
        <f>This_Year_KWH!AH18</f>
        <v>0</v>
      </c>
      <c r="BH18" s="160">
        <f>This_Year_KWH!AI18</f>
        <v>0</v>
      </c>
      <c r="BI18" s="160">
        <f>This_Year_KWH!AJ18</f>
        <v>0</v>
      </c>
      <c r="BJ18" s="160">
        <f>This_Year_KWH!AK18</f>
        <v>0</v>
      </c>
      <c r="BK18" s="160">
        <f>This_Year_KWH!AL18</f>
        <v>0</v>
      </c>
      <c r="BL18" s="160">
        <f>This_Year_KWH!AM18</f>
        <v>0</v>
      </c>
      <c r="BM18" s="160">
        <f>This_Year_KWH!AN18</f>
        <v>0</v>
      </c>
      <c r="BN18" s="160">
        <f>This_Year_KWH!AO18</f>
        <v>0</v>
      </c>
      <c r="BO18" s="160">
        <f>This_Year_KWH!AP18</f>
        <v>0</v>
      </c>
      <c r="BP18" s="160">
        <f>This_Year_KWH!AQ18</f>
        <v>0</v>
      </c>
      <c r="BQ18" s="160">
        <f>This_Year_KWH!AR18</f>
        <v>0</v>
      </c>
      <c r="BR18" s="160">
        <f>This_Year_KWH!AS18</f>
        <v>0</v>
      </c>
      <c r="BS18" s="160">
        <f>This_Year_KWH!AT18</f>
        <v>0</v>
      </c>
      <c r="BT18" s="160">
        <f>This_Year_KWH!AU18</f>
        <v>0</v>
      </c>
      <c r="BU18" s="160">
        <f>This_Year_KWH!AV18</f>
        <v>0</v>
      </c>
      <c r="BV18" s="160">
        <f>This_Year_KWH!AW18</f>
        <v>0</v>
      </c>
      <c r="BW18" s="160">
        <f>This_Year_KWH!AX18</f>
        <v>0</v>
      </c>
      <c r="BX18" s="160">
        <f>This_Year_KWH!AY18</f>
        <v>0</v>
      </c>
      <c r="BY18" s="160">
        <f>This_Year_KWH!AZ18</f>
        <v>0</v>
      </c>
      <c r="BZ18" s="160">
        <f>This_Year_KWH!BA18</f>
        <v>0</v>
      </c>
      <c r="CA18" s="160">
        <f>This_Year_KWH!BB18</f>
        <v>0</v>
      </c>
      <c r="CB18" s="160">
        <f>This_Year_KWH!BC18</f>
        <v>0</v>
      </c>
      <c r="CC18" s="160">
        <f>This_Year_KWH!BD18</f>
        <v>0</v>
      </c>
      <c r="CD18" s="160">
        <f>This_Year_KWH!BE18</f>
        <v>0</v>
      </c>
      <c r="CE18" s="160">
        <f>This_Year_KWH!BF18</f>
        <v>0</v>
      </c>
      <c r="CF18" s="160">
        <f>This_Year_KWH!BG18</f>
        <v>0</v>
      </c>
      <c r="CG18" s="160">
        <f>This_Year_KWH!BH18</f>
        <v>0</v>
      </c>
      <c r="CH18" s="160">
        <f>This_Year_KWH!BI18</f>
        <v>0</v>
      </c>
      <c r="CI18" s="160">
        <f>This_Year_KWH!BJ18</f>
        <v>0</v>
      </c>
      <c r="CJ18" s="160">
        <f>This_Year_KWH!BK18</f>
        <v>0</v>
      </c>
      <c r="CK18" s="160">
        <f>This_Year_KWH!BL18</f>
        <v>0</v>
      </c>
      <c r="CL18" s="160">
        <f>This_Year_KWH!BM18</f>
        <v>0</v>
      </c>
      <c r="CM18" s="160">
        <f>This_Year_KWH!BN18</f>
        <v>0</v>
      </c>
      <c r="CN18" s="160">
        <f>This_Year_KWH!BO18</f>
        <v>0</v>
      </c>
      <c r="CO18" s="160">
        <f>This_Year_KWH!BP18</f>
        <v>0</v>
      </c>
      <c r="CP18" s="160">
        <f>This_Year_KWH!BQ18</f>
        <v>0</v>
      </c>
      <c r="CQ18" s="160">
        <f>This_Year_KWH!BR18</f>
        <v>0</v>
      </c>
      <c r="CR18" s="160">
        <f>This_Year_KWH!BS18</f>
        <v>0</v>
      </c>
      <c r="CS18" s="160">
        <f>This_Year_KWH!BT18</f>
        <v>0</v>
      </c>
      <c r="CT18" s="160">
        <f>This_Year_KWH!BU18</f>
        <v>0</v>
      </c>
      <c r="CU18" s="160">
        <f>This_Year_KWH!BV18</f>
        <v>0</v>
      </c>
      <c r="CV18" s="160">
        <f>This_Year_KWH!BW18</f>
        <v>0</v>
      </c>
      <c r="CW18" s="160">
        <f>This_Year_KWH!BX18</f>
        <v>0</v>
      </c>
      <c r="CX18" s="160">
        <f>This_Year_KWH!BY18</f>
        <v>0</v>
      </c>
      <c r="CY18" s="160">
        <f>This_Year_KWH!BZ18</f>
        <v>0</v>
      </c>
      <c r="CZ18" s="160">
        <f>This_Year_KWH!CA18</f>
        <v>0</v>
      </c>
      <c r="DA18" s="160">
        <f>This_Year_KWH!CB18</f>
        <v>0</v>
      </c>
      <c r="DB18" s="160">
        <f>This_Year_KWH!CC18</f>
        <v>0</v>
      </c>
      <c r="DC18" s="160">
        <f>This_Year_KWH!CD18</f>
        <v>0</v>
      </c>
      <c r="DD18" s="160">
        <f>This_Year_KWH!CE18</f>
        <v>0</v>
      </c>
      <c r="DE18" s="160">
        <f>This_Year_KWH!CF18</f>
        <v>0</v>
      </c>
      <c r="DF18" s="160">
        <f>This_Year_KWH!CG18</f>
        <v>0</v>
      </c>
      <c r="DG18" s="160">
        <f>This_Year_KWH!CH18</f>
        <v>0</v>
      </c>
      <c r="DH18" s="160">
        <f>This_Year_KWH!CI18</f>
        <v>0</v>
      </c>
      <c r="DI18" s="160">
        <f>This_Year_KWH!CJ18</f>
        <v>0</v>
      </c>
      <c r="DJ18" s="160">
        <f>This_Year_KWH!CK18</f>
        <v>0</v>
      </c>
      <c r="DK18" s="160">
        <f>This_Year_KWH!CL18</f>
        <v>0</v>
      </c>
      <c r="DL18" s="160">
        <f>This_Year_KWH!CM18</f>
        <v>0</v>
      </c>
      <c r="DM18" s="160">
        <f>This_Year_KWH!CN18</f>
        <v>0</v>
      </c>
      <c r="DN18" s="160">
        <f>This_Year_KWH!CO18</f>
        <v>0</v>
      </c>
      <c r="DO18" s="160">
        <f>This_Year_KWH!CP18</f>
        <v>0</v>
      </c>
      <c r="DP18" s="160">
        <f>This_Year_KWH!CQ18</f>
        <v>0</v>
      </c>
      <c r="DQ18" s="160">
        <f>This_Year_KWH!CR18</f>
        <v>0</v>
      </c>
      <c r="DR18" s="160">
        <f>This_Year_KWH!CS18</f>
        <v>0</v>
      </c>
      <c r="DS18" s="160">
        <f>This_Year_KWH!CT18</f>
        <v>0</v>
      </c>
      <c r="DT18" s="160">
        <f>This_Year_KWH!CU18</f>
        <v>0</v>
      </c>
      <c r="DU18" s="160">
        <f>This_Year_KWH!CV18</f>
        <v>0</v>
      </c>
      <c r="DV18" s="160">
        <f>This_Year_KWH!CW18</f>
        <v>0</v>
      </c>
      <c r="DW18" s="160">
        <f>This_Year_KWH!CX18</f>
        <v>0</v>
      </c>
      <c r="DX18" s="160">
        <f>This_Year_KWH!CY18</f>
        <v>0</v>
      </c>
      <c r="DY18" s="160">
        <f>This_Year_KWH!CZ18</f>
        <v>0</v>
      </c>
      <c r="DZ18" s="160">
        <f>This_Year_KWH!DA18</f>
        <v>0</v>
      </c>
      <c r="EA18" s="160">
        <f>This_Year_KWH!DB18</f>
        <v>0</v>
      </c>
      <c r="EB18" s="160">
        <f>This_Year_KWH!DC18</f>
        <v>0</v>
      </c>
      <c r="EC18" s="160">
        <f>This_Year_KWH!DD18</f>
        <v>0</v>
      </c>
      <c r="ED18" s="160">
        <f>This_Year_KWH!DE18</f>
        <v>0</v>
      </c>
      <c r="EE18" s="160">
        <f>This_Year_KWH!DF18</f>
        <v>0</v>
      </c>
      <c r="EF18" s="160">
        <f>This_Year_KWH!DG18</f>
        <v>0</v>
      </c>
      <c r="EG18" s="160">
        <f>This_Year_KWH!DH18</f>
        <v>0</v>
      </c>
      <c r="EH18" s="160">
        <f>This_Year_KWH!DI18</f>
        <v>0</v>
      </c>
      <c r="EI18" s="160">
        <f>This_Year_KWH!DJ18</f>
        <v>0</v>
      </c>
      <c r="EJ18" s="160">
        <f>This_Year_KWH!DK18</f>
        <v>0</v>
      </c>
      <c r="EK18" s="160">
        <f>This_Year_KWH!DL18</f>
        <v>0</v>
      </c>
      <c r="EL18" s="160">
        <f>This_Year_KWH!DM18</f>
        <v>0</v>
      </c>
      <c r="EM18" s="160">
        <f>This_Year_KWH!DN18</f>
        <v>0</v>
      </c>
      <c r="EN18" s="160">
        <f>This_Year_KWH!DO18</f>
        <v>0</v>
      </c>
      <c r="EO18" s="160">
        <f>This_Year_KWH!DP18</f>
        <v>0</v>
      </c>
      <c r="EP18" s="160">
        <f>This_Year_KWH!DQ18</f>
        <v>0</v>
      </c>
      <c r="EQ18" s="160">
        <f>This_Year_KWH!DR18</f>
        <v>0</v>
      </c>
      <c r="ER18" s="160">
        <f>This_Year_KWH!DS18</f>
        <v>0</v>
      </c>
      <c r="ES18" s="160">
        <f>This_Year_KWH!DT18</f>
        <v>0</v>
      </c>
      <c r="ET18" s="160">
        <f>This_Year_KWH!DU18</f>
        <v>0</v>
      </c>
      <c r="EU18" s="160">
        <f>This_Year_KWH!DV18</f>
        <v>0</v>
      </c>
      <c r="EV18" s="160">
        <f>This_Year_KWH!DW18</f>
        <v>0</v>
      </c>
      <c r="EW18" s="160">
        <f>This_Year_KWH!DX18</f>
        <v>0</v>
      </c>
      <c r="EX18" s="160">
        <f>This_Year_KWH!DY18</f>
        <v>0</v>
      </c>
      <c r="EY18" s="160">
        <f>This_Year_KWH!DZ18</f>
        <v>0</v>
      </c>
      <c r="EZ18" s="160">
        <f>This_Year_KWH!EA18</f>
        <v>0</v>
      </c>
      <c r="FA18" s="160">
        <f>This_Year_KWH!EB18</f>
        <v>0</v>
      </c>
      <c r="FB18" s="160">
        <f>This_Year_KWH!EC18</f>
        <v>0</v>
      </c>
      <c r="FC18" s="160">
        <f>This_Year_KWH!ED18</f>
        <v>0</v>
      </c>
      <c r="FD18" s="160">
        <f>This_Year_KWH!EE18</f>
        <v>0</v>
      </c>
      <c r="FE18" s="160">
        <f>This_Year_KWH!EF18</f>
        <v>0</v>
      </c>
      <c r="FF18" s="160">
        <f>This_Year_KWH!EG18</f>
        <v>0</v>
      </c>
      <c r="FG18" s="160">
        <f>This_Year_KWH!EH18</f>
        <v>0</v>
      </c>
      <c r="FH18" s="160">
        <f>This_Year_KWH!EI18</f>
        <v>0</v>
      </c>
      <c r="FI18" s="160">
        <f>This_Year_KWH!EJ18</f>
        <v>0</v>
      </c>
      <c r="FJ18" s="160">
        <f>This_Year_KWH!EK18</f>
        <v>0</v>
      </c>
      <c r="FK18" s="160">
        <f>This_Year_KWH!EL18</f>
        <v>0</v>
      </c>
      <c r="FL18" s="160">
        <f>This_Year_KWH!EM18</f>
        <v>0</v>
      </c>
      <c r="FM18" s="160">
        <f>This_Year_KWH!EN18</f>
        <v>0</v>
      </c>
      <c r="FN18" s="160">
        <f>This_Year_KWH!EO18</f>
        <v>0</v>
      </c>
      <c r="FO18" s="160">
        <f>This_Year_KWH!EP18</f>
        <v>0</v>
      </c>
      <c r="FP18" s="160">
        <f>This_Year_KWH!ER18</f>
        <v>0</v>
      </c>
      <c r="FQ18" s="160">
        <f>This_Year_KWH!EQ18</f>
        <v>0</v>
      </c>
      <c r="FR18" s="160">
        <f>This_Year_KWH!M18</f>
        <v>0</v>
      </c>
      <c r="FS18" s="160">
        <f>This_Year_KWH!G18</f>
        <v>0</v>
      </c>
      <c r="FT18" s="160">
        <f>This_Year_KWH!C18</f>
        <v>0</v>
      </c>
      <c r="FU18" s="160">
        <f>This_Year_KWH!D18</f>
        <v>0</v>
      </c>
      <c r="FV18" s="160">
        <f>This_Year_KWH!E18</f>
        <v>0</v>
      </c>
      <c r="FW18" s="160">
        <f>This_Year_KWH!F18</f>
        <v>0</v>
      </c>
      <c r="FX18" s="160">
        <f>This_Year_KWH!Q18</f>
        <v>0</v>
      </c>
      <c r="FY18" s="160">
        <f>This_Year_KWH!R18</f>
        <v>0</v>
      </c>
      <c r="FZ18" s="160">
        <f>This_Year_KWH!S18</f>
        <v>0</v>
      </c>
      <c r="GA18" s="160">
        <f>This_Year_KWH!T18</f>
        <v>0</v>
      </c>
      <c r="GB18" s="160">
        <f t="shared" si="0"/>
        <v>0</v>
      </c>
      <c r="GC18" s="160">
        <f t="shared" si="1"/>
        <v>0</v>
      </c>
      <c r="GD18" s="160">
        <f t="shared" si="2"/>
        <v>0</v>
      </c>
      <c r="GE18" s="159" t="e">
        <f t="shared" si="3"/>
        <v>#DIV/0!</v>
      </c>
    </row>
    <row r="19" spans="2:187" ht="32.25" customHeight="1" x14ac:dyDescent="0.25">
      <c r="B19" s="169"/>
    </row>
    <row r="20" spans="2:187" s="169" customFormat="1" ht="32.25" customHeight="1" x14ac:dyDescent="0.25">
      <c r="B20" s="170" t="s">
        <v>50</v>
      </c>
      <c r="C20" s="171">
        <f t="shared" ref="C20:AI20" si="4">SUM(C7:C18)</f>
        <v>8.3232580000000009</v>
      </c>
      <c r="D20" s="171">
        <f t="shared" si="4"/>
        <v>9.037373999999998</v>
      </c>
      <c r="E20" s="171">
        <f t="shared" si="4"/>
        <v>2.7646929999999998</v>
      </c>
      <c r="F20" s="171">
        <f t="shared" si="4"/>
        <v>2.2927239999999998</v>
      </c>
      <c r="G20" s="171">
        <f t="shared" si="4"/>
        <v>6.5796939999999999</v>
      </c>
      <c r="H20" s="171">
        <f t="shared" si="4"/>
        <v>37.182055999999989</v>
      </c>
      <c r="I20" s="171">
        <f t="shared" si="4"/>
        <v>25.519184000000003</v>
      </c>
      <c r="J20" s="171">
        <f t="shared" si="4"/>
        <v>303.13016799999991</v>
      </c>
      <c r="K20" s="171">
        <f t="shared" si="4"/>
        <v>328.1533290000001</v>
      </c>
      <c r="L20" s="171">
        <f t="shared" si="4"/>
        <v>1535.58996875</v>
      </c>
      <c r="M20" s="171">
        <f t="shared" si="4"/>
        <v>390.01933599999995</v>
      </c>
      <c r="N20" s="171">
        <f t="shared" si="4"/>
        <v>139.55168799999996</v>
      </c>
      <c r="O20" s="171">
        <f t="shared" si="4"/>
        <v>342.97351999999989</v>
      </c>
      <c r="P20" s="171">
        <f t="shared" si="4"/>
        <v>364.49851199999989</v>
      </c>
      <c r="Q20" s="171">
        <f t="shared" si="4"/>
        <v>787.80602999999815</v>
      </c>
      <c r="R20" s="171">
        <f t="shared" si="4"/>
        <v>341.74673555273444</v>
      </c>
      <c r="S20" s="171">
        <f t="shared" si="4"/>
        <v>188.41194004687497</v>
      </c>
      <c r="T20" s="171">
        <f t="shared" si="4"/>
        <v>91.672491499999921</v>
      </c>
      <c r="U20" s="171">
        <f t="shared" si="4"/>
        <v>255.18419200000022</v>
      </c>
      <c r="V20" s="171">
        <f t="shared" si="4"/>
        <v>693.73397700000032</v>
      </c>
      <c r="W20" s="171">
        <f t="shared" si="4"/>
        <v>24.419490641967791</v>
      </c>
      <c r="X20" s="171">
        <f t="shared" si="4"/>
        <v>4.1505207198486325</v>
      </c>
      <c r="Y20" s="171">
        <f t="shared" si="4"/>
        <v>136.13081696875</v>
      </c>
      <c r="Z20" s="171">
        <f t="shared" si="4"/>
        <v>139.48024246874996</v>
      </c>
      <c r="AA20" s="171">
        <f t="shared" si="4"/>
        <v>94.517071682617228</v>
      </c>
      <c r="AB20" s="171">
        <f t="shared" si="4"/>
        <v>20.543084667419436</v>
      </c>
      <c r="AC20" s="171">
        <f t="shared" si="4"/>
        <v>0</v>
      </c>
      <c r="AD20" s="171">
        <f t="shared" si="4"/>
        <v>147.09249600000015</v>
      </c>
      <c r="AE20" s="171">
        <f t="shared" si="4"/>
        <v>108.09169600000007</v>
      </c>
      <c r="AF20" s="171">
        <f t="shared" si="4"/>
        <v>127.51820800000004</v>
      </c>
      <c r="AG20" s="171">
        <f t="shared" si="4"/>
        <v>2.126079999999837</v>
      </c>
      <c r="AH20" s="171">
        <f t="shared" si="4"/>
        <v>147.27296000000058</v>
      </c>
      <c r="AI20" s="171">
        <f t="shared" si="4"/>
        <v>38.966784000000025</v>
      </c>
      <c r="AJ20" s="171"/>
      <c r="AK20" s="171">
        <f>SUM(AJ7:AJ18)</f>
        <v>204.79974399999983</v>
      </c>
      <c r="AL20" s="171">
        <f t="shared" ref="AL20:BQ20" si="5">SUM(AL7:AL18)</f>
        <v>47.980672000000098</v>
      </c>
      <c r="AM20" s="171">
        <f t="shared" si="5"/>
        <v>3.1621475000000259</v>
      </c>
      <c r="AN20" s="171">
        <f t="shared" si="5"/>
        <v>20.238984999999985</v>
      </c>
      <c r="AO20" s="171">
        <f t="shared" si="5"/>
        <v>0.94676629687500169</v>
      </c>
      <c r="AP20" s="171">
        <f t="shared" si="5"/>
        <v>0.45986199999999844</v>
      </c>
      <c r="AQ20" s="171">
        <f t="shared" si="5"/>
        <v>9.2434899999999978</v>
      </c>
      <c r="AR20" s="171">
        <f t="shared" si="5"/>
        <v>48.694671999999997</v>
      </c>
      <c r="AS20" s="171">
        <f t="shared" si="5"/>
        <v>0.11042200000000124</v>
      </c>
      <c r="AT20" s="171">
        <f t="shared" si="5"/>
        <v>37.182055999999989</v>
      </c>
      <c r="AU20" s="171">
        <f t="shared" si="5"/>
        <v>10.435511999999999</v>
      </c>
      <c r="AV20" s="171">
        <f t="shared" si="5"/>
        <v>5.1235349999999986</v>
      </c>
      <c r="AW20" s="171">
        <f t="shared" si="5"/>
        <v>5.7780354999999979</v>
      </c>
      <c r="AX20" s="171">
        <f t="shared" si="5"/>
        <v>0</v>
      </c>
      <c r="AY20" s="171">
        <f t="shared" si="5"/>
        <v>3.9383814999999984</v>
      </c>
      <c r="AZ20" s="171">
        <f t="shared" si="5"/>
        <v>9.1554559999999956</v>
      </c>
      <c r="BA20" s="171">
        <f t="shared" si="5"/>
        <v>13.214856999999999</v>
      </c>
      <c r="BB20" s="171">
        <f t="shared" si="5"/>
        <v>9.5328330000000037</v>
      </c>
      <c r="BC20" s="171">
        <f t="shared" si="5"/>
        <v>4.2570809999999994</v>
      </c>
      <c r="BD20" s="171">
        <f t="shared" si="5"/>
        <v>5.5233893749999989</v>
      </c>
      <c r="BE20" s="171">
        <f t="shared" si="5"/>
        <v>1.00399999999823E-3</v>
      </c>
      <c r="BF20" s="171">
        <f t="shared" si="5"/>
        <v>1.2323620000000002</v>
      </c>
      <c r="BG20" s="171">
        <f t="shared" si="5"/>
        <v>148.86122399999994</v>
      </c>
      <c r="BH20" s="171">
        <f t="shared" si="5"/>
        <v>0</v>
      </c>
      <c r="BI20" s="171">
        <f t="shared" si="5"/>
        <v>2.67066625</v>
      </c>
      <c r="BJ20" s="171">
        <f t="shared" si="5"/>
        <v>0</v>
      </c>
      <c r="BK20" s="171">
        <f t="shared" si="5"/>
        <v>23.999184296875001</v>
      </c>
      <c r="BL20" s="171">
        <f t="shared" si="5"/>
        <v>37.721139999999991</v>
      </c>
      <c r="BM20" s="171">
        <f t="shared" si="5"/>
        <v>29.573828000000006</v>
      </c>
      <c r="BN20" s="171">
        <f t="shared" si="5"/>
        <v>12.15001</v>
      </c>
      <c r="BO20" s="171">
        <f t="shared" si="5"/>
        <v>6.9710060000000009</v>
      </c>
      <c r="BP20" s="171">
        <f t="shared" si="5"/>
        <v>24.357512000000014</v>
      </c>
      <c r="BQ20" s="171">
        <f t="shared" si="5"/>
        <v>390.01933599999995</v>
      </c>
      <c r="BR20" s="171">
        <f t="shared" ref="BR20:CW20" si="6">SUM(BR7:BR18)</f>
        <v>4.1286514999999993</v>
      </c>
      <c r="BS20" s="171">
        <f t="shared" si="6"/>
        <v>0</v>
      </c>
      <c r="BT20" s="171">
        <f t="shared" si="6"/>
        <v>3.6059860000000001</v>
      </c>
      <c r="BU20" s="171">
        <f t="shared" si="6"/>
        <v>2.4649962500000004</v>
      </c>
      <c r="BV20" s="171">
        <f t="shared" si="6"/>
        <v>147.09249600000015</v>
      </c>
      <c r="BW20" s="171">
        <f t="shared" si="6"/>
        <v>0</v>
      </c>
      <c r="BX20" s="171">
        <f t="shared" si="6"/>
        <v>5.6177366249999992</v>
      </c>
      <c r="BY20" s="171">
        <f t="shared" si="6"/>
        <v>3.3549999999986114E-4</v>
      </c>
      <c r="BZ20" s="171">
        <f t="shared" si="6"/>
        <v>0</v>
      </c>
      <c r="CA20" s="171">
        <f t="shared" si="6"/>
        <v>0</v>
      </c>
      <c r="CB20" s="171">
        <f t="shared" si="6"/>
        <v>0</v>
      </c>
      <c r="CC20" s="171">
        <f t="shared" si="6"/>
        <v>0.31650851702880878</v>
      </c>
      <c r="CD20" s="171">
        <f t="shared" si="6"/>
        <v>12.686031999999997</v>
      </c>
      <c r="CE20" s="171">
        <f t="shared" si="6"/>
        <v>0</v>
      </c>
      <c r="CF20" s="171">
        <f t="shared" si="6"/>
        <v>1.607782</v>
      </c>
      <c r="CG20" s="171">
        <f t="shared" si="6"/>
        <v>2.4425299999999996</v>
      </c>
      <c r="CH20" s="171">
        <f t="shared" si="6"/>
        <v>187.71789599999994</v>
      </c>
      <c r="CI20" s="171">
        <f t="shared" si="6"/>
        <v>0.11042200000000124</v>
      </c>
      <c r="CJ20" s="171">
        <f t="shared" si="6"/>
        <v>5.1371025000000001</v>
      </c>
      <c r="CK20" s="171">
        <f t="shared" si="6"/>
        <v>25.354461999999995</v>
      </c>
      <c r="CL20" s="171">
        <f t="shared" si="6"/>
        <v>139.55168799999996</v>
      </c>
      <c r="CM20" s="171">
        <f t="shared" si="6"/>
        <v>0</v>
      </c>
      <c r="CN20" s="171">
        <f t="shared" si="6"/>
        <v>19.294352516967791</v>
      </c>
      <c r="CO20" s="171">
        <f t="shared" si="6"/>
        <v>0</v>
      </c>
      <c r="CP20" s="171">
        <f t="shared" si="6"/>
        <v>0</v>
      </c>
      <c r="CQ20" s="171">
        <f t="shared" si="6"/>
        <v>0.6453736479492187</v>
      </c>
      <c r="CR20" s="171">
        <f t="shared" si="6"/>
        <v>0</v>
      </c>
      <c r="CS20" s="171">
        <f t="shared" si="6"/>
        <v>17.438619999999993</v>
      </c>
      <c r="CT20" s="171">
        <f t="shared" si="6"/>
        <v>1.1639381874999999</v>
      </c>
      <c r="CU20" s="171">
        <f t="shared" si="6"/>
        <v>0</v>
      </c>
      <c r="CV20" s="171">
        <f t="shared" si="6"/>
        <v>0</v>
      </c>
      <c r="CW20" s="171">
        <f t="shared" si="6"/>
        <v>0.6578168218994136</v>
      </c>
      <c r="CX20" s="171">
        <f t="shared" ref="CX20:EC20" si="7">SUM(CX7:CX18)</f>
        <v>1.999999999999997E-3</v>
      </c>
      <c r="CY20" s="171">
        <f t="shared" si="7"/>
        <v>65.781420000000011</v>
      </c>
      <c r="CZ20" s="171">
        <f t="shared" si="7"/>
        <v>20.482617687500003</v>
      </c>
      <c r="DA20" s="171">
        <f t="shared" si="7"/>
        <v>0</v>
      </c>
      <c r="DB20" s="171">
        <f t="shared" si="7"/>
        <v>0</v>
      </c>
      <c r="DC20" s="171">
        <f t="shared" si="7"/>
        <v>0</v>
      </c>
      <c r="DD20" s="171">
        <f t="shared" si="7"/>
        <v>0</v>
      </c>
      <c r="DE20" s="171">
        <f t="shared" si="7"/>
        <v>4.2234459999999991</v>
      </c>
      <c r="DF20" s="171">
        <f t="shared" si="7"/>
        <v>0</v>
      </c>
      <c r="DG20" s="171">
        <f t="shared" si="7"/>
        <v>0.50996924999999971</v>
      </c>
      <c r="DH20" s="171">
        <f t="shared" si="7"/>
        <v>0</v>
      </c>
      <c r="DI20" s="171">
        <f t="shared" si="7"/>
        <v>0</v>
      </c>
      <c r="DJ20" s="171">
        <f t="shared" si="7"/>
        <v>0</v>
      </c>
      <c r="DK20" s="171">
        <f t="shared" si="7"/>
        <v>80.867662000000067</v>
      </c>
      <c r="DL20" s="171">
        <f t="shared" si="7"/>
        <v>342.97351999999989</v>
      </c>
      <c r="DM20" s="171">
        <f t="shared" si="7"/>
        <v>3.555699500000002</v>
      </c>
      <c r="DN20" s="171">
        <f t="shared" si="7"/>
        <v>48.694671999999997</v>
      </c>
      <c r="DO20" s="171">
        <f t="shared" si="7"/>
        <v>0</v>
      </c>
      <c r="DP20" s="171">
        <f t="shared" si="7"/>
        <v>1.0468749999936303E-5</v>
      </c>
      <c r="DQ20" s="171">
        <f t="shared" si="7"/>
        <v>9.6275719999999989</v>
      </c>
      <c r="DR20" s="171">
        <f t="shared" si="7"/>
        <v>0</v>
      </c>
      <c r="DS20" s="171">
        <f t="shared" si="7"/>
        <v>12.934123999999999</v>
      </c>
      <c r="DT20" s="171">
        <f t="shared" si="7"/>
        <v>0</v>
      </c>
      <c r="DU20" s="171">
        <f t="shared" si="7"/>
        <v>1.1734228125000001</v>
      </c>
      <c r="DV20" s="171">
        <f t="shared" si="7"/>
        <v>2.6732159999999978</v>
      </c>
      <c r="DW20" s="171">
        <f t="shared" si="7"/>
        <v>20.128449999999987</v>
      </c>
      <c r="DX20" s="171">
        <f t="shared" si="7"/>
        <v>1.2119409999999997</v>
      </c>
      <c r="DY20" s="171">
        <f t="shared" si="7"/>
        <v>1.4904106250000004</v>
      </c>
      <c r="DZ20" s="171">
        <f t="shared" si="7"/>
        <v>23.751196000000004</v>
      </c>
      <c r="EA20" s="171">
        <f t="shared" si="7"/>
        <v>9.2434899999999978</v>
      </c>
      <c r="EB20" s="171">
        <f t="shared" si="7"/>
        <v>7.0375172499999934</v>
      </c>
      <c r="EC20" s="171">
        <f t="shared" si="7"/>
        <v>1.7846738027343734</v>
      </c>
      <c r="ED20" s="171">
        <f t="shared" ref="ED20:FI20" si="8">SUM(ED7:ED18)</f>
        <v>0</v>
      </c>
      <c r="EE20" s="171">
        <f t="shared" si="8"/>
        <v>0</v>
      </c>
      <c r="EF20" s="171">
        <f t="shared" si="8"/>
        <v>0.96151149999999919</v>
      </c>
      <c r="EG20" s="171">
        <f t="shared" si="8"/>
        <v>21.203488000000011</v>
      </c>
      <c r="EH20" s="171">
        <f t="shared" si="8"/>
        <v>364.49851199999989</v>
      </c>
      <c r="EI20" s="171">
        <f t="shared" si="8"/>
        <v>0</v>
      </c>
      <c r="EJ20" s="171">
        <f t="shared" si="8"/>
        <v>5.2892360000000052</v>
      </c>
      <c r="EK20" s="171">
        <f t="shared" si="8"/>
        <v>1.4864804003906236</v>
      </c>
      <c r="EL20" s="171">
        <f t="shared" si="8"/>
        <v>3.329229999999999</v>
      </c>
      <c r="EM20" s="171">
        <f t="shared" si="8"/>
        <v>0.11519481250000012</v>
      </c>
      <c r="EN20" s="171">
        <f t="shared" si="8"/>
        <v>52.891256000000041</v>
      </c>
      <c r="EO20" s="171">
        <f t="shared" si="8"/>
        <v>3.0234820000000004</v>
      </c>
      <c r="EP20" s="171">
        <f t="shared" si="8"/>
        <v>0</v>
      </c>
      <c r="EQ20" s="171">
        <f t="shared" si="8"/>
        <v>0</v>
      </c>
      <c r="ER20" s="171">
        <f t="shared" si="8"/>
        <v>108.09169600000007</v>
      </c>
      <c r="ES20" s="171">
        <f t="shared" si="8"/>
        <v>28.204713281249994</v>
      </c>
      <c r="ET20" s="171">
        <f t="shared" si="8"/>
        <v>1.1417480000000029</v>
      </c>
      <c r="EU20" s="171">
        <f t="shared" si="8"/>
        <v>0.73804249999999949</v>
      </c>
      <c r="EV20" s="171">
        <f t="shared" si="8"/>
        <v>0</v>
      </c>
      <c r="EW20" s="171">
        <f t="shared" si="8"/>
        <v>12.764227867187497</v>
      </c>
      <c r="EX20" s="171">
        <f t="shared" si="8"/>
        <v>0.81459756542968753</v>
      </c>
      <c r="EY20" s="171">
        <f t="shared" si="8"/>
        <v>7.4520500000000016</v>
      </c>
      <c r="EZ20" s="171">
        <f t="shared" si="8"/>
        <v>3.491237500000003E-2</v>
      </c>
      <c r="FA20" s="171">
        <f t="shared" si="8"/>
        <v>94.700807999999981</v>
      </c>
      <c r="FB20" s="171">
        <f t="shared" si="8"/>
        <v>44.779423999999999</v>
      </c>
      <c r="FC20" s="171">
        <f t="shared" si="8"/>
        <v>2.6054365625000004</v>
      </c>
      <c r="FD20" s="171">
        <f t="shared" si="8"/>
        <v>130.19897200000003</v>
      </c>
      <c r="FE20" s="171">
        <f t="shared" si="8"/>
        <v>787.80602999999815</v>
      </c>
      <c r="FF20" s="171">
        <f t="shared" si="8"/>
        <v>0</v>
      </c>
      <c r="FG20" s="171">
        <f t="shared" si="8"/>
        <v>36.438847999999808</v>
      </c>
      <c r="FH20" s="171">
        <f t="shared" si="8"/>
        <v>47.980672000000098</v>
      </c>
      <c r="FI20" s="171">
        <f t="shared" si="8"/>
        <v>3.1243200000000253</v>
      </c>
      <c r="FJ20" s="171">
        <f t="shared" ref="FJ20:GE20" si="9">SUM(FJ7:FJ18)</f>
        <v>2.126079999999837</v>
      </c>
      <c r="FK20" s="171">
        <f t="shared" si="9"/>
        <v>127.51820800000004</v>
      </c>
      <c r="FL20" s="171">
        <f t="shared" si="9"/>
        <v>204.79974399999983</v>
      </c>
      <c r="FM20" s="171">
        <f t="shared" si="9"/>
        <v>147.27296000000058</v>
      </c>
      <c r="FN20" s="171">
        <f t="shared" si="9"/>
        <v>38.966784000000025</v>
      </c>
      <c r="FO20" s="171">
        <f t="shared" si="9"/>
        <v>1.1520000000018601E-3</v>
      </c>
      <c r="FP20" s="171">
        <f t="shared" si="9"/>
        <v>91.360843000000017</v>
      </c>
      <c r="FQ20" s="171">
        <f t="shared" si="9"/>
        <v>0</v>
      </c>
      <c r="FR20" s="171">
        <f t="shared" si="9"/>
        <v>34.711295999999983</v>
      </c>
      <c r="FS20" s="171">
        <f t="shared" si="9"/>
        <v>34.769179999999992</v>
      </c>
      <c r="FT20" s="171">
        <f t="shared" si="9"/>
        <v>348.81246400000003</v>
      </c>
      <c r="FU20" s="171">
        <f t="shared" si="9"/>
        <v>544.07030700000018</v>
      </c>
      <c r="FV20" s="171">
        <f t="shared" si="9"/>
        <v>336.63031700000005</v>
      </c>
      <c r="FW20" s="171">
        <f t="shared" si="9"/>
        <v>307.60800699999993</v>
      </c>
      <c r="FX20" s="171">
        <f t="shared" si="9"/>
        <v>336.57127199999832</v>
      </c>
      <c r="FY20" s="171">
        <f t="shared" si="9"/>
        <v>528.07465599999557</v>
      </c>
      <c r="FZ20" s="171">
        <f t="shared" si="9"/>
        <v>324.25871999999993</v>
      </c>
      <c r="GA20" s="171">
        <f t="shared" si="9"/>
        <v>298.952704000003</v>
      </c>
      <c r="GB20" s="171">
        <f t="shared" si="9"/>
        <v>2258.5724487500001</v>
      </c>
      <c r="GC20" s="171">
        <f t="shared" si="9"/>
        <v>2024.8490859999979</v>
      </c>
      <c r="GD20" s="171">
        <f t="shared" si="9"/>
        <v>233.72336275000225</v>
      </c>
      <c r="GE20" s="171" t="e">
        <f t="shared" si="9"/>
        <v>#DIV/0!</v>
      </c>
    </row>
  </sheetData>
  <mergeCells count="37">
    <mergeCell ref="B2:D2"/>
    <mergeCell ref="F2:GE2"/>
    <mergeCell ref="B3:B5"/>
    <mergeCell ref="C3:L3"/>
    <mergeCell ref="M3:Q3"/>
    <mergeCell ref="R3:AS3"/>
    <mergeCell ref="AT3:BP3"/>
    <mergeCell ref="BQ3:FQ3"/>
    <mergeCell ref="FR3:GA3"/>
    <mergeCell ref="GB3:GB6"/>
    <mergeCell ref="GC3:GC6"/>
    <mergeCell ref="GD3:GD6"/>
    <mergeCell ref="GE3:GE6"/>
    <mergeCell ref="C4:G5"/>
    <mergeCell ref="H4:H5"/>
    <mergeCell ref="I4:K5"/>
    <mergeCell ref="L4:L5"/>
    <mergeCell ref="M4:Q5"/>
    <mergeCell ref="R4:V5"/>
    <mergeCell ref="W4:AC5"/>
    <mergeCell ref="EH4:FD5"/>
    <mergeCell ref="AD4:AE5"/>
    <mergeCell ref="AF4:AK5"/>
    <mergeCell ref="AL4:AN5"/>
    <mergeCell ref="AO4:AP5"/>
    <mergeCell ref="AQ4:AR5"/>
    <mergeCell ref="AS4:AS5"/>
    <mergeCell ref="AT4:BF5"/>
    <mergeCell ref="BG4:BP5"/>
    <mergeCell ref="BQ4:CK5"/>
    <mergeCell ref="CL4:DK5"/>
    <mergeCell ref="DL4:EG5"/>
    <mergeCell ref="FE4:FQ5"/>
    <mergeCell ref="FR4:FR5"/>
    <mergeCell ref="FS4:FS5"/>
    <mergeCell ref="FT4:FW5"/>
    <mergeCell ref="FX4:GA5"/>
  </mergeCells>
  <phoneticPr fontId="47" type="noConversion"/>
  <pageMargins left="0.7" right="0.7" top="0.75" bottom="0.75" header="0.3" footer="0.3"/>
  <pageSetup orientation="portrait" r:id="rId1"/>
  <headerFooter>
    <oddFooter>&amp;C&amp;1#&amp;"Arial"&amp;6&amp;K626469Internal</oddFoot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05FDD-B7E9-4431-AE47-90F9EA584756}">
  <sheetPr codeName="Sheet31"/>
  <dimension ref="A1:FH158"/>
  <sheetViews>
    <sheetView topLeftCell="K55" zoomScale="85" workbookViewId="0">
      <selection activeCell="P62" sqref="P62"/>
    </sheetView>
  </sheetViews>
  <sheetFormatPr defaultRowHeight="12.5" x14ac:dyDescent="0.25"/>
  <cols>
    <col min="1" max="1" width="29" customWidth="1"/>
    <col min="3" max="3" width="45.7265625" bestFit="1" customWidth="1"/>
    <col min="4" max="4" width="12.54296875" customWidth="1"/>
    <col min="5" max="5" width="11.7265625" customWidth="1"/>
    <col min="6" max="10" width="6.54296875" style="4" customWidth="1"/>
    <col min="11" max="14" width="17.54296875" customWidth="1"/>
    <col min="15" max="32" width="9" customWidth="1"/>
    <col min="134" max="134" width="14.81640625" bestFit="1" customWidth="1"/>
  </cols>
  <sheetData>
    <row r="1" spans="1:164" x14ac:dyDescent="0.25">
      <c r="A1" s="217" t="s">
        <v>689</v>
      </c>
      <c r="B1" s="217"/>
      <c r="C1" s="217"/>
      <c r="D1" s="217"/>
      <c r="E1" s="217"/>
      <c r="F1" s="321"/>
      <c r="G1" s="161"/>
      <c r="H1" s="322" t="s">
        <v>690</v>
      </c>
      <c r="I1" s="217"/>
      <c r="J1" s="321"/>
    </row>
    <row r="2" spans="1:164" ht="14.15" customHeight="1" x14ac:dyDescent="0.25">
      <c r="A2" s="330" t="s">
        <v>655</v>
      </c>
      <c r="B2" s="137">
        <v>1</v>
      </c>
      <c r="C2" s="139" t="s">
        <v>149</v>
      </c>
      <c r="D2" s="142">
        <f>DAILY_ENERGY!C34</f>
        <v>17.672433999999999</v>
      </c>
      <c r="E2" s="142">
        <f>DAILY_ENERGY!D34</f>
        <v>17.672433999999999</v>
      </c>
      <c r="F2" s="142">
        <f>DAILY_ENERGY!E34</f>
        <v>0</v>
      </c>
      <c r="G2" s="142"/>
      <c r="H2" s="142">
        <f>SHIFT_A!E34</f>
        <v>0</v>
      </c>
      <c r="I2" s="142">
        <f>SHIFT_B!E34</f>
        <v>0</v>
      </c>
      <c r="J2" s="142">
        <f>SHIFT_C!E34</f>
        <v>0</v>
      </c>
      <c r="K2" s="162">
        <f>SUM(H2:J2)</f>
        <v>0</v>
      </c>
      <c r="L2" s="163">
        <f>F2-K2</f>
        <v>0</v>
      </c>
      <c r="M2" s="52"/>
      <c r="N2" s="52"/>
      <c r="O2" s="330" t="s">
        <v>655</v>
      </c>
      <c r="P2" s="331"/>
      <c r="Q2" s="331"/>
      <c r="R2" s="331"/>
      <c r="S2" s="331"/>
      <c r="T2" s="331"/>
      <c r="U2" s="331"/>
      <c r="V2" s="331"/>
      <c r="W2" s="331"/>
      <c r="X2" s="331"/>
      <c r="Y2" s="331"/>
      <c r="Z2" s="331"/>
      <c r="AA2" s="331"/>
      <c r="AB2" s="331"/>
      <c r="AC2" s="331"/>
      <c r="AD2" s="331"/>
      <c r="AE2" s="331"/>
      <c r="AF2" s="332"/>
      <c r="AG2" s="323" t="s">
        <v>462</v>
      </c>
      <c r="AH2" s="323"/>
      <c r="AI2" s="323"/>
      <c r="AJ2" s="323"/>
      <c r="AK2" s="323"/>
      <c r="AL2" s="323"/>
      <c r="AM2" s="323"/>
      <c r="AN2" s="323"/>
      <c r="AO2" s="323"/>
      <c r="AP2" s="323"/>
      <c r="AQ2" s="323"/>
      <c r="AR2" s="323"/>
      <c r="AS2" s="323"/>
      <c r="AT2" s="323"/>
      <c r="AU2" s="323"/>
      <c r="AV2" s="323"/>
      <c r="AW2" s="323"/>
      <c r="AX2" s="333" t="s">
        <v>461</v>
      </c>
      <c r="AY2" s="333"/>
      <c r="AZ2" s="333"/>
      <c r="BA2" s="333"/>
      <c r="BB2" s="323" t="s">
        <v>460</v>
      </c>
      <c r="BC2" s="323"/>
      <c r="BD2" s="315" t="s">
        <v>459</v>
      </c>
      <c r="BE2" s="315"/>
      <c r="BF2" s="315"/>
      <c r="BG2" s="315"/>
      <c r="BH2" s="315"/>
      <c r="BI2" s="315"/>
      <c r="BJ2" s="315"/>
      <c r="BK2" s="315"/>
      <c r="BL2" s="315"/>
      <c r="BM2" s="324" t="s">
        <v>457</v>
      </c>
      <c r="BN2" s="325"/>
      <c r="BO2" s="325"/>
      <c r="BP2" s="325"/>
      <c r="BQ2" s="325"/>
      <c r="BR2" s="325"/>
      <c r="BS2" s="325"/>
      <c r="BT2" s="325"/>
      <c r="BU2" s="325"/>
      <c r="BV2" s="325"/>
      <c r="BW2" s="325"/>
      <c r="BX2" s="326"/>
      <c r="BY2" s="327" t="s">
        <v>236</v>
      </c>
      <c r="BZ2" s="328"/>
      <c r="CA2" s="328"/>
      <c r="CB2" s="328"/>
      <c r="CC2" s="328"/>
      <c r="CD2" s="328"/>
      <c r="CE2" s="329"/>
      <c r="CF2" s="323" t="s">
        <v>456</v>
      </c>
      <c r="CG2" s="323"/>
      <c r="CH2" s="323"/>
      <c r="CI2" s="323"/>
      <c r="CJ2" s="323"/>
      <c r="CK2" s="323"/>
      <c r="CL2" s="315" t="s">
        <v>455</v>
      </c>
      <c r="CM2" s="315"/>
      <c r="CN2" s="315"/>
      <c r="CO2" s="315"/>
      <c r="CP2" s="316" t="s">
        <v>454</v>
      </c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8"/>
      <c r="DE2" s="315" t="s">
        <v>656</v>
      </c>
      <c r="DF2" s="315"/>
      <c r="DG2" s="315"/>
      <c r="DH2" s="315"/>
      <c r="DI2" s="315"/>
      <c r="DJ2" s="315"/>
      <c r="DK2" s="315"/>
      <c r="DL2" s="315"/>
      <c r="DM2" s="315"/>
      <c r="DN2" s="315"/>
      <c r="DO2" s="319" t="s">
        <v>657</v>
      </c>
      <c r="DP2" s="320"/>
      <c r="DQ2" s="320"/>
      <c r="DR2" s="320"/>
      <c r="DS2" s="320"/>
      <c r="DT2" s="320"/>
      <c r="DU2" s="320"/>
      <c r="DV2" s="320"/>
      <c r="DW2" s="320"/>
      <c r="DX2" s="320"/>
      <c r="DY2" s="320"/>
      <c r="DZ2" s="320"/>
      <c r="EA2" s="320"/>
      <c r="EB2" s="320"/>
      <c r="EC2" s="320"/>
      <c r="ED2" s="320"/>
    </row>
    <row r="3" spans="1:164" x14ac:dyDescent="0.25">
      <c r="A3" s="331"/>
      <c r="B3" s="137">
        <v>2</v>
      </c>
      <c r="C3" s="139" t="s">
        <v>275</v>
      </c>
      <c r="D3" s="142">
        <f>DAILY_ENERGY!C64</f>
        <v>16.271673</v>
      </c>
      <c r="E3" s="142">
        <f>DAILY_ENERGY!D64</f>
        <v>16.272221999999999</v>
      </c>
      <c r="F3" s="142">
        <f>DAILY_ENERGY!E64</f>
        <v>5.4899999999946658E-4</v>
      </c>
      <c r="G3" s="142"/>
      <c r="H3" s="142">
        <f>SHIFT_A!E64</f>
        <v>5.3199999999975489E-4</v>
      </c>
      <c r="I3" s="142">
        <f>SHIFT_B!E64</f>
        <v>0</v>
      </c>
      <c r="J3" s="142">
        <f>SHIFT_C!E64</f>
        <v>1.699999999971169E-5</v>
      </c>
      <c r="K3" s="162">
        <f t="shared" ref="K3:K66" si="0">SUM(H3:J3)</f>
        <v>5.4899999999946658E-4</v>
      </c>
      <c r="L3" s="163">
        <f t="shared" ref="L3:L66" si="1">F3-K3</f>
        <v>0</v>
      </c>
      <c r="O3" s="137">
        <v>1</v>
      </c>
      <c r="P3" s="137">
        <v>2</v>
      </c>
      <c r="Q3" s="137">
        <v>3</v>
      </c>
      <c r="R3" s="137">
        <v>4</v>
      </c>
      <c r="S3" s="137">
        <v>5</v>
      </c>
      <c r="T3" s="137">
        <v>6</v>
      </c>
      <c r="U3" s="137">
        <v>7</v>
      </c>
      <c r="V3" s="137">
        <v>8</v>
      </c>
      <c r="W3" s="137">
        <v>9</v>
      </c>
      <c r="X3" s="137">
        <v>10</v>
      </c>
      <c r="Y3" s="137">
        <v>11</v>
      </c>
      <c r="Z3" s="137">
        <v>12</v>
      </c>
      <c r="AA3" s="137">
        <v>13</v>
      </c>
      <c r="AB3" s="137">
        <v>14</v>
      </c>
      <c r="AC3" s="137">
        <v>15</v>
      </c>
      <c r="AD3" s="137">
        <v>16</v>
      </c>
      <c r="AE3" s="137">
        <v>17</v>
      </c>
      <c r="AF3" s="137">
        <v>18</v>
      </c>
      <c r="AG3" s="137">
        <v>19</v>
      </c>
      <c r="AH3" s="137">
        <v>20</v>
      </c>
      <c r="AI3" s="137">
        <v>21</v>
      </c>
      <c r="AJ3" s="137">
        <v>22</v>
      </c>
      <c r="AK3" s="137">
        <v>23</v>
      </c>
      <c r="AL3" s="137">
        <v>24</v>
      </c>
      <c r="AM3" s="137">
        <v>25</v>
      </c>
      <c r="AN3" s="137">
        <v>26</v>
      </c>
      <c r="AO3" s="137">
        <v>27</v>
      </c>
      <c r="AP3" s="137">
        <v>28</v>
      </c>
      <c r="AQ3" s="137">
        <v>29</v>
      </c>
      <c r="AR3" s="137">
        <v>30</v>
      </c>
      <c r="AS3" s="137">
        <v>31</v>
      </c>
      <c r="AT3" s="137">
        <v>32</v>
      </c>
      <c r="AU3" s="137">
        <v>33</v>
      </c>
      <c r="AV3" s="137">
        <v>34</v>
      </c>
      <c r="AW3" s="137">
        <v>35</v>
      </c>
      <c r="AX3" s="137">
        <v>36</v>
      </c>
      <c r="AY3" s="137">
        <v>37</v>
      </c>
      <c r="AZ3" s="137">
        <v>38</v>
      </c>
      <c r="BA3" s="137">
        <v>39</v>
      </c>
      <c r="BB3" s="137">
        <v>40</v>
      </c>
      <c r="BC3" s="137">
        <v>41</v>
      </c>
      <c r="BD3" s="137">
        <v>42</v>
      </c>
      <c r="BE3" s="137">
        <v>43</v>
      </c>
      <c r="BF3" s="137">
        <v>44</v>
      </c>
      <c r="BG3" s="137">
        <v>45</v>
      </c>
      <c r="BH3" s="137">
        <v>46</v>
      </c>
      <c r="BI3" s="137">
        <v>47</v>
      </c>
      <c r="BJ3" s="137">
        <v>48</v>
      </c>
      <c r="BK3" s="137">
        <v>49</v>
      </c>
      <c r="BL3" s="137">
        <v>50</v>
      </c>
      <c r="BM3" s="137">
        <v>51</v>
      </c>
      <c r="BN3" s="137">
        <v>52</v>
      </c>
      <c r="BO3" s="137">
        <v>53</v>
      </c>
      <c r="BP3" s="137">
        <v>54</v>
      </c>
      <c r="BQ3" s="137">
        <v>55</v>
      </c>
      <c r="BR3" s="137">
        <v>56</v>
      </c>
      <c r="BS3" s="137">
        <v>57</v>
      </c>
      <c r="BT3" s="137">
        <v>58</v>
      </c>
      <c r="BU3" s="137">
        <v>59</v>
      </c>
      <c r="BV3" s="137">
        <v>60</v>
      </c>
      <c r="BW3" s="137">
        <v>61</v>
      </c>
      <c r="BX3" s="137">
        <v>62</v>
      </c>
      <c r="BY3" s="137">
        <v>63</v>
      </c>
      <c r="BZ3" s="137">
        <v>64</v>
      </c>
      <c r="CA3" s="137">
        <v>65</v>
      </c>
      <c r="CB3" s="137">
        <v>66</v>
      </c>
      <c r="CC3" s="137">
        <v>67</v>
      </c>
      <c r="CD3" s="137">
        <v>68</v>
      </c>
      <c r="CE3" s="137">
        <v>69</v>
      </c>
      <c r="CF3" s="137">
        <v>70</v>
      </c>
      <c r="CG3" s="137">
        <v>71</v>
      </c>
      <c r="CH3" s="137">
        <v>72</v>
      </c>
      <c r="CI3" s="137">
        <v>73</v>
      </c>
      <c r="CJ3" s="137">
        <v>74</v>
      </c>
      <c r="CK3" s="137">
        <v>75</v>
      </c>
      <c r="CL3" s="137">
        <v>76</v>
      </c>
      <c r="CM3" s="137">
        <v>77</v>
      </c>
      <c r="CN3" s="137">
        <v>78</v>
      </c>
      <c r="CO3" s="137">
        <v>79</v>
      </c>
      <c r="CP3" s="137">
        <v>80</v>
      </c>
      <c r="CQ3" s="137">
        <v>81</v>
      </c>
      <c r="CR3" s="137">
        <v>82</v>
      </c>
      <c r="CS3" s="137">
        <v>83</v>
      </c>
      <c r="CT3" s="137">
        <v>84</v>
      </c>
      <c r="CU3" s="137">
        <v>85</v>
      </c>
      <c r="CV3" s="137">
        <v>86</v>
      </c>
      <c r="CW3" s="137">
        <v>87</v>
      </c>
      <c r="CX3" s="137">
        <v>88</v>
      </c>
      <c r="CY3" s="137">
        <v>89</v>
      </c>
      <c r="CZ3" s="137">
        <v>90</v>
      </c>
      <c r="DA3" s="137">
        <v>91</v>
      </c>
      <c r="DB3" s="137">
        <v>92</v>
      </c>
      <c r="DC3" s="137">
        <v>93</v>
      </c>
      <c r="DD3" s="137">
        <v>94</v>
      </c>
      <c r="DE3" s="137">
        <v>95</v>
      </c>
      <c r="DF3" s="137">
        <v>96</v>
      </c>
      <c r="DG3" s="137">
        <v>97</v>
      </c>
      <c r="DH3" s="137">
        <v>98</v>
      </c>
      <c r="DI3" s="137">
        <v>99</v>
      </c>
      <c r="DJ3" s="137">
        <v>100</v>
      </c>
      <c r="DK3" s="137">
        <v>101</v>
      </c>
      <c r="DL3" s="137">
        <v>102</v>
      </c>
      <c r="DM3" s="137">
        <v>103</v>
      </c>
      <c r="DN3" s="137">
        <v>104</v>
      </c>
      <c r="DO3" s="137">
        <v>105</v>
      </c>
      <c r="DP3" s="137">
        <v>106</v>
      </c>
      <c r="DQ3" s="137">
        <v>107</v>
      </c>
      <c r="DR3" s="137">
        <v>108</v>
      </c>
      <c r="DS3" s="137">
        <v>109</v>
      </c>
      <c r="DT3" s="137">
        <v>110</v>
      </c>
      <c r="DU3" s="137">
        <v>111</v>
      </c>
      <c r="DV3" s="137">
        <v>112</v>
      </c>
      <c r="DW3" s="137">
        <v>113</v>
      </c>
      <c r="DX3" s="137">
        <v>114</v>
      </c>
      <c r="DY3" s="137">
        <v>115</v>
      </c>
      <c r="DZ3" s="137">
        <v>116</v>
      </c>
      <c r="EA3" s="137">
        <v>117</v>
      </c>
      <c r="EB3" s="137">
        <v>118</v>
      </c>
      <c r="EC3" s="137">
        <v>119</v>
      </c>
      <c r="ED3" s="137">
        <v>120</v>
      </c>
    </row>
    <row r="4" spans="1:164" x14ac:dyDescent="0.25">
      <c r="A4" s="331"/>
      <c r="B4" s="137">
        <v>3</v>
      </c>
      <c r="C4" s="139" t="s">
        <v>276</v>
      </c>
      <c r="D4" s="142">
        <f>DAILY_ENERGY!C65</f>
        <v>7.9165859999999997</v>
      </c>
      <c r="E4" s="142">
        <f>DAILY_ENERGY!D65</f>
        <v>7.9935649999999994</v>
      </c>
      <c r="F4" s="142">
        <f>DAILY_ENERGY!E65</f>
        <v>7.6978999999999687E-2</v>
      </c>
      <c r="G4" s="142"/>
      <c r="H4" s="142">
        <f>SHIFT_A!E65</f>
        <v>2.5984000000000229E-2</v>
      </c>
      <c r="I4" s="142">
        <f>SHIFT_B!E65</f>
        <v>3.3072499999999394E-2</v>
      </c>
      <c r="J4" s="142">
        <f>SHIFT_C!E65</f>
        <v>1.7922500000000063E-2</v>
      </c>
      <c r="K4" s="162">
        <f t="shared" si="0"/>
        <v>7.6978999999999687E-2</v>
      </c>
      <c r="L4" s="163">
        <f t="shared" si="1"/>
        <v>0</v>
      </c>
      <c r="N4" s="172" t="s">
        <v>691</v>
      </c>
      <c r="O4" s="139" t="s">
        <v>149</v>
      </c>
      <c r="P4" s="139" t="s">
        <v>275</v>
      </c>
      <c r="Q4" s="139" t="s">
        <v>276</v>
      </c>
      <c r="R4" s="139" t="s">
        <v>359</v>
      </c>
      <c r="S4" s="139" t="s">
        <v>348</v>
      </c>
      <c r="T4" s="139" t="s">
        <v>325</v>
      </c>
      <c r="U4" s="139" t="s">
        <v>303</v>
      </c>
      <c r="V4" s="139" t="s">
        <v>277</v>
      </c>
      <c r="W4" s="140" t="s">
        <v>139</v>
      </c>
      <c r="X4" s="140" t="s">
        <v>145</v>
      </c>
      <c r="Y4" s="140" t="s">
        <v>148</v>
      </c>
      <c r="Z4" s="140" t="s">
        <v>150</v>
      </c>
      <c r="AA4" s="140" t="s">
        <v>270</v>
      </c>
      <c r="AB4" s="140" t="s">
        <v>264</v>
      </c>
      <c r="AC4" s="140" t="s">
        <v>315</v>
      </c>
      <c r="AD4" s="140" t="s">
        <v>316</v>
      </c>
      <c r="AE4" s="140" t="s">
        <v>320</v>
      </c>
      <c r="AF4" s="140" t="s">
        <v>321</v>
      </c>
      <c r="AG4" s="141" t="s">
        <v>140</v>
      </c>
      <c r="AH4" s="141" t="s">
        <v>141</v>
      </c>
      <c r="AI4" s="141" t="s">
        <v>142</v>
      </c>
      <c r="AJ4" s="141" t="s">
        <v>143</v>
      </c>
      <c r="AK4" s="141" t="s">
        <v>144</v>
      </c>
      <c r="AL4" s="141" t="s">
        <v>146</v>
      </c>
      <c r="AM4" s="141" t="s">
        <v>147</v>
      </c>
      <c r="AN4" s="141" t="s">
        <v>688</v>
      </c>
      <c r="AO4" s="141" t="s">
        <v>130</v>
      </c>
      <c r="AP4" s="141" t="s">
        <v>132</v>
      </c>
      <c r="AQ4" s="141" t="s">
        <v>133</v>
      </c>
      <c r="AR4" s="141" t="s">
        <v>134</v>
      </c>
      <c r="AS4" s="141" t="s">
        <v>135</v>
      </c>
      <c r="AT4" s="141" t="s">
        <v>687</v>
      </c>
      <c r="AU4" s="141" t="s">
        <v>305</v>
      </c>
      <c r="AV4" s="141" t="s">
        <v>309</v>
      </c>
      <c r="AW4" s="141" t="s">
        <v>137</v>
      </c>
      <c r="AX4" s="139" t="s">
        <v>258</v>
      </c>
      <c r="AY4" s="139" t="s">
        <v>351</v>
      </c>
      <c r="AZ4" s="139" t="s">
        <v>353</v>
      </c>
      <c r="BA4" s="139" t="s">
        <v>352</v>
      </c>
      <c r="BB4" s="141" t="s">
        <v>262</v>
      </c>
      <c r="BC4" s="141" t="s">
        <v>336</v>
      </c>
      <c r="BD4" s="139" t="s">
        <v>306</v>
      </c>
      <c r="BE4" s="139" t="s">
        <v>318</v>
      </c>
      <c r="BF4" s="139" t="s">
        <v>319</v>
      </c>
      <c r="BG4" s="139" t="s">
        <v>354</v>
      </c>
      <c r="BH4" s="139" t="s">
        <v>355</v>
      </c>
      <c r="BI4" s="139" t="s">
        <v>356</v>
      </c>
      <c r="BJ4" s="139" t="s">
        <v>357</v>
      </c>
      <c r="BK4" s="139" t="s">
        <v>358</v>
      </c>
      <c r="BL4" s="138" t="s">
        <v>653</v>
      </c>
      <c r="BM4" s="141" t="s">
        <v>288</v>
      </c>
      <c r="BN4" s="141" t="s">
        <v>335</v>
      </c>
      <c r="BO4" s="141" t="s">
        <v>298</v>
      </c>
      <c r="BP4" s="141" t="s">
        <v>300</v>
      </c>
      <c r="BQ4" s="141" t="s">
        <v>287</v>
      </c>
      <c r="BR4" s="141" t="s">
        <v>280</v>
      </c>
      <c r="BS4" s="141" t="s">
        <v>314</v>
      </c>
      <c r="BT4" s="141" t="s">
        <v>322</v>
      </c>
      <c r="BU4" s="141" t="s">
        <v>340</v>
      </c>
      <c r="BV4" s="141" t="s">
        <v>293</v>
      </c>
      <c r="BW4" s="141" t="s">
        <v>317</v>
      </c>
      <c r="BX4" s="141" t="s">
        <v>324</v>
      </c>
      <c r="BY4" s="139" t="s">
        <v>284</v>
      </c>
      <c r="BZ4" s="139" t="s">
        <v>299</v>
      </c>
      <c r="CA4" s="139" t="s">
        <v>283</v>
      </c>
      <c r="CB4" s="139" t="s">
        <v>281</v>
      </c>
      <c r="CC4" s="139" t="s">
        <v>286</v>
      </c>
      <c r="CD4" s="139" t="s">
        <v>289</v>
      </c>
      <c r="CE4" s="139" t="s">
        <v>313</v>
      </c>
      <c r="CF4" s="141" t="s">
        <v>285</v>
      </c>
      <c r="CG4" s="141" t="s">
        <v>292</v>
      </c>
      <c r="CH4" s="141" t="s">
        <v>297</v>
      </c>
      <c r="CI4" s="141" t="s">
        <v>291</v>
      </c>
      <c r="CJ4" s="141" t="s">
        <v>302</v>
      </c>
      <c r="CK4" s="141" t="s">
        <v>337</v>
      </c>
      <c r="CL4" s="139" t="s">
        <v>345</v>
      </c>
      <c r="CM4" s="139" t="s">
        <v>346</v>
      </c>
      <c r="CN4" s="139" t="s">
        <v>308</v>
      </c>
      <c r="CO4" s="139" t="s">
        <v>323</v>
      </c>
      <c r="CP4" s="141" t="s">
        <v>327</v>
      </c>
      <c r="CQ4" s="141" t="s">
        <v>333</v>
      </c>
      <c r="CR4" s="141" t="s">
        <v>282</v>
      </c>
      <c r="CS4" s="141" t="s">
        <v>290</v>
      </c>
      <c r="CT4" s="141" t="s">
        <v>338</v>
      </c>
      <c r="CU4" s="141" t="s">
        <v>334</v>
      </c>
      <c r="CV4" s="141" t="s">
        <v>344</v>
      </c>
      <c r="CW4" s="141" t="s">
        <v>332</v>
      </c>
      <c r="CX4" s="141" t="s">
        <v>341</v>
      </c>
      <c r="CY4" s="141" t="s">
        <v>342</v>
      </c>
      <c r="CZ4" s="141" t="s">
        <v>343</v>
      </c>
      <c r="DA4" s="141" t="s">
        <v>347</v>
      </c>
      <c r="DB4" s="141" t="s">
        <v>339</v>
      </c>
      <c r="DC4" s="141" t="s">
        <v>311</v>
      </c>
      <c r="DD4" s="141" t="s">
        <v>331</v>
      </c>
      <c r="DE4" s="140" t="s">
        <v>265</v>
      </c>
      <c r="DF4" s="140" t="s">
        <v>269</v>
      </c>
      <c r="DG4" s="140" t="s">
        <v>261</v>
      </c>
      <c r="DH4" s="139" t="s">
        <v>272</v>
      </c>
      <c r="DI4" s="139" t="s">
        <v>328</v>
      </c>
      <c r="DJ4" s="139" t="s">
        <v>329</v>
      </c>
      <c r="DK4" s="139" t="s">
        <v>260</v>
      </c>
      <c r="DL4" s="139" t="s">
        <v>330</v>
      </c>
      <c r="DM4" s="139" t="s">
        <v>294</v>
      </c>
      <c r="DN4" s="139" t="s">
        <v>273</v>
      </c>
      <c r="DO4" s="141" t="s">
        <v>131</v>
      </c>
      <c r="DP4" s="141" t="s">
        <v>259</v>
      </c>
      <c r="DQ4" s="141" t="s">
        <v>263</v>
      </c>
      <c r="DR4" s="141" t="s">
        <v>266</v>
      </c>
      <c r="DS4" s="141" t="s">
        <v>267</v>
      </c>
      <c r="DT4" s="141" t="s">
        <v>268</v>
      </c>
      <c r="DU4" s="141" t="s">
        <v>271</v>
      </c>
      <c r="DV4" s="141" t="s">
        <v>279</v>
      </c>
      <c r="DW4" s="141" t="s">
        <v>295</v>
      </c>
      <c r="DX4" s="141" t="s">
        <v>296</v>
      </c>
      <c r="DY4" s="141" t="s">
        <v>301</v>
      </c>
      <c r="DZ4" s="141" t="s">
        <v>307</v>
      </c>
      <c r="EA4" s="141" t="s">
        <v>310</v>
      </c>
      <c r="EB4" s="141" t="s">
        <v>312</v>
      </c>
      <c r="EC4" s="141" t="s">
        <v>350</v>
      </c>
      <c r="ED4" s="141" t="s">
        <v>360</v>
      </c>
    </row>
    <row r="5" spans="1:164" ht="14" x14ac:dyDescent="0.25">
      <c r="A5" s="331"/>
      <c r="B5" s="137">
        <v>4</v>
      </c>
      <c r="C5" s="139" t="s">
        <v>359</v>
      </c>
      <c r="D5" s="142">
        <f>DAILY_ENERGY!C148</f>
        <v>0</v>
      </c>
      <c r="E5" s="142">
        <f>DAILY_ENERGY!D148</f>
        <v>0</v>
      </c>
      <c r="F5" s="142">
        <f>DAILY_ENERGY!E148</f>
        <v>0</v>
      </c>
      <c r="G5" s="142"/>
      <c r="H5" s="142">
        <f>SHIFT_A!E148</f>
        <v>0</v>
      </c>
      <c r="I5" s="142">
        <f>SHIFT_B!E148</f>
        <v>0</v>
      </c>
      <c r="J5" s="142">
        <f>SHIFT_C!E148</f>
        <v>0</v>
      </c>
      <c r="K5" s="162">
        <f t="shared" si="0"/>
        <v>0</v>
      </c>
      <c r="L5" s="163">
        <f t="shared" si="1"/>
        <v>0</v>
      </c>
      <c r="N5" s="149" t="s">
        <v>664</v>
      </c>
      <c r="O5">
        <f>Hourly_kWh!AF7</f>
        <v>0</v>
      </c>
      <c r="P5">
        <f>Hourly_kWh!BJ7</f>
        <v>0</v>
      </c>
      <c r="Q5">
        <f>Hourly_kWh!BK7</f>
        <v>1.4760000000002549E-3</v>
      </c>
      <c r="R5">
        <f>Hourly_kWh!EP7</f>
        <v>0</v>
      </c>
      <c r="S5">
        <f>Hourly_kWh!EE7</f>
        <v>6.4349999999997465E-3</v>
      </c>
      <c r="T5">
        <f>Hourly_kWh!DH7</f>
        <v>8.2800000000027296E-4</v>
      </c>
      <c r="U5">
        <f>Hourly_kWh!CL7</f>
        <v>2.5580000000005043E-3</v>
      </c>
      <c r="V5">
        <f>Hourly_kWh!BL7</f>
        <v>0</v>
      </c>
      <c r="W5">
        <f>Hourly_kWh!V7</f>
        <v>4.9039999999997974E-3</v>
      </c>
      <c r="X5">
        <f>Hourly_kWh!AB7</f>
        <v>5.9380000000004429E-3</v>
      </c>
      <c r="Y5">
        <f>Hourly_kWh!AE7</f>
        <v>2.5915000000003019E-3</v>
      </c>
      <c r="Z5">
        <f>Hourly_kWh!AG7</f>
        <v>3.499999999991843E-4</v>
      </c>
      <c r="AA5">
        <f>Hourly_kWh!BE7</f>
        <v>4.8260000000013292E-3</v>
      </c>
      <c r="AB5">
        <f>Hourly_kWh!AY7</f>
        <v>2.146999999999899E-3</v>
      </c>
      <c r="AC5">
        <f>Hourly_kWh!CX7</f>
        <v>0</v>
      </c>
      <c r="AD5">
        <f>Hourly_kWh!CY7</f>
        <v>6.8299999999998917E-4</v>
      </c>
      <c r="AE5">
        <f>Hourly_kWh!DC7</f>
        <v>5.4675000000004026E-4</v>
      </c>
      <c r="AF5">
        <f>Hourly_kWh!DD7</f>
        <v>1.2368750000000261E-3</v>
      </c>
      <c r="AG5">
        <f>Hourly_kWh!W7</f>
        <v>2.534999999999954E-3</v>
      </c>
      <c r="AH5">
        <f>Hourly_kWh!X7</f>
        <v>2.3340000000011685E-3</v>
      </c>
      <c r="AI5">
        <f>Hourly_kWh!Y7</f>
        <v>0</v>
      </c>
      <c r="AJ5">
        <f>Hourly_kWh!Z7</f>
        <v>2.4280000000000967E-3</v>
      </c>
      <c r="AK5">
        <f>Hourly_kWh!AA7</f>
        <v>5.2619999999983236E-3</v>
      </c>
      <c r="AL5">
        <f>Hourly_kWh!AC7</f>
        <v>6.1200000000027899E-4</v>
      </c>
      <c r="AM5">
        <f>Hourly_kWh!AD7</f>
        <v>2.0449999999989643E-3</v>
      </c>
      <c r="AN5">
        <f>Hourly_kWh!AI7</f>
        <v>0</v>
      </c>
      <c r="AO5">
        <f>Hourly_kWh!AJ7</f>
        <v>9.660000000000224E-4</v>
      </c>
      <c r="AP5">
        <f>Hourly_kWh!AL7</f>
        <v>1.4871828124999986E-2</v>
      </c>
      <c r="AQ5">
        <f>Hourly_kWh!AM7</f>
        <v>1.7207999999996559E-2</v>
      </c>
      <c r="AR5">
        <f>Hourly_kWh!AN7</f>
        <v>1.596800000000087E-2</v>
      </c>
      <c r="AS5">
        <f>Hourly_kWh!AO7</f>
        <v>8.835999999995181E-3</v>
      </c>
      <c r="AT5">
        <f>Hourly_kWh!AP7</f>
        <v>4.0000000000013358E-3</v>
      </c>
      <c r="AU5">
        <f>Hourly_kWh!CN7</f>
        <v>1.8069999999994479E-3</v>
      </c>
      <c r="AV5">
        <f>Hourly_kWh!CR7</f>
        <v>8.1600000000001671E-3</v>
      </c>
      <c r="AW5">
        <f>Hourly_kWh!AQ7</f>
        <v>1.3491999999999393E-2</v>
      </c>
      <c r="AX5">
        <f>Hourly_kWh!AS7</f>
        <v>1.6175000000000495E-3</v>
      </c>
      <c r="AY5">
        <f>Hourly_kWh!EH7</f>
        <v>2.0544000000086271E-2</v>
      </c>
      <c r="AZ5">
        <f>Hourly_kWh!EJ7</f>
        <v>2.6879999999778192E-3</v>
      </c>
      <c r="BA5">
        <f>Hourly_kWh!EI7</f>
        <v>2.3103999999989355E-2</v>
      </c>
      <c r="BB5">
        <f>Hourly_kWh!AW7</f>
        <v>5.2352000000041699E-2</v>
      </c>
      <c r="BC5">
        <f>Hourly_kWh!DS7</f>
        <v>8.1856000000016138E-2</v>
      </c>
      <c r="BD5">
        <f>Hourly_kWh!CO7</f>
        <v>1.5424000000010096E-2</v>
      </c>
      <c r="BE5">
        <f>Hourly_kWh!DA7</f>
        <v>1.1372000000001492E-2</v>
      </c>
      <c r="BF5">
        <f>Hourly_kWh!DB7</f>
        <v>4.4559999999993494E-3</v>
      </c>
      <c r="BG5">
        <f>Hourly_kWh!EK7</f>
        <v>0</v>
      </c>
      <c r="BH5">
        <f>Hourly_kWh!EL7</f>
        <v>9.3055999999933192E-2</v>
      </c>
      <c r="BI5">
        <f>Hourly_kWh!EM7</f>
        <v>0.13516799999979412</v>
      </c>
      <c r="BJ5">
        <f>Hourly_kWh!EN7</f>
        <v>8.3455999999841879E-2</v>
      </c>
      <c r="BK5">
        <f>Hourly_kWh!EO7</f>
        <v>7.6799999999366264E-4</v>
      </c>
      <c r="BL5">
        <f>Hourly_kWh!ER7</f>
        <v>0.10586800000000096</v>
      </c>
      <c r="BM5">
        <f>Hourly_kWh!BW7</f>
        <v>0</v>
      </c>
      <c r="BN5">
        <f>Hourly_kWh!DR7</f>
        <v>0</v>
      </c>
      <c r="BO5">
        <f>Hourly_kWh!CG7</f>
        <v>0</v>
      </c>
      <c r="BP5">
        <f>Hourly_kWh!CI7</f>
        <v>0</v>
      </c>
      <c r="BQ5">
        <f>Hourly_kWh!BV7</f>
        <v>0</v>
      </c>
      <c r="BR5">
        <f>Hourly_kWh!BO7</f>
        <v>4.0863999999999123E-2</v>
      </c>
      <c r="BS5">
        <f>Hourly_kWh!CW7</f>
        <v>5.2120000000002165E-3</v>
      </c>
      <c r="BT5">
        <f>Hourly_kWh!DE7</f>
        <v>0</v>
      </c>
      <c r="BU5">
        <f>Hourly_kWh!DW7</f>
        <v>0</v>
      </c>
      <c r="BV5">
        <f>Hourly_kWh!CB7</f>
        <v>0</v>
      </c>
      <c r="BW5">
        <f>Hourly_kWh!CZ7</f>
        <v>1.9494999999998264E-3</v>
      </c>
      <c r="BX5">
        <f>Hourly_kWh!DG7</f>
        <v>2.2800000000007259E-3</v>
      </c>
      <c r="BY5">
        <f>Hourly_kWh!BS7</f>
        <v>0</v>
      </c>
      <c r="BZ5">
        <f>Hourly_kWh!CH7</f>
        <v>6.3199999999996592E-4</v>
      </c>
      <c r="CA5">
        <f>Hourly_kWh!BR7</f>
        <v>0</v>
      </c>
      <c r="CB5">
        <f>Hourly_kWh!BP7</f>
        <v>0</v>
      </c>
      <c r="CC5">
        <f>Hourly_kWh!BU7</f>
        <v>0</v>
      </c>
      <c r="CD5">
        <f>Hourly_kWh!BX7</f>
        <v>0</v>
      </c>
      <c r="CE5">
        <f>Hourly_kWh!CV7</f>
        <v>6.5337500000017812E-4</v>
      </c>
      <c r="CF5">
        <f>Hourly_kWh!BT7</f>
        <v>5.8000000000646423E-4</v>
      </c>
      <c r="CG5">
        <f>Hourly_kWh!CA7</f>
        <v>1.3052937500000028E-2</v>
      </c>
      <c r="CH5">
        <f>Hourly_kWh!CF7</f>
        <v>1.8090000000015038E-3</v>
      </c>
      <c r="CI5">
        <f>Hourly_kWh!BZ7</f>
        <v>2.9735999999999763E-2</v>
      </c>
      <c r="CJ5">
        <f>Hourly_kWh!CK7</f>
        <v>0</v>
      </c>
      <c r="CK5">
        <f>Hourly_kWh!DT7</f>
        <v>1.8141499999999589E-2</v>
      </c>
      <c r="CL5">
        <f>Hourly_kWh!EB7</f>
        <v>5.715200000000209E-2</v>
      </c>
      <c r="CM5">
        <f>Hourly_kWh!EC7</f>
        <v>2.3183999999986327E-2</v>
      </c>
      <c r="CN5">
        <f>Hourly_kWh!CQ7</f>
        <v>0</v>
      </c>
      <c r="CO5">
        <f>Hourly_kWh!DF7</f>
        <v>0</v>
      </c>
      <c r="CP5">
        <f>Hourly_kWh!DJ7</f>
        <v>0</v>
      </c>
      <c r="CQ5">
        <f>Hourly_kWh!DP7</f>
        <v>3.0204999999998705E-3</v>
      </c>
      <c r="CR5">
        <f>Hourly_kWh!BQ7</f>
        <v>0</v>
      </c>
      <c r="CS5">
        <f>Hourly_kWh!BY7</f>
        <v>0</v>
      </c>
      <c r="CT5">
        <f>Hourly_kWh!DU7</f>
        <v>0</v>
      </c>
      <c r="CU5">
        <f>Hourly_kWh!DQ7</f>
        <v>0</v>
      </c>
      <c r="CV5">
        <f>Hourly_kWh!EA7</f>
        <v>0</v>
      </c>
      <c r="CW5">
        <f>Hourly_kWh!DO7</f>
        <v>1.0303999999990765E-2</v>
      </c>
      <c r="CX5">
        <f>Hourly_kWh!DX7</f>
        <v>3.8290000000014146E-3</v>
      </c>
      <c r="CY5">
        <f>Hourly_kWh!DY7</f>
        <v>2.3237500000006239E-4</v>
      </c>
      <c r="CZ5">
        <f>Hourly_kWh!DZ7</f>
        <v>2.1239999999984605E-3</v>
      </c>
      <c r="DA5">
        <f>Hourly_kWh!ED7</f>
        <v>5.2547500000001968E-3</v>
      </c>
      <c r="DB5">
        <f>Hourly_kWh!DV7</f>
        <v>4.9025000000035845E-4</v>
      </c>
      <c r="DC5">
        <f>Hourly_kWh!CT7</f>
        <v>1.5056000000001291E-2</v>
      </c>
      <c r="DD5">
        <f>Hourly_kWh!DN7</f>
        <v>0</v>
      </c>
      <c r="DE5">
        <f>Hourly_kWh!AZ7</f>
        <v>0</v>
      </c>
      <c r="DF5">
        <f>Hourly_kWh!BD7</f>
        <v>1.0317187499998826E-4</v>
      </c>
      <c r="DG5">
        <f>Hourly_kWh!AV7</f>
        <v>8.5599999999974585E-4</v>
      </c>
      <c r="DH5">
        <f>Hourly_kWh!BG7</f>
        <v>9.1699999999939052E-4</v>
      </c>
      <c r="DI5">
        <f>Hourly_kWh!DK7</f>
        <v>2.7620000000005973E-3</v>
      </c>
      <c r="DJ5">
        <f>Hourly_kWh!DL7</f>
        <v>1.097312499999975E-3</v>
      </c>
      <c r="DK5">
        <f>Hourly_kWh!AU7</f>
        <v>2.4119999999996367E-3</v>
      </c>
      <c r="DL5">
        <f>Hourly_kWh!DM7</f>
        <v>1.4510000000012013E-3</v>
      </c>
      <c r="DM5">
        <f>Hourly_kWh!CC7</f>
        <v>0</v>
      </c>
      <c r="DN5">
        <f>Hourly_kWh!BH7</f>
        <v>0</v>
      </c>
      <c r="DO5">
        <f>Hourly_kWh!AK7</f>
        <v>0</v>
      </c>
      <c r="DP5">
        <f>Hourly_kWh!AT7</f>
        <v>0</v>
      </c>
      <c r="DQ5">
        <f>Hourly_kWh!AX7</f>
        <v>0</v>
      </c>
      <c r="DR5">
        <f>Hourly_kWh!BA7</f>
        <v>0</v>
      </c>
      <c r="DS5">
        <f>Hourly_kWh!BB7</f>
        <v>0</v>
      </c>
      <c r="DT5">
        <f>Hourly_kWh!BC7</f>
        <v>0</v>
      </c>
      <c r="DU5">
        <f>Hourly_kWh!BF7</f>
        <v>0</v>
      </c>
      <c r="DV5">
        <f>Hourly_kWh!BN7</f>
        <v>0</v>
      </c>
      <c r="DW5">
        <f>Hourly_kWh!CD7</f>
        <v>0</v>
      </c>
      <c r="DX5">
        <f>Hourly_kWh!CE7</f>
        <v>0</v>
      </c>
      <c r="DY5">
        <f>Hourly_kWh!CJ7</f>
        <v>0</v>
      </c>
      <c r="DZ5">
        <f>Hourly_kWh!CP7</f>
        <v>0</v>
      </c>
      <c r="EA5">
        <f>Hourly_kWh!CS7</f>
        <v>0</v>
      </c>
      <c r="EB5">
        <f>Hourly_kWh!CU7</f>
        <v>0</v>
      </c>
      <c r="EC5">
        <f>Hourly_kWh!EG7</f>
        <v>0</v>
      </c>
      <c r="ED5">
        <f>Hourly_kWh!EQ7</f>
        <v>0</v>
      </c>
    </row>
    <row r="6" spans="1:164" ht="14" x14ac:dyDescent="0.25">
      <c r="A6" s="331"/>
      <c r="B6" s="137">
        <v>5</v>
      </c>
      <c r="C6" s="139" t="s">
        <v>348</v>
      </c>
      <c r="D6" s="142">
        <f>DAILY_ENERGY!C137</f>
        <v>7.9525689999999996</v>
      </c>
      <c r="E6" s="142">
        <f>DAILY_ENERGY!D137</f>
        <v>8.0938059999999989</v>
      </c>
      <c r="F6" s="142">
        <f>DAILY_ENERGY!E137</f>
        <v>0.14123699999999939</v>
      </c>
      <c r="G6" s="142"/>
      <c r="H6" s="142">
        <f>SHIFT_A!E137</f>
        <v>4.5806999999999931E-2</v>
      </c>
      <c r="I6" s="142">
        <f>SHIFT_B!E137</f>
        <v>4.5214000000000532E-2</v>
      </c>
      <c r="J6" s="142">
        <f>SHIFT_C!E137</f>
        <v>5.0215999999998928E-2</v>
      </c>
      <c r="K6" s="162">
        <f t="shared" si="0"/>
        <v>0.14123699999999939</v>
      </c>
      <c r="L6" s="163">
        <f t="shared" si="1"/>
        <v>0</v>
      </c>
      <c r="N6" s="149" t="s">
        <v>665</v>
      </c>
      <c r="O6">
        <f>Hourly_kWh!AF8</f>
        <v>0</v>
      </c>
      <c r="P6">
        <f>Hourly_kWh!BJ8</f>
        <v>0</v>
      </c>
      <c r="Q6">
        <f>Hourly_kWh!BK8</f>
        <v>4.2844999999998024E-3</v>
      </c>
      <c r="R6">
        <f>Hourly_kWh!EP8</f>
        <v>0</v>
      </c>
      <c r="S6">
        <f>Hourly_kWh!EE8</f>
        <v>5.7404999999999262E-3</v>
      </c>
      <c r="T6">
        <f>Hourly_kWh!DH8</f>
        <v>8.854999999998725E-4</v>
      </c>
      <c r="U6">
        <f>Hourly_kWh!CL8</f>
        <v>1.6839999999973543E-3</v>
      </c>
      <c r="V6">
        <f>Hourly_kWh!BL8</f>
        <v>0</v>
      </c>
      <c r="W6">
        <f>Hourly_kWh!V8</f>
        <v>4.7220000000010032E-3</v>
      </c>
      <c r="X6">
        <f>Hourly_kWh!AB8</f>
        <v>6.118000000000734E-3</v>
      </c>
      <c r="Y6">
        <f>Hourly_kWh!AE8</f>
        <v>2.7314999999994427E-3</v>
      </c>
      <c r="Z6">
        <f>Hourly_kWh!AG8</f>
        <v>5.1650000000069696E-4</v>
      </c>
      <c r="AA6">
        <f>Hourly_kWh!BE8</f>
        <v>4.7360000000011837E-3</v>
      </c>
      <c r="AB6">
        <f>Hourly_kWh!AY8</f>
        <v>2.2155000000001479E-3</v>
      </c>
      <c r="AC6">
        <f>Hourly_kWh!CX8</f>
        <v>0</v>
      </c>
      <c r="AD6">
        <f>Hourly_kWh!CY8</f>
        <v>5.2900000000000169E-4</v>
      </c>
      <c r="AE6">
        <f>Hourly_kWh!DC8</f>
        <v>4.7807500000001113E-3</v>
      </c>
      <c r="AF6">
        <f>Hourly_kWh!DD8</f>
        <v>1.227499999999937E-3</v>
      </c>
      <c r="AG6">
        <f>Hourly_kWh!W8</f>
        <v>5.1339999999999719E-3</v>
      </c>
      <c r="AH6">
        <f>Hourly_kWh!X8</f>
        <v>3.553999999999391E-3</v>
      </c>
      <c r="AI6">
        <f>Hourly_kWh!Y8</f>
        <v>0</v>
      </c>
      <c r="AJ6">
        <f>Hourly_kWh!Z8</f>
        <v>2.3849999999985272E-3</v>
      </c>
      <c r="AK6">
        <f>Hourly_kWh!AA8</f>
        <v>5.738000000000909E-3</v>
      </c>
      <c r="AL6">
        <f>Hourly_kWh!AC8</f>
        <v>1.8820000000019377E-3</v>
      </c>
      <c r="AM6">
        <f>Hourly_kWh!AD8</f>
        <v>3.2250000000004775E-3</v>
      </c>
      <c r="AN6">
        <f>Hourly_kWh!AI8</f>
        <v>0</v>
      </c>
      <c r="AO6">
        <f>Hourly_kWh!AJ8</f>
        <v>1.4865000000003903E-3</v>
      </c>
      <c r="AP6">
        <f>Hourly_kWh!AL8</f>
        <v>1.4886234375000001E-2</v>
      </c>
      <c r="AQ6">
        <f>Hourly_kWh!AM8</f>
        <v>1.8935999999996511E-2</v>
      </c>
      <c r="AR6">
        <f>Hourly_kWh!AN8</f>
        <v>1.6400000000004411E-2</v>
      </c>
      <c r="AS6">
        <f>Hourly_kWh!AO8</f>
        <v>8.2840000000032887E-3</v>
      </c>
      <c r="AT6">
        <f>Hourly_kWh!AP8</f>
        <v>3.5160000000011848E-3</v>
      </c>
      <c r="AU6">
        <f>Hourly_kWh!CN8</f>
        <v>1.9030000000004321E-3</v>
      </c>
      <c r="AV6">
        <f>Hourly_kWh!CR8</f>
        <v>6.9719999999993121E-3</v>
      </c>
      <c r="AW6">
        <f>Hourly_kWh!AQ8</f>
        <v>1.3784000000001129E-2</v>
      </c>
      <c r="AX6">
        <f>Hourly_kWh!AS8</f>
        <v>2.0885000000001597E-3</v>
      </c>
      <c r="AY6">
        <f>Hourly_kWh!EH8</f>
        <v>3.0143999999950211E-2</v>
      </c>
      <c r="AZ6">
        <f>Hourly_kWh!EJ8</f>
        <v>2.4000000000228283E-3</v>
      </c>
      <c r="BA6">
        <f>Hourly_kWh!EI8</f>
        <v>2.592000000004191E-2</v>
      </c>
      <c r="BB6">
        <f>Hourly_kWh!AW8</f>
        <v>6.2848000000030879E-2</v>
      </c>
      <c r="BC6">
        <f>Hourly_kWh!DS8</f>
        <v>8.3359999999970569E-2</v>
      </c>
      <c r="BD6">
        <f>Hourly_kWh!CO8</f>
        <v>1.7063999999990642E-2</v>
      </c>
      <c r="BE6">
        <f>Hourly_kWh!DA8</f>
        <v>1.1631999999998754E-2</v>
      </c>
      <c r="BF6">
        <f>Hourly_kWh!DB8</f>
        <v>4.5169999999998822E-3</v>
      </c>
      <c r="BG6">
        <f>Hourly_kWh!EK8</f>
        <v>0</v>
      </c>
      <c r="BH6">
        <f>Hourly_kWh!EL8</f>
        <v>8.5119999999960783E-2</v>
      </c>
      <c r="BI6">
        <f>Hourly_kWh!EM8</f>
        <v>0.14668800000026749</v>
      </c>
      <c r="BJ6">
        <f>Hourly_kWh!EN8</f>
        <v>7.7568000000155735E-2</v>
      </c>
      <c r="BK6">
        <f>Hourly_kWh!EO8</f>
        <v>7.0400000004156027E-4</v>
      </c>
      <c r="BL6">
        <f>Hourly_kWh!ER8</f>
        <v>0.10725599999999247</v>
      </c>
      <c r="BM6">
        <f>Hourly_kWh!BW8</f>
        <v>0</v>
      </c>
      <c r="BN6">
        <f>Hourly_kWh!DR8</f>
        <v>0</v>
      </c>
      <c r="BO6">
        <f>Hourly_kWh!CG8</f>
        <v>0</v>
      </c>
      <c r="BP6">
        <f>Hourly_kWh!CI8</f>
        <v>0</v>
      </c>
      <c r="BQ6">
        <f>Hourly_kWh!BV8</f>
        <v>0</v>
      </c>
      <c r="BR6">
        <f>Hourly_kWh!BO8</f>
        <v>1.2617000000002321E-2</v>
      </c>
      <c r="BS6">
        <f>Hourly_kWh!CW8</f>
        <v>2.7239999999935094E-3</v>
      </c>
      <c r="BT6">
        <f>Hourly_kWh!DE8</f>
        <v>0</v>
      </c>
      <c r="BU6">
        <f>Hourly_kWh!DW8</f>
        <v>0</v>
      </c>
      <c r="BV6">
        <f>Hourly_kWh!CB8</f>
        <v>0</v>
      </c>
      <c r="BW6">
        <f>Hourly_kWh!CZ8</f>
        <v>3.2697500000002933E-3</v>
      </c>
      <c r="BX6">
        <f>Hourly_kWh!DG8</f>
        <v>2.9814999999988601E-3</v>
      </c>
      <c r="BY6">
        <f>Hourly_kWh!BS8</f>
        <v>0</v>
      </c>
      <c r="BZ6">
        <f>Hourly_kWh!CH8</f>
        <v>6.4250000000010132E-4</v>
      </c>
      <c r="CA6">
        <f>Hourly_kWh!BR8</f>
        <v>0</v>
      </c>
      <c r="CB6">
        <f>Hourly_kWh!BP8</f>
        <v>0</v>
      </c>
      <c r="CC6">
        <f>Hourly_kWh!BU8</f>
        <v>0</v>
      </c>
      <c r="CD6">
        <f>Hourly_kWh!BX8</f>
        <v>0</v>
      </c>
      <c r="CE6">
        <f>Hourly_kWh!CV8</f>
        <v>6.3075000000001324E-4</v>
      </c>
      <c r="CF6">
        <f>Hourly_kWh!BT8</f>
        <v>1.499199999999945E-2</v>
      </c>
      <c r="CG6">
        <f>Hourly_kWh!CA8</f>
        <v>1.3481187499999991E-2</v>
      </c>
      <c r="CH6">
        <f>Hourly_kWh!CF8</f>
        <v>1.3539999999991892E-3</v>
      </c>
      <c r="CI6">
        <f>Hourly_kWh!BZ8</f>
        <v>4.4663999999997372E-2</v>
      </c>
      <c r="CJ6">
        <f>Hourly_kWh!CK8</f>
        <v>0</v>
      </c>
      <c r="CK6">
        <f>Hourly_kWh!DT8</f>
        <v>1.7525000000000013E-2</v>
      </c>
      <c r="CL6">
        <f>Hourly_kWh!EB8</f>
        <v>6.4768000000015036E-2</v>
      </c>
      <c r="CM6">
        <f>Hourly_kWh!EC8</f>
        <v>2.2975999999999885E-2</v>
      </c>
      <c r="CN6">
        <f>Hourly_kWh!CQ8</f>
        <v>0</v>
      </c>
      <c r="CO6">
        <f>Hourly_kWh!DF8</f>
        <v>0</v>
      </c>
      <c r="CP6">
        <f>Hourly_kWh!DJ8</f>
        <v>0</v>
      </c>
      <c r="CQ6">
        <f>Hourly_kWh!DP8</f>
        <v>2.5715000000001709E-3</v>
      </c>
      <c r="CR6">
        <f>Hourly_kWh!BQ8</f>
        <v>0</v>
      </c>
      <c r="CS6">
        <f>Hourly_kWh!BY8</f>
        <v>0</v>
      </c>
      <c r="CT6">
        <f>Hourly_kWh!DU8</f>
        <v>4.500000000007276E-5</v>
      </c>
      <c r="CU6">
        <f>Hourly_kWh!DQ8</f>
        <v>0</v>
      </c>
      <c r="CV6">
        <f>Hourly_kWh!EA8</f>
        <v>0</v>
      </c>
      <c r="CW6">
        <f>Hourly_kWh!DO8</f>
        <v>6.9279999999878328E-3</v>
      </c>
      <c r="CX6">
        <f>Hourly_kWh!DX8</f>
        <v>4.1229999999998768E-3</v>
      </c>
      <c r="CY6">
        <f>Hourly_kWh!DY8</f>
        <v>2.4931249999993188E-4</v>
      </c>
      <c r="CZ6">
        <f>Hourly_kWh!DZ8</f>
        <v>3.3120000000010918E-3</v>
      </c>
      <c r="DA6">
        <f>Hourly_kWh!ED8</f>
        <v>4.0867499999999168E-3</v>
      </c>
      <c r="DB6">
        <f>Hourly_kWh!DV8</f>
        <v>4.9624999999986485E-4</v>
      </c>
      <c r="DC6">
        <f>Hourly_kWh!CT8</f>
        <v>1.4687999999992485E-2</v>
      </c>
      <c r="DD6">
        <f>Hourly_kWh!DN8</f>
        <v>0</v>
      </c>
      <c r="DE6">
        <f>Hourly_kWh!AZ8</f>
        <v>0</v>
      </c>
      <c r="DF6">
        <f>Hourly_kWh!BD8</f>
        <v>9.9546875000008916E-5</v>
      </c>
      <c r="DG6">
        <f>Hourly_kWh!AV8</f>
        <v>8.3750000000026859E-4</v>
      </c>
      <c r="DH6">
        <f>Hourly_kWh!BG8</f>
        <v>8.1899999999990314E-4</v>
      </c>
      <c r="DI6">
        <f>Hourly_kWh!DK8</f>
        <v>2.7900000000009584E-3</v>
      </c>
      <c r="DJ6">
        <f>Hourly_kWh!DL8</f>
        <v>1.1115312500000196E-3</v>
      </c>
      <c r="DK6">
        <f>Hourly_kWh!AU8</f>
        <v>2.3200000000045407E-3</v>
      </c>
      <c r="DL6">
        <f>Hourly_kWh!DM8</f>
        <v>1.3379999999987291E-3</v>
      </c>
      <c r="DM6">
        <f>Hourly_kWh!CC8</f>
        <v>0</v>
      </c>
      <c r="DN6">
        <f>Hourly_kWh!BH8</f>
        <v>0</v>
      </c>
      <c r="DO6">
        <f>Hourly_kWh!AK8</f>
        <v>0</v>
      </c>
      <c r="DP6">
        <f>Hourly_kWh!AT8</f>
        <v>0</v>
      </c>
      <c r="DQ6">
        <f>Hourly_kWh!AX8</f>
        <v>0</v>
      </c>
      <c r="DR6">
        <f>Hourly_kWh!BA8</f>
        <v>0</v>
      </c>
      <c r="DS6">
        <f>Hourly_kWh!BB8</f>
        <v>0</v>
      </c>
      <c r="DT6">
        <f>Hourly_kWh!BC8</f>
        <v>0</v>
      </c>
      <c r="DU6">
        <f>Hourly_kWh!BF8</f>
        <v>0</v>
      </c>
      <c r="DV6">
        <f>Hourly_kWh!BN8</f>
        <v>0</v>
      </c>
      <c r="DW6">
        <f>Hourly_kWh!CD8</f>
        <v>0</v>
      </c>
      <c r="DX6">
        <f>Hourly_kWh!CE8</f>
        <v>0</v>
      </c>
      <c r="DY6">
        <f>Hourly_kWh!CJ8</f>
        <v>0</v>
      </c>
      <c r="DZ6">
        <f>Hourly_kWh!CP8</f>
        <v>0</v>
      </c>
      <c r="EA6">
        <f>Hourly_kWh!CS8</f>
        <v>0</v>
      </c>
      <c r="EB6">
        <f>Hourly_kWh!CU8</f>
        <v>0</v>
      </c>
      <c r="EC6">
        <f>Hourly_kWh!EG8</f>
        <v>0</v>
      </c>
      <c r="ED6">
        <f>Hourly_kWh!EQ8</f>
        <v>0</v>
      </c>
    </row>
    <row r="7" spans="1:164" ht="14" x14ac:dyDescent="0.25">
      <c r="A7" s="331"/>
      <c r="B7" s="137">
        <v>6</v>
      </c>
      <c r="C7" s="139" t="s">
        <v>325</v>
      </c>
      <c r="D7" s="142">
        <f>DAILY_ENERGY!C114</f>
        <v>4.9159774999999994</v>
      </c>
      <c r="E7" s="142">
        <f>DAILY_ENERGY!D114</f>
        <v>4.9363399999999995</v>
      </c>
      <c r="F7" s="142">
        <f>DAILY_ENERGY!E114</f>
        <v>2.0362500000000061E-2</v>
      </c>
      <c r="G7" s="142"/>
      <c r="H7" s="142">
        <f>SHIFT_A!E114</f>
        <v>5.773500000000098E-3</v>
      </c>
      <c r="I7" s="142">
        <f>SHIFT_B!E114</f>
        <v>7.5910000000005695E-3</v>
      </c>
      <c r="J7" s="142">
        <f>SHIFT_C!E114</f>
        <v>6.9979999999993936E-3</v>
      </c>
      <c r="K7" s="162">
        <f t="shared" si="0"/>
        <v>2.0362500000000061E-2</v>
      </c>
      <c r="L7" s="163">
        <f t="shared" si="1"/>
        <v>0</v>
      </c>
      <c r="N7" s="149" t="s">
        <v>666</v>
      </c>
      <c r="O7">
        <f>Hourly_kWh!AF9</f>
        <v>0</v>
      </c>
      <c r="P7">
        <f>Hourly_kWh!BJ9</f>
        <v>2.1199999999765851E-4</v>
      </c>
      <c r="Q7">
        <f>Hourly_kWh!BK9</f>
        <v>5.2510000000003387E-3</v>
      </c>
      <c r="R7">
        <f>Hourly_kWh!EP9</f>
        <v>0</v>
      </c>
      <c r="S7">
        <f>Hourly_kWh!EE9</f>
        <v>5.8300000000004459E-3</v>
      </c>
      <c r="T7">
        <f>Hourly_kWh!DH9</f>
        <v>5.8950000000024261E-4</v>
      </c>
      <c r="U7">
        <f>Hourly_kWh!CL9</f>
        <v>1.8900000000030559E-3</v>
      </c>
      <c r="V7">
        <f>Hourly_kWh!BL9</f>
        <v>0</v>
      </c>
      <c r="W7">
        <f>Hourly_kWh!V9</f>
        <v>4.8360000000009506E-3</v>
      </c>
      <c r="X7">
        <f>Hourly_kWh!AB9</f>
        <v>6.4300000000017121E-3</v>
      </c>
      <c r="Y7">
        <f>Hourly_kWh!AE9</f>
        <v>4.4064999999999799E-3</v>
      </c>
      <c r="Z7">
        <f>Hourly_kWh!AG9</f>
        <v>5.1899999999971413E-4</v>
      </c>
      <c r="AA7">
        <f>Hourly_kWh!BE9</f>
        <v>4.8040000000000305E-3</v>
      </c>
      <c r="AB7">
        <f>Hourly_kWh!AY9</f>
        <v>2.458999999999989E-3</v>
      </c>
      <c r="AC7">
        <f>Hourly_kWh!CX9</f>
        <v>0</v>
      </c>
      <c r="AD7">
        <f>Hourly_kWh!CY9</f>
        <v>6.9799999999986539E-4</v>
      </c>
      <c r="AE7">
        <f>Hourly_kWh!DC9</f>
        <v>8.2706249999999759E-3</v>
      </c>
      <c r="AF7">
        <f>Hourly_kWh!DD9</f>
        <v>1.2669999999999071E-3</v>
      </c>
      <c r="AG7">
        <f>Hourly_kWh!W9</f>
        <v>5.1559999999994943E-3</v>
      </c>
      <c r="AH7">
        <f>Hourly_kWh!X9</f>
        <v>4.6689999999998122E-3</v>
      </c>
      <c r="AI7">
        <f>Hourly_kWh!Y9</f>
        <v>0</v>
      </c>
      <c r="AJ7">
        <f>Hourly_kWh!Z9</f>
        <v>2.4310000000014043E-3</v>
      </c>
      <c r="AK7">
        <f>Hourly_kWh!AA9</f>
        <v>6.2539999999984275E-3</v>
      </c>
      <c r="AL7">
        <f>Hourly_kWh!AC9</f>
        <v>1.8019999999978609E-3</v>
      </c>
      <c r="AM7">
        <f>Hourly_kWh!AD9</f>
        <v>2.4300000000003763E-3</v>
      </c>
      <c r="AN7">
        <f>Hourly_kWh!AI9</f>
        <v>0</v>
      </c>
      <c r="AO7">
        <f>Hourly_kWh!AJ9</f>
        <v>2.5209999999997734E-3</v>
      </c>
      <c r="AP7">
        <f>Hourly_kWh!AL9</f>
        <v>1.6865468750000001E-2</v>
      </c>
      <c r="AQ7">
        <f>Hourly_kWh!AM9</f>
        <v>2.0024000000006481E-2</v>
      </c>
      <c r="AR7">
        <f>Hourly_kWh!AN9</f>
        <v>1.6175999999987312E-2</v>
      </c>
      <c r="AS7">
        <f>Hourly_kWh!AO9</f>
        <v>8.8360000000022865E-3</v>
      </c>
      <c r="AT7">
        <f>Hourly_kWh!AP9</f>
        <v>3.029999999998978E-3</v>
      </c>
      <c r="AU7">
        <f>Hourly_kWh!CN9</f>
        <v>2.0930000000003446E-3</v>
      </c>
      <c r="AV7">
        <f>Hourly_kWh!CR9</f>
        <v>7.1360000000009194E-3</v>
      </c>
      <c r="AW7">
        <f>Hourly_kWh!AQ9</f>
        <v>1.4315999999993778E-2</v>
      </c>
      <c r="AX7">
        <f>Hourly_kWh!AS9</f>
        <v>2.9260000000004283E-3</v>
      </c>
      <c r="AY7">
        <f>Hourly_kWh!EH9</f>
        <v>4.2816000000016174E-2</v>
      </c>
      <c r="AZ7">
        <f>Hourly_kWh!EJ9</f>
        <v>2.4319999999988795E-3</v>
      </c>
      <c r="BA7">
        <f>Hourly_kWh!EI9</f>
        <v>2.2975999999971464E-2</v>
      </c>
      <c r="BB7">
        <f>Hourly_kWh!AW9</f>
        <v>7.0463999999901716E-2</v>
      </c>
      <c r="BC7">
        <f>Hourly_kWh!DS9</f>
        <v>9.0208000000018274E-2</v>
      </c>
      <c r="BD7">
        <f>Hourly_kWh!CO9</f>
        <v>2.1096000000000004E-2</v>
      </c>
      <c r="BE7">
        <f>Hourly_kWh!DA9</f>
        <v>1.1507999999999186E-2</v>
      </c>
      <c r="BF7">
        <f>Hourly_kWh!DB9</f>
        <v>4.946000000000339E-3</v>
      </c>
      <c r="BG7">
        <f>Hourly_kWh!EK9</f>
        <v>0</v>
      </c>
      <c r="BH7">
        <f>Hourly_kWh!EL9</f>
        <v>0.10406400000010763</v>
      </c>
      <c r="BI7">
        <f>Hourly_kWh!EM9</f>
        <v>0.14950399999997899</v>
      </c>
      <c r="BJ7">
        <f>Hourly_kWh!EN9</f>
        <v>8.0383999999867228E-2</v>
      </c>
      <c r="BK7">
        <f>Hourly_kWh!EO9</f>
        <v>7.6799999999366264E-4</v>
      </c>
      <c r="BL7">
        <f>Hourly_kWh!ER9</f>
        <v>0.11014600000001451</v>
      </c>
      <c r="BM7">
        <f>Hourly_kWh!BW9</f>
        <v>0</v>
      </c>
      <c r="BN7">
        <f>Hourly_kWh!DR9</f>
        <v>0</v>
      </c>
      <c r="BO7">
        <f>Hourly_kWh!CG9</f>
        <v>0</v>
      </c>
      <c r="BP7">
        <f>Hourly_kWh!CI9</f>
        <v>0</v>
      </c>
      <c r="BQ7">
        <f>Hourly_kWh!BV9</f>
        <v>0</v>
      </c>
      <c r="BR7">
        <f>Hourly_kWh!BO9</f>
        <v>7.507699999999673E-2</v>
      </c>
      <c r="BS7">
        <f>Hourly_kWh!CW9</f>
        <v>9.8080000000067002E-3</v>
      </c>
      <c r="BT7">
        <f>Hourly_kWh!DE9</f>
        <v>0</v>
      </c>
      <c r="BU7">
        <f>Hourly_kWh!DW9</f>
        <v>0</v>
      </c>
      <c r="BV7">
        <f>Hourly_kWh!CB9</f>
        <v>0</v>
      </c>
      <c r="BW7">
        <f>Hourly_kWh!CZ9</f>
        <v>2.2217499999999113E-3</v>
      </c>
      <c r="BX7">
        <f>Hourly_kWh!DG9</f>
        <v>2.9900000000004923E-3</v>
      </c>
      <c r="BY7">
        <f>Hourly_kWh!BS9</f>
        <v>0</v>
      </c>
      <c r="BZ7">
        <f>Hourly_kWh!CH9</f>
        <v>6.2974999999987347E-4</v>
      </c>
      <c r="CA7">
        <f>Hourly_kWh!BR9</f>
        <v>0</v>
      </c>
      <c r="CB7">
        <f>Hourly_kWh!BP9</f>
        <v>0</v>
      </c>
      <c r="CC7">
        <f>Hourly_kWh!BU9</f>
        <v>0</v>
      </c>
      <c r="CD7">
        <f>Hourly_kWh!BX9</f>
        <v>0</v>
      </c>
      <c r="CE7">
        <f>Hourly_kWh!CV9</f>
        <v>6.9862499999984173E-4</v>
      </c>
      <c r="CF7">
        <f>Hourly_kWh!BT9</f>
        <v>9.2399999999983606E-3</v>
      </c>
      <c r="CG7">
        <f>Hourly_kWh!CA9</f>
        <v>1.7783437499999999E-2</v>
      </c>
      <c r="CH7">
        <f>Hourly_kWh!CF9</f>
        <v>1.4939999999992182E-3</v>
      </c>
      <c r="CI7">
        <f>Hourly_kWh!BZ9</f>
        <v>4.5368000000010511E-2</v>
      </c>
      <c r="CJ7">
        <f>Hourly_kWh!CK9</f>
        <v>0</v>
      </c>
      <c r="CK7">
        <f>Hourly_kWh!DT9</f>
        <v>1.8307499999999699E-2</v>
      </c>
      <c r="CL7">
        <f>Hourly_kWh!EB9</f>
        <v>6.3599999999979673E-2</v>
      </c>
      <c r="CM7">
        <f>Hourly_kWh!EC9</f>
        <v>3.4255999999999176E-2</v>
      </c>
      <c r="CN7">
        <f>Hourly_kWh!CQ9</f>
        <v>0</v>
      </c>
      <c r="CO7">
        <f>Hourly_kWh!DF9</f>
        <v>0</v>
      </c>
      <c r="CP7">
        <f>Hourly_kWh!DJ9</f>
        <v>0</v>
      </c>
      <c r="CQ7">
        <f>Hourly_kWh!DP9</f>
        <v>2.039500000000416E-3</v>
      </c>
      <c r="CR7">
        <f>Hourly_kWh!BQ9</f>
        <v>0</v>
      </c>
      <c r="CS7">
        <f>Hourly_kWh!BY9</f>
        <v>0</v>
      </c>
      <c r="CT7">
        <f>Hourly_kWh!DU9</f>
        <v>1.5999999998683734E-5</v>
      </c>
      <c r="CU7">
        <f>Hourly_kWh!DQ9</f>
        <v>0</v>
      </c>
      <c r="CV7">
        <f>Hourly_kWh!EA9</f>
        <v>0</v>
      </c>
      <c r="CW7">
        <f>Hourly_kWh!DO9</f>
        <v>1.2096000000013873E-2</v>
      </c>
      <c r="CX7">
        <f>Hourly_kWh!DX9</f>
        <v>4.0309999999994517E-3</v>
      </c>
      <c r="CY7">
        <f>Hourly_kWh!DY9</f>
        <v>2.4831250000001415E-4</v>
      </c>
      <c r="CZ7">
        <f>Hourly_kWh!DZ9</f>
        <v>5.046000000000106E-3</v>
      </c>
      <c r="DA7">
        <f>Hourly_kWh!ED9</f>
        <v>4.8395000000001076E-3</v>
      </c>
      <c r="DB7">
        <f>Hourly_kWh!DV9</f>
        <v>5.0000000000016698E-4</v>
      </c>
      <c r="DC7">
        <f>Hourly_kWh!CT9</f>
        <v>1.4936000000005833E-2</v>
      </c>
      <c r="DD7">
        <f>Hourly_kWh!DN9</f>
        <v>0</v>
      </c>
      <c r="DE7">
        <f>Hourly_kWh!AZ9</f>
        <v>0</v>
      </c>
      <c r="DF7">
        <f>Hourly_kWh!BD9</f>
        <v>2.476406250000035E-4</v>
      </c>
      <c r="DG7">
        <f>Hourly_kWh!AV9</f>
        <v>2.6405000000000456E-3</v>
      </c>
      <c r="DH7">
        <f>Hourly_kWh!BG9</f>
        <v>1.9020000000011805E-3</v>
      </c>
      <c r="DI7">
        <f>Hourly_kWh!DK9</f>
        <v>2.7819999999998402E-3</v>
      </c>
      <c r="DJ7">
        <f>Hourly_kWh!DL9</f>
        <v>1.1047343749999994E-3</v>
      </c>
      <c r="DK7">
        <f>Hourly_kWh!AU9</f>
        <v>2.1679999999975053E-3</v>
      </c>
      <c r="DL7">
        <f>Hourly_kWh!DM9</f>
        <v>1.642999999999617E-3</v>
      </c>
      <c r="DM7">
        <f>Hourly_kWh!CC9</f>
        <v>0</v>
      </c>
      <c r="DN7">
        <f>Hourly_kWh!BH9</f>
        <v>0</v>
      </c>
      <c r="DO7">
        <f>Hourly_kWh!AK9</f>
        <v>0</v>
      </c>
      <c r="DP7">
        <f>Hourly_kWh!AT9</f>
        <v>0</v>
      </c>
      <c r="DQ7">
        <f>Hourly_kWh!AX9</f>
        <v>0</v>
      </c>
      <c r="DR7">
        <f>Hourly_kWh!BA9</f>
        <v>0</v>
      </c>
      <c r="DS7">
        <f>Hourly_kWh!BB9</f>
        <v>0</v>
      </c>
      <c r="DT7">
        <f>Hourly_kWh!BC9</f>
        <v>0</v>
      </c>
      <c r="DU7">
        <f>Hourly_kWh!BF9</f>
        <v>0</v>
      </c>
      <c r="DV7">
        <f>Hourly_kWh!BN9</f>
        <v>0</v>
      </c>
      <c r="DW7">
        <f>Hourly_kWh!CD9</f>
        <v>0</v>
      </c>
      <c r="DX7">
        <f>Hourly_kWh!CE9</f>
        <v>0</v>
      </c>
      <c r="DY7">
        <f>Hourly_kWh!CJ9</f>
        <v>0</v>
      </c>
      <c r="DZ7">
        <f>Hourly_kWh!CP9</f>
        <v>0</v>
      </c>
      <c r="EA7">
        <f>Hourly_kWh!CS9</f>
        <v>0</v>
      </c>
      <c r="EB7">
        <f>Hourly_kWh!CU9</f>
        <v>0</v>
      </c>
      <c r="EC7">
        <f>Hourly_kWh!EG9</f>
        <v>0</v>
      </c>
      <c r="ED7">
        <f>Hourly_kWh!EQ9</f>
        <v>0</v>
      </c>
    </row>
    <row r="8" spans="1:164" ht="14" x14ac:dyDescent="0.25">
      <c r="A8" s="331"/>
      <c r="B8" s="137">
        <v>7</v>
      </c>
      <c r="C8" s="139" t="s">
        <v>303</v>
      </c>
      <c r="D8" s="142">
        <f>DAILY_ENERGY!C92</f>
        <v>25.666043999999999</v>
      </c>
      <c r="E8" s="142">
        <f>DAILY_ENERGY!D92</f>
        <v>25.695377999999998</v>
      </c>
      <c r="F8" s="142">
        <f>DAILY_ENERGY!E92</f>
        <v>2.9333999999998639E-2</v>
      </c>
      <c r="G8" s="142"/>
      <c r="H8" s="142">
        <f>SHIFT_A!E92</f>
        <v>1.3715999999998729E-2</v>
      </c>
      <c r="I8" s="142">
        <f>SHIFT_B!E92</f>
        <v>1.18360000000024E-2</v>
      </c>
      <c r="J8" s="142">
        <f>SHIFT_C!E92</f>
        <v>3.7819999999975096E-3</v>
      </c>
      <c r="K8" s="162">
        <f t="shared" si="0"/>
        <v>2.9333999999998639E-2</v>
      </c>
      <c r="L8" s="163">
        <f t="shared" si="1"/>
        <v>0</v>
      </c>
      <c r="N8" s="149" t="s">
        <v>667</v>
      </c>
      <c r="O8">
        <f>Hourly_kWh!AF10</f>
        <v>0</v>
      </c>
      <c r="P8">
        <f>Hourly_kWh!BJ10</f>
        <v>3.2000000000209639E-4</v>
      </c>
      <c r="Q8">
        <f>Hourly_kWh!BK10</f>
        <v>4.1244999999996423E-3</v>
      </c>
      <c r="R8">
        <f>Hourly_kWh!EP10</f>
        <v>0</v>
      </c>
      <c r="S8">
        <f>Hourly_kWh!EE10</f>
        <v>5.7010000000001781E-3</v>
      </c>
      <c r="T8">
        <f>Hourly_kWh!DH10</f>
        <v>8.8349999999959294E-4</v>
      </c>
      <c r="U8">
        <f>Hourly_kWh!CL10</f>
        <v>2.5019999999997822E-3</v>
      </c>
      <c r="V8">
        <f>Hourly_kWh!BL10</f>
        <v>0</v>
      </c>
      <c r="W8">
        <f>Hourly_kWh!V10</f>
        <v>5.8539999999993597E-3</v>
      </c>
      <c r="X8">
        <f>Hourly_kWh!AB10</f>
        <v>6.4279999999996562E-3</v>
      </c>
      <c r="Y8">
        <f>Hourly_kWh!AE10</f>
        <v>3.283000000000591E-3</v>
      </c>
      <c r="Z8">
        <f>Hourly_kWh!AG10</f>
        <v>2.5979999999998782E-3</v>
      </c>
      <c r="AA8">
        <f>Hourly_kWh!BE10</f>
        <v>4.7180000000004441E-3</v>
      </c>
      <c r="AB8">
        <f>Hourly_kWh!AY10</f>
        <v>3.6485000000006096E-3</v>
      </c>
      <c r="AC8">
        <f>Hourly_kWh!CX10</f>
        <v>0</v>
      </c>
      <c r="AD8">
        <f>Hourly_kWh!CY10</f>
        <v>6.6900000000025273E-4</v>
      </c>
      <c r="AE8">
        <f>Hourly_kWh!DC10</f>
        <v>8.2638749999999206E-3</v>
      </c>
      <c r="AF8">
        <f>Hourly_kWh!DD10</f>
        <v>1.2627500000002012E-3</v>
      </c>
      <c r="AG8">
        <f>Hourly_kWh!W10</f>
        <v>5.2830000000003707E-3</v>
      </c>
      <c r="AH8">
        <f>Hourly_kWh!X10</f>
        <v>4.2640000000009337E-3</v>
      </c>
      <c r="AI8">
        <f>Hourly_kWh!Y10</f>
        <v>0</v>
      </c>
      <c r="AJ8">
        <f>Hourly_kWh!Z10</f>
        <v>2.4409999999992493E-3</v>
      </c>
      <c r="AK8">
        <f>Hourly_kWh!AA10</f>
        <v>6.6600000000001103E-3</v>
      </c>
      <c r="AL8">
        <f>Hourly_kWh!AC10</f>
        <v>1.2680000000031555E-3</v>
      </c>
      <c r="AM8">
        <f>Hourly_kWh!AD10</f>
        <v>2.7669999999986317E-3</v>
      </c>
      <c r="AN8">
        <f>Hourly_kWh!AI10</f>
        <v>0</v>
      </c>
      <c r="AO8">
        <f>Hourly_kWh!AJ10</f>
        <v>2.5044999999996875E-3</v>
      </c>
      <c r="AP8">
        <f>Hourly_kWh!AL10</f>
        <v>1.5327484375000006E-2</v>
      </c>
      <c r="AQ8">
        <f>Hourly_kWh!AM10</f>
        <v>1.9784000000001356E-2</v>
      </c>
      <c r="AR8">
        <f>Hourly_kWh!AN10</f>
        <v>1.5760000000000218E-2</v>
      </c>
      <c r="AS8">
        <f>Hourly_kWh!AO10</f>
        <v>8.2159999999973365E-3</v>
      </c>
      <c r="AT8">
        <f>Hourly_kWh!AP10</f>
        <v>2.9420000000008883E-3</v>
      </c>
      <c r="AU8">
        <f>Hourly_kWh!CN10</f>
        <v>1.9179999999998643E-3</v>
      </c>
      <c r="AV8">
        <f>Hourly_kWh!CR10</f>
        <v>8.6169999999992086E-3</v>
      </c>
      <c r="AW8">
        <f>Hourly_kWh!AQ10</f>
        <v>1.424400000000503E-2</v>
      </c>
      <c r="AX8">
        <f>Hourly_kWh!AS10</f>
        <v>3.6540000000000461E-3</v>
      </c>
      <c r="AY8">
        <f>Hourly_kWh!EH10</f>
        <v>3.4687999999960084E-2</v>
      </c>
      <c r="AZ8">
        <f>Hourly_kWh!EJ10</f>
        <v>1.7920000000231084E-3</v>
      </c>
      <c r="BA8">
        <f>Hourly_kWh!EI10</f>
        <v>2.777600000001712E-2</v>
      </c>
      <c r="BB8">
        <f>Hourly_kWh!AW10</f>
        <v>4.9024000000031265E-2</v>
      </c>
      <c r="BC8">
        <f>Hourly_kWh!DS10</f>
        <v>8.5023999999975786E-2</v>
      </c>
      <c r="BD8">
        <f>Hourly_kWh!CO10</f>
        <v>2.4256000000008271E-2</v>
      </c>
      <c r="BE8">
        <f>Hourly_kWh!DA10</f>
        <v>1.1639999999999873E-2</v>
      </c>
      <c r="BF8">
        <f>Hourly_kWh!DB10</f>
        <v>5.1749999999994856E-3</v>
      </c>
      <c r="BG8">
        <f>Hourly_kWh!EK10</f>
        <v>0</v>
      </c>
      <c r="BH8">
        <f>Hourly_kWh!EL10</f>
        <v>0.11404799999991155</v>
      </c>
      <c r="BI8">
        <f>Hourly_kWh!EM10</f>
        <v>0.1574399999999514</v>
      </c>
      <c r="BJ8">
        <f>Hourly_kWh!EN10</f>
        <v>7.8848000000107277E-2</v>
      </c>
      <c r="BK8">
        <f>Hourly_kWh!EO10</f>
        <v>7.6799999999366264E-4</v>
      </c>
      <c r="BL8">
        <f>Hourly_kWh!ER10</f>
        <v>0.11126799999999548</v>
      </c>
      <c r="BM8">
        <f>Hourly_kWh!BW10</f>
        <v>0</v>
      </c>
      <c r="BN8">
        <f>Hourly_kWh!DR10</f>
        <v>0</v>
      </c>
      <c r="BO8">
        <f>Hourly_kWh!CG10</f>
        <v>0</v>
      </c>
      <c r="BP8">
        <f>Hourly_kWh!CI10</f>
        <v>0</v>
      </c>
      <c r="BQ8">
        <f>Hourly_kWh!BV10</f>
        <v>0</v>
      </c>
      <c r="BR8">
        <f>Hourly_kWh!BO10</f>
        <v>4.2221000000001396E-2</v>
      </c>
      <c r="BS8">
        <f>Hourly_kWh!CW10</f>
        <v>5.755999999998096E-3</v>
      </c>
      <c r="BT8">
        <f>Hourly_kWh!DE10</f>
        <v>0</v>
      </c>
      <c r="BU8">
        <f>Hourly_kWh!DW10</f>
        <v>0</v>
      </c>
      <c r="BV8">
        <f>Hourly_kWh!CB10</f>
        <v>0</v>
      </c>
      <c r="BW8">
        <f>Hourly_kWh!CZ10</f>
        <v>1.1112500000001191E-3</v>
      </c>
      <c r="BX8">
        <f>Hourly_kWh!DG10</f>
        <v>8.0200000000019145E-4</v>
      </c>
      <c r="BY8">
        <f>Hourly_kWh!BS10</f>
        <v>0</v>
      </c>
      <c r="BZ8">
        <f>Hourly_kWh!CH10</f>
        <v>6.327500000002928E-4</v>
      </c>
      <c r="CA8">
        <f>Hourly_kWh!BR10</f>
        <v>0</v>
      </c>
      <c r="CB8">
        <f>Hourly_kWh!BP10</f>
        <v>0</v>
      </c>
      <c r="CC8">
        <f>Hourly_kWh!BU10</f>
        <v>0</v>
      </c>
      <c r="CD8">
        <f>Hourly_kWh!BX10</f>
        <v>0</v>
      </c>
      <c r="CE8">
        <f>Hourly_kWh!CV10</f>
        <v>7.7187500000008846E-4</v>
      </c>
      <c r="CF8">
        <f>Hourly_kWh!BT10</f>
        <v>7.975999999999317E-3</v>
      </c>
      <c r="CG8">
        <f>Hourly_kWh!CA10</f>
        <v>1.5408968750000029E-2</v>
      </c>
      <c r="CH8">
        <f>Hourly_kWh!CF10</f>
        <v>1.4460000000013906E-3</v>
      </c>
      <c r="CI8">
        <f>Hourly_kWh!BZ10</f>
        <v>4.5031999999991967E-2</v>
      </c>
      <c r="CJ8">
        <f>Hourly_kWh!CK10</f>
        <v>0</v>
      </c>
      <c r="CK8">
        <f>Hourly_kWh!DT10</f>
        <v>1.8164000000000513E-2</v>
      </c>
      <c r="CL8">
        <f>Hourly_kWh!EB10</f>
        <v>5.4656000000022686E-2</v>
      </c>
      <c r="CM8">
        <f>Hourly_kWh!EC10</f>
        <v>3.3199999999993679E-2</v>
      </c>
      <c r="CN8">
        <f>Hourly_kWh!CQ10</f>
        <v>0</v>
      </c>
      <c r="CO8">
        <f>Hourly_kWh!DF10</f>
        <v>0</v>
      </c>
      <c r="CP8">
        <f>Hourly_kWh!DJ10</f>
        <v>0</v>
      </c>
      <c r="CQ8">
        <f>Hourly_kWh!DP10</f>
        <v>2.7869999999996509E-3</v>
      </c>
      <c r="CR8">
        <f>Hourly_kWh!BQ10</f>
        <v>0</v>
      </c>
      <c r="CS8">
        <f>Hourly_kWh!BY10</f>
        <v>0</v>
      </c>
      <c r="CT8">
        <f>Hourly_kWh!DU10</f>
        <v>0</v>
      </c>
      <c r="CU8">
        <f>Hourly_kWh!DQ10</f>
        <v>0</v>
      </c>
      <c r="CV8">
        <f>Hourly_kWh!EA10</f>
        <v>0</v>
      </c>
      <c r="CW8">
        <f>Hourly_kWh!DO10</f>
        <v>1.8095999999985679E-2</v>
      </c>
      <c r="CX8">
        <f>Hourly_kWh!DX10</f>
        <v>3.58300000000078E-3</v>
      </c>
      <c r="CY8">
        <f>Hourly_kWh!DY10</f>
        <v>2.4868750000006656E-4</v>
      </c>
      <c r="CZ8">
        <f>Hourly_kWh!DZ10</f>
        <v>5.0399999999974909E-3</v>
      </c>
      <c r="DA8">
        <f>Hourly_kWh!ED10</f>
        <v>2.5439999999998797E-3</v>
      </c>
      <c r="DB8">
        <f>Hourly_kWh!DV10</f>
        <v>4.8049999999966175E-4</v>
      </c>
      <c r="DC8">
        <f>Hourly_kWh!CT10</f>
        <v>1.5255999999993719E-2</v>
      </c>
      <c r="DD8">
        <f>Hourly_kWh!DN10</f>
        <v>1.3993750000007577E-4</v>
      </c>
      <c r="DE8">
        <f>Hourly_kWh!AZ10</f>
        <v>0</v>
      </c>
      <c r="DF8">
        <f>Hourly_kWh!BD10</f>
        <v>1.0481249999999553E-4</v>
      </c>
      <c r="DG8">
        <f>Hourly_kWh!AV10</f>
        <v>2.7334999999997223E-3</v>
      </c>
      <c r="DH8">
        <f>Hourly_kWh!BG10</f>
        <v>4.9800000000033151E-4</v>
      </c>
      <c r="DI8">
        <f>Hourly_kWh!DK10</f>
        <v>2.7580000000000382E-3</v>
      </c>
      <c r="DJ8">
        <f>Hourly_kWh!DL10</f>
        <v>1.0883281249999821E-3</v>
      </c>
      <c r="DK8">
        <f>Hourly_kWh!AU10</f>
        <v>2.0960000000016521E-3</v>
      </c>
      <c r="DL8">
        <f>Hourly_kWh!DM10</f>
        <v>1.7610000000001236E-3</v>
      </c>
      <c r="DM8">
        <f>Hourly_kWh!CC10</f>
        <v>0</v>
      </c>
      <c r="DN8">
        <f>Hourly_kWh!BH10</f>
        <v>0</v>
      </c>
      <c r="DO8">
        <f>Hourly_kWh!AK10</f>
        <v>0</v>
      </c>
      <c r="DP8">
        <f>Hourly_kWh!AT10</f>
        <v>0</v>
      </c>
      <c r="DQ8">
        <f>Hourly_kWh!AX10</f>
        <v>0</v>
      </c>
      <c r="DR8">
        <f>Hourly_kWh!BA10</f>
        <v>0</v>
      </c>
      <c r="DS8">
        <f>Hourly_kWh!BB10</f>
        <v>0</v>
      </c>
      <c r="DT8">
        <f>Hourly_kWh!BC10</f>
        <v>0</v>
      </c>
      <c r="DU8">
        <f>Hourly_kWh!BF10</f>
        <v>0</v>
      </c>
      <c r="DV8">
        <f>Hourly_kWh!BN10</f>
        <v>0</v>
      </c>
      <c r="DW8">
        <f>Hourly_kWh!CD10</f>
        <v>0</v>
      </c>
      <c r="DX8">
        <f>Hourly_kWh!CE10</f>
        <v>0</v>
      </c>
      <c r="DY8">
        <f>Hourly_kWh!CJ10</f>
        <v>0</v>
      </c>
      <c r="DZ8">
        <f>Hourly_kWh!CP10</f>
        <v>0</v>
      </c>
      <c r="EA8">
        <f>Hourly_kWh!CS10</f>
        <v>0</v>
      </c>
      <c r="EB8">
        <f>Hourly_kWh!CU10</f>
        <v>0</v>
      </c>
      <c r="EC8">
        <f>Hourly_kWh!EG10</f>
        <v>0</v>
      </c>
      <c r="ED8">
        <f>Hourly_kWh!EQ10</f>
        <v>0</v>
      </c>
    </row>
    <row r="9" spans="1:164" ht="14" x14ac:dyDescent="0.25">
      <c r="A9" s="331"/>
      <c r="B9" s="137">
        <v>8</v>
      </c>
      <c r="C9" s="139" t="s">
        <v>277</v>
      </c>
      <c r="D9" s="142">
        <f>DAILY_ENERGY!C66</f>
        <v>21.908904</v>
      </c>
      <c r="E9" s="142">
        <f>DAILY_ENERGY!D66</f>
        <v>21.908904</v>
      </c>
      <c r="F9" s="142">
        <f>DAILY_ENERGY!E66</f>
        <v>0</v>
      </c>
      <c r="G9" s="142"/>
      <c r="H9" s="142">
        <f>SHIFT_A!E66</f>
        <v>0</v>
      </c>
      <c r="I9" s="142">
        <f>SHIFT_B!E66</f>
        <v>0</v>
      </c>
      <c r="J9" s="142">
        <f>SHIFT_C!E66</f>
        <v>0</v>
      </c>
      <c r="K9" s="162">
        <f t="shared" si="0"/>
        <v>0</v>
      </c>
      <c r="L9" s="163">
        <f t="shared" si="1"/>
        <v>0</v>
      </c>
      <c r="N9" s="149" t="s">
        <v>668</v>
      </c>
      <c r="O9">
        <f>Hourly_kWh!AF11</f>
        <v>0</v>
      </c>
      <c r="P9">
        <f>Hourly_kWh!BJ11</f>
        <v>0</v>
      </c>
      <c r="Q9">
        <f>Hourly_kWh!BK11</f>
        <v>1.9495000000002705E-3</v>
      </c>
      <c r="R9">
        <f>Hourly_kWh!EP11</f>
        <v>0</v>
      </c>
      <c r="S9">
        <f>Hourly_kWh!EE11</f>
        <v>6.0834999999999084E-3</v>
      </c>
      <c r="T9">
        <f>Hourly_kWh!DH11</f>
        <v>6.590000000006313E-4</v>
      </c>
      <c r="U9">
        <f>Hourly_kWh!CL11</f>
        <v>1.6660000000001673E-3</v>
      </c>
      <c r="V9">
        <f>Hourly_kWh!BL11</f>
        <v>0</v>
      </c>
      <c r="W9">
        <f>Hourly_kWh!V11</f>
        <v>5.0619999999987897E-3</v>
      </c>
      <c r="X9">
        <f>Hourly_kWh!AB11</f>
        <v>6.7719999999980018E-3</v>
      </c>
      <c r="Y9">
        <f>Hourly_kWh!AE11</f>
        <v>3.8834999999997066E-3</v>
      </c>
      <c r="Z9">
        <f>Hourly_kWh!AG11</f>
        <v>3.3760000000002677E-3</v>
      </c>
      <c r="AA9">
        <f>Hourly_kWh!BE11</f>
        <v>4.7839999999972349E-3</v>
      </c>
      <c r="AB9">
        <f>Hourly_kWh!AY11</f>
        <v>2.4099999999993571E-3</v>
      </c>
      <c r="AC9">
        <f>Hourly_kWh!CX11</f>
        <v>0</v>
      </c>
      <c r="AD9">
        <f>Hourly_kWh!CY11</f>
        <v>7.0999999999998842E-4</v>
      </c>
      <c r="AE9">
        <f>Hourly_kWh!DC11</f>
        <v>8.2374999999998977E-3</v>
      </c>
      <c r="AF9">
        <f>Hourly_kWh!DD11</f>
        <v>1.261374999999898E-3</v>
      </c>
      <c r="AG9">
        <f>Hourly_kWh!W11</f>
        <v>5.3729999999987399E-3</v>
      </c>
      <c r="AH9">
        <f>Hourly_kWh!X11</f>
        <v>4.4899999999987728E-3</v>
      </c>
      <c r="AI9">
        <f>Hourly_kWh!Y11</f>
        <v>0</v>
      </c>
      <c r="AJ9">
        <f>Hourly_kWh!Z11</f>
        <v>2.3999999999997357E-3</v>
      </c>
      <c r="AK9">
        <f>Hourly_kWh!AA11</f>
        <v>6.5500000000007219E-3</v>
      </c>
      <c r="AL9">
        <f>Hourly_kWh!AC11</f>
        <v>9.4999999999956231E-4</v>
      </c>
      <c r="AM9">
        <f>Hourly_kWh!AD11</f>
        <v>2.4550000000012062E-3</v>
      </c>
      <c r="AN9">
        <f>Hourly_kWh!AI11</f>
        <v>0</v>
      </c>
      <c r="AO9">
        <f>Hourly_kWh!AJ11</f>
        <v>2.5250000000003325E-3</v>
      </c>
      <c r="AP9">
        <f>Hourly_kWh!AL11</f>
        <v>1.7590453124999988E-2</v>
      </c>
      <c r="AQ9">
        <f>Hourly_kWh!AM11</f>
        <v>1.9815999999991618E-2</v>
      </c>
      <c r="AR9">
        <f>Hourly_kWh!AN11</f>
        <v>1.5176000000010959E-2</v>
      </c>
      <c r="AS9">
        <f>Hourly_kWh!AO11</f>
        <v>7.9840000000004352E-3</v>
      </c>
      <c r="AT9">
        <f>Hourly_kWh!AP11</f>
        <v>2.9699999999976967E-3</v>
      </c>
      <c r="AU9">
        <f>Hourly_kWh!CN11</f>
        <v>2.0489999999995234E-3</v>
      </c>
      <c r="AV9">
        <f>Hourly_kWh!CR11</f>
        <v>8.7020000000013198E-3</v>
      </c>
      <c r="AW9">
        <f>Hourly_kWh!AQ11</f>
        <v>1.3688000000001921E-2</v>
      </c>
      <c r="AX9">
        <f>Hourly_kWh!AS11</f>
        <v>3.8314999999995436E-3</v>
      </c>
      <c r="AY9">
        <f>Hourly_kWh!EH11</f>
        <v>3.4815999999977976E-2</v>
      </c>
      <c r="AZ9">
        <f>Hourly_kWh!EJ11</f>
        <v>2.3679999999899337E-3</v>
      </c>
      <c r="BA9">
        <f>Hourly_kWh!EI11</f>
        <v>3.0143999999950211E-2</v>
      </c>
      <c r="BB9">
        <f>Hourly_kWh!AW11</f>
        <v>5.4144000000064807E-2</v>
      </c>
      <c r="BC9">
        <f>Hourly_kWh!DS11</f>
        <v>8.697600000004968E-2</v>
      </c>
      <c r="BD9">
        <f>Hourly_kWh!CO11</f>
        <v>2.5695999999996388E-2</v>
      </c>
      <c r="BE9">
        <f>Hourly_kWh!DA11</f>
        <v>1.1500000000005173E-2</v>
      </c>
      <c r="BF9">
        <f>Hourly_kWh!DB11</f>
        <v>5.1570000000005223E-3</v>
      </c>
      <c r="BG9">
        <f>Hourly_kWh!EK11</f>
        <v>0</v>
      </c>
      <c r="BH9">
        <f>Hourly_kWh!EL11</f>
        <v>0.15385599999990518</v>
      </c>
      <c r="BI9">
        <f>Hourly_kWh!EM11</f>
        <v>0.16614399999980378</v>
      </c>
      <c r="BJ9">
        <f>Hourly_kWh!EN11</f>
        <v>0</v>
      </c>
      <c r="BK9">
        <f>Hourly_kWh!EO11</f>
        <v>7.6799999999366264E-4</v>
      </c>
      <c r="BL9">
        <f>Hourly_kWh!ER11</f>
        <v>0.11627899999999158</v>
      </c>
      <c r="BM9">
        <f>Hourly_kWh!BW11</f>
        <v>0</v>
      </c>
      <c r="BN9">
        <f>Hourly_kWh!DR11</f>
        <v>0</v>
      </c>
      <c r="BO9">
        <f>Hourly_kWh!CG11</f>
        <v>0</v>
      </c>
      <c r="BP9">
        <f>Hourly_kWh!CI11</f>
        <v>0</v>
      </c>
      <c r="BQ9">
        <f>Hourly_kWh!BV11</f>
        <v>0</v>
      </c>
      <c r="BR9">
        <f>Hourly_kWh!BO11</f>
        <v>6.7983999999999156E-2</v>
      </c>
      <c r="BS9">
        <f>Hourly_kWh!CW11</f>
        <v>8.9279999999973825E-3</v>
      </c>
      <c r="BT9">
        <f>Hourly_kWh!DE11</f>
        <v>0</v>
      </c>
      <c r="BU9">
        <f>Hourly_kWh!DW11</f>
        <v>0</v>
      </c>
      <c r="BV9">
        <f>Hourly_kWh!CB11</f>
        <v>0</v>
      </c>
      <c r="BW9">
        <f>Hourly_kWh!CZ11</f>
        <v>1.0135000000000005E-3</v>
      </c>
      <c r="BX9">
        <f>Hourly_kWh!DG11</f>
        <v>1.0215000000002306E-3</v>
      </c>
      <c r="BY9">
        <f>Hourly_kWh!BS11</f>
        <v>0</v>
      </c>
      <c r="BZ9">
        <f>Hourly_kWh!CH11</f>
        <v>6.4124999999970456E-4</v>
      </c>
      <c r="CA9">
        <f>Hourly_kWh!BR11</f>
        <v>0</v>
      </c>
      <c r="CB9">
        <f>Hourly_kWh!BP11</f>
        <v>0</v>
      </c>
      <c r="CC9">
        <f>Hourly_kWh!BU11</f>
        <v>0</v>
      </c>
      <c r="CD9">
        <f>Hourly_kWh!BX11</f>
        <v>0</v>
      </c>
      <c r="CE9">
        <f>Hourly_kWh!CV11</f>
        <v>8.4637500000006582E-4</v>
      </c>
      <c r="CF9">
        <f>Hourly_kWh!BT11</f>
        <v>8.3559999999991419E-3</v>
      </c>
      <c r="CG9">
        <f>Hourly_kWh!CA11</f>
        <v>1.3728406249999991E-2</v>
      </c>
      <c r="CH9">
        <f>Hourly_kWh!CF11</f>
        <v>5.959999999998189E-4</v>
      </c>
      <c r="CI9">
        <f>Hourly_kWh!BZ11</f>
        <v>3.6400000000000432E-2</v>
      </c>
      <c r="CJ9">
        <f>Hourly_kWh!CK11</f>
        <v>0</v>
      </c>
      <c r="CK9">
        <f>Hourly_kWh!DT11</f>
        <v>1.477850000000025E-2</v>
      </c>
      <c r="CL9">
        <f>Hourly_kWh!EB11</f>
        <v>6.179199999999696E-2</v>
      </c>
      <c r="CM9">
        <f>Hourly_kWh!EC11</f>
        <v>2.8656000000012227E-2</v>
      </c>
      <c r="CN9">
        <f>Hourly_kWh!CQ11</f>
        <v>0</v>
      </c>
      <c r="CO9">
        <f>Hourly_kWh!DF11</f>
        <v>0</v>
      </c>
      <c r="CP9">
        <f>Hourly_kWh!DJ11</f>
        <v>0</v>
      </c>
      <c r="CQ9">
        <f>Hourly_kWh!DP11</f>
        <v>2.6375000000005144E-3</v>
      </c>
      <c r="CR9">
        <f>Hourly_kWh!BQ11</f>
        <v>0</v>
      </c>
      <c r="CS9">
        <f>Hourly_kWh!BY11</f>
        <v>0</v>
      </c>
      <c r="CT9">
        <f>Hourly_kWh!DU11</f>
        <v>0</v>
      </c>
      <c r="CU9">
        <f>Hourly_kWh!DQ11</f>
        <v>0</v>
      </c>
      <c r="CV9">
        <f>Hourly_kWh!EA11</f>
        <v>0</v>
      </c>
      <c r="CW9">
        <f>Hourly_kWh!DO11</f>
        <v>7.9520000000172786E-3</v>
      </c>
      <c r="CX9">
        <f>Hourly_kWh!DX11</f>
        <v>3.5859999999985348E-3</v>
      </c>
      <c r="CY9">
        <f>Hourly_kWh!DY11</f>
        <v>2.4074999999990077E-4</v>
      </c>
      <c r="CZ9">
        <f>Hourly_kWh!DZ11</f>
        <v>3.7260000000003402E-3</v>
      </c>
      <c r="DA9">
        <f>Hourly_kWh!ED11</f>
        <v>3.7857500000000321E-3</v>
      </c>
      <c r="DB9">
        <f>Hourly_kWh!DV11</f>
        <v>5.0825000000020992E-4</v>
      </c>
      <c r="DC9">
        <f>Hourly_kWh!CT11</f>
        <v>1.6224000000008232E-2</v>
      </c>
      <c r="DD9">
        <f>Hourly_kWh!DN11</f>
        <v>0</v>
      </c>
      <c r="DE9">
        <f>Hourly_kWh!AZ11</f>
        <v>0</v>
      </c>
      <c r="DF9">
        <f>Hourly_kWh!BD11</f>
        <v>9.8460937500002843E-5</v>
      </c>
      <c r="DG9">
        <f>Hourly_kWh!AV11</f>
        <v>1.2445000000003148E-3</v>
      </c>
      <c r="DH9">
        <f>Hourly_kWh!BG11</f>
        <v>9.9299999999935551E-4</v>
      </c>
      <c r="DI9">
        <f>Hourly_kWh!DK11</f>
        <v>2.8040000000011389E-3</v>
      </c>
      <c r="DJ9">
        <f>Hourly_kWh!DL11</f>
        <v>1.1035937500000204E-3</v>
      </c>
      <c r="DK9">
        <f>Hourly_kWh!AU11</f>
        <v>2.1199999999979013E-3</v>
      </c>
      <c r="DL9">
        <f>Hourly_kWh!DM11</f>
        <v>1.7740000000010525E-3</v>
      </c>
      <c r="DM9">
        <f>Hourly_kWh!CC11</f>
        <v>0</v>
      </c>
      <c r="DN9">
        <f>Hourly_kWh!BH11</f>
        <v>0</v>
      </c>
      <c r="DO9">
        <f>Hourly_kWh!AK11</f>
        <v>0</v>
      </c>
      <c r="DP9">
        <f>Hourly_kWh!AT11</f>
        <v>0</v>
      </c>
      <c r="DQ9">
        <f>Hourly_kWh!AX11</f>
        <v>0</v>
      </c>
      <c r="DR9">
        <f>Hourly_kWh!BA11</f>
        <v>0</v>
      </c>
      <c r="DS9">
        <f>Hourly_kWh!BB11</f>
        <v>0</v>
      </c>
      <c r="DT9">
        <f>Hourly_kWh!BC11</f>
        <v>0</v>
      </c>
      <c r="DU9">
        <f>Hourly_kWh!BF11</f>
        <v>0</v>
      </c>
      <c r="DV9">
        <f>Hourly_kWh!BN11</f>
        <v>0</v>
      </c>
      <c r="DW9">
        <f>Hourly_kWh!CD11</f>
        <v>0</v>
      </c>
      <c r="DX9">
        <f>Hourly_kWh!CE11</f>
        <v>0</v>
      </c>
      <c r="DY9">
        <f>Hourly_kWh!CJ11</f>
        <v>0</v>
      </c>
      <c r="DZ9">
        <f>Hourly_kWh!CP11</f>
        <v>0</v>
      </c>
      <c r="EA9">
        <f>Hourly_kWh!CS11</f>
        <v>0</v>
      </c>
      <c r="EB9">
        <f>Hourly_kWh!CU11</f>
        <v>0</v>
      </c>
      <c r="EC9">
        <f>Hourly_kWh!EG11</f>
        <v>0</v>
      </c>
      <c r="ED9">
        <f>Hourly_kWh!EQ11</f>
        <v>0</v>
      </c>
      <c r="EE9" t="s">
        <v>335</v>
      </c>
      <c r="EF9" t="s">
        <v>336</v>
      </c>
      <c r="EG9" t="s">
        <v>337</v>
      </c>
      <c r="EH9" t="s">
        <v>338</v>
      </c>
      <c r="EI9" t="s">
        <v>339</v>
      </c>
      <c r="EJ9" t="s">
        <v>340</v>
      </c>
      <c r="EK9" t="s">
        <v>341</v>
      </c>
      <c r="EL9" t="s">
        <v>342</v>
      </c>
      <c r="EM9" t="s">
        <v>343</v>
      </c>
      <c r="EN9" t="s">
        <v>344</v>
      </c>
      <c r="EO9" t="s">
        <v>345</v>
      </c>
      <c r="EP9" t="s">
        <v>346</v>
      </c>
      <c r="EQ9" t="s">
        <v>347</v>
      </c>
      <c r="ER9" t="s">
        <v>348</v>
      </c>
      <c r="ES9" t="s">
        <v>349</v>
      </c>
      <c r="ET9" t="s">
        <v>350</v>
      </c>
      <c r="EU9" t="s">
        <v>351</v>
      </c>
      <c r="EV9" t="s">
        <v>352</v>
      </c>
      <c r="EW9" t="s">
        <v>353</v>
      </c>
      <c r="EX9" t="s">
        <v>354</v>
      </c>
      <c r="EY9" t="s">
        <v>355</v>
      </c>
      <c r="EZ9" t="s">
        <v>356</v>
      </c>
      <c r="FA9" t="s">
        <v>357</v>
      </c>
      <c r="FB9" t="s">
        <v>358</v>
      </c>
      <c r="FC9" t="s">
        <v>359</v>
      </c>
      <c r="FD9" t="s">
        <v>360</v>
      </c>
      <c r="FE9" t="s">
        <v>653</v>
      </c>
      <c r="FF9" t="s">
        <v>24</v>
      </c>
      <c r="FG9" t="s">
        <v>24</v>
      </c>
      <c r="FH9" t="s">
        <v>24</v>
      </c>
    </row>
    <row r="10" spans="1:164" ht="14" x14ac:dyDescent="0.25">
      <c r="A10" s="331"/>
      <c r="B10" s="137">
        <v>9</v>
      </c>
      <c r="C10" s="140" t="s">
        <v>139</v>
      </c>
      <c r="D10" s="142">
        <f>DAILY_ENERGY!C24</f>
        <v>31.924177999999998</v>
      </c>
      <c r="E10" s="142">
        <f>DAILY_ENERGY!D24</f>
        <v>32.059655999999997</v>
      </c>
      <c r="F10" s="142">
        <f>DAILY_ENERGY!E24</f>
        <v>0.1354779999999991</v>
      </c>
      <c r="G10" s="142"/>
      <c r="H10" s="142">
        <f>SHIFT_A!E24</f>
        <v>4.1366000000000014E-2</v>
      </c>
      <c r="I10" s="142">
        <f>SHIFT_B!E24</f>
        <v>4.4883999999999702E-2</v>
      </c>
      <c r="J10" s="142">
        <f>SHIFT_C!E24</f>
        <v>4.9227999999999383E-2</v>
      </c>
      <c r="K10" s="162">
        <f t="shared" si="0"/>
        <v>0.1354779999999991</v>
      </c>
      <c r="L10" s="163">
        <f t="shared" si="1"/>
        <v>0</v>
      </c>
      <c r="N10" s="149" t="s">
        <v>669</v>
      </c>
      <c r="O10">
        <f>Hourly_kWh!AF12</f>
        <v>0</v>
      </c>
      <c r="P10">
        <f>Hourly_kWh!BJ12</f>
        <v>0</v>
      </c>
      <c r="Q10">
        <f>Hourly_kWh!BK12</f>
        <v>3.7374999999997272E-3</v>
      </c>
      <c r="R10">
        <f>Hourly_kWh!EP12</f>
        <v>0</v>
      </c>
      <c r="S10">
        <f>Hourly_kWh!EE12</f>
        <v>5.8394999999995534E-3</v>
      </c>
      <c r="T10">
        <f>Hourly_kWh!DH12</f>
        <v>6.9199999999991491E-4</v>
      </c>
      <c r="U10">
        <f>Hourly_kWh!CL12</f>
        <v>1.6239999999996257E-3</v>
      </c>
      <c r="V10">
        <f>Hourly_kWh!BL12</f>
        <v>0</v>
      </c>
      <c r="W10">
        <f>Hourly_kWh!V12</f>
        <v>5.4040000000021848E-3</v>
      </c>
      <c r="X10">
        <f>Hourly_kWh!AB12</f>
        <v>6.8359999999998422E-3</v>
      </c>
      <c r="Y10">
        <f>Hourly_kWh!AE12</f>
        <v>5.0195000000003986E-3</v>
      </c>
      <c r="Z10">
        <f>Hourly_kWh!AG12</f>
        <v>1.5460000000002694E-3</v>
      </c>
      <c r="AA10">
        <f>Hourly_kWh!BE12</f>
        <v>4.7780000000017253E-3</v>
      </c>
      <c r="AB10">
        <f>Hourly_kWh!AY12</f>
        <v>2.211500000000477E-3</v>
      </c>
      <c r="AC10">
        <f>Hourly_kWh!CX12</f>
        <v>0</v>
      </c>
      <c r="AD10">
        <f>Hourly_kWh!CY12</f>
        <v>6.759999999998989E-4</v>
      </c>
      <c r="AE10">
        <f>Hourly_kWh!DC12</f>
        <v>8.4430000000002003E-3</v>
      </c>
      <c r="AF10">
        <f>Hourly_kWh!DD12</f>
        <v>1.2900000000000134E-3</v>
      </c>
      <c r="AG10">
        <f>Hourly_kWh!W12</f>
        <v>5.2510000000012269E-3</v>
      </c>
      <c r="AH10">
        <f>Hourly_kWh!X12</f>
        <v>4.2720000000002756E-3</v>
      </c>
      <c r="AI10">
        <f>Hourly_kWh!Y12</f>
        <v>0</v>
      </c>
      <c r="AJ10">
        <f>Hourly_kWh!Z12</f>
        <v>2.4390000000007461E-3</v>
      </c>
      <c r="AK10">
        <f>Hourly_kWh!AA12</f>
        <v>5.8080000000018117E-3</v>
      </c>
      <c r="AL10">
        <f>Hourly_kWh!AC12</f>
        <v>1.4479999999998938E-3</v>
      </c>
      <c r="AM10">
        <f>Hourly_kWh!AD12</f>
        <v>2.3809999999997444E-3</v>
      </c>
      <c r="AN10">
        <f>Hourly_kWh!AI12</f>
        <v>0</v>
      </c>
      <c r="AO10">
        <f>Hourly_kWh!AJ12</f>
        <v>2.2904999999999731E-3</v>
      </c>
      <c r="AP10">
        <f>Hourly_kWh!AL12</f>
        <v>1.7556031249999993E-2</v>
      </c>
      <c r="AQ10">
        <f>Hourly_kWh!AM12</f>
        <v>2.070400000000916E-2</v>
      </c>
      <c r="AR10">
        <f>Hourly_kWh!AN12</f>
        <v>1.5895999999997912E-2</v>
      </c>
      <c r="AS10">
        <f>Hourly_kWh!AO12</f>
        <v>8.5839999999990368E-3</v>
      </c>
      <c r="AT10">
        <f>Hourly_kWh!AP12</f>
        <v>3.0440000000027112E-3</v>
      </c>
      <c r="AU10">
        <f>Hourly_kWh!CN12</f>
        <v>1.9069999999992149E-3</v>
      </c>
      <c r="AV10">
        <f>Hourly_kWh!CR12</f>
        <v>9.1669999999997032E-3</v>
      </c>
      <c r="AW10">
        <f>Hourly_kWh!AQ12</f>
        <v>1.340799999999831E-2</v>
      </c>
      <c r="AX10">
        <f>Hourly_kWh!AS12</f>
        <v>3.7510000000002819E-3</v>
      </c>
      <c r="AY10">
        <f>Hourly_kWh!EH12</f>
        <v>3.2511999999996988E-2</v>
      </c>
      <c r="AZ10">
        <f>Hourly_kWh!EJ12</f>
        <v>2.4319999999988795E-3</v>
      </c>
      <c r="BA10">
        <f>Hourly_kWh!EI12</f>
        <v>2.8159999999957108E-2</v>
      </c>
      <c r="BB10">
        <f>Hourly_kWh!AW12</f>
        <v>6.0799999999971988E-2</v>
      </c>
      <c r="BC10">
        <f>Hourly_kWh!DS12</f>
        <v>8.7167999999962831E-2</v>
      </c>
      <c r="BD10">
        <f>Hourly_kWh!CO12</f>
        <v>3.9016000000003714E-2</v>
      </c>
      <c r="BE10">
        <f>Hourly_kWh!DA12</f>
        <v>1.1731999999994969E-2</v>
      </c>
      <c r="BF10">
        <f>Hourly_kWh!DB12</f>
        <v>5.5010000000006443E-3</v>
      </c>
      <c r="BG10">
        <f>Hourly_kWh!EK12</f>
        <v>0</v>
      </c>
      <c r="BH10">
        <f>Hourly_kWh!EL12</f>
        <v>0.15590400000019144</v>
      </c>
      <c r="BI10">
        <f>Hourly_kWh!EM12</f>
        <v>0.16588799999999537</v>
      </c>
      <c r="BJ10">
        <f>Hourly_kWh!EN12</f>
        <v>0</v>
      </c>
      <c r="BK10">
        <f>Hourly_kWh!EO12</f>
        <v>6.3999999997577106E-4</v>
      </c>
      <c r="BL10">
        <f>Hourly_kWh!ER12</f>
        <v>0.11867300000001535</v>
      </c>
      <c r="BM10">
        <f>Hourly_kWh!BW12</f>
        <v>0</v>
      </c>
      <c r="BN10">
        <f>Hourly_kWh!DR12</f>
        <v>0</v>
      </c>
      <c r="BO10">
        <f>Hourly_kWh!CG12</f>
        <v>0</v>
      </c>
      <c r="BP10">
        <f>Hourly_kWh!CI12</f>
        <v>0</v>
      </c>
      <c r="BQ10">
        <f>Hourly_kWh!BV12</f>
        <v>0</v>
      </c>
      <c r="BR10">
        <f>Hourly_kWh!BO12</f>
        <v>6.2780000000000058E-2</v>
      </c>
      <c r="BS10">
        <f>Hourly_kWh!CW12</f>
        <v>7.912000000004582E-3</v>
      </c>
      <c r="BT10">
        <f>Hourly_kWh!DE12</f>
        <v>0</v>
      </c>
      <c r="BU10">
        <f>Hourly_kWh!DW12</f>
        <v>0</v>
      </c>
      <c r="BV10">
        <f>Hourly_kWh!CB12</f>
        <v>0</v>
      </c>
      <c r="BW10">
        <f>Hourly_kWh!CZ12</f>
        <v>1.0999999999996568E-3</v>
      </c>
      <c r="BX10">
        <f>Hourly_kWh!DG12</f>
        <v>8.8199999999893919E-4</v>
      </c>
      <c r="BY10">
        <f>Hourly_kWh!BS12</f>
        <v>0</v>
      </c>
      <c r="BZ10">
        <f>Hourly_kWh!CH12</f>
        <v>6.2825000000010789E-4</v>
      </c>
      <c r="CA10">
        <f>Hourly_kWh!BR12</f>
        <v>0</v>
      </c>
      <c r="CB10">
        <f>Hourly_kWh!BP12</f>
        <v>0</v>
      </c>
      <c r="CC10">
        <f>Hourly_kWh!BU12</f>
        <v>0</v>
      </c>
      <c r="CD10">
        <f>Hourly_kWh!BX12</f>
        <v>0</v>
      </c>
      <c r="CE10">
        <f>Hourly_kWh!CV12</f>
        <v>1.0257499999999364E-3</v>
      </c>
      <c r="CF10">
        <f>Hourly_kWh!BT12</f>
        <v>8.2639999999969405E-3</v>
      </c>
      <c r="CG10">
        <f>Hourly_kWh!CA12</f>
        <v>1.3033874999999973E-2</v>
      </c>
      <c r="CH10">
        <f>Hourly_kWh!CF12</f>
        <v>9.9699999999991462E-4</v>
      </c>
      <c r="CI10">
        <f>Hourly_kWh!BZ12</f>
        <v>4.3784000000002266E-2</v>
      </c>
      <c r="CJ10">
        <f>Hourly_kWh!CK12</f>
        <v>0</v>
      </c>
      <c r="CK10">
        <f>Hourly_kWh!DT12</f>
        <v>1.7490499999999187E-2</v>
      </c>
      <c r="CL10">
        <f>Hourly_kWh!EB12</f>
        <v>6.3215999999982841E-2</v>
      </c>
      <c r="CM10">
        <f>Hourly_kWh!EC12</f>
        <v>3.2895999999993819E-2</v>
      </c>
      <c r="CN10">
        <f>Hourly_kWh!CQ12</f>
        <v>0</v>
      </c>
      <c r="CO10">
        <f>Hourly_kWh!DF12</f>
        <v>0</v>
      </c>
      <c r="CP10">
        <f>Hourly_kWh!DJ12</f>
        <v>0</v>
      </c>
      <c r="CQ10">
        <f>Hourly_kWh!DP12</f>
        <v>2.1164999999996326E-3</v>
      </c>
      <c r="CR10">
        <f>Hourly_kWh!BQ12</f>
        <v>0</v>
      </c>
      <c r="CS10">
        <f>Hourly_kWh!BY12</f>
        <v>0</v>
      </c>
      <c r="CT10">
        <f>Hourly_kWh!DU12</f>
        <v>4.2000000000541604E-5</v>
      </c>
      <c r="CU10">
        <f>Hourly_kWh!DQ12</f>
        <v>0</v>
      </c>
      <c r="CV10">
        <f>Hourly_kWh!EA12</f>
        <v>0</v>
      </c>
      <c r="CW10">
        <f>Hourly_kWh!DO12</f>
        <v>6.3040000000000873E-3</v>
      </c>
      <c r="CX10">
        <f>Hourly_kWh!DX12</f>
        <v>3.5410000000002384E-3</v>
      </c>
      <c r="CY10">
        <f>Hourly_kWh!DY12</f>
        <v>2.4393750000006875E-4</v>
      </c>
      <c r="CZ10">
        <f>Hourly_kWh!DZ12</f>
        <v>4.976000000002756E-3</v>
      </c>
      <c r="DA10">
        <f>Hourly_kWh!ED12</f>
        <v>6.9252500000001049E-3</v>
      </c>
      <c r="DB10">
        <f>Hourly_kWh!DV12</f>
        <v>5.6049999999974176E-4</v>
      </c>
      <c r="DC10">
        <f>Hourly_kWh!CT12</f>
        <v>1.4279999999999404E-2</v>
      </c>
      <c r="DD10">
        <f>Hourly_kWh!DN12</f>
        <v>0</v>
      </c>
      <c r="DE10">
        <f>Hourly_kWh!AZ12</f>
        <v>0</v>
      </c>
      <c r="DF10">
        <f>Hourly_kWh!BD12</f>
        <v>1.0039843749999611E-4</v>
      </c>
      <c r="DG10">
        <f>Hourly_kWh!AV12</f>
        <v>1.0560000000001679E-3</v>
      </c>
      <c r="DH10">
        <f>Hourly_kWh!BG12</f>
        <v>1.8479999999989616E-3</v>
      </c>
      <c r="DI10">
        <f>Hourly_kWh!DK12</f>
        <v>2.7379999999972426E-3</v>
      </c>
      <c r="DJ10">
        <f>Hourly_kWh!DL12</f>
        <v>1.0790781249999937E-3</v>
      </c>
      <c r="DK10">
        <f>Hourly_kWh!AU12</f>
        <v>2.0880000000005339E-3</v>
      </c>
      <c r="DL10">
        <f>Hourly_kWh!DM12</f>
        <v>1.7769999999988073E-3</v>
      </c>
      <c r="DM10">
        <f>Hourly_kWh!CC12</f>
        <v>0</v>
      </c>
      <c r="DN10">
        <f>Hourly_kWh!BH12</f>
        <v>0</v>
      </c>
      <c r="DO10">
        <f>Hourly_kWh!AK12</f>
        <v>0</v>
      </c>
      <c r="DP10">
        <f>Hourly_kWh!AT12</f>
        <v>0</v>
      </c>
      <c r="DQ10">
        <f>Hourly_kWh!AX12</f>
        <v>0</v>
      </c>
      <c r="DR10">
        <f>Hourly_kWh!BA12</f>
        <v>0</v>
      </c>
      <c r="DS10">
        <f>Hourly_kWh!BB12</f>
        <v>0</v>
      </c>
      <c r="DT10">
        <f>Hourly_kWh!BC12</f>
        <v>0</v>
      </c>
      <c r="DU10">
        <f>Hourly_kWh!BF12</f>
        <v>0</v>
      </c>
      <c r="DV10">
        <f>Hourly_kWh!BN12</f>
        <v>0</v>
      </c>
      <c r="DW10">
        <f>Hourly_kWh!CD12</f>
        <v>0</v>
      </c>
      <c r="DX10">
        <f>Hourly_kWh!CE12</f>
        <v>0</v>
      </c>
      <c r="DY10">
        <f>Hourly_kWh!CJ12</f>
        <v>0</v>
      </c>
      <c r="DZ10">
        <f>Hourly_kWh!CP12</f>
        <v>0</v>
      </c>
      <c r="EA10">
        <f>Hourly_kWh!CS12</f>
        <v>0</v>
      </c>
      <c r="EB10">
        <f>Hourly_kWh!CU12</f>
        <v>0</v>
      </c>
      <c r="EC10">
        <f>Hourly_kWh!EG12</f>
        <v>0</v>
      </c>
      <c r="ED10">
        <f>Hourly_kWh!EQ12</f>
        <v>0</v>
      </c>
      <c r="EE10" s="167" t="s">
        <v>692</v>
      </c>
      <c r="EF10" s="167" t="s">
        <v>693</v>
      </c>
      <c r="EG10" s="167" t="s">
        <v>694</v>
      </c>
      <c r="EH10" s="167" t="s">
        <v>695</v>
      </c>
      <c r="EI10" s="167" t="s">
        <v>696</v>
      </c>
      <c r="EJ10" s="167" t="s">
        <v>697</v>
      </c>
      <c r="EK10" s="167" t="s">
        <v>698</v>
      </c>
      <c r="EL10" s="167" t="s">
        <v>699</v>
      </c>
      <c r="EM10" s="167" t="s">
        <v>700</v>
      </c>
      <c r="EN10" s="167" t="s">
        <v>701</v>
      </c>
      <c r="EO10" s="167" t="s">
        <v>702</v>
      </c>
      <c r="EP10" s="167" t="s">
        <v>703</v>
      </c>
      <c r="EQ10" s="167" t="s">
        <v>704</v>
      </c>
      <c r="ER10" s="167" t="s">
        <v>705</v>
      </c>
      <c r="ES10" s="167" t="s">
        <v>706</v>
      </c>
      <c r="ET10" s="167" t="s">
        <v>707</v>
      </c>
      <c r="EU10" s="167" t="s">
        <v>708</v>
      </c>
      <c r="EV10" s="167" t="s">
        <v>709</v>
      </c>
      <c r="EW10" s="167" t="s">
        <v>710</v>
      </c>
      <c r="EX10" s="167" t="s">
        <v>711</v>
      </c>
      <c r="EY10" s="167" t="s">
        <v>712</v>
      </c>
      <c r="EZ10" s="167" t="s">
        <v>713</v>
      </c>
      <c r="FA10" s="167" t="s">
        <v>714</v>
      </c>
      <c r="FB10" s="167" t="s">
        <v>715</v>
      </c>
      <c r="FC10" s="167" t="s">
        <v>716</v>
      </c>
      <c r="FD10" s="167" t="s">
        <v>717</v>
      </c>
      <c r="FE10" s="167" t="s">
        <v>718</v>
      </c>
    </row>
    <row r="11" spans="1:164" ht="14" x14ac:dyDescent="0.25">
      <c r="A11" s="331"/>
      <c r="B11" s="137">
        <v>10</v>
      </c>
      <c r="C11" s="140" t="s">
        <v>145</v>
      </c>
      <c r="D11" s="142">
        <f>DAILY_ENERGY!C30</f>
        <v>29.136567999999997</v>
      </c>
      <c r="E11" s="142">
        <f>DAILY_ENERGY!D30</f>
        <v>29.285733999999998</v>
      </c>
      <c r="F11" s="142">
        <f>DAILY_ENERGY!E30</f>
        <v>0.14916600000000102</v>
      </c>
      <c r="G11" s="142"/>
      <c r="H11" s="142">
        <f>SHIFT_A!E30</f>
        <v>5.2114000000003102E-2</v>
      </c>
      <c r="I11" s="142">
        <f>SHIFT_B!E30</f>
        <v>4.9121999999997001E-2</v>
      </c>
      <c r="J11" s="142">
        <f>SHIFT_C!E30</f>
        <v>4.7930000000000916E-2</v>
      </c>
      <c r="K11" s="162">
        <f t="shared" si="0"/>
        <v>0.14916600000000102</v>
      </c>
      <c r="L11" s="163">
        <f t="shared" si="1"/>
        <v>0</v>
      </c>
      <c r="N11" s="149" t="s">
        <v>670</v>
      </c>
      <c r="O11">
        <f>Hourly_kWh!AF13</f>
        <v>0</v>
      </c>
      <c r="P11">
        <f>Hourly_kWh!BJ13</f>
        <v>0</v>
      </c>
      <c r="Q11">
        <f>Hourly_kWh!BK13</f>
        <v>2.7105000000000601E-3</v>
      </c>
      <c r="R11">
        <f>Hourly_kWh!EP13</f>
        <v>0</v>
      </c>
      <c r="S11">
        <f>Hourly_kWh!EE13</f>
        <v>3.3000000000003027E-3</v>
      </c>
      <c r="T11">
        <f>Hourly_kWh!DH13</f>
        <v>5.7849999999959323E-4</v>
      </c>
      <c r="U11">
        <f>Hourly_kWh!CL13</f>
        <v>6.8800000000024397E-4</v>
      </c>
      <c r="V11">
        <f>Hourly_kWh!BL13</f>
        <v>0</v>
      </c>
      <c r="W11">
        <f>Hourly_kWh!V13</f>
        <v>5.6219999999989057E-3</v>
      </c>
      <c r="X11">
        <f>Hourly_kWh!AB13</f>
        <v>6.8320000000028358E-3</v>
      </c>
      <c r="Y11">
        <f>Hourly_kWh!AE13</f>
        <v>4.5789999999996667E-3</v>
      </c>
      <c r="Z11">
        <f>Hourly_kWh!AG13</f>
        <v>1.7954999999991728E-3</v>
      </c>
      <c r="AA11">
        <f>Hourly_kWh!BE13</f>
        <v>4.6859999999995239E-3</v>
      </c>
      <c r="AB11">
        <f>Hourly_kWh!AY13</f>
        <v>3.2800000000001717E-3</v>
      </c>
      <c r="AC11">
        <f>Hourly_kWh!CX13</f>
        <v>0</v>
      </c>
      <c r="AD11">
        <f>Hourly_kWh!CY13</f>
        <v>7.3100000000003718E-4</v>
      </c>
      <c r="AE11">
        <f>Hourly_kWh!DC13</f>
        <v>8.4931249999999903E-3</v>
      </c>
      <c r="AF11">
        <f>Hourly_kWh!DD13</f>
        <v>1.2959999999999638E-3</v>
      </c>
      <c r="AG11">
        <f>Hourly_kWh!W13</f>
        <v>5.4369999999988039E-3</v>
      </c>
      <c r="AH11">
        <f>Hourly_kWh!X13</f>
        <v>3.8600000000013068E-3</v>
      </c>
      <c r="AI11">
        <f>Hourly_kWh!Y13</f>
        <v>0</v>
      </c>
      <c r="AJ11">
        <f>Hourly_kWh!Z13</f>
        <v>2.4449999999998084E-3</v>
      </c>
      <c r="AK11">
        <f>Hourly_kWh!AA13</f>
        <v>5.9239999999967097E-3</v>
      </c>
      <c r="AL11">
        <f>Hourly_kWh!AC13</f>
        <v>1.781999999998618E-3</v>
      </c>
      <c r="AM11">
        <f>Hourly_kWh!AD13</f>
        <v>2.8810000000003555E-3</v>
      </c>
      <c r="AN11">
        <f>Hourly_kWh!AI13</f>
        <v>0</v>
      </c>
      <c r="AO11">
        <f>Hourly_kWh!AJ13</f>
        <v>2.0705000000003082E-3</v>
      </c>
      <c r="AP11">
        <f>Hourly_kWh!AL13</f>
        <v>1.7654390625000016E-2</v>
      </c>
      <c r="AQ11">
        <f>Hourly_kWh!AM13</f>
        <v>2.0255999999989172E-2</v>
      </c>
      <c r="AR11">
        <f>Hourly_kWh!AN13</f>
        <v>1.5647999999998774E-2</v>
      </c>
      <c r="AS11">
        <f>Hourly_kWh!AO13</f>
        <v>8.6680000000001201E-3</v>
      </c>
      <c r="AT11">
        <f>Hourly_kWh!AP13</f>
        <v>3.0879999999982033E-3</v>
      </c>
      <c r="AU11">
        <f>Hourly_kWh!CN13</f>
        <v>2.0240000000004699E-3</v>
      </c>
      <c r="AV11">
        <f>Hourly_kWh!CR13</f>
        <v>9.3409999999991555E-3</v>
      </c>
      <c r="AW11">
        <f>Hourly_kWh!AQ13</f>
        <v>1.3751999999996656E-2</v>
      </c>
      <c r="AX11">
        <f>Hourly_kWh!AS13</f>
        <v>3.1924999999999315E-3</v>
      </c>
      <c r="AY11">
        <f>Hourly_kWh!EH13</f>
        <v>3.4560000000055879E-2</v>
      </c>
      <c r="AZ11">
        <f>Hourly_kWh!EJ13</f>
        <v>2.5919999999928223E-3</v>
      </c>
      <c r="BA11">
        <f>Hourly_kWh!EI13</f>
        <v>2.899200000001656E-2</v>
      </c>
      <c r="BB11">
        <f>Hourly_kWh!AW13</f>
        <v>7.020799999997962E-2</v>
      </c>
      <c r="BC11">
        <f>Hourly_kWh!DS13</f>
        <v>8.7712000000010448E-2</v>
      </c>
      <c r="BD11">
        <f>Hourly_kWh!CO13</f>
        <v>4.1191999999995232E-2</v>
      </c>
      <c r="BE11">
        <f>Hourly_kWh!DA13</f>
        <v>1.1776000000004672E-2</v>
      </c>
      <c r="BF11">
        <f>Hourly_kWh!DB13</f>
        <v>6.2099999999993827E-3</v>
      </c>
      <c r="BG11">
        <f>Hourly_kWh!EK13</f>
        <v>0</v>
      </c>
      <c r="BH11">
        <f>Hourly_kWh!EL13</f>
        <v>0.15833599999996295</v>
      </c>
      <c r="BI11">
        <f>Hourly_kWh!EM13</f>
        <v>0.16870400000016161</v>
      </c>
      <c r="BJ11">
        <f>Hourly_kWh!EN13</f>
        <v>0</v>
      </c>
      <c r="BK11">
        <f>Hourly_kWh!EO13</f>
        <v>7.6799999999366264E-4</v>
      </c>
      <c r="BL11">
        <f>Hourly_kWh!ER13</f>
        <v>0.12145299999998826</v>
      </c>
      <c r="BM11">
        <f>Hourly_kWh!BW13</f>
        <v>0</v>
      </c>
      <c r="BN11">
        <f>Hourly_kWh!DR13</f>
        <v>0</v>
      </c>
      <c r="BO11">
        <f>Hourly_kWh!CG13</f>
        <v>0</v>
      </c>
      <c r="BP11">
        <f>Hourly_kWh!CI13</f>
        <v>0</v>
      </c>
      <c r="BQ11">
        <f>Hourly_kWh!BV13</f>
        <v>0</v>
      </c>
      <c r="BR11">
        <f>Hourly_kWh!BO13</f>
        <v>4.9072000000002447E-2</v>
      </c>
      <c r="BS11">
        <f>Hourly_kWh!CW13</f>
        <v>7.2559999999981528E-3</v>
      </c>
      <c r="BT11">
        <f>Hourly_kWh!DE13</f>
        <v>0</v>
      </c>
      <c r="BU11">
        <f>Hourly_kWh!DW13</f>
        <v>0</v>
      </c>
      <c r="BV11">
        <f>Hourly_kWh!CB13</f>
        <v>0</v>
      </c>
      <c r="BW11">
        <f>Hourly_kWh!CZ13</f>
        <v>2.5690000000002655E-3</v>
      </c>
      <c r="BX11">
        <f>Hourly_kWh!DG13</f>
        <v>3.4175000000011835E-3</v>
      </c>
      <c r="BY11">
        <f>Hourly_kWh!BS13</f>
        <v>0</v>
      </c>
      <c r="BZ11">
        <f>Hourly_kWh!CH13</f>
        <v>6.3974999999993898E-4</v>
      </c>
      <c r="CA11">
        <f>Hourly_kWh!BR13</f>
        <v>0</v>
      </c>
      <c r="CB11">
        <f>Hourly_kWh!BP13</f>
        <v>0</v>
      </c>
      <c r="CC11">
        <f>Hourly_kWh!BU13</f>
        <v>0</v>
      </c>
      <c r="CD11">
        <f>Hourly_kWh!BX13</f>
        <v>0</v>
      </c>
      <c r="CE11">
        <f>Hourly_kWh!CV13</f>
        <v>1.125625000000019E-3</v>
      </c>
      <c r="CF11">
        <f>Hourly_kWh!BT13</f>
        <v>8.3240000000017744E-3</v>
      </c>
      <c r="CG11">
        <f>Hourly_kWh!CA13</f>
        <v>1.2621937500000013E-2</v>
      </c>
      <c r="CH11">
        <f>Hourly_kWh!CF13</f>
        <v>1.0279999999998068E-3</v>
      </c>
      <c r="CI11">
        <f>Hourly_kWh!BZ13</f>
        <v>4.2271999999996979E-2</v>
      </c>
      <c r="CJ11">
        <f>Hourly_kWh!CK13</f>
        <v>0</v>
      </c>
      <c r="CK11">
        <f>Hourly_kWh!DT13</f>
        <v>1.8055500000000002E-2</v>
      </c>
      <c r="CL11">
        <f>Hourly_kWh!EB13</f>
        <v>6.8319999999999936E-2</v>
      </c>
      <c r="CM11">
        <f>Hourly_kWh!EC13</f>
        <v>3.2367999999991071E-2</v>
      </c>
      <c r="CN11">
        <f>Hourly_kWh!CQ13</f>
        <v>0</v>
      </c>
      <c r="CO11">
        <f>Hourly_kWh!DF13</f>
        <v>0</v>
      </c>
      <c r="CP11">
        <f>Hourly_kWh!DJ13</f>
        <v>0</v>
      </c>
      <c r="CQ11">
        <f>Hourly_kWh!DP13</f>
        <v>2.7059999999998752E-3</v>
      </c>
      <c r="CR11">
        <f>Hourly_kWh!BQ13</f>
        <v>0</v>
      </c>
      <c r="CS11">
        <f>Hourly_kWh!BY13</f>
        <v>0</v>
      </c>
      <c r="CT11">
        <f>Hourly_kWh!DU13</f>
        <v>0</v>
      </c>
      <c r="CU11">
        <f>Hourly_kWh!DQ13</f>
        <v>0</v>
      </c>
      <c r="CV11">
        <f>Hourly_kWh!EA13</f>
        <v>0</v>
      </c>
      <c r="CW11">
        <f>Hourly_kWh!DO13</f>
        <v>5.5040000000019518E-3</v>
      </c>
      <c r="CX11">
        <f>Hourly_kWh!DX13</f>
        <v>3.5889999999998423E-3</v>
      </c>
      <c r="CY11">
        <f>Hourly_kWh!DY13</f>
        <v>2.4187499999994699E-4</v>
      </c>
      <c r="CZ11">
        <f>Hourly_kWh!DZ13</f>
        <v>4.9579999999984636E-3</v>
      </c>
      <c r="DA11">
        <f>Hourly_kWh!ED13</f>
        <v>6.2099999999998268E-3</v>
      </c>
      <c r="DB11">
        <f>Hourly_kWh!DV13</f>
        <v>3.8250000000017437E-4</v>
      </c>
      <c r="DC11">
        <f>Hourly_kWh!CT13</f>
        <v>1.5047999999993067E-2</v>
      </c>
      <c r="DD11">
        <f>Hourly_kWh!DN13</f>
        <v>1.8081250000001603E-4</v>
      </c>
      <c r="DE11">
        <f>Hourly_kWh!AZ13</f>
        <v>0</v>
      </c>
      <c r="DF11">
        <f>Hourly_kWh!BD13</f>
        <v>2.8843750000000223E-4</v>
      </c>
      <c r="DG11">
        <f>Hourly_kWh!AV13</f>
        <v>1.0234999999996219E-3</v>
      </c>
      <c r="DH11">
        <f>Hourly_kWh!BG13</f>
        <v>1.0050000000010328E-3</v>
      </c>
      <c r="DI11">
        <f>Hourly_kWh!DK13</f>
        <v>2.7880000000024552E-3</v>
      </c>
      <c r="DJ11">
        <f>Hourly_kWh!DL13</f>
        <v>1.0992187499999917E-3</v>
      </c>
      <c r="DK11">
        <f>Hourly_kWh!AU13</f>
        <v>2.0760000000024093E-3</v>
      </c>
      <c r="DL11">
        <f>Hourly_kWh!DM13</f>
        <v>1.7300000000002314E-3</v>
      </c>
      <c r="DM11">
        <f>Hourly_kWh!CC13</f>
        <v>0</v>
      </c>
      <c r="DN11">
        <f>Hourly_kWh!BH13</f>
        <v>0</v>
      </c>
      <c r="DO11">
        <f>Hourly_kWh!AK13</f>
        <v>0</v>
      </c>
      <c r="DP11">
        <f>Hourly_kWh!AT13</f>
        <v>0</v>
      </c>
      <c r="DQ11">
        <f>Hourly_kWh!AX13</f>
        <v>0</v>
      </c>
      <c r="DR11">
        <f>Hourly_kWh!BA13</f>
        <v>0</v>
      </c>
      <c r="DS11">
        <f>Hourly_kWh!BB13</f>
        <v>0</v>
      </c>
      <c r="DT11">
        <f>Hourly_kWh!BC13</f>
        <v>0</v>
      </c>
      <c r="DU11">
        <f>Hourly_kWh!BF13</f>
        <v>0</v>
      </c>
      <c r="DV11">
        <f>Hourly_kWh!BN13</f>
        <v>0</v>
      </c>
      <c r="DW11">
        <f>Hourly_kWh!CD13</f>
        <v>0</v>
      </c>
      <c r="DX11">
        <f>Hourly_kWh!CE13</f>
        <v>0</v>
      </c>
      <c r="DY11">
        <f>Hourly_kWh!CJ13</f>
        <v>0</v>
      </c>
      <c r="DZ11">
        <f>Hourly_kWh!CP13</f>
        <v>0</v>
      </c>
      <c r="EA11">
        <f>Hourly_kWh!CS13</f>
        <v>0</v>
      </c>
      <c r="EB11">
        <f>Hourly_kWh!CU13</f>
        <v>0</v>
      </c>
      <c r="EC11">
        <f>Hourly_kWh!EG13</f>
        <v>0</v>
      </c>
      <c r="ED11">
        <f>Hourly_kWh!EQ13</f>
        <v>0</v>
      </c>
    </row>
    <row r="12" spans="1:164" ht="14" x14ac:dyDescent="0.25">
      <c r="A12" s="331"/>
      <c r="B12" s="137">
        <v>11</v>
      </c>
      <c r="C12" s="140" t="s">
        <v>148</v>
      </c>
      <c r="D12" s="142">
        <f>DAILY_ENERGY!C33</f>
        <v>7.1145344999999995</v>
      </c>
      <c r="E12" s="142">
        <f>DAILY_ENERGY!D33</f>
        <v>7.1731929999999995</v>
      </c>
      <c r="F12" s="142">
        <f>DAILY_ENERGY!E33</f>
        <v>5.8658499999999947E-2</v>
      </c>
      <c r="G12" s="142"/>
      <c r="H12" s="142">
        <f>SHIFT_A!E33</f>
        <v>3.1572999999999851E-2</v>
      </c>
      <c r="I12" s="142">
        <f>SHIFT_B!E33</f>
        <v>1.7167000000000598E-2</v>
      </c>
      <c r="J12" s="142">
        <f>SHIFT_C!E33</f>
        <v>9.9184999999994972E-3</v>
      </c>
      <c r="K12" s="162">
        <f t="shared" si="0"/>
        <v>5.8658499999999947E-2</v>
      </c>
      <c r="L12" s="163">
        <f t="shared" si="1"/>
        <v>0</v>
      </c>
      <c r="N12" s="149" t="s">
        <v>671</v>
      </c>
      <c r="O12">
        <f>Hourly_kWh!AF14</f>
        <v>0</v>
      </c>
      <c r="P12">
        <f>Hourly_kWh!BJ14</f>
        <v>0</v>
      </c>
      <c r="Q12">
        <f>Hourly_kWh!BK14</f>
        <v>2.4505000000001331E-3</v>
      </c>
      <c r="R12">
        <f>Hourly_kWh!EP14</f>
        <v>0</v>
      </c>
      <c r="S12">
        <f>Hourly_kWh!EE14</f>
        <v>6.8774999999998698E-3</v>
      </c>
      <c r="T12">
        <f>Hourly_kWh!DH14</f>
        <v>6.5749999999997755E-4</v>
      </c>
      <c r="U12">
        <f>Hourly_kWh!CL14</f>
        <v>1.1039999999979955E-3</v>
      </c>
      <c r="V12">
        <f>Hourly_kWh!BL14</f>
        <v>0</v>
      </c>
      <c r="W12">
        <f>Hourly_kWh!V14</f>
        <v>4.9619999999990227E-3</v>
      </c>
      <c r="X12">
        <f>Hourly_kWh!AB14</f>
        <v>6.7599999999998772E-3</v>
      </c>
      <c r="Y12">
        <f>Hourly_kWh!AE14</f>
        <v>5.0784999999997638E-3</v>
      </c>
      <c r="Z12">
        <f>Hourly_kWh!AG14</f>
        <v>1.41600000000075E-3</v>
      </c>
      <c r="AA12">
        <f>Hourly_kWh!BE14</f>
        <v>4.7700000000006071E-3</v>
      </c>
      <c r="AB12">
        <f>Hourly_kWh!AY14</f>
        <v>2.6500000000000412E-3</v>
      </c>
      <c r="AC12">
        <f>Hourly_kWh!CX14</f>
        <v>0</v>
      </c>
      <c r="AD12">
        <f>Hourly_kWh!CY14</f>
        <v>7.4499999999999567E-4</v>
      </c>
      <c r="AE12">
        <f>Hourly_kWh!DC14</f>
        <v>8.4517499999998691E-3</v>
      </c>
      <c r="AF12">
        <f>Hourly_kWh!DD14</f>
        <v>1.287500000000108E-3</v>
      </c>
      <c r="AG12">
        <f>Hourly_kWh!W14</f>
        <v>5.4790000000011219E-3</v>
      </c>
      <c r="AH12">
        <f>Hourly_kWh!X14</f>
        <v>4.3889999999997542E-3</v>
      </c>
      <c r="AI12">
        <f>Hourly_kWh!Y14</f>
        <v>0</v>
      </c>
      <c r="AJ12">
        <f>Hourly_kWh!Z14</f>
        <v>2.4630000000005481E-3</v>
      </c>
      <c r="AK12">
        <f>Hourly_kWh!AA14</f>
        <v>6.3780000000015491E-3</v>
      </c>
      <c r="AL12">
        <f>Hourly_kWh!AC14</f>
        <v>2.2179999999991651E-3</v>
      </c>
      <c r="AM12">
        <f>Hourly_kWh!AD14</f>
        <v>3.9039999999985753E-3</v>
      </c>
      <c r="AN12">
        <f>Hourly_kWh!AI14</f>
        <v>0</v>
      </c>
      <c r="AO12">
        <f>Hourly_kWh!AJ14</f>
        <v>2.307000000000059E-3</v>
      </c>
      <c r="AP12">
        <f>Hourly_kWh!AL14</f>
        <v>1.8013875000000013E-2</v>
      </c>
      <c r="AQ12">
        <f>Hourly_kWh!AM14</f>
        <v>2.2088000000010766E-2</v>
      </c>
      <c r="AR12">
        <f>Hourly_kWh!AN14</f>
        <v>1.6311999999999216E-2</v>
      </c>
      <c r="AS12">
        <f>Hourly_kWh!AO14</f>
        <v>7.2279999999977917E-3</v>
      </c>
      <c r="AT12">
        <f>Hourly_kWh!AP14</f>
        <v>3.164000000001721E-3</v>
      </c>
      <c r="AU12">
        <f>Hourly_kWh!CN14</f>
        <v>2.0450000000007407E-3</v>
      </c>
      <c r="AV12">
        <f>Hourly_kWh!CR14</f>
        <v>8.8360000000005101E-3</v>
      </c>
      <c r="AW12">
        <f>Hourly_kWh!AQ14</f>
        <v>1.3379999999997949E-2</v>
      </c>
      <c r="AX12">
        <f>Hourly_kWh!AS14</f>
        <v>4.1184999999996919E-3</v>
      </c>
      <c r="AY12">
        <f>Hourly_kWh!EH14</f>
        <v>3.5775999999941632E-2</v>
      </c>
      <c r="AZ12">
        <f>Hourly_kWh!EJ14</f>
        <v>1.7599999999902138E-3</v>
      </c>
      <c r="BA12">
        <f>Hourly_kWh!EI14</f>
        <v>2.3744000000078813E-2</v>
      </c>
      <c r="BB12">
        <f>Hourly_kWh!AW14</f>
        <v>5.4399999999986903E-2</v>
      </c>
      <c r="BC12">
        <f>Hourly_kWh!DS14</f>
        <v>7.9679999999996198E-2</v>
      </c>
      <c r="BD12">
        <f>Hourly_kWh!CO14</f>
        <v>4.0000000000006253E-2</v>
      </c>
      <c r="BE12">
        <f>Hourly_kWh!DA14</f>
        <v>1.1575999999998032E-2</v>
      </c>
      <c r="BF12">
        <f>Hourly_kWh!DB14</f>
        <v>6.2149999999991934E-3</v>
      </c>
      <c r="BG12">
        <f>Hourly_kWh!EK14</f>
        <v>0</v>
      </c>
      <c r="BH12">
        <f>Hourly_kWh!EL14</f>
        <v>0.16192000000000917</v>
      </c>
      <c r="BI12">
        <f>Hourly_kWh!EM14</f>
        <v>0.17279999999982465</v>
      </c>
      <c r="BJ12">
        <f>Hourly_kWh!EN14</f>
        <v>0</v>
      </c>
      <c r="BK12">
        <f>Hourly_kWh!EO14</f>
        <v>7.6799999999366264E-4</v>
      </c>
      <c r="BL12">
        <f>Hourly_kWh!ER14</f>
        <v>0.11494199999999921</v>
      </c>
      <c r="BM12">
        <f>Hourly_kWh!BW14</f>
        <v>0</v>
      </c>
      <c r="BN12">
        <f>Hourly_kWh!DR14</f>
        <v>0</v>
      </c>
      <c r="BO12">
        <f>Hourly_kWh!CG14</f>
        <v>0</v>
      </c>
      <c r="BP12">
        <f>Hourly_kWh!CI14</f>
        <v>0</v>
      </c>
      <c r="BQ12">
        <f>Hourly_kWh!BV14</f>
        <v>0</v>
      </c>
      <c r="BR12">
        <f>Hourly_kWh!BO14</f>
        <v>2.0284000000000191E-2</v>
      </c>
      <c r="BS12">
        <f>Hourly_kWh!CW14</f>
        <v>2.2760000000019431E-3</v>
      </c>
      <c r="BT12">
        <f>Hourly_kWh!DE14</f>
        <v>0</v>
      </c>
      <c r="BU12">
        <f>Hourly_kWh!DW14</f>
        <v>0</v>
      </c>
      <c r="BV12">
        <f>Hourly_kWh!CB14</f>
        <v>0</v>
      </c>
      <c r="BW12">
        <f>Hourly_kWh!CZ14</f>
        <v>1.1387499999999662E-3</v>
      </c>
      <c r="BX12">
        <f>Hourly_kWh!DG14</f>
        <v>9.8249999999922011E-4</v>
      </c>
      <c r="BY12">
        <f>Hourly_kWh!BS14</f>
        <v>0</v>
      </c>
      <c r="BZ12">
        <f>Hourly_kWh!CH14</f>
        <v>6.2899999999999068E-4</v>
      </c>
      <c r="CA12">
        <f>Hourly_kWh!BR14</f>
        <v>0</v>
      </c>
      <c r="CB12">
        <f>Hourly_kWh!BP14</f>
        <v>0</v>
      </c>
      <c r="CC12">
        <f>Hourly_kWh!BU14</f>
        <v>0</v>
      </c>
      <c r="CD12">
        <f>Hourly_kWh!BX14</f>
        <v>0</v>
      </c>
      <c r="CE12">
        <f>Hourly_kWh!CV14</f>
        <v>1.077374999999936E-3</v>
      </c>
      <c r="CF12">
        <f>Hourly_kWh!BT14</f>
        <v>8.155999999999608E-3</v>
      </c>
      <c r="CG12">
        <f>Hourly_kWh!CA14</f>
        <v>1.5629468750000042E-2</v>
      </c>
      <c r="CH12">
        <f>Hourly_kWh!CF14</f>
        <v>1.2259999999990612E-3</v>
      </c>
      <c r="CI12">
        <f>Hourly_kWh!BZ14</f>
        <v>3.773600000000954E-2</v>
      </c>
      <c r="CJ12">
        <f>Hourly_kWh!CK14</f>
        <v>0</v>
      </c>
      <c r="CK12">
        <f>Hourly_kWh!DT14</f>
        <v>1.7973000000000461E-2</v>
      </c>
      <c r="CL12">
        <f>Hourly_kWh!EB14</f>
        <v>5.2544000000011692E-2</v>
      </c>
      <c r="CM12">
        <f>Hourly_kWh!EC14</f>
        <v>3.2192000000009102E-2</v>
      </c>
      <c r="CN12">
        <f>Hourly_kWh!CQ14</f>
        <v>0</v>
      </c>
      <c r="CO12">
        <f>Hourly_kWh!DF14</f>
        <v>0</v>
      </c>
      <c r="CP12">
        <f>Hourly_kWh!DJ14</f>
        <v>0</v>
      </c>
      <c r="CQ12">
        <f>Hourly_kWh!DP14</f>
        <v>2.5995000000005319E-3</v>
      </c>
      <c r="CR12">
        <f>Hourly_kWh!BQ14</f>
        <v>0</v>
      </c>
      <c r="CS12">
        <f>Hourly_kWh!BY14</f>
        <v>0</v>
      </c>
      <c r="CT12">
        <f>Hourly_kWh!DU14</f>
        <v>0</v>
      </c>
      <c r="CU12">
        <f>Hourly_kWh!DQ14</f>
        <v>0</v>
      </c>
      <c r="CV12">
        <f>Hourly_kWh!EA14</f>
        <v>0</v>
      </c>
      <c r="CW12">
        <f>Hourly_kWh!DO14</f>
        <v>9.727999999995518E-3</v>
      </c>
      <c r="CX12">
        <f>Hourly_kWh!DX14</f>
        <v>3.5650000000000404E-3</v>
      </c>
      <c r="CY12">
        <f>Hourly_kWh!DY14</f>
        <v>2.3512500000000269E-4</v>
      </c>
      <c r="CZ12">
        <f>Hourly_kWh!DZ14</f>
        <v>4.3900000000007822E-3</v>
      </c>
      <c r="DA12">
        <f>Hourly_kWh!ED14</f>
        <v>9.1499999999999915E-4</v>
      </c>
      <c r="DB12">
        <f>Hourly_kWh!DV14</f>
        <v>5.3349999999996456E-4</v>
      </c>
      <c r="DC12">
        <f>Hourly_kWh!CT14</f>
        <v>7.4479999999965685E-3</v>
      </c>
      <c r="DD12">
        <f>Hourly_kWh!DN14</f>
        <v>0</v>
      </c>
      <c r="DE12">
        <f>Hourly_kWh!AZ14</f>
        <v>0</v>
      </c>
      <c r="DF12">
        <f>Hourly_kWh!BD14</f>
        <v>3.0720312500000235E-4</v>
      </c>
      <c r="DG12">
        <f>Hourly_kWh!AV14</f>
        <v>1.0684999999996947E-3</v>
      </c>
      <c r="DH12">
        <f>Hourly_kWh!BG14</f>
        <v>7.62999999999181E-4</v>
      </c>
      <c r="DI12">
        <f>Hourly_kWh!DK14</f>
        <v>2.7899999999974057E-3</v>
      </c>
      <c r="DJ12">
        <f>Hourly_kWh!DL14</f>
        <v>1.100093750000003E-3</v>
      </c>
      <c r="DK12">
        <f>Hourly_kWh!AU14</f>
        <v>2.0319999999998117E-3</v>
      </c>
      <c r="DL12">
        <f>Hourly_kWh!DM14</f>
        <v>1.760000000000872E-3</v>
      </c>
      <c r="DM12">
        <f>Hourly_kWh!CC14</f>
        <v>0</v>
      </c>
      <c r="DN12">
        <f>Hourly_kWh!BH14</f>
        <v>0</v>
      </c>
      <c r="DO12">
        <f>Hourly_kWh!AK14</f>
        <v>0</v>
      </c>
      <c r="DP12">
        <f>Hourly_kWh!AT14</f>
        <v>0</v>
      </c>
      <c r="DQ12">
        <f>Hourly_kWh!AX14</f>
        <v>0</v>
      </c>
      <c r="DR12">
        <f>Hourly_kWh!BA14</f>
        <v>0</v>
      </c>
      <c r="DS12">
        <f>Hourly_kWh!BB14</f>
        <v>0</v>
      </c>
      <c r="DT12">
        <f>Hourly_kWh!BC14</f>
        <v>0</v>
      </c>
      <c r="DU12">
        <f>Hourly_kWh!BF14</f>
        <v>0</v>
      </c>
      <c r="DV12">
        <f>Hourly_kWh!BN14</f>
        <v>0</v>
      </c>
      <c r="DW12">
        <f>Hourly_kWh!CD14</f>
        <v>0</v>
      </c>
      <c r="DX12">
        <f>Hourly_kWh!CE14</f>
        <v>0</v>
      </c>
      <c r="DY12">
        <f>Hourly_kWh!CJ14</f>
        <v>0</v>
      </c>
      <c r="DZ12">
        <f>Hourly_kWh!CP14</f>
        <v>0</v>
      </c>
      <c r="EA12">
        <f>Hourly_kWh!CS14</f>
        <v>0</v>
      </c>
      <c r="EB12">
        <f>Hourly_kWh!CU14</f>
        <v>0</v>
      </c>
      <c r="EC12">
        <f>Hourly_kWh!EG14</f>
        <v>0</v>
      </c>
      <c r="ED12">
        <f>Hourly_kWh!EQ14</f>
        <v>0</v>
      </c>
    </row>
    <row r="13" spans="1:164" ht="14" x14ac:dyDescent="0.25">
      <c r="A13" s="331"/>
      <c r="B13" s="137">
        <v>12</v>
      </c>
      <c r="C13" s="140" t="s">
        <v>150</v>
      </c>
      <c r="D13" s="142">
        <f>DAILY_ENERGY!C35</f>
        <v>4.2795930000000002</v>
      </c>
      <c r="E13" s="142">
        <f>DAILY_ENERGY!D35</f>
        <v>4.3381904999999996</v>
      </c>
      <c r="F13" s="142">
        <f>DAILY_ENERGY!E35</f>
        <v>5.8597499999999414E-2</v>
      </c>
      <c r="G13" s="142"/>
      <c r="H13" s="142">
        <f>SHIFT_A!E35</f>
        <v>1.2116999999999933E-2</v>
      </c>
      <c r="I13" s="142">
        <f>SHIFT_B!E35</f>
        <v>2.4983499999999381E-2</v>
      </c>
      <c r="J13" s="142">
        <f>SHIFT_C!E35</f>
        <v>2.1497000000000099E-2</v>
      </c>
      <c r="K13" s="162">
        <f t="shared" si="0"/>
        <v>5.8597499999999414E-2</v>
      </c>
      <c r="L13" s="163">
        <f t="shared" si="1"/>
        <v>0</v>
      </c>
      <c r="N13" s="149" t="s">
        <v>672</v>
      </c>
      <c r="O13">
        <f>Hourly_kWh!AF15</f>
        <v>0</v>
      </c>
      <c r="P13">
        <f>Hourly_kWh!BJ15</f>
        <v>0</v>
      </c>
      <c r="Q13">
        <f>Hourly_kWh!BK15</f>
        <v>2.491000000000021E-3</v>
      </c>
      <c r="R13">
        <f>Hourly_kWh!EP15</f>
        <v>0</v>
      </c>
      <c r="S13">
        <f>Hourly_kWh!EE15</f>
        <v>7.9374999999997087E-3</v>
      </c>
      <c r="T13">
        <f>Hourly_kWh!DH15</f>
        <v>6.060000000003285E-4</v>
      </c>
      <c r="U13">
        <f>Hourly_kWh!CL15</f>
        <v>1.0820000000002494E-3</v>
      </c>
      <c r="V13">
        <f>Hourly_kWh!BL15</f>
        <v>0</v>
      </c>
      <c r="W13">
        <f>Hourly_kWh!V15</f>
        <v>5.3760000000018238E-3</v>
      </c>
      <c r="X13">
        <f>Hourly_kWh!AB15</f>
        <v>6.9519999999982929E-3</v>
      </c>
      <c r="Y13">
        <f>Hourly_kWh!AE15</f>
        <v>4.0300000000002001E-3</v>
      </c>
      <c r="Z13">
        <f>Hourly_kWh!AG15</f>
        <v>2.9199999999995896E-4</v>
      </c>
      <c r="AA13">
        <f>Hourly_kWh!BE15</f>
        <v>5.935999999998387E-3</v>
      </c>
      <c r="AB13">
        <f>Hourly_kWh!AY15</f>
        <v>3.0310000000000059E-3</v>
      </c>
      <c r="AC13">
        <f>Hourly_kWh!CX15</f>
        <v>0</v>
      </c>
      <c r="AD13">
        <f>Hourly_kWh!CY15</f>
        <v>7.510000000001682E-4</v>
      </c>
      <c r="AE13">
        <f>Hourly_kWh!DC15</f>
        <v>8.6215000000000597E-3</v>
      </c>
      <c r="AF13">
        <f>Hourly_kWh!DD15</f>
        <v>1.319499999999918E-3</v>
      </c>
      <c r="AG13">
        <f>Hourly_kWh!W15</f>
        <v>5.3570000000000562E-3</v>
      </c>
      <c r="AH13">
        <f>Hourly_kWh!X15</f>
        <v>4.0949999999995157E-3</v>
      </c>
      <c r="AI13">
        <f>Hourly_kWh!Y15</f>
        <v>0</v>
      </c>
      <c r="AJ13">
        <f>Hourly_kWh!Z15</f>
        <v>1.1599999999987176E-3</v>
      </c>
      <c r="AK13">
        <f>Hourly_kWh!AA15</f>
        <v>6.4039999999998543E-3</v>
      </c>
      <c r="AL13">
        <f>Hourly_kWh!AC15</f>
        <v>1.7560000000003129E-3</v>
      </c>
      <c r="AM13">
        <f>Hourly_kWh!AD15</f>
        <v>2.6320000000001897E-3</v>
      </c>
      <c r="AN13">
        <f>Hourly_kWh!AI15</f>
        <v>0</v>
      </c>
      <c r="AO13">
        <f>Hourly_kWh!AJ15</f>
        <v>2.4759999999997007E-3</v>
      </c>
      <c r="AP13">
        <f>Hourly_kWh!AL15</f>
        <v>1.7680406250000003E-2</v>
      </c>
      <c r="AQ13">
        <f>Hourly_kWh!AM15</f>
        <v>2.1816000000001168E-2</v>
      </c>
      <c r="AR13">
        <f>Hourly_kWh!AN15</f>
        <v>1.5503999999992857E-2</v>
      </c>
      <c r="AS13">
        <f>Hourly_kWh!AO15</f>
        <v>7.3360000000022296E-3</v>
      </c>
      <c r="AT13">
        <f>Hourly_kWh!AP15</f>
        <v>3.1719999999992865E-3</v>
      </c>
      <c r="AU13">
        <f>Hourly_kWh!CN15</f>
        <v>2.0319999999998117E-3</v>
      </c>
      <c r="AV13">
        <f>Hourly_kWh!CR15</f>
        <v>9.3540000000000845E-3</v>
      </c>
      <c r="AW13">
        <f>Hourly_kWh!AQ15</f>
        <v>1.3348000000007687E-2</v>
      </c>
      <c r="AX13">
        <f>Hourly_kWh!AS15</f>
        <v>3.8955000000004958E-3</v>
      </c>
      <c r="AY13">
        <f>Hourly_kWh!EH15</f>
        <v>3.9616000000023632E-2</v>
      </c>
      <c r="AZ13">
        <f>Hourly_kWh!EJ15</f>
        <v>2.3039999999809879E-3</v>
      </c>
      <c r="BA13">
        <f>Hourly_kWh!EI15</f>
        <v>2.8991999999902873E-2</v>
      </c>
      <c r="BB13">
        <f>Hourly_kWh!AW15</f>
        <v>6.5471999999999753E-2</v>
      </c>
      <c r="BC13">
        <f>Hourly_kWh!DS15</f>
        <v>8.5759999999993397E-2</v>
      </c>
      <c r="BD13">
        <f>Hourly_kWh!CO15</f>
        <v>4.1303999999996677E-2</v>
      </c>
      <c r="BE13">
        <f>Hourly_kWh!DA15</f>
        <v>1.1780000000001678E-2</v>
      </c>
      <c r="BF13">
        <f>Hourly_kWh!DB15</f>
        <v>6.1980000000012581E-3</v>
      </c>
      <c r="BG13">
        <f>Hourly_kWh!EK15</f>
        <v>0</v>
      </c>
      <c r="BH13">
        <f>Hourly_kWh!EL15</f>
        <v>0.16319999999996071</v>
      </c>
      <c r="BI13">
        <f>Hourly_kWh!EM15</f>
        <v>0.17510400000037407</v>
      </c>
      <c r="BJ13">
        <f>Hourly_kWh!EN15</f>
        <v>0</v>
      </c>
      <c r="BK13">
        <f>Hourly_kWh!EO15</f>
        <v>7.6799999999366264E-4</v>
      </c>
      <c r="BL13">
        <f>Hourly_kWh!ER15</f>
        <v>0.13145000000001517</v>
      </c>
      <c r="BM13">
        <f>Hourly_kWh!BW15</f>
        <v>0</v>
      </c>
      <c r="BN13">
        <f>Hourly_kWh!DR15</f>
        <v>0</v>
      </c>
      <c r="BO13">
        <f>Hourly_kWh!CG15</f>
        <v>0</v>
      </c>
      <c r="BP13">
        <f>Hourly_kWh!CI15</f>
        <v>0</v>
      </c>
      <c r="BQ13">
        <f>Hourly_kWh!BV15</f>
        <v>0</v>
      </c>
      <c r="BR13">
        <f>Hourly_kWh!BO15</f>
        <v>1.5959999999992647E-3</v>
      </c>
      <c r="BS13">
        <f>Hourly_kWh!CW15</f>
        <v>0</v>
      </c>
      <c r="BT13">
        <f>Hourly_kWh!DE15</f>
        <v>0</v>
      </c>
      <c r="BU13">
        <f>Hourly_kWh!DW15</f>
        <v>0</v>
      </c>
      <c r="BV13">
        <f>Hourly_kWh!CB15</f>
        <v>0</v>
      </c>
      <c r="BW13">
        <f>Hourly_kWh!CZ15</f>
        <v>4.9974999999990999E-4</v>
      </c>
      <c r="BX13">
        <f>Hourly_kWh!DG15</f>
        <v>0</v>
      </c>
      <c r="BY13">
        <f>Hourly_kWh!BS15</f>
        <v>0</v>
      </c>
      <c r="BZ13">
        <f>Hourly_kWh!CH15</f>
        <v>6.3750000000029061E-4</v>
      </c>
      <c r="CA13">
        <f>Hourly_kWh!BR15</f>
        <v>0</v>
      </c>
      <c r="CB13">
        <f>Hourly_kWh!BP15</f>
        <v>0</v>
      </c>
      <c r="CC13">
        <f>Hourly_kWh!BU15</f>
        <v>0</v>
      </c>
      <c r="CD13">
        <f>Hourly_kWh!BX15</f>
        <v>0</v>
      </c>
      <c r="CE13">
        <f>Hourly_kWh!CV15</f>
        <v>1.1680000000000579E-3</v>
      </c>
      <c r="CF13">
        <f>Hourly_kWh!BT15</f>
        <v>9.2440000000024725E-3</v>
      </c>
      <c r="CG13">
        <f>Hourly_kWh!CA15</f>
        <v>1.9148812500000001E-2</v>
      </c>
      <c r="CH13">
        <f>Hourly_kWh!CF15</f>
        <v>1.632000000000744E-3</v>
      </c>
      <c r="CI13">
        <f>Hourly_kWh!BZ15</f>
        <v>4.41279999999864E-2</v>
      </c>
      <c r="CJ13">
        <f>Hourly_kWh!CK15</f>
        <v>0</v>
      </c>
      <c r="CK13">
        <f>Hourly_kWh!DT15</f>
        <v>1.7743000000000286E-2</v>
      </c>
      <c r="CL13">
        <f>Hourly_kWh!EB15</f>
        <v>6.9296000000008462E-2</v>
      </c>
      <c r="CM13">
        <f>Hourly_kWh!EC15</f>
        <v>3.2671999999990931E-2</v>
      </c>
      <c r="CN13">
        <f>Hourly_kWh!CQ15</f>
        <v>0</v>
      </c>
      <c r="CO13">
        <f>Hourly_kWh!DF15</f>
        <v>0</v>
      </c>
      <c r="CP13">
        <f>Hourly_kWh!DJ15</f>
        <v>0</v>
      </c>
      <c r="CQ13">
        <f>Hourly_kWh!DP15</f>
        <v>2.8185000000000571E-3</v>
      </c>
      <c r="CR13">
        <f>Hourly_kWh!BQ15</f>
        <v>0</v>
      </c>
      <c r="CS13">
        <f>Hourly_kWh!BY15</f>
        <v>0</v>
      </c>
      <c r="CT13">
        <f>Hourly_kWh!DU15</f>
        <v>0</v>
      </c>
      <c r="CU13">
        <f>Hourly_kWh!DQ15</f>
        <v>0</v>
      </c>
      <c r="CV13">
        <f>Hourly_kWh!EA15</f>
        <v>0</v>
      </c>
      <c r="CW13">
        <f>Hourly_kWh!DO15</f>
        <v>7.5039999999830798E-3</v>
      </c>
      <c r="CX13">
        <f>Hourly_kWh!DX15</f>
        <v>3.543000000000518E-3</v>
      </c>
      <c r="CY13">
        <f>Hourly_kWh!DY15</f>
        <v>2.278749999999885E-4</v>
      </c>
      <c r="CZ13">
        <f>Hourly_kWh!DZ15</f>
        <v>4.6420000000004791E-3</v>
      </c>
      <c r="DA13">
        <f>Hourly_kWh!ED15</f>
        <v>2.572500000002087E-4</v>
      </c>
      <c r="DB13">
        <f>Hourly_kWh!DV15</f>
        <v>2.9225000000021595E-4</v>
      </c>
      <c r="DC13">
        <f>Hourly_kWh!CT15</f>
        <v>1.7440000000021882E-3</v>
      </c>
      <c r="DD13">
        <f>Hourly_kWh!DN15</f>
        <v>0</v>
      </c>
      <c r="DE13">
        <f>Hourly_kWh!AZ15</f>
        <v>0</v>
      </c>
      <c r="DF13">
        <f>Hourly_kWh!BD15</f>
        <v>1.0726562499999148E-4</v>
      </c>
      <c r="DG13">
        <f>Hourly_kWh!AV15</f>
        <v>1.0305000000006004E-3</v>
      </c>
      <c r="DH13">
        <f>Hourly_kWh!BG15</f>
        <v>4.3800000000082662E-4</v>
      </c>
      <c r="DI13">
        <f>Hourly_kWh!DK15</f>
        <v>2.7480000000004168E-3</v>
      </c>
      <c r="DJ13">
        <f>Hourly_kWh!DL15</f>
        <v>1.0854218749999922E-3</v>
      </c>
      <c r="DK13">
        <f>Hourly_kWh!AU15</f>
        <v>2.0279999999956999E-3</v>
      </c>
      <c r="DL13">
        <f>Hourly_kWh!DM15</f>
        <v>1.8250000000001876E-3</v>
      </c>
      <c r="DM13">
        <f>Hourly_kWh!CC15</f>
        <v>0</v>
      </c>
      <c r="DN13">
        <f>Hourly_kWh!BH15</f>
        <v>0</v>
      </c>
      <c r="DO13">
        <f>Hourly_kWh!AK15</f>
        <v>0</v>
      </c>
      <c r="DP13">
        <f>Hourly_kWh!AT15</f>
        <v>0</v>
      </c>
      <c r="DQ13">
        <f>Hourly_kWh!AX15</f>
        <v>0</v>
      </c>
      <c r="DR13">
        <f>Hourly_kWh!BA15</f>
        <v>0</v>
      </c>
      <c r="DS13">
        <f>Hourly_kWh!BB15</f>
        <v>0</v>
      </c>
      <c r="DT13">
        <f>Hourly_kWh!BC15</f>
        <v>0</v>
      </c>
      <c r="DU13">
        <f>Hourly_kWh!BF15</f>
        <v>0</v>
      </c>
      <c r="DV13">
        <f>Hourly_kWh!BN15</f>
        <v>0</v>
      </c>
      <c r="DW13">
        <f>Hourly_kWh!CD15</f>
        <v>0</v>
      </c>
      <c r="DX13">
        <f>Hourly_kWh!CE15</f>
        <v>0</v>
      </c>
      <c r="DY13">
        <f>Hourly_kWh!CJ15</f>
        <v>0</v>
      </c>
      <c r="DZ13">
        <f>Hourly_kWh!CP15</f>
        <v>0</v>
      </c>
      <c r="EA13">
        <f>Hourly_kWh!CS15</f>
        <v>0</v>
      </c>
      <c r="EB13">
        <f>Hourly_kWh!CU15</f>
        <v>0</v>
      </c>
      <c r="EC13">
        <f>Hourly_kWh!EG15</f>
        <v>0</v>
      </c>
      <c r="ED13">
        <f>Hourly_kWh!EQ15</f>
        <v>0</v>
      </c>
    </row>
    <row r="14" spans="1:164" ht="14" x14ac:dyDescent="0.25">
      <c r="A14" s="331"/>
      <c r="B14" s="137">
        <v>13</v>
      </c>
      <c r="C14" s="140" t="s">
        <v>270</v>
      </c>
      <c r="D14" s="142">
        <f>DAILY_ENERGY!C59</f>
        <v>19.798527999999997</v>
      </c>
      <c r="E14" s="142">
        <f>DAILY_ENERGY!D59</f>
        <v>19.916705999999998</v>
      </c>
      <c r="F14" s="142">
        <f>DAILY_ENERGY!E59</f>
        <v>0.11817800000000034</v>
      </c>
      <c r="G14" s="142"/>
      <c r="H14" s="142">
        <f>SHIFT_A!E59</f>
        <v>3.8102000000002079E-2</v>
      </c>
      <c r="I14" s="142">
        <f>SHIFT_B!E59</f>
        <v>4.0302000000000504E-2</v>
      </c>
      <c r="J14" s="142">
        <f>SHIFT_C!E59</f>
        <v>3.9773999999997756E-2</v>
      </c>
      <c r="K14" s="162">
        <f t="shared" si="0"/>
        <v>0.11817800000000034</v>
      </c>
      <c r="L14" s="163">
        <f t="shared" si="1"/>
        <v>0</v>
      </c>
      <c r="N14" s="149" t="s">
        <v>673</v>
      </c>
      <c r="O14">
        <f>Hourly_kWh!AF16</f>
        <v>0</v>
      </c>
      <c r="P14">
        <f>Hourly_kWh!BJ16</f>
        <v>0</v>
      </c>
      <c r="Q14">
        <f>Hourly_kWh!BK16</f>
        <v>1.5404999999999447E-3</v>
      </c>
      <c r="R14">
        <f>Hourly_kWh!EP16</f>
        <v>0</v>
      </c>
      <c r="S14">
        <f>Hourly_kWh!EE16</f>
        <v>5.062000000000566E-3</v>
      </c>
      <c r="T14">
        <f>Hourly_kWh!DH16</f>
        <v>6.975000000002396E-4</v>
      </c>
      <c r="U14">
        <f>Hourly_kWh!CL16</f>
        <v>2.6940000000017505E-3</v>
      </c>
      <c r="V14">
        <f>Hourly_kWh!BL16</f>
        <v>0</v>
      </c>
      <c r="W14">
        <f>Hourly_kWh!V16</f>
        <v>5.4839999999991562E-3</v>
      </c>
      <c r="X14">
        <f>Hourly_kWh!AB16</f>
        <v>6.6640000000006694E-3</v>
      </c>
      <c r="Y14">
        <f>Hourly_kWh!AE16</f>
        <v>3.2480000000001397E-3</v>
      </c>
      <c r="Z14">
        <f>Hourly_kWh!AG16</f>
        <v>4.3399999999937933E-4</v>
      </c>
      <c r="AA14">
        <f>Hourly_kWh!BE16</f>
        <v>5.6280000000015207E-3</v>
      </c>
      <c r="AB14">
        <f>Hourly_kWh!AY16</f>
        <v>2.4189999999997269E-3</v>
      </c>
      <c r="AC14">
        <f>Hourly_kWh!CX16</f>
        <v>0</v>
      </c>
      <c r="AD14">
        <f>Hourly_kWh!CY16</f>
        <v>7.0399999999981588E-4</v>
      </c>
      <c r="AE14">
        <f>Hourly_kWh!DC16</f>
        <v>8.3029999999999493E-3</v>
      </c>
      <c r="AF14">
        <f>Hourly_kWh!DD16</f>
        <v>1.2473749999999395E-3</v>
      </c>
      <c r="AG14">
        <f>Hourly_kWh!W16</f>
        <v>5.4199999999990922E-3</v>
      </c>
      <c r="AH14">
        <f>Hourly_kWh!X16</f>
        <v>4.1779999999995709E-3</v>
      </c>
      <c r="AI14">
        <f>Hourly_kWh!Y16</f>
        <v>0</v>
      </c>
      <c r="AJ14">
        <f>Hourly_kWh!Z16</f>
        <v>9.8299999999973409E-4</v>
      </c>
      <c r="AK14">
        <f>Hourly_kWh!AA16</f>
        <v>5.9819999999994877E-3</v>
      </c>
      <c r="AL14">
        <f>Hourly_kWh!AC16</f>
        <v>1.4199999999995327E-3</v>
      </c>
      <c r="AM14">
        <f>Hourly_kWh!AD16</f>
        <v>2.5710000000014332E-3</v>
      </c>
      <c r="AN14">
        <f>Hourly_kWh!AI16</f>
        <v>0</v>
      </c>
      <c r="AO14">
        <f>Hourly_kWh!AJ16</f>
        <v>2.5195000000000078E-3</v>
      </c>
      <c r="AP14">
        <f>Hourly_kWh!AL16</f>
        <v>1.5739531249999994E-2</v>
      </c>
      <c r="AQ14">
        <f>Hourly_kWh!AM16</f>
        <v>2.0615999999989754E-2</v>
      </c>
      <c r="AR14">
        <f>Hourly_kWh!AN16</f>
        <v>1.6152000000005273E-2</v>
      </c>
      <c r="AS14">
        <f>Hourly_kWh!AO16</f>
        <v>6.6119999999969536E-3</v>
      </c>
      <c r="AT14">
        <f>Hourly_kWh!AP16</f>
        <v>3.7640000000003226E-3</v>
      </c>
      <c r="AU14">
        <f>Hourly_kWh!CN16</f>
        <v>2.1609999999991913E-3</v>
      </c>
      <c r="AV14">
        <f>Hourly_kWh!CR16</f>
        <v>9.2959999999990828E-3</v>
      </c>
      <c r="AW14">
        <f>Hourly_kWh!AQ16</f>
        <v>1.3592000000002713E-2</v>
      </c>
      <c r="AX14">
        <f>Hourly_kWh!AS16</f>
        <v>3.4829999999992367E-3</v>
      </c>
      <c r="AY14">
        <f>Hourly_kWh!EH16</f>
        <v>3.0592000000069675E-2</v>
      </c>
      <c r="AZ14">
        <f>Hourly_kWh!EJ16</f>
        <v>2.1760000000199398E-3</v>
      </c>
      <c r="BA14">
        <f>Hourly_kWh!EI16</f>
        <v>2.7647999999999229E-2</v>
      </c>
      <c r="BB14">
        <f>Hourly_kWh!AW16</f>
        <v>5.5295999999998457E-2</v>
      </c>
      <c r="BC14">
        <f>Hourly_kWh!DS16</f>
        <v>8.1440000000043256E-2</v>
      </c>
      <c r="BD14">
        <f>Hourly_kWh!CO16</f>
        <v>4.052799999999479E-2</v>
      </c>
      <c r="BE14">
        <f>Hourly_kWh!DA16</f>
        <v>1.1575999999998032E-2</v>
      </c>
      <c r="BF14">
        <f>Hourly_kWh!DB16</f>
        <v>6.1979999999994817E-3</v>
      </c>
      <c r="BG14">
        <f>Hourly_kWh!EK16</f>
        <v>0</v>
      </c>
      <c r="BH14">
        <f>Hourly_kWh!EL16</f>
        <v>0.15782399999989138</v>
      </c>
      <c r="BI14">
        <f>Hourly_kWh!EM16</f>
        <v>0.16614399999980378</v>
      </c>
      <c r="BJ14">
        <f>Hourly_kWh!EN16</f>
        <v>0</v>
      </c>
      <c r="BK14">
        <f>Hourly_kWh!EO16</f>
        <v>7.6799999999366264E-4</v>
      </c>
      <c r="BL14">
        <f>Hourly_kWh!ER16</f>
        <v>0.12645799999999952</v>
      </c>
      <c r="BM14">
        <f>Hourly_kWh!BW16</f>
        <v>0</v>
      </c>
      <c r="BN14">
        <f>Hourly_kWh!DR16</f>
        <v>0</v>
      </c>
      <c r="BO14">
        <f>Hourly_kWh!CG16</f>
        <v>0</v>
      </c>
      <c r="BP14">
        <f>Hourly_kWh!CI16</f>
        <v>0</v>
      </c>
      <c r="BQ14">
        <f>Hourly_kWh!BV16</f>
        <v>0</v>
      </c>
      <c r="BR14">
        <f>Hourly_kWh!BO16</f>
        <v>1.5800000000005809E-3</v>
      </c>
      <c r="BS14">
        <f>Hourly_kWh!CW16</f>
        <v>0</v>
      </c>
      <c r="BT14">
        <f>Hourly_kWh!DE16</f>
        <v>0</v>
      </c>
      <c r="BU14">
        <f>Hourly_kWh!DW16</f>
        <v>0</v>
      </c>
      <c r="BV14">
        <f>Hourly_kWh!CB16</f>
        <v>0</v>
      </c>
      <c r="BW14">
        <f>Hourly_kWh!CZ16</f>
        <v>4.8875000000014879E-4</v>
      </c>
      <c r="BX14">
        <f>Hourly_kWh!DG16</f>
        <v>0</v>
      </c>
      <c r="BY14">
        <f>Hourly_kWh!BS16</f>
        <v>0</v>
      </c>
      <c r="BZ14">
        <f>Hourly_kWh!CH16</f>
        <v>1.0499999999997733E-3</v>
      </c>
      <c r="CA14">
        <f>Hourly_kWh!BR16</f>
        <v>0</v>
      </c>
      <c r="CB14">
        <f>Hourly_kWh!BP16</f>
        <v>0</v>
      </c>
      <c r="CC14">
        <f>Hourly_kWh!BU16</f>
        <v>0</v>
      </c>
      <c r="CD14">
        <f>Hourly_kWh!BX16</f>
        <v>0</v>
      </c>
      <c r="CE14">
        <f>Hourly_kWh!CV16</f>
        <v>1.3393749999999205E-3</v>
      </c>
      <c r="CF14">
        <f>Hourly_kWh!BT16</f>
        <v>1.1955999999997857E-2</v>
      </c>
      <c r="CG14">
        <f>Hourly_kWh!CA16</f>
        <v>1.2817437499999973E-2</v>
      </c>
      <c r="CH14">
        <f>Hourly_kWh!CF16</f>
        <v>1.9790000000003971E-3</v>
      </c>
      <c r="CI14">
        <f>Hourly_kWh!BZ16</f>
        <v>3.2176000000006866E-2</v>
      </c>
      <c r="CJ14">
        <f>Hourly_kWh!CK16</f>
        <v>0</v>
      </c>
      <c r="CK14">
        <f>Hourly_kWh!DT16</f>
        <v>1.6569499999999238E-2</v>
      </c>
      <c r="CL14">
        <f>Hourly_kWh!EB16</f>
        <v>6.6335999999978412E-2</v>
      </c>
      <c r="CM14">
        <f>Hourly_kWh!EC16</f>
        <v>3.1599999999997408E-2</v>
      </c>
      <c r="CN14">
        <f>Hourly_kWh!CQ16</f>
        <v>0</v>
      </c>
      <c r="CO14">
        <f>Hourly_kWh!DF16</f>
        <v>0</v>
      </c>
      <c r="CP14">
        <f>Hourly_kWh!DJ16</f>
        <v>0</v>
      </c>
      <c r="CQ14">
        <f>Hourly_kWh!DP16</f>
        <v>2.7694999999994252E-3</v>
      </c>
      <c r="CR14">
        <f>Hourly_kWh!BQ16</f>
        <v>0</v>
      </c>
      <c r="CS14">
        <f>Hourly_kWh!BY16</f>
        <v>0</v>
      </c>
      <c r="CT14">
        <f>Hourly_kWh!DU16</f>
        <v>0</v>
      </c>
      <c r="CU14">
        <f>Hourly_kWh!DQ16</f>
        <v>0</v>
      </c>
      <c r="CV14">
        <f>Hourly_kWh!EA16</f>
        <v>0</v>
      </c>
      <c r="CW14">
        <f>Hourly_kWh!DO16</f>
        <v>6.5920000000119217E-3</v>
      </c>
      <c r="CX14">
        <f>Hourly_kWh!DX16</f>
        <v>3.543000000000518E-3</v>
      </c>
      <c r="CY14">
        <f>Hourly_kWh!DY16</f>
        <v>2.2787500000009953E-4</v>
      </c>
      <c r="CZ14">
        <f>Hourly_kWh!DZ16</f>
        <v>4.5259999999984757E-3</v>
      </c>
      <c r="DA14">
        <f>Hourly_kWh!ED16</f>
        <v>2.6249999999983231E-4</v>
      </c>
      <c r="DB14">
        <f>Hourly_kWh!DV16</f>
        <v>2.9299999999965465E-4</v>
      </c>
      <c r="DC14">
        <f>Hourly_kWh!CT16</f>
        <v>2.1600000000887576E-4</v>
      </c>
      <c r="DD14">
        <f>Hourly_kWh!DN16</f>
        <v>0</v>
      </c>
      <c r="DE14">
        <f>Hourly_kWh!AZ16</f>
        <v>0</v>
      </c>
      <c r="DF14">
        <f>Hourly_kWh!BD16</f>
        <v>9.9757812500003706E-5</v>
      </c>
      <c r="DG14">
        <f>Hourly_kWh!AV16</f>
        <v>1.0419999999999874E-3</v>
      </c>
      <c r="DH14">
        <f>Hourly_kWh!BG16</f>
        <v>4.3099999999895999E-4</v>
      </c>
      <c r="DI14">
        <f>Hourly_kWh!DK16</f>
        <v>2.7860000000003993E-3</v>
      </c>
      <c r="DJ14">
        <f>Hourly_kWh!DL16</f>
        <v>1.0970468750000073E-3</v>
      </c>
      <c r="DK14">
        <f>Hourly_kWh!AU16</f>
        <v>2.3279999999985534E-3</v>
      </c>
      <c r="DL14">
        <f>Hourly_kWh!DM16</f>
        <v>1.811000000000007E-3</v>
      </c>
      <c r="DM14">
        <f>Hourly_kWh!CC16</f>
        <v>0</v>
      </c>
      <c r="DN14">
        <f>Hourly_kWh!BH16</f>
        <v>0</v>
      </c>
      <c r="DO14">
        <f>Hourly_kWh!AK16</f>
        <v>0</v>
      </c>
      <c r="DP14">
        <f>Hourly_kWh!AT16</f>
        <v>0</v>
      </c>
      <c r="DQ14">
        <f>Hourly_kWh!AX16</f>
        <v>0</v>
      </c>
      <c r="DR14">
        <f>Hourly_kWh!BA16</f>
        <v>0</v>
      </c>
      <c r="DS14">
        <f>Hourly_kWh!BB16</f>
        <v>0</v>
      </c>
      <c r="DT14">
        <f>Hourly_kWh!BC16</f>
        <v>0</v>
      </c>
      <c r="DU14">
        <f>Hourly_kWh!BF16</f>
        <v>0</v>
      </c>
      <c r="DV14">
        <f>Hourly_kWh!BN16</f>
        <v>0</v>
      </c>
      <c r="DW14">
        <f>Hourly_kWh!CD16</f>
        <v>0</v>
      </c>
      <c r="DX14">
        <f>Hourly_kWh!CE16</f>
        <v>0</v>
      </c>
      <c r="DY14">
        <f>Hourly_kWh!CJ16</f>
        <v>0</v>
      </c>
      <c r="DZ14">
        <f>Hourly_kWh!CP16</f>
        <v>0</v>
      </c>
      <c r="EA14">
        <f>Hourly_kWh!CS16</f>
        <v>0</v>
      </c>
      <c r="EB14">
        <f>Hourly_kWh!CU16</f>
        <v>0</v>
      </c>
      <c r="EC14">
        <f>Hourly_kWh!EG16</f>
        <v>0</v>
      </c>
      <c r="ED14">
        <f>Hourly_kWh!EQ16</f>
        <v>0</v>
      </c>
    </row>
    <row r="15" spans="1:164" ht="14" x14ac:dyDescent="0.25">
      <c r="A15" s="331"/>
      <c r="B15" s="137">
        <v>14</v>
      </c>
      <c r="C15" s="140" t="s">
        <v>264</v>
      </c>
      <c r="D15" s="142">
        <f>DAILY_ENERGY!C53</f>
        <v>7.0612534999999994</v>
      </c>
      <c r="E15" s="142">
        <f>DAILY_ENERGY!D53</f>
        <v>7.1307404999999999</v>
      </c>
      <c r="F15" s="142">
        <f>DAILY_ENERGY!E53</f>
        <v>6.9487000000000521E-2</v>
      </c>
      <c r="G15" s="142"/>
      <c r="H15" s="142">
        <f>SHIFT_A!E53</f>
        <v>2.1021500000000692E-2</v>
      </c>
      <c r="I15" s="142">
        <f>SHIFT_B!E53</f>
        <v>2.7137999999999884E-2</v>
      </c>
      <c r="J15" s="142">
        <f>SHIFT_C!E53</f>
        <v>2.1327499999999944E-2</v>
      </c>
      <c r="K15" s="162">
        <f t="shared" si="0"/>
        <v>6.9487000000000521E-2</v>
      </c>
      <c r="L15" s="163">
        <f t="shared" si="1"/>
        <v>0</v>
      </c>
      <c r="N15" s="149" t="s">
        <v>674</v>
      </c>
      <c r="O15">
        <f>Hourly_kWh!AF17</f>
        <v>0</v>
      </c>
      <c r="P15">
        <f>Hourly_kWh!BJ17</f>
        <v>0</v>
      </c>
      <c r="Q15">
        <f>Hourly_kWh!BK17</f>
        <v>4.2274999999998286E-3</v>
      </c>
      <c r="R15">
        <f>Hourly_kWh!EP17</f>
        <v>0</v>
      </c>
      <c r="S15">
        <f>Hourly_kWh!EE17</f>
        <v>4.5219999999996929E-3</v>
      </c>
      <c r="T15">
        <f>Hourly_kWh!DH17</f>
        <v>1.0354999999995229E-3</v>
      </c>
      <c r="U15">
        <f>Hourly_kWh!CL17</f>
        <v>2.4639999999997997E-3</v>
      </c>
      <c r="V15">
        <f>Hourly_kWh!BL17</f>
        <v>0</v>
      </c>
      <c r="W15">
        <f>Hourly_kWh!V17</f>
        <v>5.6240000000009616E-3</v>
      </c>
      <c r="X15">
        <f>Hourly_kWh!AB17</f>
        <v>5.8919999999993422E-3</v>
      </c>
      <c r="Y15">
        <f>Hourly_kWh!AE17</f>
        <v>2.8885000000000716E-3</v>
      </c>
      <c r="Z15">
        <f>Hourly_kWh!AG17</f>
        <v>2.8795000000005899E-3</v>
      </c>
      <c r="AA15">
        <f>Hourly_kWh!BE17</f>
        <v>4.7840000000007876E-3</v>
      </c>
      <c r="AB15">
        <f>Hourly_kWh!AY17</f>
        <v>3.6009999999997433E-3</v>
      </c>
      <c r="AC15">
        <f>Hourly_kWh!CX17</f>
        <v>0</v>
      </c>
      <c r="AD15">
        <f>Hourly_kWh!CY17</f>
        <v>5.9699999999995867E-4</v>
      </c>
      <c r="AE15">
        <f>Hourly_kWh!DC17</f>
        <v>7.4713749999999468E-3</v>
      </c>
      <c r="AF15">
        <f>Hourly_kWh!DD17</f>
        <v>1.0386250000000707E-3</v>
      </c>
      <c r="AG15">
        <f>Hourly_kWh!W17</f>
        <v>5.2529999999997301E-3</v>
      </c>
      <c r="AH15">
        <f>Hourly_kWh!X17</f>
        <v>3.7730000000006925E-3</v>
      </c>
      <c r="AI15">
        <f>Hourly_kWh!Y17</f>
        <v>0</v>
      </c>
      <c r="AJ15">
        <f>Hourly_kWh!Z17</f>
        <v>1.8600000000006389E-3</v>
      </c>
      <c r="AK15">
        <f>Hourly_kWh!AA17</f>
        <v>5.5979999999991037E-3</v>
      </c>
      <c r="AL15">
        <f>Hourly_kWh!AC17</f>
        <v>6.7400000000006344E-4</v>
      </c>
      <c r="AM15">
        <f>Hourly_kWh!AD17</f>
        <v>3.6629999999995277E-3</v>
      </c>
      <c r="AN15">
        <f>Hourly_kWh!AI17</f>
        <v>0</v>
      </c>
      <c r="AO15">
        <f>Hourly_kWh!AJ17</f>
        <v>2.1040000000001058E-3</v>
      </c>
      <c r="AP15">
        <f>Hourly_kWh!AL17</f>
        <v>1.4596499999999957E-2</v>
      </c>
      <c r="AQ15">
        <f>Hourly_kWh!AM17</f>
        <v>2.0792000000000144E-2</v>
      </c>
      <c r="AR15">
        <f>Hourly_kWh!AN17</f>
        <v>1.5416000000001873E-2</v>
      </c>
      <c r="AS15">
        <f>Hourly_kWh!AO17</f>
        <v>5.2120000000002165E-3</v>
      </c>
      <c r="AT15">
        <f>Hourly_kWh!AP17</f>
        <v>3.6279999999990764E-3</v>
      </c>
      <c r="AU15">
        <f>Hourly_kWh!CN17</f>
        <v>2.2890000000010957E-3</v>
      </c>
      <c r="AV15">
        <f>Hourly_kWh!CR17</f>
        <v>8.0830000000009505E-3</v>
      </c>
      <c r="AW15">
        <f>Hourly_kWh!AQ17</f>
        <v>1.4203999999992334E-2</v>
      </c>
      <c r="AX15">
        <f>Hourly_kWh!AS17</f>
        <v>2.3730000000004026E-3</v>
      </c>
      <c r="AY15">
        <f>Hourly_kWh!EH17</f>
        <v>2.156800000000203E-2</v>
      </c>
      <c r="AZ15">
        <f>Hourly_kWh!EJ17</f>
        <v>3.9360000000101536E-3</v>
      </c>
      <c r="BA15">
        <f>Hourly_kWh!EI17</f>
        <v>2.4576000000024578E-2</v>
      </c>
      <c r="BB15">
        <f>Hourly_kWh!AW17</f>
        <v>6.5791999999987638E-2</v>
      </c>
      <c r="BC15">
        <f>Hourly_kWh!DS17</f>
        <v>8.3807999999976346E-2</v>
      </c>
      <c r="BD15">
        <f>Hourly_kWh!CO17</f>
        <v>4.0464000000000055E-2</v>
      </c>
      <c r="BE15">
        <f>Hourly_kWh!DA17</f>
        <v>1.1783999999998684E-2</v>
      </c>
      <c r="BF15">
        <f>Hourly_kWh!DB17</f>
        <v>6.1759999999999593E-3</v>
      </c>
      <c r="BG15">
        <f>Hourly_kWh!EK17</f>
        <v>0</v>
      </c>
      <c r="BH15">
        <f>Hourly_kWh!EL17</f>
        <v>0.1408000000001266</v>
      </c>
      <c r="BI15">
        <f>Hourly_kWh!EM17</f>
        <v>0.15360000000009677</v>
      </c>
      <c r="BJ15">
        <f>Hourly_kWh!EN17</f>
        <v>0</v>
      </c>
      <c r="BK15">
        <f>Hourly_kWh!EO17</f>
        <v>7.6800000010734948E-4</v>
      </c>
      <c r="BL15">
        <f>Hourly_kWh!ER17</f>
        <v>0.10812500000000114</v>
      </c>
      <c r="BM15">
        <f>Hourly_kWh!BW17</f>
        <v>0</v>
      </c>
      <c r="BN15">
        <f>Hourly_kWh!DR17</f>
        <v>0</v>
      </c>
      <c r="BO15">
        <f>Hourly_kWh!CG17</f>
        <v>0</v>
      </c>
      <c r="BP15">
        <f>Hourly_kWh!CI17</f>
        <v>0</v>
      </c>
      <c r="BQ15">
        <f>Hourly_kWh!BV17</f>
        <v>0</v>
      </c>
      <c r="BR15">
        <f>Hourly_kWh!BO17</f>
        <v>1.6140000000000043E-3</v>
      </c>
      <c r="BS15">
        <f>Hourly_kWh!CW17</f>
        <v>0</v>
      </c>
      <c r="BT15">
        <f>Hourly_kWh!DE17</f>
        <v>0</v>
      </c>
      <c r="BU15">
        <f>Hourly_kWh!DW17</f>
        <v>0</v>
      </c>
      <c r="BV15">
        <f>Hourly_kWh!CB17</f>
        <v>0</v>
      </c>
      <c r="BW15">
        <f>Hourly_kWh!CZ17</f>
        <v>4.992499999998401E-4</v>
      </c>
      <c r="BX15">
        <f>Hourly_kWh!DG17</f>
        <v>0</v>
      </c>
      <c r="BY15">
        <f>Hourly_kWh!BS17</f>
        <v>0</v>
      </c>
      <c r="BZ15">
        <f>Hourly_kWh!CH17</f>
        <v>1.4382500000000853E-3</v>
      </c>
      <c r="CA15">
        <f>Hourly_kWh!BR17</f>
        <v>0</v>
      </c>
      <c r="CB15">
        <f>Hourly_kWh!BP17</f>
        <v>0</v>
      </c>
      <c r="CC15">
        <f>Hourly_kWh!BU17</f>
        <v>0</v>
      </c>
      <c r="CD15">
        <f>Hourly_kWh!BX17</f>
        <v>0</v>
      </c>
      <c r="CE15">
        <f>Hourly_kWh!CV17</f>
        <v>1.1316249999999695E-3</v>
      </c>
      <c r="CF15">
        <f>Hourly_kWh!BT17</f>
        <v>1.1791999999999803E-2</v>
      </c>
      <c r="CG15">
        <f>Hourly_kWh!CA17</f>
        <v>1.2872749999999988E-2</v>
      </c>
      <c r="CH15">
        <f>Hourly_kWh!CF17</f>
        <v>1.2600000000002609E-3</v>
      </c>
      <c r="CI15">
        <f>Hourly_kWh!BZ17</f>
        <v>3.4608000000005745E-2</v>
      </c>
      <c r="CJ15">
        <f>Hourly_kWh!CK17</f>
        <v>0</v>
      </c>
      <c r="CK15">
        <f>Hourly_kWh!DT17</f>
        <v>1.7758000000000607E-2</v>
      </c>
      <c r="CL15">
        <f>Hourly_kWh!EB17</f>
        <v>7.0768000000015263E-2</v>
      </c>
      <c r="CM15">
        <f>Hourly_kWh!EC17</f>
        <v>3.2272000000006074E-2</v>
      </c>
      <c r="CN15">
        <f>Hourly_kWh!CQ17</f>
        <v>0</v>
      </c>
      <c r="CO15">
        <f>Hourly_kWh!DF17</f>
        <v>0</v>
      </c>
      <c r="CP15">
        <f>Hourly_kWh!DJ17</f>
        <v>0</v>
      </c>
      <c r="CQ15">
        <f>Hourly_kWh!DP17</f>
        <v>2.0635000000002179E-3</v>
      </c>
      <c r="CR15">
        <f>Hourly_kWh!BQ17</f>
        <v>0</v>
      </c>
      <c r="CS15">
        <f>Hourly_kWh!BY17</f>
        <v>0</v>
      </c>
      <c r="CT15">
        <f>Hourly_kWh!DU17</f>
        <v>0</v>
      </c>
      <c r="CU15">
        <f>Hourly_kWh!DQ17</f>
        <v>0</v>
      </c>
      <c r="CV15">
        <f>Hourly_kWh!EA17</f>
        <v>0</v>
      </c>
      <c r="CW15">
        <f>Hourly_kWh!DO17</f>
        <v>4.768000000012762E-3</v>
      </c>
      <c r="CX15">
        <f>Hourly_kWh!DX17</f>
        <v>3.5309999999988406E-3</v>
      </c>
      <c r="CY15">
        <f>Hourly_kWh!DY17</f>
        <v>2.2268749999998505E-4</v>
      </c>
      <c r="CZ15">
        <f>Hourly_kWh!DZ17</f>
        <v>4.6059999999989998E-3</v>
      </c>
      <c r="DA15">
        <f>Hourly_kWh!ED17</f>
        <v>2.6249999999983231E-4</v>
      </c>
      <c r="DB15">
        <f>Hourly_kWh!DV17</f>
        <v>4.6025000000016192E-4</v>
      </c>
      <c r="DC15">
        <f>Hourly_kWh!CT17</f>
        <v>1.5199999999992997E-4</v>
      </c>
      <c r="DD15">
        <f>Hourly_kWh!DN17</f>
        <v>0</v>
      </c>
      <c r="DE15">
        <f>Hourly_kWh!AZ17</f>
        <v>1.000000000139778E-6</v>
      </c>
      <c r="DF15">
        <f>Hourly_kWh!BD17</f>
        <v>1.0476562500000286E-4</v>
      </c>
      <c r="DG15">
        <f>Hourly_kWh!AV17</f>
        <v>2.523000000000053E-3</v>
      </c>
      <c r="DH15">
        <f>Hourly_kWh!BG17</f>
        <v>4.3900000000007822E-4</v>
      </c>
      <c r="DI15">
        <f>Hourly_kWh!DK17</f>
        <v>2.7880000000024552E-3</v>
      </c>
      <c r="DJ15">
        <f>Hourly_kWh!DL17</f>
        <v>1.0819218750000026E-3</v>
      </c>
      <c r="DK15">
        <f>Hourly_kWh!AU17</f>
        <v>3.5560000000032232E-3</v>
      </c>
      <c r="DL15">
        <f>Hourly_kWh!DM17</f>
        <v>1.4260000000003714E-3</v>
      </c>
      <c r="DM15">
        <f>Hourly_kWh!CC17</f>
        <v>0</v>
      </c>
      <c r="DN15">
        <f>Hourly_kWh!BH17</f>
        <v>0</v>
      </c>
      <c r="DO15">
        <f>Hourly_kWh!AK17</f>
        <v>0</v>
      </c>
      <c r="DP15">
        <f>Hourly_kWh!AT17</f>
        <v>0</v>
      </c>
      <c r="DQ15">
        <f>Hourly_kWh!AX17</f>
        <v>0</v>
      </c>
      <c r="DR15">
        <f>Hourly_kWh!BA17</f>
        <v>0</v>
      </c>
      <c r="DS15">
        <f>Hourly_kWh!BB17</f>
        <v>0</v>
      </c>
      <c r="DT15">
        <f>Hourly_kWh!BC17</f>
        <v>0</v>
      </c>
      <c r="DU15">
        <f>Hourly_kWh!BF17</f>
        <v>0</v>
      </c>
      <c r="DV15">
        <f>Hourly_kWh!BN17</f>
        <v>0</v>
      </c>
      <c r="DW15">
        <f>Hourly_kWh!CD17</f>
        <v>0</v>
      </c>
      <c r="DX15">
        <f>Hourly_kWh!CE17</f>
        <v>0</v>
      </c>
      <c r="DY15">
        <f>Hourly_kWh!CJ17</f>
        <v>0</v>
      </c>
      <c r="DZ15">
        <f>Hourly_kWh!CP17</f>
        <v>0</v>
      </c>
      <c r="EA15">
        <f>Hourly_kWh!CS17</f>
        <v>0</v>
      </c>
      <c r="EB15">
        <f>Hourly_kWh!CU17</f>
        <v>0</v>
      </c>
      <c r="EC15">
        <f>Hourly_kWh!EG17</f>
        <v>0</v>
      </c>
      <c r="ED15">
        <f>Hourly_kWh!EQ17</f>
        <v>0</v>
      </c>
    </row>
    <row r="16" spans="1:164" ht="14" x14ac:dyDescent="0.25">
      <c r="A16" s="331"/>
      <c r="B16" s="137">
        <v>15</v>
      </c>
      <c r="C16" s="140" t="s">
        <v>315</v>
      </c>
      <c r="D16" s="142">
        <f>DAILY_ENERGY!C104</f>
        <v>0</v>
      </c>
      <c r="E16" s="142">
        <f>DAILY_ENERGY!D104</f>
        <v>0</v>
      </c>
      <c r="F16" s="142">
        <f>DAILY_ENERGY!E104</f>
        <v>0</v>
      </c>
      <c r="G16" s="142"/>
      <c r="H16" s="142">
        <f>SHIFT_A!E104</f>
        <v>0</v>
      </c>
      <c r="I16" s="142">
        <f>SHIFT_B!E104</f>
        <v>0</v>
      </c>
      <c r="J16" s="142">
        <f>SHIFT_C!E104</f>
        <v>0</v>
      </c>
      <c r="K16" s="162">
        <f t="shared" si="0"/>
        <v>0</v>
      </c>
      <c r="L16" s="163">
        <f t="shared" si="1"/>
        <v>0</v>
      </c>
      <c r="N16" s="149" t="s">
        <v>675</v>
      </c>
      <c r="O16">
        <f>Hourly_kWh!AF18</f>
        <v>0</v>
      </c>
      <c r="P16">
        <f>Hourly_kWh!BJ18</f>
        <v>0</v>
      </c>
      <c r="Q16">
        <f>Hourly_kWh!BK18</f>
        <v>5.7355000000001155E-3</v>
      </c>
      <c r="R16">
        <f>Hourly_kWh!EP18</f>
        <v>0</v>
      </c>
      <c r="S16">
        <f>Hourly_kWh!EE18</f>
        <v>6.6179999999995687E-3</v>
      </c>
      <c r="T16">
        <f>Hourly_kWh!DH18</f>
        <v>9.0199999999995839E-4</v>
      </c>
      <c r="U16">
        <f>Hourly_kWh!CL18</f>
        <v>2.2619999999982099E-3</v>
      </c>
      <c r="V16">
        <f>Hourly_kWh!BL18</f>
        <v>0</v>
      </c>
      <c r="W16">
        <f>Hourly_kWh!V18</f>
        <v>5.2099999999981605E-3</v>
      </c>
      <c r="X16">
        <f>Hourly_kWh!AB18</f>
        <v>5.8919999999993422E-3</v>
      </c>
      <c r="Y16">
        <f>Hourly_kWh!AE18</f>
        <v>1.7110000000002401E-3</v>
      </c>
      <c r="Z16">
        <f>Hourly_kWh!AG18</f>
        <v>4.8230000000000217E-3</v>
      </c>
      <c r="AA16">
        <f>Hourly_kWh!BE18</f>
        <v>4.7999999999994714E-3</v>
      </c>
      <c r="AB16">
        <f>Hourly_kWh!AY18</f>
        <v>4.206500000000446E-3</v>
      </c>
      <c r="AC16">
        <f>Hourly_kWh!CX18</f>
        <v>0</v>
      </c>
      <c r="AD16">
        <f>Hourly_kWh!CY18</f>
        <v>6.170000000000897E-4</v>
      </c>
      <c r="AE16">
        <f>Hourly_kWh!DC18</f>
        <v>7.6788750000000849E-3</v>
      </c>
      <c r="AF16">
        <f>Hourly_kWh!DD18</f>
        <v>1.1283749999999593E-3</v>
      </c>
      <c r="AG16">
        <f>Hourly_kWh!W18</f>
        <v>5.1670000000001437E-3</v>
      </c>
      <c r="AH16">
        <f>Hourly_kWh!X18</f>
        <v>2.6189999999992608E-3</v>
      </c>
      <c r="AI16">
        <f>Hourly_kWh!Y18</f>
        <v>0</v>
      </c>
      <c r="AJ16">
        <f>Hourly_kWh!Z18</f>
        <v>2.3400000000002308E-3</v>
      </c>
      <c r="AK16">
        <f>Hourly_kWh!AA18</f>
        <v>5.2440000000011366E-3</v>
      </c>
      <c r="AL16">
        <f>Hourly_kWh!AC18</f>
        <v>4.8200000000164778E-4</v>
      </c>
      <c r="AM16">
        <f>Hourly_kWh!AD18</f>
        <v>3.1249999999989342E-3</v>
      </c>
      <c r="AN16">
        <f>Hourly_kWh!AI18</f>
        <v>0</v>
      </c>
      <c r="AO16">
        <f>Hourly_kWh!AJ18</f>
        <v>1.9029999999995439E-3</v>
      </c>
      <c r="AP16">
        <f>Hourly_kWh!AL18</f>
        <v>1.284259375000002E-2</v>
      </c>
      <c r="AQ16">
        <f>Hourly_kWh!AM18</f>
        <v>2.024800000000937E-2</v>
      </c>
      <c r="AR16">
        <f>Hourly_kWh!AN18</f>
        <v>1.5392000000005623E-2</v>
      </c>
      <c r="AS16">
        <f>Hourly_kWh!AO18</f>
        <v>5.1240000000021269E-3</v>
      </c>
      <c r="AT16">
        <f>Hourly_kWh!AP18</f>
        <v>3.4980000000004452E-3</v>
      </c>
      <c r="AU16">
        <f>Hourly_kWh!CN18</f>
        <v>2.3039999999987515E-3</v>
      </c>
      <c r="AV16">
        <f>Hourly_kWh!CR18</f>
        <v>2.8120000000004808E-3</v>
      </c>
      <c r="AW16">
        <f>Hourly_kWh!AQ18</f>
        <v>1.3435999999998671E-2</v>
      </c>
      <c r="AX16">
        <f>Hourly_kWh!AS18</f>
        <v>2.8965000000003016E-3</v>
      </c>
      <c r="AY16">
        <f>Hourly_kWh!EH18</f>
        <v>8.3839999999781867E-3</v>
      </c>
      <c r="AZ16">
        <f>Hourly_kWh!EJ18</f>
        <v>6.5599999999790271E-3</v>
      </c>
      <c r="BA16">
        <f>Hourly_kWh!EI18</f>
        <v>2.3808000000030916E-2</v>
      </c>
      <c r="BB16">
        <f>Hourly_kWh!AW18</f>
        <v>5.177600000001803E-2</v>
      </c>
      <c r="BC16">
        <f>Hourly_kWh!DS18</f>
        <v>6.9792000000006738E-2</v>
      </c>
      <c r="BD16">
        <f>Hourly_kWh!CO18</f>
        <v>3.1800000000004047E-2</v>
      </c>
      <c r="BE16">
        <f>Hourly_kWh!DA18</f>
        <v>1.1524000000001422E-2</v>
      </c>
      <c r="BF16">
        <f>Hourly_kWh!DB18</f>
        <v>5.3609999999988389E-3</v>
      </c>
      <c r="BG16">
        <f>Hourly_kWh!EK18</f>
        <v>0</v>
      </c>
      <c r="BH16">
        <f>Hourly_kWh!EL18</f>
        <v>0.1391360000000077</v>
      </c>
      <c r="BI16">
        <f>Hourly_kWh!EM18</f>
        <v>0.14771199999995588</v>
      </c>
      <c r="BJ16">
        <f>Hourly_kWh!EN18</f>
        <v>0</v>
      </c>
      <c r="BK16">
        <f>Hourly_kWh!EO18</f>
        <v>7.6799999999366264E-4</v>
      </c>
      <c r="BL16">
        <f>Hourly_kWh!ER18</f>
        <v>0.10311699999999746</v>
      </c>
      <c r="BM16">
        <f>Hourly_kWh!BW18</f>
        <v>0</v>
      </c>
      <c r="BN16">
        <f>Hourly_kWh!DR18</f>
        <v>0</v>
      </c>
      <c r="BO16">
        <f>Hourly_kWh!CG18</f>
        <v>0</v>
      </c>
      <c r="BP16">
        <f>Hourly_kWh!CI18</f>
        <v>0</v>
      </c>
      <c r="BQ16">
        <f>Hourly_kWh!BV18</f>
        <v>0</v>
      </c>
      <c r="BR16">
        <f>Hourly_kWh!BO18</f>
        <v>1.5799999999970282E-3</v>
      </c>
      <c r="BS16">
        <f>Hourly_kWh!CW18</f>
        <v>0</v>
      </c>
      <c r="BT16">
        <f>Hourly_kWh!DE18</f>
        <v>0</v>
      </c>
      <c r="BU16">
        <f>Hourly_kWh!DW18</f>
        <v>0</v>
      </c>
      <c r="BV16">
        <f>Hourly_kWh!CB18</f>
        <v>0</v>
      </c>
      <c r="BW16">
        <f>Hourly_kWh!CZ18</f>
        <v>4.9499999999991218E-4</v>
      </c>
      <c r="BX16">
        <f>Hourly_kWh!DG18</f>
        <v>0</v>
      </c>
      <c r="BY16">
        <f>Hourly_kWh!BS18</f>
        <v>0</v>
      </c>
      <c r="BZ16">
        <f>Hourly_kWh!CH18</f>
        <v>9.2999999999987537E-4</v>
      </c>
      <c r="CA16">
        <f>Hourly_kWh!BR18</f>
        <v>0</v>
      </c>
      <c r="CB16">
        <f>Hourly_kWh!BP18</f>
        <v>0</v>
      </c>
      <c r="CC16">
        <f>Hourly_kWh!BU18</f>
        <v>0</v>
      </c>
      <c r="CD16">
        <f>Hourly_kWh!BX18</f>
        <v>0</v>
      </c>
      <c r="CE16">
        <f>Hourly_kWh!CV18</f>
        <v>1.1929999999999996E-3</v>
      </c>
      <c r="CF16">
        <f>Hourly_kWh!BT18</f>
        <v>1.1048000000002389E-2</v>
      </c>
      <c r="CG16">
        <f>Hourly_kWh!CA18</f>
        <v>1.2662937500000027E-2</v>
      </c>
      <c r="CH16">
        <f>Hourly_kWh!CF18</f>
        <v>9.3799999999966133E-4</v>
      </c>
      <c r="CI16">
        <f>Hourly_kWh!BZ18</f>
        <v>4.5935999999997534E-2</v>
      </c>
      <c r="CJ16">
        <f>Hourly_kWh!CK18</f>
        <v>0</v>
      </c>
      <c r="CK16">
        <f>Hourly_kWh!DT18</f>
        <v>1.8041999999999447E-2</v>
      </c>
      <c r="CL16">
        <f>Hourly_kWh!EB18</f>
        <v>5.4479999999983875E-2</v>
      </c>
      <c r="CM16">
        <f>Hourly_kWh!EC18</f>
        <v>3.2927999999998292E-2</v>
      </c>
      <c r="CN16">
        <f>Hourly_kWh!CQ18</f>
        <v>0</v>
      </c>
      <c r="CO16">
        <f>Hourly_kWh!DF18</f>
        <v>0</v>
      </c>
      <c r="CP16">
        <f>Hourly_kWh!DJ18</f>
        <v>0</v>
      </c>
      <c r="CQ16">
        <f>Hourly_kWh!DP18</f>
        <v>1.7294999999997174E-3</v>
      </c>
      <c r="CR16">
        <f>Hourly_kWh!BQ18</f>
        <v>0</v>
      </c>
      <c r="CS16">
        <f>Hourly_kWh!BY18</f>
        <v>0</v>
      </c>
      <c r="CT16">
        <f>Hourly_kWh!DU18</f>
        <v>0</v>
      </c>
      <c r="CU16">
        <f>Hourly_kWh!DQ18</f>
        <v>0</v>
      </c>
      <c r="CV16">
        <f>Hourly_kWh!EA18</f>
        <v>0</v>
      </c>
      <c r="CW16">
        <f>Hourly_kWh!DO18</f>
        <v>3.6639999999863448E-3</v>
      </c>
      <c r="CX16">
        <f>Hourly_kWh!DX18</f>
        <v>3.5560000000014469E-3</v>
      </c>
      <c r="CY16">
        <f>Hourly_kWh!DY18</f>
        <v>2.0749999999991608E-4</v>
      </c>
      <c r="CZ16">
        <f>Hourly_kWh!DZ18</f>
        <v>4.129999999999967E-3</v>
      </c>
      <c r="DA16">
        <f>Hourly_kWh!ED18</f>
        <v>2.5825000000034848E-4</v>
      </c>
      <c r="DB16">
        <f>Hourly_kWh!DV18</f>
        <v>6.4775000000016902E-4</v>
      </c>
      <c r="DC16">
        <f>Hourly_kWh!CT18</f>
        <v>1.5999999999394277E-4</v>
      </c>
      <c r="DD16">
        <f>Hourly_kWh!DN18</f>
        <v>0</v>
      </c>
      <c r="DE16">
        <f>Hourly_kWh!AZ18</f>
        <v>0</v>
      </c>
      <c r="DF16">
        <f>Hourly_kWh!BD18</f>
        <v>1.0033593750000125E-4</v>
      </c>
      <c r="DG16">
        <f>Hourly_kWh!AV18</f>
        <v>3.2699999999996621E-3</v>
      </c>
      <c r="DH16">
        <f>Hourly_kWh!BG18</f>
        <v>4.3800000000082662E-4</v>
      </c>
      <c r="DI16">
        <f>Hourly_kWh!DK18</f>
        <v>2.7559999999979823E-3</v>
      </c>
      <c r="DJ16">
        <f>Hourly_kWh!DL18</f>
        <v>5.1248437500001076E-4</v>
      </c>
      <c r="DK16">
        <f>Hourly_kWh!AU18</f>
        <v>4.0720000000007417E-3</v>
      </c>
      <c r="DL16">
        <f>Hourly_kWh!DM18</f>
        <v>1.4559999999992357E-3</v>
      </c>
      <c r="DM16">
        <f>Hourly_kWh!CC18</f>
        <v>0</v>
      </c>
      <c r="DN16">
        <f>Hourly_kWh!BH18</f>
        <v>0</v>
      </c>
      <c r="DO16">
        <f>Hourly_kWh!AK18</f>
        <v>0</v>
      </c>
      <c r="DP16">
        <f>Hourly_kWh!AT18</f>
        <v>0</v>
      </c>
      <c r="DQ16">
        <f>Hourly_kWh!AX18</f>
        <v>0</v>
      </c>
      <c r="DR16">
        <f>Hourly_kWh!BA18</f>
        <v>0</v>
      </c>
      <c r="DS16">
        <f>Hourly_kWh!BB18</f>
        <v>0</v>
      </c>
      <c r="DT16">
        <f>Hourly_kWh!BC18</f>
        <v>0</v>
      </c>
      <c r="DU16">
        <f>Hourly_kWh!BF18</f>
        <v>0</v>
      </c>
      <c r="DV16">
        <f>Hourly_kWh!BN18</f>
        <v>0</v>
      </c>
      <c r="DW16">
        <f>Hourly_kWh!CD18</f>
        <v>0</v>
      </c>
      <c r="DX16">
        <f>Hourly_kWh!CE18</f>
        <v>0</v>
      </c>
      <c r="DY16">
        <f>Hourly_kWh!CJ18</f>
        <v>0</v>
      </c>
      <c r="DZ16">
        <f>Hourly_kWh!CP18</f>
        <v>0</v>
      </c>
      <c r="EA16">
        <f>Hourly_kWh!CS18</f>
        <v>0</v>
      </c>
      <c r="EB16">
        <f>Hourly_kWh!CU18</f>
        <v>0</v>
      </c>
      <c r="EC16">
        <f>Hourly_kWh!EG18</f>
        <v>0</v>
      </c>
      <c r="ED16">
        <f>Hourly_kWh!EQ18</f>
        <v>0</v>
      </c>
    </row>
    <row r="17" spans="1:134" ht="14" x14ac:dyDescent="0.25">
      <c r="A17" s="331"/>
      <c r="B17" s="137">
        <v>16</v>
      </c>
      <c r="C17" s="140" t="s">
        <v>316</v>
      </c>
      <c r="D17" s="142">
        <f>DAILY_ENERGY!C105</f>
        <v>1.461303</v>
      </c>
      <c r="E17" s="142">
        <f>DAILY_ENERGY!D105</f>
        <v>1.4769919999999999</v>
      </c>
      <c r="F17" s="142">
        <f>DAILY_ENERGY!E105</f>
        <v>1.5688999999999842E-2</v>
      </c>
      <c r="G17" s="142"/>
      <c r="H17" s="142">
        <f>SHIFT_A!E105</f>
        <v>5.4410000000000291E-3</v>
      </c>
      <c r="I17" s="142">
        <f>SHIFT_B!E105</f>
        <v>5.2459999999998619E-3</v>
      </c>
      <c r="J17" s="142">
        <f>SHIFT_C!E105</f>
        <v>5.0019999999999509E-3</v>
      </c>
      <c r="K17" s="162">
        <f t="shared" si="0"/>
        <v>1.5688999999999842E-2</v>
      </c>
      <c r="L17" s="163">
        <f t="shared" si="1"/>
        <v>0</v>
      </c>
      <c r="N17" s="149" t="s">
        <v>676</v>
      </c>
      <c r="O17">
        <f>Hourly_kWh!AF19</f>
        <v>0</v>
      </c>
      <c r="P17">
        <f>Hourly_kWh!BJ19</f>
        <v>0</v>
      </c>
      <c r="Q17">
        <f>Hourly_kWh!BK19</f>
        <v>5.6989999999998986E-3</v>
      </c>
      <c r="R17">
        <f>Hourly_kWh!EP19</f>
        <v>0</v>
      </c>
      <c r="S17">
        <f>Hourly_kWh!EE19</f>
        <v>4.9515000000006637E-3</v>
      </c>
      <c r="T17">
        <f>Hourly_kWh!DH19</f>
        <v>1.052000000000497E-3</v>
      </c>
      <c r="U17">
        <f>Hourly_kWh!CL19</f>
        <v>1.0940000000019268E-3</v>
      </c>
      <c r="V17">
        <f>Hourly_kWh!BL19</f>
        <v>0</v>
      </c>
      <c r="W17">
        <f>Hourly_kWh!V19</f>
        <v>5.250000000000199E-3</v>
      </c>
      <c r="X17">
        <f>Hourly_kWh!AB19</f>
        <v>5.8940000000013981E-3</v>
      </c>
      <c r="Y17">
        <f>Hourly_kWh!AE19</f>
        <v>1.8359999999999488E-3</v>
      </c>
      <c r="Z17">
        <f>Hourly_kWh!AG19</f>
        <v>4.273999999999667E-3</v>
      </c>
      <c r="AA17">
        <f>Hourly_kWh!BE19</f>
        <v>4.7180000000004441E-3</v>
      </c>
      <c r="AB17">
        <f>Hourly_kWh!AY19</f>
        <v>3.9384999999994008E-3</v>
      </c>
      <c r="AC17">
        <f>Hourly_kWh!CX19</f>
        <v>0</v>
      </c>
      <c r="AD17">
        <f>Hourly_kWh!CY19</f>
        <v>6.5800000000004744E-4</v>
      </c>
      <c r="AE17">
        <f>Hourly_kWh!DC19</f>
        <v>7.9082500000000611E-3</v>
      </c>
      <c r="AF17">
        <f>Hourly_kWh!DD19</f>
        <v>1.1962500000000098E-3</v>
      </c>
      <c r="AG17">
        <f>Hourly_kWh!W19</f>
        <v>3.1520000000000437E-3</v>
      </c>
      <c r="AH17">
        <f>Hourly_kWh!X19</f>
        <v>2.5779999999997472E-3</v>
      </c>
      <c r="AI17">
        <f>Hourly_kWh!Y19</f>
        <v>0</v>
      </c>
      <c r="AJ17">
        <f>Hourly_kWh!Z19</f>
        <v>2.3789999999994649E-3</v>
      </c>
      <c r="AK17">
        <f>Hourly_kWh!AA19</f>
        <v>5.4340000000010491E-3</v>
      </c>
      <c r="AL17">
        <f>Hourly_kWh!AC19</f>
        <v>3.5319999999998686E-3</v>
      </c>
      <c r="AM17">
        <f>Hourly_kWh!AD19</f>
        <v>2.2350000000006531E-3</v>
      </c>
      <c r="AN17">
        <f>Hourly_kWh!AI19</f>
        <v>0</v>
      </c>
      <c r="AO17">
        <f>Hourly_kWh!AJ19</f>
        <v>1.7485000000005968E-3</v>
      </c>
      <c r="AP17">
        <f>Hourly_kWh!AL19</f>
        <v>1.1636749999999974E-2</v>
      </c>
      <c r="AQ17">
        <f>Hourly_kWh!AM19</f>
        <v>1.9815999999991618E-2</v>
      </c>
      <c r="AR17">
        <f>Hourly_kWh!AN19</f>
        <v>1.5015999999988594E-2</v>
      </c>
      <c r="AS17">
        <f>Hourly_kWh!AO19</f>
        <v>5.0400000000010436E-3</v>
      </c>
      <c r="AT17">
        <f>Hourly_kWh!AP19</f>
        <v>3.4799999999997056E-3</v>
      </c>
      <c r="AU17">
        <f>Hourly_kWh!CN19</f>
        <v>2.4259999999998172E-3</v>
      </c>
      <c r="AV17">
        <f>Hourly_kWh!CR19</f>
        <v>3.3049999999992252E-3</v>
      </c>
      <c r="AW17">
        <f>Hourly_kWh!AQ19</f>
        <v>1.3503999999997518E-2</v>
      </c>
      <c r="AX17">
        <f>Hourly_kWh!AS19</f>
        <v>3.2044999999998325E-3</v>
      </c>
      <c r="AY17">
        <f>Hourly_kWh!EH19</f>
        <v>8.5759999999481806E-3</v>
      </c>
      <c r="AZ17">
        <f>Hourly_kWh!EJ19</f>
        <v>6.5600000000358705E-3</v>
      </c>
      <c r="BA17">
        <f>Hourly_kWh!EI19</f>
        <v>2.0991999999978361E-2</v>
      </c>
      <c r="BB17">
        <f>Hourly_kWh!AW19</f>
        <v>4.5952000000056614E-2</v>
      </c>
      <c r="BC17">
        <f>Hourly_kWh!DS19</f>
        <v>8.4000000000003183E-2</v>
      </c>
      <c r="BD17">
        <f>Hourly_kWh!CO19</f>
        <v>2.3287999999993758E-2</v>
      </c>
      <c r="BE17">
        <f>Hourly_kWh!DA19</f>
        <v>1.1724000000000956E-2</v>
      </c>
      <c r="BF17">
        <f>Hourly_kWh!DB19</f>
        <v>5.0800000000013057E-3</v>
      </c>
      <c r="BG17">
        <f>Hourly_kWh!EK19</f>
        <v>0</v>
      </c>
      <c r="BH17">
        <f>Hourly_kWh!EL19</f>
        <v>0.11968000000001666</v>
      </c>
      <c r="BI17">
        <f>Hourly_kWh!EM19</f>
        <v>0.14822400000002744</v>
      </c>
      <c r="BJ17">
        <f>Hourly_kWh!EN19</f>
        <v>0</v>
      </c>
      <c r="BK17">
        <f>Hourly_kWh!EO19</f>
        <v>7.6799999999366264E-4</v>
      </c>
      <c r="BL17">
        <f>Hourly_kWh!ER19</f>
        <v>0.1014809999999926</v>
      </c>
      <c r="BM17">
        <f>Hourly_kWh!BW19</f>
        <v>0</v>
      </c>
      <c r="BN17">
        <f>Hourly_kWh!DR19</f>
        <v>0</v>
      </c>
      <c r="BO17">
        <f>Hourly_kWh!CG19</f>
        <v>0</v>
      </c>
      <c r="BP17">
        <f>Hourly_kWh!CI19</f>
        <v>0</v>
      </c>
      <c r="BQ17">
        <f>Hourly_kWh!BV19</f>
        <v>0</v>
      </c>
      <c r="BR17">
        <f>Hourly_kWh!BO19</f>
        <v>1.6160000000020602E-3</v>
      </c>
      <c r="BS17">
        <f>Hourly_kWh!CW19</f>
        <v>0</v>
      </c>
      <c r="BT17">
        <f>Hourly_kWh!DE19</f>
        <v>0</v>
      </c>
      <c r="BU17">
        <f>Hourly_kWh!DW19</f>
        <v>0</v>
      </c>
      <c r="BV17">
        <f>Hourly_kWh!CB19</f>
        <v>0</v>
      </c>
      <c r="BW17">
        <f>Hourly_kWh!CZ19</f>
        <v>4.8750000000019611E-4</v>
      </c>
      <c r="BX17">
        <f>Hourly_kWh!DG19</f>
        <v>0</v>
      </c>
      <c r="BY17">
        <f>Hourly_kWh!BS19</f>
        <v>0</v>
      </c>
      <c r="BZ17">
        <f>Hourly_kWh!CH19</f>
        <v>8.3825000000015137E-4</v>
      </c>
      <c r="CA17">
        <f>Hourly_kWh!BR19</f>
        <v>0</v>
      </c>
      <c r="CB17">
        <f>Hourly_kWh!BP19</f>
        <v>0</v>
      </c>
      <c r="CC17">
        <f>Hourly_kWh!BU19</f>
        <v>0</v>
      </c>
      <c r="CD17">
        <f>Hourly_kWh!BX19</f>
        <v>0</v>
      </c>
      <c r="CE17">
        <f>Hourly_kWh!CV19</f>
        <v>7.190000000001362E-4</v>
      </c>
      <c r="CF17">
        <f>Hourly_kWh!BT19</f>
        <v>1.0936000000000945E-2</v>
      </c>
      <c r="CG17">
        <f>Hourly_kWh!CA19</f>
        <v>1.250093749999992E-2</v>
      </c>
      <c r="CH17">
        <f>Hourly_kWh!CF19</f>
        <v>6.3300000000054979E-4</v>
      </c>
      <c r="CI17">
        <f>Hourly_kWh!BZ19</f>
        <v>3.9559999999994488E-2</v>
      </c>
      <c r="CJ17">
        <f>Hourly_kWh!CK19</f>
        <v>0</v>
      </c>
      <c r="CK17">
        <f>Hourly_kWh!DT19</f>
        <v>1.4292500000000707E-2</v>
      </c>
      <c r="CL17">
        <f>Hourly_kWh!EB19</f>
        <v>6.7824000000001661E-2</v>
      </c>
      <c r="CM17">
        <f>Hourly_kWh!EC19</f>
        <v>2.5360000000006266E-2</v>
      </c>
      <c r="CN17">
        <f>Hourly_kWh!CQ19</f>
        <v>0</v>
      </c>
      <c r="CO17">
        <f>Hourly_kWh!DF19</f>
        <v>0</v>
      </c>
      <c r="CP17">
        <f>Hourly_kWh!DJ19</f>
        <v>0</v>
      </c>
      <c r="CQ17">
        <f>Hourly_kWh!DP19</f>
        <v>1.6149999999992559E-3</v>
      </c>
      <c r="CR17">
        <f>Hourly_kWh!BQ19</f>
        <v>0</v>
      </c>
      <c r="CS17">
        <f>Hourly_kWh!BY19</f>
        <v>0</v>
      </c>
      <c r="CT17">
        <f>Hourly_kWh!DU19</f>
        <v>0</v>
      </c>
      <c r="CU17">
        <f>Hourly_kWh!DQ19</f>
        <v>0</v>
      </c>
      <c r="CV17">
        <f>Hourly_kWh!EA19</f>
        <v>0</v>
      </c>
      <c r="CW17">
        <f>Hourly_kWh!DO19</f>
        <v>4.8319999999932861E-3</v>
      </c>
      <c r="CX17">
        <f>Hourly_kWh!DX19</f>
        <v>3.4890000000000754E-3</v>
      </c>
      <c r="CY17">
        <f>Hourly_kWh!DY19</f>
        <v>2.0731250000005641E-4</v>
      </c>
      <c r="CZ17">
        <f>Hourly_kWh!DZ19</f>
        <v>4.1320000000020229E-3</v>
      </c>
      <c r="DA17">
        <f>Hourly_kWh!ED19</f>
        <v>2.6349999999997209E-4</v>
      </c>
      <c r="DB17">
        <f>Hourly_kWh!DV19</f>
        <v>6.4649999999977226E-4</v>
      </c>
      <c r="DC17">
        <f>Hourly_kWh!CT19</f>
        <v>1.5199999999992997E-4</v>
      </c>
      <c r="DD17">
        <f>Hourly_kWh!DN19</f>
        <v>0</v>
      </c>
      <c r="DE17">
        <f>Hourly_kWh!AZ19</f>
        <v>0</v>
      </c>
      <c r="DF17">
        <f>Hourly_kWh!BD19</f>
        <v>1.0023437499999399E-4</v>
      </c>
      <c r="DG17">
        <f>Hourly_kWh!AV19</f>
        <v>3.32650000000001E-3</v>
      </c>
      <c r="DH17">
        <f>Hourly_kWh!BG19</f>
        <v>4.3100000000073635E-4</v>
      </c>
      <c r="DI17">
        <f>Hourly_kWh!DK19</f>
        <v>2.8100000000002012E-3</v>
      </c>
      <c r="DJ17">
        <f>Hourly_kWh!DL19</f>
        <v>5.0467187500000121E-4</v>
      </c>
      <c r="DK17">
        <f>Hourly_kWh!AU19</f>
        <v>3.9839999999955467E-3</v>
      </c>
      <c r="DL17">
        <f>Hourly_kWh!DM19</f>
        <v>1.3909999999999201E-3</v>
      </c>
      <c r="DM17">
        <f>Hourly_kWh!CC19</f>
        <v>0</v>
      </c>
      <c r="DN17">
        <f>Hourly_kWh!BH19</f>
        <v>0</v>
      </c>
      <c r="DO17">
        <f>Hourly_kWh!AK19</f>
        <v>0</v>
      </c>
      <c r="DP17">
        <f>Hourly_kWh!AT19</f>
        <v>0</v>
      </c>
      <c r="DQ17">
        <f>Hourly_kWh!AX19</f>
        <v>0</v>
      </c>
      <c r="DR17">
        <f>Hourly_kWh!BA19</f>
        <v>0</v>
      </c>
      <c r="DS17">
        <f>Hourly_kWh!BB19</f>
        <v>0</v>
      </c>
      <c r="DT17">
        <f>Hourly_kWh!BC19</f>
        <v>0</v>
      </c>
      <c r="DU17">
        <f>Hourly_kWh!BF19</f>
        <v>0</v>
      </c>
      <c r="DV17">
        <f>Hourly_kWh!BN19</f>
        <v>0</v>
      </c>
      <c r="DW17">
        <f>Hourly_kWh!CD19</f>
        <v>0</v>
      </c>
      <c r="DX17">
        <f>Hourly_kWh!CE19</f>
        <v>0</v>
      </c>
      <c r="DY17">
        <f>Hourly_kWh!CJ19</f>
        <v>0</v>
      </c>
      <c r="DZ17">
        <f>Hourly_kWh!CP19</f>
        <v>0</v>
      </c>
      <c r="EA17">
        <f>Hourly_kWh!CS19</f>
        <v>0</v>
      </c>
      <c r="EB17">
        <f>Hourly_kWh!CU19</f>
        <v>0</v>
      </c>
      <c r="EC17">
        <f>Hourly_kWh!EG19</f>
        <v>0</v>
      </c>
      <c r="ED17">
        <f>Hourly_kWh!EQ19</f>
        <v>0</v>
      </c>
    </row>
    <row r="18" spans="1:134" ht="14" x14ac:dyDescent="0.25">
      <c r="A18" s="331"/>
      <c r="B18" s="137">
        <v>17</v>
      </c>
      <c r="C18" s="140" t="s">
        <v>320</v>
      </c>
      <c r="D18" s="142">
        <f>DAILY_ENERGY!C109</f>
        <v>1.1778273749999999</v>
      </c>
      <c r="E18" s="142">
        <f>DAILY_ENERGY!D109</f>
        <v>1.3345586249999999</v>
      </c>
      <c r="F18" s="142">
        <f>DAILY_ENERGY!E109</f>
        <v>0.15673124999999999</v>
      </c>
      <c r="G18" s="142"/>
      <c r="H18" s="142">
        <f>SHIFT_A!E109</f>
        <v>5.5487375000000005E-2</v>
      </c>
      <c r="I18" s="142">
        <f>SHIFT_B!E109</f>
        <v>6.3658374999999934E-2</v>
      </c>
      <c r="J18" s="142">
        <f>SHIFT_C!E109</f>
        <v>3.7585500000000049E-2</v>
      </c>
      <c r="K18" s="162">
        <f t="shared" si="0"/>
        <v>0.15673124999999999</v>
      </c>
      <c r="L18" s="163">
        <f t="shared" si="1"/>
        <v>0</v>
      </c>
      <c r="N18" s="149" t="s">
        <v>677</v>
      </c>
      <c r="O18">
        <f>Hourly_kWh!AF20</f>
        <v>0</v>
      </c>
      <c r="P18">
        <f>Hourly_kWh!BJ20</f>
        <v>0</v>
      </c>
      <c r="Q18">
        <f>Hourly_kWh!BK20</f>
        <v>5.5525000000002933E-3</v>
      </c>
      <c r="R18">
        <f>Hourly_kWh!EP20</f>
        <v>0</v>
      </c>
      <c r="S18">
        <f>Hourly_kWh!EE20</f>
        <v>5.0469999999993576E-3</v>
      </c>
      <c r="T18">
        <f>Hourly_kWh!DH20</f>
        <v>1.0664999999994151E-3</v>
      </c>
      <c r="U18">
        <f>Hourly_kWh!CL20</f>
        <v>5.0199999999733791E-4</v>
      </c>
      <c r="V18">
        <f>Hourly_kWh!BL20</f>
        <v>0</v>
      </c>
      <c r="W18">
        <f>Hourly_kWh!V20</f>
        <v>5.9019999999989636E-3</v>
      </c>
      <c r="X18">
        <f>Hourly_kWh!AB20</f>
        <v>5.8439999999997383E-3</v>
      </c>
      <c r="Y18">
        <f>Hourly_kWh!AE20</f>
        <v>1.5799999999996928E-3</v>
      </c>
      <c r="Z18">
        <f>Hourly_kWh!AG20</f>
        <v>4.1064999999997909E-3</v>
      </c>
      <c r="AA18">
        <f>Hourly_kWh!BE20</f>
        <v>4.7959999999989122E-3</v>
      </c>
      <c r="AB18">
        <f>Hourly_kWh!AY20</f>
        <v>3.8990000000005409E-3</v>
      </c>
      <c r="AC18">
        <f>Hourly_kWh!CX20</f>
        <v>0</v>
      </c>
      <c r="AD18">
        <f>Hourly_kWh!CY20</f>
        <v>6.5299999999979264E-4</v>
      </c>
      <c r="AE18">
        <f>Hourly_kWh!DC20</f>
        <v>7.7567499999999789E-3</v>
      </c>
      <c r="AF18">
        <f>Hourly_kWh!DD20</f>
        <v>1.1730000000000906E-3</v>
      </c>
      <c r="AG18">
        <f>Hourly_kWh!W20</f>
        <v>7.4200000000068655E-4</v>
      </c>
      <c r="AH18">
        <f>Hourly_kWh!X20</f>
        <v>2.3820000000007724E-3</v>
      </c>
      <c r="AI18">
        <f>Hourly_kWh!Y20</f>
        <v>0</v>
      </c>
      <c r="AJ18">
        <f>Hourly_kWh!Z20</f>
        <v>2.3800000000004928E-3</v>
      </c>
      <c r="AK18">
        <f>Hourly_kWh!AA20</f>
        <v>5.2799999999990632E-3</v>
      </c>
      <c r="AL18">
        <f>Hourly_kWh!AC20</f>
        <v>7.2559999999981528E-3</v>
      </c>
      <c r="AM18">
        <f>Hourly_kWh!AD20</f>
        <v>1.6069999999999141E-3</v>
      </c>
      <c r="AN18">
        <f>Hourly_kWh!AI20</f>
        <v>0</v>
      </c>
      <c r="AO18">
        <f>Hourly_kWh!AJ20</f>
        <v>1.6084999999996796E-3</v>
      </c>
      <c r="AP18">
        <f>Hourly_kWh!AL20</f>
        <v>1.4421968750000014E-2</v>
      </c>
      <c r="AQ18">
        <f>Hourly_kWh!AM20</f>
        <v>2.0415999999997325E-2</v>
      </c>
      <c r="AR18">
        <f>Hourly_kWh!AN20</f>
        <v>1.5416000000001873E-2</v>
      </c>
      <c r="AS18">
        <f>Hourly_kWh!AO20</f>
        <v>5.0760000000025229E-3</v>
      </c>
      <c r="AT18">
        <f>Hourly_kWh!AP20</f>
        <v>3.6059999999977776E-3</v>
      </c>
      <c r="AU18">
        <f>Hourly_kWh!CN20</f>
        <v>2.499000000000251E-3</v>
      </c>
      <c r="AV18">
        <f>Hourly_kWh!CR20</f>
        <v>4.1790000000005989E-3</v>
      </c>
      <c r="AW18">
        <f>Hourly_kWh!AQ20</f>
        <v>1.3491999999999393E-2</v>
      </c>
      <c r="AX18">
        <f>Hourly_kWh!AS20</f>
        <v>2.2675000000003109E-3</v>
      </c>
      <c r="AY18">
        <f>Hourly_kWh!EH20</f>
        <v>9.1520000000855362E-3</v>
      </c>
      <c r="AZ18">
        <f>Hourly_kWh!EJ20</f>
        <v>6.4959999999700813E-3</v>
      </c>
      <c r="BA18">
        <f>Hourly_kWh!EI20</f>
        <v>1.2992000000053849E-2</v>
      </c>
      <c r="BB18">
        <f>Hourly_kWh!AW20</f>
        <v>6.2015999999971427E-2</v>
      </c>
      <c r="BC18">
        <f>Hourly_kWh!DS20</f>
        <v>7.4943999999959487E-2</v>
      </c>
      <c r="BD18">
        <f>Hourly_kWh!CO20</f>
        <v>2.1760000000000446E-2</v>
      </c>
      <c r="BE18">
        <f>Hourly_kWh!DA20</f>
        <v>1.1496000000001061E-2</v>
      </c>
      <c r="BF18">
        <f>Hourly_kWh!DB20</f>
        <v>4.6809999999997132E-3</v>
      </c>
      <c r="BG18">
        <f>Hourly_kWh!EK20</f>
        <v>0</v>
      </c>
      <c r="BH18">
        <f>Hourly_kWh!EL20</f>
        <v>0.11161599999991267</v>
      </c>
      <c r="BI18">
        <f>Hourly_kWh!EM20</f>
        <v>0.15078399999993053</v>
      </c>
      <c r="BJ18">
        <f>Hourly_kWh!EN20</f>
        <v>0</v>
      </c>
      <c r="BK18">
        <f>Hourly_kWh!EO20</f>
        <v>7.6799999999366264E-4</v>
      </c>
      <c r="BL18">
        <f>Hourly_kWh!ER20</f>
        <v>0.10136599999999873</v>
      </c>
      <c r="BM18">
        <f>Hourly_kWh!BW20</f>
        <v>0</v>
      </c>
      <c r="BN18">
        <f>Hourly_kWh!DR20</f>
        <v>0</v>
      </c>
      <c r="BO18">
        <f>Hourly_kWh!CG20</f>
        <v>0</v>
      </c>
      <c r="BP18">
        <f>Hourly_kWh!CI20</f>
        <v>0</v>
      </c>
      <c r="BQ18">
        <f>Hourly_kWh!BV20</f>
        <v>0</v>
      </c>
      <c r="BR18">
        <f>Hourly_kWh!BO20</f>
        <v>1.6059999999988861E-3</v>
      </c>
      <c r="BS18">
        <f>Hourly_kWh!CW20</f>
        <v>0</v>
      </c>
      <c r="BT18">
        <f>Hourly_kWh!DE20</f>
        <v>0</v>
      </c>
      <c r="BU18">
        <f>Hourly_kWh!DW20</f>
        <v>0</v>
      </c>
      <c r="BV18">
        <f>Hourly_kWh!CB20</f>
        <v>0</v>
      </c>
      <c r="BW18">
        <f>Hourly_kWh!CZ20</f>
        <v>4.9549999999998207E-4</v>
      </c>
      <c r="BX18">
        <f>Hourly_kWh!DG20</f>
        <v>0</v>
      </c>
      <c r="BY18">
        <f>Hourly_kWh!BS20</f>
        <v>0</v>
      </c>
      <c r="BZ18">
        <f>Hourly_kWh!CH20</f>
        <v>8.1599999999992789E-4</v>
      </c>
      <c r="CA18">
        <f>Hourly_kWh!BR20</f>
        <v>0</v>
      </c>
      <c r="CB18">
        <f>Hourly_kWh!BP20</f>
        <v>0</v>
      </c>
      <c r="CC18">
        <f>Hourly_kWh!BU20</f>
        <v>0</v>
      </c>
      <c r="CD18">
        <f>Hourly_kWh!BX20</f>
        <v>0</v>
      </c>
      <c r="CE18">
        <f>Hourly_kWh!CV20</f>
        <v>6.6124999999983558E-4</v>
      </c>
      <c r="CF18">
        <f>Hourly_kWh!BT20</f>
        <v>1.1423999999998102E-2</v>
      </c>
      <c r="CG18">
        <f>Hourly_kWh!CA20</f>
        <v>1.1399500000000007E-2</v>
      </c>
      <c r="CH18">
        <f>Hourly_kWh!CF20</f>
        <v>6.6399999999866566E-4</v>
      </c>
      <c r="CI18">
        <f>Hourly_kWh!BZ20</f>
        <v>4.843200000000536E-2</v>
      </c>
      <c r="CJ18">
        <f>Hourly_kWh!CK20</f>
        <v>0</v>
      </c>
      <c r="CK18">
        <f>Hourly_kWh!DT20</f>
        <v>1.7724999999999547E-2</v>
      </c>
      <c r="CL18">
        <f>Hourly_kWh!EB20</f>
        <v>6.3920000000024402E-2</v>
      </c>
      <c r="CM18">
        <f>Hourly_kWh!EC20</f>
        <v>3.0864000000008218E-2</v>
      </c>
      <c r="CN18">
        <f>Hourly_kWh!CQ20</f>
        <v>0</v>
      </c>
      <c r="CO18">
        <f>Hourly_kWh!DF20</f>
        <v>0</v>
      </c>
      <c r="CP18">
        <f>Hourly_kWh!DJ20</f>
        <v>0</v>
      </c>
      <c r="CQ18">
        <f>Hourly_kWh!DP20</f>
        <v>1.812000000001035E-3</v>
      </c>
      <c r="CR18">
        <f>Hourly_kWh!BQ20</f>
        <v>0</v>
      </c>
      <c r="CS18">
        <f>Hourly_kWh!BY20</f>
        <v>0</v>
      </c>
      <c r="CT18">
        <f>Hourly_kWh!DU20</f>
        <v>0</v>
      </c>
      <c r="CU18">
        <f>Hourly_kWh!DQ20</f>
        <v>0</v>
      </c>
      <c r="CV18">
        <f>Hourly_kWh!EA20</f>
        <v>0</v>
      </c>
      <c r="CW18">
        <f>Hourly_kWh!DO20</f>
        <v>3.9840000000026521E-3</v>
      </c>
      <c r="CX18">
        <f>Hourly_kWh!DX20</f>
        <v>3.540999999998462E-3</v>
      </c>
      <c r="CY18">
        <f>Hourly_kWh!DY20</f>
        <v>2.0443749999998762E-4</v>
      </c>
      <c r="CZ18">
        <f>Hourly_kWh!DZ20</f>
        <v>4.8840000000005546E-3</v>
      </c>
      <c r="DA18">
        <f>Hourly_kWh!ED20</f>
        <v>2.6349999999997209E-4</v>
      </c>
      <c r="DB18">
        <f>Hourly_kWh!DV20</f>
        <v>6.3674999999996373E-4</v>
      </c>
      <c r="DC18">
        <f>Hourly_kWh!CT20</f>
        <v>1.5199999999992997E-4</v>
      </c>
      <c r="DD18">
        <f>Hourly_kWh!DN20</f>
        <v>0</v>
      </c>
      <c r="DE18">
        <f>Hourly_kWh!AZ20</f>
        <v>0</v>
      </c>
      <c r="DF18">
        <f>Hourly_kWh!BD20</f>
        <v>1.5213281249999711E-4</v>
      </c>
      <c r="DG18">
        <f>Hourly_kWh!AV20</f>
        <v>3.222499999999684E-3</v>
      </c>
      <c r="DH18">
        <f>Hourly_kWh!BG20</f>
        <v>4.3999999999932982E-4</v>
      </c>
      <c r="DI18">
        <f>Hourly_kWh!DK20</f>
        <v>2.8040000000011389E-3</v>
      </c>
      <c r="DJ18">
        <f>Hourly_kWh!DL20</f>
        <v>4.9726562499999294E-4</v>
      </c>
      <c r="DK18">
        <f>Hourly_kWh!AU20</f>
        <v>4.1399999999995885E-3</v>
      </c>
      <c r="DL18">
        <f>Hourly_kWh!DM20</f>
        <v>1.462999999999326E-3</v>
      </c>
      <c r="DM18">
        <f>Hourly_kWh!CC20</f>
        <v>0</v>
      </c>
      <c r="DN18">
        <f>Hourly_kWh!BH20</f>
        <v>0</v>
      </c>
      <c r="DO18">
        <f>Hourly_kWh!AK20</f>
        <v>0</v>
      </c>
      <c r="DP18">
        <f>Hourly_kWh!AT20</f>
        <v>0</v>
      </c>
      <c r="DQ18">
        <f>Hourly_kWh!AX20</f>
        <v>0</v>
      </c>
      <c r="DR18">
        <f>Hourly_kWh!BA20</f>
        <v>0</v>
      </c>
      <c r="DS18">
        <f>Hourly_kWh!BB20</f>
        <v>0</v>
      </c>
      <c r="DT18">
        <f>Hourly_kWh!BC20</f>
        <v>0</v>
      </c>
      <c r="DU18">
        <f>Hourly_kWh!BF20</f>
        <v>0</v>
      </c>
      <c r="DV18">
        <f>Hourly_kWh!BN20</f>
        <v>0</v>
      </c>
      <c r="DW18">
        <f>Hourly_kWh!CD20</f>
        <v>0</v>
      </c>
      <c r="DX18">
        <f>Hourly_kWh!CE20</f>
        <v>0</v>
      </c>
      <c r="DY18">
        <f>Hourly_kWh!CJ20</f>
        <v>0</v>
      </c>
      <c r="DZ18">
        <f>Hourly_kWh!CP20</f>
        <v>0</v>
      </c>
      <c r="EA18">
        <f>Hourly_kWh!CS20</f>
        <v>0</v>
      </c>
      <c r="EB18">
        <f>Hourly_kWh!CU20</f>
        <v>0</v>
      </c>
      <c r="EC18">
        <f>Hourly_kWh!EG20</f>
        <v>0</v>
      </c>
      <c r="ED18">
        <f>Hourly_kWh!EQ20</f>
        <v>0</v>
      </c>
    </row>
    <row r="19" spans="1:134" ht="14" x14ac:dyDescent="0.25">
      <c r="A19" s="332"/>
      <c r="B19" s="137">
        <v>18</v>
      </c>
      <c r="C19" s="140" t="s">
        <v>321</v>
      </c>
      <c r="D19" s="142">
        <f>DAILY_ENERGY!C110</f>
        <v>1.559650625</v>
      </c>
      <c r="E19" s="142">
        <f>DAILY_ENERGY!D110</f>
        <v>1.5888793749999999</v>
      </c>
      <c r="F19" s="142">
        <f>DAILY_ENERGY!E110</f>
        <v>2.9228749999999915E-2</v>
      </c>
      <c r="G19" s="142"/>
      <c r="H19" s="142">
        <f>SHIFT_A!E110</f>
        <v>1.0129000000000055E-2</v>
      </c>
      <c r="I19" s="142">
        <f>SHIFT_B!E110</f>
        <v>9.5058749999998859E-3</v>
      </c>
      <c r="J19" s="142">
        <f>SHIFT_C!E110</f>
        <v>9.593874999999974E-3</v>
      </c>
      <c r="K19" s="162">
        <f t="shared" si="0"/>
        <v>2.9228749999999915E-2</v>
      </c>
      <c r="L19" s="163">
        <f t="shared" si="1"/>
        <v>0</v>
      </c>
      <c r="N19" s="149" t="s">
        <v>678</v>
      </c>
      <c r="O19">
        <f>Hourly_kWh!AF21</f>
        <v>0</v>
      </c>
      <c r="P19">
        <f>Hourly_kWh!BJ21</f>
        <v>0</v>
      </c>
      <c r="Q19">
        <f>Hourly_kWh!BK21</f>
        <v>5.5994999999997574E-3</v>
      </c>
      <c r="R19">
        <f>Hourly_kWh!EP21</f>
        <v>0</v>
      </c>
      <c r="S19">
        <f>Hourly_kWh!EE21</f>
        <v>7.1180000000001797E-3</v>
      </c>
      <c r="T19">
        <f>Hourly_kWh!DH21</f>
        <v>1.052000000000497E-3</v>
      </c>
      <c r="U19">
        <f>Hourly_kWh!CL21</f>
        <v>6.8600000000174077E-4</v>
      </c>
      <c r="V19">
        <f>Hourly_kWh!BL21</f>
        <v>0</v>
      </c>
      <c r="W19">
        <f>Hourly_kWh!V21</f>
        <v>6.0420000000043217E-3</v>
      </c>
      <c r="X19">
        <f>Hourly_kWh!AB21</f>
        <v>5.9499999999985675E-3</v>
      </c>
      <c r="Y19">
        <f>Hourly_kWh!AE21</f>
        <v>9.5449999999974722E-4</v>
      </c>
      <c r="Z19">
        <f>Hourly_kWh!AG21</f>
        <v>4.2620000000006542E-3</v>
      </c>
      <c r="AA19">
        <f>Hourly_kWh!BE21</f>
        <v>4.7959999999989122E-3</v>
      </c>
      <c r="AB19">
        <f>Hourly_kWh!AY21</f>
        <v>3.5389999999999588E-3</v>
      </c>
      <c r="AC19">
        <f>Hourly_kWh!CX21</f>
        <v>0</v>
      </c>
      <c r="AD19">
        <f>Hourly_kWh!CY21</f>
        <v>6.6199999999994041E-4</v>
      </c>
      <c r="AE19">
        <f>Hourly_kWh!DC21</f>
        <v>7.978625000000017E-3</v>
      </c>
      <c r="AF19">
        <f>Hourly_kWh!DD21</f>
        <v>1.2048749999999941E-3</v>
      </c>
      <c r="AG19">
        <f>Hourly_kWh!W21</f>
        <v>7.8599999999973136E-4</v>
      </c>
      <c r="AH19">
        <f>Hourly_kWh!X21</f>
        <v>2.3920000000003938E-3</v>
      </c>
      <c r="AI19">
        <f>Hourly_kWh!Y21</f>
        <v>0</v>
      </c>
      <c r="AJ19">
        <f>Hourly_kWh!Z21</f>
        <v>1.3470000000008753E-3</v>
      </c>
      <c r="AK19">
        <f>Hourly_kWh!AA21</f>
        <v>5.150000000000432E-3</v>
      </c>
      <c r="AL19">
        <f>Hourly_kWh!AC21</f>
        <v>7.2820000000000107E-3</v>
      </c>
      <c r="AM19">
        <f>Hourly_kWh!AD21</f>
        <v>1.7230000000001411E-3</v>
      </c>
      <c r="AN19">
        <f>Hourly_kWh!AI21</f>
        <v>0</v>
      </c>
      <c r="AO19">
        <f>Hourly_kWh!AJ21</f>
        <v>1.467500000000399E-3</v>
      </c>
      <c r="AP19">
        <f>Hourly_kWh!AL21</f>
        <v>1.3902062500000034E-2</v>
      </c>
      <c r="AQ19">
        <f>Hourly_kWh!AM21</f>
        <v>1.9664000000005899E-2</v>
      </c>
      <c r="AR19">
        <f>Hourly_kWh!AN21</f>
        <v>1.5832000000003177E-2</v>
      </c>
      <c r="AS19">
        <f>Hourly_kWh!AO21</f>
        <v>5.1399999999972579E-3</v>
      </c>
      <c r="AT19">
        <f>Hourly_kWh!AP21</f>
        <v>3.6000000000022681E-3</v>
      </c>
      <c r="AU19">
        <f>Hourly_kWh!CN21</f>
        <v>2.8150000000000119E-3</v>
      </c>
      <c r="AV19">
        <f>Hourly_kWh!CR21</f>
        <v>4.6659999999985047E-3</v>
      </c>
      <c r="AW19">
        <f>Hourly_kWh!AQ21</f>
        <v>1.4236000000011018E-2</v>
      </c>
      <c r="AX19">
        <f>Hourly_kWh!AS21</f>
        <v>3.0049999999999244E-3</v>
      </c>
      <c r="AY19">
        <f>Hourly_kWh!EH21</f>
        <v>1.2287999999898602E-2</v>
      </c>
      <c r="AZ19">
        <f>Hourly_kWh!EJ21</f>
        <v>6.4320000000179789E-3</v>
      </c>
      <c r="BA19">
        <f>Hourly_kWh!EI21</f>
        <v>1.9584000000008928E-2</v>
      </c>
      <c r="BB19">
        <f>Hourly_kWh!AW21</f>
        <v>5.3888000000029024E-2</v>
      </c>
      <c r="BC19">
        <f>Hourly_kWh!DS21</f>
        <v>8.0640000000016698E-2</v>
      </c>
      <c r="BD19">
        <f>Hourly_kWh!CO21</f>
        <v>1.7672000000004573E-2</v>
      </c>
      <c r="BE19">
        <f>Hourly_kWh!DA21</f>
        <v>1.1668000000000234E-2</v>
      </c>
      <c r="BF19">
        <f>Hourly_kWh!DB21</f>
        <v>4.4669999999999987E-3</v>
      </c>
      <c r="BG19">
        <f>Hourly_kWh!EK21</f>
        <v>0</v>
      </c>
      <c r="BH19">
        <f>Hourly_kWh!EL21</f>
        <v>8.5888000000068132E-2</v>
      </c>
      <c r="BI19">
        <f>Hourly_kWh!EM21</f>
        <v>0.14822400000002744</v>
      </c>
      <c r="BJ19">
        <f>Hourly_kWh!EN21</f>
        <v>0</v>
      </c>
      <c r="BK19">
        <f>Hourly_kWh!EO21</f>
        <v>7.6799999999366264E-4</v>
      </c>
      <c r="BL19">
        <f>Hourly_kWh!ER21</f>
        <v>9.0054000000009182E-2</v>
      </c>
      <c r="BM19">
        <f>Hourly_kWh!BW21</f>
        <v>0</v>
      </c>
      <c r="BN19">
        <f>Hourly_kWh!DR21</f>
        <v>0</v>
      </c>
      <c r="BO19">
        <f>Hourly_kWh!CG21</f>
        <v>0</v>
      </c>
      <c r="BP19">
        <f>Hourly_kWh!CI21</f>
        <v>0</v>
      </c>
      <c r="BQ19">
        <f>Hourly_kWh!BV21</f>
        <v>0</v>
      </c>
      <c r="BR19">
        <f>Hourly_kWh!BO21</f>
        <v>1.6020000000018797E-3</v>
      </c>
      <c r="BS19">
        <f>Hourly_kWh!CW21</f>
        <v>0</v>
      </c>
      <c r="BT19">
        <f>Hourly_kWh!DE21</f>
        <v>0</v>
      </c>
      <c r="BU19">
        <f>Hourly_kWh!DW21</f>
        <v>0</v>
      </c>
      <c r="BV19">
        <f>Hourly_kWh!CB21</f>
        <v>0</v>
      </c>
      <c r="BW19">
        <f>Hourly_kWh!CZ21</f>
        <v>4.9549999999998207E-4</v>
      </c>
      <c r="BX19">
        <f>Hourly_kWh!DG21</f>
        <v>0</v>
      </c>
      <c r="BY19">
        <f>Hourly_kWh!BS21</f>
        <v>0</v>
      </c>
      <c r="BZ19">
        <f>Hourly_kWh!CH21</f>
        <v>8.1325000000020964E-4</v>
      </c>
      <c r="CA19">
        <f>Hourly_kWh!BR21</f>
        <v>0</v>
      </c>
      <c r="CB19">
        <f>Hourly_kWh!BP21</f>
        <v>0</v>
      </c>
      <c r="CC19">
        <f>Hourly_kWh!BU21</f>
        <v>0</v>
      </c>
      <c r="CD19">
        <f>Hourly_kWh!BX21</f>
        <v>0</v>
      </c>
      <c r="CE19">
        <f>Hourly_kWh!CV21</f>
        <v>5.366250000000683E-4</v>
      </c>
      <c r="CF19">
        <f>Hourly_kWh!BT21</f>
        <v>1.1820000000000164E-2</v>
      </c>
      <c r="CG19">
        <f>Hourly_kWh!CA21</f>
        <v>1.2553312500000025E-2</v>
      </c>
      <c r="CH19">
        <f>Hourly_kWh!CF21</f>
        <v>6.9400000000108264E-4</v>
      </c>
      <c r="CI19">
        <f>Hourly_kWh!BZ21</f>
        <v>5.2896000000004051E-2</v>
      </c>
      <c r="CJ19">
        <f>Hourly_kWh!CK21</f>
        <v>0</v>
      </c>
      <c r="CK19">
        <f>Hourly_kWh!DT21</f>
        <v>1.5588000000000157E-2</v>
      </c>
      <c r="CL19">
        <f>Hourly_kWh!EB21</f>
        <v>6.5695999999974219E-2</v>
      </c>
      <c r="CM19">
        <f>Hourly_kWh!EC21</f>
        <v>3.0832000000003745E-2</v>
      </c>
      <c r="CN19">
        <f>Hourly_kWh!CQ21</f>
        <v>0</v>
      </c>
      <c r="CO19">
        <f>Hourly_kWh!DF21</f>
        <v>0</v>
      </c>
      <c r="CP19">
        <f>Hourly_kWh!DJ21</f>
        <v>0</v>
      </c>
      <c r="CQ19">
        <f>Hourly_kWh!DP21</f>
        <v>1.8560000000000798E-3</v>
      </c>
      <c r="CR19">
        <f>Hourly_kWh!BQ21</f>
        <v>0</v>
      </c>
      <c r="CS19">
        <f>Hourly_kWh!BY21</f>
        <v>0</v>
      </c>
      <c r="CT19">
        <f>Hourly_kWh!DU21</f>
        <v>0</v>
      </c>
      <c r="CU19">
        <f>Hourly_kWh!DQ21</f>
        <v>0</v>
      </c>
      <c r="CV19">
        <f>Hourly_kWh!EA21</f>
        <v>0</v>
      </c>
      <c r="CW19">
        <f>Hourly_kWh!DO21</f>
        <v>3.4559999999999036E-3</v>
      </c>
      <c r="CX19">
        <f>Hourly_kWh!DX21</f>
        <v>3.5420000000012664E-3</v>
      </c>
      <c r="CY19">
        <f>Hourly_kWh!DY21</f>
        <v>2.0825000000002092E-4</v>
      </c>
      <c r="CZ19">
        <f>Hourly_kWh!DZ21</f>
        <v>4.5739999999980796E-3</v>
      </c>
      <c r="DA19">
        <f>Hourly_kWh!ED21</f>
        <v>2.5925000000004417E-4</v>
      </c>
      <c r="DB19">
        <f>Hourly_kWh!DV21</f>
        <v>6.4825000000023891E-4</v>
      </c>
      <c r="DC19">
        <f>Hourly_kWh!CT21</f>
        <v>1.5199999999992997E-4</v>
      </c>
      <c r="DD19">
        <f>Hourly_kWh!DN21</f>
        <v>0</v>
      </c>
      <c r="DE19">
        <f>Hourly_kWh!AZ21</f>
        <v>0</v>
      </c>
      <c r="DF19">
        <f>Hourly_kWh!BD21</f>
        <v>2.0595312500000518E-4</v>
      </c>
      <c r="DG19">
        <f>Hourly_kWh!AV21</f>
        <v>3.2285000000005226E-3</v>
      </c>
      <c r="DH19">
        <f>Hourly_kWh!BG21</f>
        <v>4.3999999999932982E-4</v>
      </c>
      <c r="DI19">
        <f>Hourly_kWh!DK21</f>
        <v>2.7739999999987219E-3</v>
      </c>
      <c r="DJ19">
        <f>Hourly_kWh!DL21</f>
        <v>5.0703124999998406E-4</v>
      </c>
      <c r="DK19">
        <f>Hourly_kWh!AU21</f>
        <v>4.0680000000037353E-3</v>
      </c>
      <c r="DL19">
        <f>Hourly_kWh!DM21</f>
        <v>1.5770000000010498E-3</v>
      </c>
      <c r="DM19">
        <f>Hourly_kWh!CC21</f>
        <v>0</v>
      </c>
      <c r="DN19">
        <f>Hourly_kWh!BH21</f>
        <v>0</v>
      </c>
      <c r="DO19">
        <f>Hourly_kWh!AK21</f>
        <v>0</v>
      </c>
      <c r="DP19">
        <f>Hourly_kWh!AT21</f>
        <v>0</v>
      </c>
      <c r="DQ19">
        <f>Hourly_kWh!AX21</f>
        <v>0</v>
      </c>
      <c r="DR19">
        <f>Hourly_kWh!BA21</f>
        <v>0</v>
      </c>
      <c r="DS19">
        <f>Hourly_kWh!BB21</f>
        <v>0</v>
      </c>
      <c r="DT19">
        <f>Hourly_kWh!BC21</f>
        <v>0</v>
      </c>
      <c r="DU19">
        <f>Hourly_kWh!BF21</f>
        <v>0</v>
      </c>
      <c r="DV19">
        <f>Hourly_kWh!BN21</f>
        <v>0</v>
      </c>
      <c r="DW19">
        <f>Hourly_kWh!CD21</f>
        <v>0</v>
      </c>
      <c r="DX19">
        <f>Hourly_kWh!CE21</f>
        <v>0</v>
      </c>
      <c r="DY19">
        <f>Hourly_kWh!CJ21</f>
        <v>0</v>
      </c>
      <c r="DZ19">
        <f>Hourly_kWh!CP21</f>
        <v>0</v>
      </c>
      <c r="EA19">
        <f>Hourly_kWh!CS21</f>
        <v>0</v>
      </c>
      <c r="EB19">
        <f>Hourly_kWh!CU21</f>
        <v>0</v>
      </c>
      <c r="EC19">
        <f>Hourly_kWh!EG21</f>
        <v>0</v>
      </c>
      <c r="ED19">
        <f>Hourly_kWh!EQ21</f>
        <v>0</v>
      </c>
    </row>
    <row r="20" spans="1:134" ht="14" x14ac:dyDescent="0.25">
      <c r="A20" s="323" t="s">
        <v>462</v>
      </c>
      <c r="B20" s="137">
        <v>19</v>
      </c>
      <c r="C20" s="141" t="s">
        <v>140</v>
      </c>
      <c r="D20" s="134">
        <f>DAILY_ENERGY!C25</f>
        <v>15.480639</v>
      </c>
      <c r="E20" s="134">
        <f>DAILY_ENERGY!D25</f>
        <v>15.554527999999999</v>
      </c>
      <c r="F20" s="134">
        <f>DAILY_ENERGY!E25</f>
        <v>7.3888999999999427E-2</v>
      </c>
      <c r="G20" s="134"/>
      <c r="H20" s="134">
        <f>SHIFT_A!E25</f>
        <v>3.9647999999999683E-2</v>
      </c>
      <c r="I20" s="134">
        <f>SHIFT_B!E25</f>
        <v>2.7097999999998734E-2</v>
      </c>
      <c r="J20" s="134">
        <f>SHIFT_C!E25</f>
        <v>7.1430000000010097E-3</v>
      </c>
      <c r="K20" s="162">
        <f t="shared" si="0"/>
        <v>7.3888999999999427E-2</v>
      </c>
      <c r="L20" s="163">
        <f t="shared" si="1"/>
        <v>0</v>
      </c>
      <c r="N20" s="149" t="s">
        <v>679</v>
      </c>
      <c r="O20">
        <f>Hourly_kWh!AF22</f>
        <v>0</v>
      </c>
      <c r="P20">
        <f>Hourly_kWh!BJ22</f>
        <v>0</v>
      </c>
      <c r="Q20">
        <f>Hourly_kWh!BK22</f>
        <v>2.2269999999995349E-3</v>
      </c>
      <c r="R20">
        <f>Hourly_kWh!EP22</f>
        <v>0</v>
      </c>
      <c r="S20">
        <f>Hourly_kWh!EE22</f>
        <v>3.9580000000007942E-3</v>
      </c>
      <c r="T20">
        <f>Hourly_kWh!DH22</f>
        <v>1.179500000000111E-3</v>
      </c>
      <c r="U20">
        <f>Hourly_kWh!CL22</f>
        <v>1.0520000000013852E-3</v>
      </c>
      <c r="V20">
        <f>Hourly_kWh!BL22</f>
        <v>0</v>
      </c>
      <c r="W20">
        <f>Hourly_kWh!V22</f>
        <v>5.9959999999961155E-3</v>
      </c>
      <c r="X20">
        <f>Hourly_kWh!AB22</f>
        <v>6.0339999999996508E-3</v>
      </c>
      <c r="Y20">
        <f>Hourly_kWh!AE22</f>
        <v>9.1900000000055826E-4</v>
      </c>
      <c r="Z20">
        <f>Hourly_kWh!AG22</f>
        <v>3.9124999999993193E-3</v>
      </c>
      <c r="AA20">
        <f>Hourly_kWh!BE22</f>
        <v>4.8440000000020689E-3</v>
      </c>
      <c r="AB20">
        <f>Hourly_kWh!AY22</f>
        <v>2.5040000000000617E-3</v>
      </c>
      <c r="AC20">
        <f>Hourly_kWh!CX22</f>
        <v>0</v>
      </c>
      <c r="AD20">
        <f>Hourly_kWh!CY22</f>
        <v>6.0400000000004894E-4</v>
      </c>
      <c r="AE20">
        <f>Hourly_kWh!DC22</f>
        <v>7.9399999999998361E-3</v>
      </c>
      <c r="AF20">
        <f>Hourly_kWh!DD22</f>
        <v>1.1978749999999039E-3</v>
      </c>
      <c r="AG20">
        <f>Hourly_kWh!W22</f>
        <v>1.2209999999992505E-3</v>
      </c>
      <c r="AH20">
        <f>Hourly_kWh!X22</f>
        <v>2.4420000000002773E-3</v>
      </c>
      <c r="AI20">
        <f>Hourly_kWh!Y22</f>
        <v>0</v>
      </c>
      <c r="AJ20">
        <f>Hourly_kWh!Z22</f>
        <v>1.2999999999987466E-3</v>
      </c>
      <c r="AK20">
        <f>Hourly_kWh!AA22</f>
        <v>4.8859999999990578E-3</v>
      </c>
      <c r="AL20">
        <f>Hourly_kWh!AC22</f>
        <v>7.3820000000033303E-3</v>
      </c>
      <c r="AM20">
        <f>Hourly_kWh!AD22</f>
        <v>2.9350000000007981E-3</v>
      </c>
      <c r="AN20">
        <f>Hourly_kWh!AI22</f>
        <v>0</v>
      </c>
      <c r="AO20">
        <f>Hourly_kWh!AJ22</f>
        <v>1.3100000000001444E-3</v>
      </c>
      <c r="AP20">
        <f>Hourly_kWh!AL22</f>
        <v>1.317531249999998E-2</v>
      </c>
      <c r="AQ20">
        <f>Hourly_kWh!AM22</f>
        <v>2.0368000000004827E-2</v>
      </c>
      <c r="AR20">
        <f>Hourly_kWh!AN22</f>
        <v>1.5680000000003247E-2</v>
      </c>
      <c r="AS20">
        <f>Hourly_kWh!AO22</f>
        <v>5.0840000000036412E-3</v>
      </c>
      <c r="AT20">
        <f>Hourly_kWh!AP22</f>
        <v>3.4439999999982263E-3</v>
      </c>
      <c r="AU20">
        <f>Hourly_kWh!CN22</f>
        <v>2.7059999999998752E-3</v>
      </c>
      <c r="AV20">
        <f>Hourly_kWh!CR22</f>
        <v>3.9960000000007767E-3</v>
      </c>
      <c r="AW20">
        <f>Hourly_kWh!AQ22</f>
        <v>1.4172000000002072E-2</v>
      </c>
      <c r="AX20">
        <f>Hourly_kWh!AS22</f>
        <v>2.1724999999994665E-3</v>
      </c>
      <c r="AY20">
        <f>Hourly_kWh!EH22</f>
        <v>1.1648000000036518E-2</v>
      </c>
      <c r="AZ20">
        <f>Hourly_kWh!EJ22</f>
        <v>6.015999999988253E-3</v>
      </c>
      <c r="BA20">
        <f>Hourly_kWh!EI22</f>
        <v>2.3871999999983018E-2</v>
      </c>
      <c r="BB20">
        <f>Hourly_kWh!AW22</f>
        <v>4.5631999999955042E-2</v>
      </c>
      <c r="BC20">
        <f>Hourly_kWh!DS22</f>
        <v>5.5424000000016349E-2</v>
      </c>
      <c r="BD20">
        <f>Hourly_kWh!CO22</f>
        <v>1.688000000000045E-2</v>
      </c>
      <c r="BE20">
        <f>Hourly_kWh!DA22</f>
        <v>1.157199999999392E-2</v>
      </c>
      <c r="BF20">
        <f>Hourly_kWh!DB22</f>
        <v>4.1990000000016181E-3</v>
      </c>
      <c r="BG20">
        <f>Hourly_kWh!EK22</f>
        <v>0</v>
      </c>
      <c r="BH20">
        <f>Hourly_kWh!EL22</f>
        <v>9.6383999999943626E-2</v>
      </c>
      <c r="BI20">
        <f>Hourly_kWh!EM22</f>
        <v>0.14719999999988431</v>
      </c>
      <c r="BJ20">
        <f>Hourly_kWh!EN22</f>
        <v>0</v>
      </c>
      <c r="BK20">
        <f>Hourly_kWh!EO22</f>
        <v>7.6799999999366264E-4</v>
      </c>
      <c r="BL20">
        <f>Hourly_kWh!ER22</f>
        <v>9.4581999999988398E-2</v>
      </c>
      <c r="BM20">
        <f>Hourly_kWh!BW22</f>
        <v>0</v>
      </c>
      <c r="BN20">
        <f>Hourly_kWh!DR22</f>
        <v>0</v>
      </c>
      <c r="BO20">
        <f>Hourly_kWh!CG22</f>
        <v>0</v>
      </c>
      <c r="BP20">
        <f>Hourly_kWh!CI22</f>
        <v>0</v>
      </c>
      <c r="BQ20">
        <f>Hourly_kWh!BV22</f>
        <v>0</v>
      </c>
      <c r="BR20">
        <f>Hourly_kWh!BO22</f>
        <v>1.6280000000001849E-3</v>
      </c>
      <c r="BS20">
        <f>Hourly_kWh!CW22</f>
        <v>0</v>
      </c>
      <c r="BT20">
        <f>Hourly_kWh!DE22</f>
        <v>0</v>
      </c>
      <c r="BU20">
        <f>Hourly_kWh!DW22</f>
        <v>0</v>
      </c>
      <c r="BV20">
        <f>Hourly_kWh!CB22</f>
        <v>0</v>
      </c>
      <c r="BW20">
        <f>Hourly_kWh!CZ22</f>
        <v>4.8549999999991655E-4</v>
      </c>
      <c r="BX20">
        <f>Hourly_kWh!DG22</f>
        <v>0</v>
      </c>
      <c r="BY20">
        <f>Hourly_kWh!BS22</f>
        <v>0</v>
      </c>
      <c r="BZ20">
        <f>Hourly_kWh!CH22</f>
        <v>7.8224999999987332E-4</v>
      </c>
      <c r="CA20">
        <f>Hourly_kWh!BR22</f>
        <v>0</v>
      </c>
      <c r="CB20">
        <f>Hourly_kWh!BP22</f>
        <v>0</v>
      </c>
      <c r="CC20">
        <f>Hourly_kWh!BU22</f>
        <v>0</v>
      </c>
      <c r="CD20">
        <f>Hourly_kWh!BX22</f>
        <v>0</v>
      </c>
      <c r="CE20">
        <f>Hourly_kWh!CV22</f>
        <v>1.9950000000013013E-4</v>
      </c>
      <c r="CF20">
        <f>Hourly_kWh!BT22</f>
        <v>1.1479999999998824E-2</v>
      </c>
      <c r="CG20">
        <f>Hourly_kWh!CA22</f>
        <v>1.408406250000005E-2</v>
      </c>
      <c r="CH20">
        <f>Hourly_kWh!CF22</f>
        <v>7.4699999999872091E-4</v>
      </c>
      <c r="CI20">
        <f>Hourly_kWh!BZ22</f>
        <v>4.3799999999990291E-2</v>
      </c>
      <c r="CJ20">
        <f>Hourly_kWh!CK22</f>
        <v>0</v>
      </c>
      <c r="CK20">
        <f>Hourly_kWh!DT22</f>
        <v>1.5886499999999693E-2</v>
      </c>
      <c r="CL20">
        <f>Hourly_kWh!EB22</f>
        <v>4.118400000001543E-2</v>
      </c>
      <c r="CM20">
        <f>Hourly_kWh!EC22</f>
        <v>2.9759999999981801E-2</v>
      </c>
      <c r="CN20">
        <f>Hourly_kWh!CQ22</f>
        <v>0</v>
      </c>
      <c r="CO20">
        <f>Hourly_kWh!DF22</f>
        <v>0</v>
      </c>
      <c r="CP20">
        <f>Hourly_kWh!DJ22</f>
        <v>0</v>
      </c>
      <c r="CQ20">
        <f>Hourly_kWh!DP22</f>
        <v>1.7479999999991946E-3</v>
      </c>
      <c r="CR20">
        <f>Hourly_kWh!BQ22</f>
        <v>0</v>
      </c>
      <c r="CS20">
        <f>Hourly_kWh!BY22</f>
        <v>0</v>
      </c>
      <c r="CT20">
        <f>Hourly_kWh!DU22</f>
        <v>0</v>
      </c>
      <c r="CU20">
        <f>Hourly_kWh!DQ22</f>
        <v>0</v>
      </c>
      <c r="CV20">
        <f>Hourly_kWh!EA22</f>
        <v>0</v>
      </c>
      <c r="CW20">
        <f>Hourly_kWh!DO22</f>
        <v>3.5680000000013479E-3</v>
      </c>
      <c r="CX20">
        <f>Hourly_kWh!DX22</f>
        <v>3.4919999999996065E-3</v>
      </c>
      <c r="CY20">
        <f>Hourly_kWh!DY22</f>
        <v>2.0774999999995103E-4</v>
      </c>
      <c r="CZ20">
        <f>Hourly_kWh!DZ22</f>
        <v>4.5640000000020109E-3</v>
      </c>
      <c r="DA20">
        <f>Hourly_kWh!ED22</f>
        <v>2.6374999999978499E-4</v>
      </c>
      <c r="DB20">
        <f>Hourly_kWh!DV22</f>
        <v>6.4724999999965505E-4</v>
      </c>
      <c r="DC20">
        <f>Hourly_kWh!CT22</f>
        <v>1.5199999999992997E-4</v>
      </c>
      <c r="DD20">
        <f>Hourly_kWh!DN22</f>
        <v>0</v>
      </c>
      <c r="DE20">
        <f>Hourly_kWh!AZ22</f>
        <v>0</v>
      </c>
      <c r="DF20">
        <f>Hourly_kWh!BD22</f>
        <v>1.0023437499999399E-4</v>
      </c>
      <c r="DG20">
        <f>Hourly_kWh!AV22</f>
        <v>2.0324999999994375E-3</v>
      </c>
      <c r="DH20">
        <f>Hourly_kWh!BG22</f>
        <v>4.2999999999970839E-4</v>
      </c>
      <c r="DI20">
        <f>Hourly_kWh!DK22</f>
        <v>2.8119999999987044E-3</v>
      </c>
      <c r="DJ20">
        <f>Hourly_kWh!DL22</f>
        <v>5.0557812500001686E-4</v>
      </c>
      <c r="DK20">
        <f>Hourly_kWh!AU22</f>
        <v>3.7200000000012778E-3</v>
      </c>
      <c r="DL20">
        <f>Hourly_kWh!DM22</f>
        <v>1.3760000000004879E-3</v>
      </c>
      <c r="DM20">
        <f>Hourly_kWh!CC22</f>
        <v>0</v>
      </c>
      <c r="DN20">
        <f>Hourly_kWh!BH22</f>
        <v>2.1999999999984254E-3</v>
      </c>
      <c r="DO20">
        <f>Hourly_kWh!AK22</f>
        <v>0</v>
      </c>
      <c r="DP20">
        <f>Hourly_kWh!AT22</f>
        <v>0</v>
      </c>
      <c r="DQ20">
        <f>Hourly_kWh!AX22</f>
        <v>0</v>
      </c>
      <c r="DR20">
        <f>Hourly_kWh!BA22</f>
        <v>0</v>
      </c>
      <c r="DS20">
        <f>Hourly_kWh!BB22</f>
        <v>0</v>
      </c>
      <c r="DT20">
        <f>Hourly_kWh!BC22</f>
        <v>0</v>
      </c>
      <c r="DU20">
        <f>Hourly_kWh!BF22</f>
        <v>0</v>
      </c>
      <c r="DV20">
        <f>Hourly_kWh!BN22</f>
        <v>0</v>
      </c>
      <c r="DW20">
        <f>Hourly_kWh!CD22</f>
        <v>0</v>
      </c>
      <c r="DX20">
        <f>Hourly_kWh!CE22</f>
        <v>0</v>
      </c>
      <c r="DY20">
        <f>Hourly_kWh!CJ22</f>
        <v>0</v>
      </c>
      <c r="DZ20">
        <f>Hourly_kWh!CP22</f>
        <v>0</v>
      </c>
      <c r="EA20">
        <f>Hourly_kWh!CS22</f>
        <v>0</v>
      </c>
      <c r="EB20">
        <f>Hourly_kWh!CU22</f>
        <v>0</v>
      </c>
      <c r="EC20">
        <f>Hourly_kWh!EG22</f>
        <v>0</v>
      </c>
      <c r="ED20">
        <f>Hourly_kWh!EQ22</f>
        <v>0</v>
      </c>
    </row>
    <row r="21" spans="1:134" ht="14.15" customHeight="1" x14ac:dyDescent="0.25">
      <c r="A21" s="323"/>
      <c r="B21" s="137">
        <v>20</v>
      </c>
      <c r="C21" s="141" t="s">
        <v>141</v>
      </c>
      <c r="D21" s="134">
        <f>DAILY_ENERGY!C26</f>
        <v>14.482826999999999</v>
      </c>
      <c r="E21" s="134">
        <f>DAILY_ENERGY!D26</f>
        <v>14.558180999999999</v>
      </c>
      <c r="F21" s="134">
        <f>DAILY_ENERGY!E26</f>
        <v>7.5354000000000809E-2</v>
      </c>
      <c r="G21" s="134"/>
      <c r="H21" s="134">
        <f>SHIFT_A!E26</f>
        <v>3.1832000000001415E-2</v>
      </c>
      <c r="I21" s="134">
        <f>SHIFT_B!E26</f>
        <v>2.4459000000000231E-2</v>
      </c>
      <c r="J21" s="134">
        <f>SHIFT_C!E26</f>
        <v>1.9062999999999164E-2</v>
      </c>
      <c r="K21" s="162">
        <f t="shared" si="0"/>
        <v>7.5354000000000809E-2</v>
      </c>
      <c r="L21" s="163">
        <f t="shared" si="1"/>
        <v>0</v>
      </c>
      <c r="M21" s="52"/>
      <c r="N21" s="149" t="s">
        <v>680</v>
      </c>
      <c r="O21">
        <f>Hourly_kWh!AF23</f>
        <v>0</v>
      </c>
      <c r="P21">
        <f>Hourly_kWh!BJ23</f>
        <v>0</v>
      </c>
      <c r="Q21">
        <f>Hourly_kWh!BK23</f>
        <v>1.4289999999999026E-3</v>
      </c>
      <c r="R21">
        <f>Hourly_kWh!EP23</f>
        <v>0</v>
      </c>
      <c r="S21">
        <f>Hourly_kWh!EE23</f>
        <v>5.721499999999935E-3</v>
      </c>
      <c r="T21">
        <f>Hourly_kWh!DH23</f>
        <v>1.1814999999995024E-3</v>
      </c>
      <c r="U21">
        <f>Hourly_kWh!CL23</f>
        <v>1.1259999999992942E-3</v>
      </c>
      <c r="V21">
        <f>Hourly_kWh!BL23</f>
        <v>0</v>
      </c>
      <c r="W21">
        <f>Hourly_kWh!V23</f>
        <v>6.2160000000019977E-3</v>
      </c>
      <c r="X21">
        <f>Hourly_kWh!AB23</f>
        <v>5.9300000000028774E-3</v>
      </c>
      <c r="Y21">
        <f>Hourly_kWh!AE23</f>
        <v>8.9899999999953906E-4</v>
      </c>
      <c r="Z21">
        <f>Hourly_kWh!AG23</f>
        <v>3.1730000000003145E-3</v>
      </c>
      <c r="AA21">
        <f>Hourly_kWh!BE23</f>
        <v>5.0080000000001235E-3</v>
      </c>
      <c r="AB21">
        <f>Hourly_kWh!AY23</f>
        <v>2.4234999999999118E-3</v>
      </c>
      <c r="AC21">
        <f>Hourly_kWh!CX23</f>
        <v>0</v>
      </c>
      <c r="AD21">
        <f>Hourly_kWh!CY23</f>
        <v>6.7000000000017046E-4</v>
      </c>
      <c r="AE21">
        <f>Hourly_kWh!DC23</f>
        <v>7.8562500000001201E-3</v>
      </c>
      <c r="AF21">
        <f>Hourly_kWh!DD23</f>
        <v>1.1857500000000964E-3</v>
      </c>
      <c r="AG21">
        <f>Hourly_kWh!W23</f>
        <v>7.9600000000112914E-4</v>
      </c>
      <c r="AH21">
        <f>Hourly_kWh!X23</f>
        <v>2.3659999999985359E-3</v>
      </c>
      <c r="AI21">
        <f>Hourly_kWh!Y23</f>
        <v>0</v>
      </c>
      <c r="AJ21">
        <f>Hourly_kWh!Z23</f>
        <v>1.300000000000523E-3</v>
      </c>
      <c r="AK21">
        <f>Hourly_kWh!AA23</f>
        <v>4.1280000000014638E-3</v>
      </c>
      <c r="AL21">
        <f>Hourly_kWh!AC23</f>
        <v>7.4259999999988224E-3</v>
      </c>
      <c r="AM21">
        <f>Hourly_kWh!AD23</f>
        <v>1.6289999999994365E-3</v>
      </c>
      <c r="AN21">
        <f>Hourly_kWh!AI23</f>
        <v>0</v>
      </c>
      <c r="AO21">
        <f>Hourly_kWh!AJ23</f>
        <v>6.284999999994767E-4</v>
      </c>
      <c r="AP21">
        <f>Hourly_kWh!AL23</f>
        <v>8.2645937499999933E-3</v>
      </c>
      <c r="AQ21">
        <f>Hourly_kWh!AM23</f>
        <v>2.0727999999991198E-2</v>
      </c>
      <c r="AR21">
        <f>Hourly_kWh!AN23</f>
        <v>1.5168000000002735E-2</v>
      </c>
      <c r="AS21">
        <f>Hourly_kWh!AO23</f>
        <v>5.0759999999954175E-3</v>
      </c>
      <c r="AT21">
        <f>Hourly_kWh!AP23</f>
        <v>3.2840000000007308E-3</v>
      </c>
      <c r="AU21">
        <f>Hourly_kWh!CN23</f>
        <v>2.5980000000007664E-3</v>
      </c>
      <c r="AV21">
        <f>Hourly_kWh!CR23</f>
        <v>3.8909999999994227E-3</v>
      </c>
      <c r="AW21">
        <f>Hourly_kWh!AQ23</f>
        <v>1.3527999999993767E-2</v>
      </c>
      <c r="AX21">
        <f>Hourly_kWh!AS23</f>
        <v>1.664999999997363E-4</v>
      </c>
      <c r="AY21">
        <f>Hourly_kWh!EH23</f>
        <v>7.2959999999966385E-3</v>
      </c>
      <c r="AZ21">
        <f>Hourly_kWh!EJ23</f>
        <v>8.3200000000260843E-4</v>
      </c>
      <c r="BA21">
        <f>Hourly_kWh!EI23</f>
        <v>1.8239999999991596E-2</v>
      </c>
      <c r="BB21">
        <f>Hourly_kWh!AW23</f>
        <v>3.9103999999952066E-2</v>
      </c>
      <c r="BC21">
        <f>Hourly_kWh!DS23</f>
        <v>6.0288000000014108E-2</v>
      </c>
      <c r="BD21">
        <f>Hourly_kWh!CO23</f>
        <v>1.7408000000003199E-2</v>
      </c>
      <c r="BE21">
        <f>Hourly_kWh!DA23</f>
        <v>1.1464000000003693E-2</v>
      </c>
      <c r="BF21">
        <f>Hourly_kWh!DB23</f>
        <v>3.2429999999976644E-3</v>
      </c>
      <c r="BG21">
        <f>Hourly_kWh!EK23</f>
        <v>0</v>
      </c>
      <c r="BH21">
        <f>Hourly_kWh!EL23</f>
        <v>2.8287999999975E-2</v>
      </c>
      <c r="BI21">
        <f>Hourly_kWh!EM23</f>
        <v>0.12134400000013557</v>
      </c>
      <c r="BJ21">
        <f>Hourly_kWh!EN23</f>
        <v>0</v>
      </c>
      <c r="BK21">
        <f>Hourly_kWh!EO23</f>
        <v>7.6799999999366264E-4</v>
      </c>
      <c r="BL21">
        <f>Hourly_kWh!ER23</f>
        <v>9.5923000000013303E-2</v>
      </c>
      <c r="BM21">
        <f>Hourly_kWh!BW23</f>
        <v>0</v>
      </c>
      <c r="BN21">
        <f>Hourly_kWh!DR23</f>
        <v>0</v>
      </c>
      <c r="BO21">
        <f>Hourly_kWh!CG23</f>
        <v>0</v>
      </c>
      <c r="BP21">
        <f>Hourly_kWh!CI23</f>
        <v>0</v>
      </c>
      <c r="BQ21">
        <f>Hourly_kWh!BV23</f>
        <v>0</v>
      </c>
      <c r="BR21">
        <f>Hourly_kWh!BO23</f>
        <v>1.6259999999981289E-3</v>
      </c>
      <c r="BS21">
        <f>Hourly_kWh!CW23</f>
        <v>0</v>
      </c>
      <c r="BT21">
        <f>Hourly_kWh!DE23</f>
        <v>0</v>
      </c>
      <c r="BU21">
        <f>Hourly_kWh!DW23</f>
        <v>0</v>
      </c>
      <c r="BV21">
        <f>Hourly_kWh!CB23</f>
        <v>0</v>
      </c>
      <c r="BW21">
        <f>Hourly_kWh!CZ23</f>
        <v>4.9700000000019173E-4</v>
      </c>
      <c r="BX21">
        <f>Hourly_kWh!DG23</f>
        <v>0</v>
      </c>
      <c r="BY21">
        <f>Hourly_kWh!BS23</f>
        <v>0</v>
      </c>
      <c r="BZ21">
        <f>Hourly_kWh!CH23</f>
        <v>6.3974999999993898E-4</v>
      </c>
      <c r="CA21">
        <f>Hourly_kWh!BR23</f>
        <v>0</v>
      </c>
      <c r="CB21">
        <f>Hourly_kWh!BP23</f>
        <v>0</v>
      </c>
      <c r="CC21">
        <f>Hourly_kWh!BU23</f>
        <v>0</v>
      </c>
      <c r="CD21">
        <f>Hourly_kWh!BX23</f>
        <v>0</v>
      </c>
      <c r="CE21">
        <f>Hourly_kWh!CV23</f>
        <v>0</v>
      </c>
      <c r="CF21">
        <f>Hourly_kWh!BT23</f>
        <v>1.0592000000002599E-2</v>
      </c>
      <c r="CG21">
        <f>Hourly_kWh!CA23</f>
        <v>1.8728999999999996E-2</v>
      </c>
      <c r="CH21">
        <f>Hourly_kWh!CF23</f>
        <v>7.0000000000014495E-4</v>
      </c>
      <c r="CI21">
        <f>Hourly_kWh!BZ23</f>
        <v>4.8935999999997648E-2</v>
      </c>
      <c r="CJ21">
        <f>Hourly_kWh!CK23</f>
        <v>0</v>
      </c>
      <c r="CK21">
        <f>Hourly_kWh!DT23</f>
        <v>1.5441500000000552E-2</v>
      </c>
      <c r="CL21">
        <f>Hourly_kWh!EB23</f>
        <v>4.0928000000008069E-2</v>
      </c>
      <c r="CM21">
        <f>Hourly_kWh!EC23</f>
        <v>2.86880000000167E-2</v>
      </c>
      <c r="CN21">
        <f>Hourly_kWh!CQ23</f>
        <v>0</v>
      </c>
      <c r="CO21">
        <f>Hourly_kWh!DF23</f>
        <v>0</v>
      </c>
      <c r="CP21">
        <f>Hourly_kWh!DJ23</f>
        <v>0</v>
      </c>
      <c r="CQ21">
        <f>Hourly_kWh!DP23</f>
        <v>7.8099999999992065E-4</v>
      </c>
      <c r="CR21">
        <f>Hourly_kWh!BQ23</f>
        <v>0</v>
      </c>
      <c r="CS21">
        <f>Hourly_kWh!BY23</f>
        <v>0</v>
      </c>
      <c r="CT21">
        <f>Hourly_kWh!DU23</f>
        <v>0</v>
      </c>
      <c r="CU21">
        <f>Hourly_kWh!DQ23</f>
        <v>0</v>
      </c>
      <c r="CV21">
        <f>Hourly_kWh!EA23</f>
        <v>0</v>
      </c>
      <c r="CW21">
        <f>Hourly_kWh!DO23</f>
        <v>3.4559999999999036E-3</v>
      </c>
      <c r="CX21">
        <f>Hourly_kWh!DX23</f>
        <v>3.5410000000002384E-3</v>
      </c>
      <c r="CY21">
        <f>Hourly_kWh!DY23</f>
        <v>2.0506250000007498E-4</v>
      </c>
      <c r="CZ21">
        <f>Hourly_kWh!DZ23</f>
        <v>4.4819999999994309E-3</v>
      </c>
      <c r="DA21">
        <f>Hourly_kWh!ED23</f>
        <v>2.6425000000029897E-4</v>
      </c>
      <c r="DB21">
        <f>Hourly_kWh!DV23</f>
        <v>6.1250000000034888E-4</v>
      </c>
      <c r="DC21">
        <f>Hourly_kWh!CT23</f>
        <v>1.5199999999992997E-4</v>
      </c>
      <c r="DD21">
        <f>Hourly_kWh!DN23</f>
        <v>0</v>
      </c>
      <c r="DE21">
        <f>Hourly_kWh!AZ23</f>
        <v>0</v>
      </c>
      <c r="DF21">
        <f>Hourly_kWh!BD23</f>
        <v>9.8976562500005527E-5</v>
      </c>
      <c r="DG21">
        <f>Hourly_kWh!AV23</f>
        <v>5.1749999999994856E-4</v>
      </c>
      <c r="DH21">
        <f>Hourly_kWh!BG23</f>
        <v>4.4000000000110617E-4</v>
      </c>
      <c r="DI21">
        <f>Hourly_kWh!DK23</f>
        <v>2.808000000001698E-3</v>
      </c>
      <c r="DJ21">
        <f>Hourly_kWh!DL23</f>
        <v>4.9437499999999135E-4</v>
      </c>
      <c r="DK21">
        <f>Hourly_kWh!AU23</f>
        <v>2.4039999999985184E-3</v>
      </c>
      <c r="DL21">
        <f>Hourly_kWh!DM23</f>
        <v>1.0529999999988604E-3</v>
      </c>
      <c r="DM21">
        <f>Hourly_kWh!CC23</f>
        <v>0</v>
      </c>
      <c r="DN21">
        <f>Hourly_kWh!BH23</f>
        <v>3.1420000000004222E-3</v>
      </c>
      <c r="DO21">
        <f>Hourly_kWh!AK23</f>
        <v>0</v>
      </c>
      <c r="DP21">
        <f>Hourly_kWh!AT23</f>
        <v>0</v>
      </c>
      <c r="DQ21">
        <f>Hourly_kWh!AX23</f>
        <v>0</v>
      </c>
      <c r="DR21">
        <f>Hourly_kWh!BA23</f>
        <v>0</v>
      </c>
      <c r="DS21">
        <f>Hourly_kWh!BB23</f>
        <v>0</v>
      </c>
      <c r="DT21">
        <f>Hourly_kWh!BC23</f>
        <v>0</v>
      </c>
      <c r="DU21">
        <f>Hourly_kWh!BF23</f>
        <v>0</v>
      </c>
      <c r="DV21">
        <f>Hourly_kWh!BN23</f>
        <v>0</v>
      </c>
      <c r="DW21">
        <f>Hourly_kWh!CD23</f>
        <v>0</v>
      </c>
      <c r="DX21">
        <f>Hourly_kWh!CE23</f>
        <v>0</v>
      </c>
      <c r="DY21">
        <f>Hourly_kWh!CJ23</f>
        <v>0</v>
      </c>
      <c r="DZ21">
        <f>Hourly_kWh!CP23</f>
        <v>0</v>
      </c>
      <c r="EA21">
        <f>Hourly_kWh!CS23</f>
        <v>0</v>
      </c>
      <c r="EB21">
        <f>Hourly_kWh!CU23</f>
        <v>0</v>
      </c>
      <c r="EC21">
        <f>Hourly_kWh!EG23</f>
        <v>0</v>
      </c>
      <c r="ED21">
        <f>Hourly_kWh!EQ23</f>
        <v>0</v>
      </c>
    </row>
    <row r="22" spans="1:134" ht="14" x14ac:dyDescent="0.25">
      <c r="A22" s="323"/>
      <c r="B22" s="137">
        <v>21</v>
      </c>
      <c r="C22" s="141" t="s">
        <v>142</v>
      </c>
      <c r="D22" s="134">
        <f>DAILY_ENERGY!C27</f>
        <v>0</v>
      </c>
      <c r="E22" s="134">
        <f>DAILY_ENERGY!D27</f>
        <v>0</v>
      </c>
      <c r="F22" s="134">
        <f>DAILY_ENERGY!E27</f>
        <v>0</v>
      </c>
      <c r="G22" s="134"/>
      <c r="H22" s="134">
        <f>SHIFT_A!E27</f>
        <v>0</v>
      </c>
      <c r="I22" s="134">
        <f>SHIFT_B!E27</f>
        <v>0</v>
      </c>
      <c r="J22" s="134">
        <f>SHIFT_C!E27</f>
        <v>0</v>
      </c>
      <c r="K22" s="162">
        <f t="shared" si="0"/>
        <v>0</v>
      </c>
      <c r="L22" s="163">
        <f t="shared" si="1"/>
        <v>0</v>
      </c>
      <c r="N22" s="149" t="s">
        <v>681</v>
      </c>
      <c r="O22">
        <f>Hourly_kWh!AF24</f>
        <v>0</v>
      </c>
      <c r="P22">
        <f>Hourly_kWh!BJ24</f>
        <v>0</v>
      </c>
      <c r="Q22">
        <f>Hourly_kWh!BK24</f>
        <v>1.4755000000006291E-3</v>
      </c>
      <c r="R22">
        <f>Hourly_kWh!EP24</f>
        <v>0</v>
      </c>
      <c r="S22">
        <f>Hourly_kWh!EE24</f>
        <v>7.4480000000001212E-3</v>
      </c>
      <c r="T22">
        <f>Hourly_kWh!DH24</f>
        <v>1.1584999999998402E-3</v>
      </c>
      <c r="U22">
        <f>Hourly_kWh!CL24</f>
        <v>6.199999999978445E-5</v>
      </c>
      <c r="V22">
        <f>Hourly_kWh!BL24</f>
        <v>0</v>
      </c>
      <c r="W22">
        <f>Hourly_kWh!V24</f>
        <v>6.5519999999992251E-3</v>
      </c>
      <c r="X22">
        <f>Hourly_kWh!AB24</f>
        <v>6.0339999999996508E-3</v>
      </c>
      <c r="Y22">
        <f>Hourly_kWh!AE24</f>
        <v>9.0500000000037772E-4</v>
      </c>
      <c r="Z22">
        <f>Hourly_kWh!AG24</f>
        <v>2.9969999999996944E-3</v>
      </c>
      <c r="AA22">
        <f>Hourly_kWh!BE24</f>
        <v>5.0199999999982481E-3</v>
      </c>
      <c r="AB22">
        <f>Hourly_kWh!AY24</f>
        <v>3.0909999999995108E-3</v>
      </c>
      <c r="AC22">
        <f>Hourly_kWh!CX24</f>
        <v>0</v>
      </c>
      <c r="AD22">
        <f>Hourly_kWh!CY24</f>
        <v>6.5899999999996517E-4</v>
      </c>
      <c r="AE22">
        <f>Hourly_kWh!DC24</f>
        <v>7.9374999999999307E-3</v>
      </c>
      <c r="AF22">
        <f>Hourly_kWh!DD24</f>
        <v>1.1997499999998329E-3</v>
      </c>
      <c r="AG22">
        <f>Hourly_kWh!W24</f>
        <v>7.9500000000010118E-4</v>
      </c>
      <c r="AH22">
        <f>Hourly_kWh!X24</f>
        <v>2.3550000000014393E-3</v>
      </c>
      <c r="AI22">
        <f>Hourly_kWh!Y24</f>
        <v>0</v>
      </c>
      <c r="AJ22">
        <f>Hourly_kWh!Z24</f>
        <v>1.2799999999995038E-3</v>
      </c>
      <c r="AK22">
        <f>Hourly_kWh!AA24</f>
        <v>4.0079999999989013E-3</v>
      </c>
      <c r="AL22">
        <f>Hourly_kWh!AC24</f>
        <v>7.0160000000001332E-3</v>
      </c>
      <c r="AM22">
        <f>Hourly_kWh!AD24</f>
        <v>1.3839999999998298E-3</v>
      </c>
      <c r="AN22">
        <f>Hourly_kWh!AI24</f>
        <v>0</v>
      </c>
      <c r="AO22">
        <f>Hourly_kWh!AJ24</f>
        <v>6.4400000000031099E-4</v>
      </c>
      <c r="AP22">
        <f>Hourly_kWh!AL24</f>
        <v>7.0785312500000197E-3</v>
      </c>
      <c r="AQ22">
        <f>Hourly_kWh!AM24</f>
        <v>2.0672000000004687E-2</v>
      </c>
      <c r="AR22">
        <f>Hourly_kWh!AN24</f>
        <v>1.5439999999998122E-2</v>
      </c>
      <c r="AS22">
        <f>Hourly_kWh!AO24</f>
        <v>5.0120000000006826E-3</v>
      </c>
      <c r="AT22">
        <f>Hourly_kWh!AP24</f>
        <v>3.3600000000006958E-3</v>
      </c>
      <c r="AU22">
        <f>Hourly_kWh!CN24</f>
        <v>2.5429999999992958E-3</v>
      </c>
      <c r="AV22">
        <f>Hourly_kWh!CR24</f>
        <v>4.655000000001408E-3</v>
      </c>
      <c r="AW22">
        <f>Hourly_kWh!AQ24</f>
        <v>1.3620000000003074E-2</v>
      </c>
      <c r="AX22">
        <f>Hourly_kWh!AS24</f>
        <v>6.0000000000393072E-5</v>
      </c>
      <c r="AY22">
        <f>Hourly_kWh!EH24</f>
        <v>7.4879999999666325E-3</v>
      </c>
      <c r="AZ22">
        <f>Hourly_kWh!EJ24</f>
        <v>0</v>
      </c>
      <c r="BA22">
        <f>Hourly_kWh!EI24</f>
        <v>1.9519999999943138E-2</v>
      </c>
      <c r="BB22">
        <f>Hourly_kWh!AW24</f>
        <v>3.8016000000084205E-2</v>
      </c>
      <c r="BC22">
        <f>Hourly_kWh!DS24</f>
        <v>5.046399999997675E-2</v>
      </c>
      <c r="BD22">
        <f>Hourly_kWh!CO24</f>
        <v>1.7135999999993601E-2</v>
      </c>
      <c r="BE22">
        <f>Hourly_kWh!DA24</f>
        <v>1.1603999999998393E-2</v>
      </c>
      <c r="BF22">
        <f>Hourly_kWh!DB24</f>
        <v>3.3820000000019945E-3</v>
      </c>
      <c r="BG22">
        <f>Hourly_kWh!EK24</f>
        <v>0</v>
      </c>
      <c r="BH22">
        <f>Hourly_kWh!EL24</f>
        <v>0</v>
      </c>
      <c r="BI22">
        <f>Hourly_kWh!EM24</f>
        <v>0.13823999999976877</v>
      </c>
      <c r="BJ22">
        <f>Hourly_kWh!EN24</f>
        <v>0</v>
      </c>
      <c r="BK22">
        <f>Hourly_kWh!EO24</f>
        <v>7.6799999999366264E-4</v>
      </c>
      <c r="BL22">
        <f>Hourly_kWh!ER24</f>
        <v>9.4692999999992367E-2</v>
      </c>
      <c r="BM22">
        <f>Hourly_kWh!BW24</f>
        <v>0</v>
      </c>
      <c r="BN22">
        <f>Hourly_kWh!DR24</f>
        <v>0</v>
      </c>
      <c r="BO22">
        <f>Hourly_kWh!CG24</f>
        <v>0</v>
      </c>
      <c r="BP22">
        <f>Hourly_kWh!CI24</f>
        <v>0</v>
      </c>
      <c r="BQ22">
        <f>Hourly_kWh!BV24</f>
        <v>0</v>
      </c>
      <c r="BR22">
        <f>Hourly_kWh!BO24</f>
        <v>1.6040000000003829E-3</v>
      </c>
      <c r="BS22">
        <f>Hourly_kWh!CW24</f>
        <v>0</v>
      </c>
      <c r="BT22">
        <f>Hourly_kWh!DE24</f>
        <v>0</v>
      </c>
      <c r="BU22">
        <f>Hourly_kWh!DW24</f>
        <v>0</v>
      </c>
      <c r="BV22">
        <f>Hourly_kWh!CB24</f>
        <v>0</v>
      </c>
      <c r="BW22">
        <f>Hourly_kWh!CZ24</f>
        <v>4.9024999999991437E-4</v>
      </c>
      <c r="BX22">
        <f>Hourly_kWh!DG24</f>
        <v>0</v>
      </c>
      <c r="BY22">
        <f>Hourly_kWh!BS24</f>
        <v>0</v>
      </c>
      <c r="BZ22">
        <f>Hourly_kWh!CH24</f>
        <v>6.2924999999980358E-4</v>
      </c>
      <c r="CA22">
        <f>Hourly_kWh!BR24</f>
        <v>0</v>
      </c>
      <c r="CB22">
        <f>Hourly_kWh!BP24</f>
        <v>0</v>
      </c>
      <c r="CC22">
        <f>Hourly_kWh!BU24</f>
        <v>0</v>
      </c>
      <c r="CD22">
        <f>Hourly_kWh!BX24</f>
        <v>0</v>
      </c>
      <c r="CE22">
        <f>Hourly_kWh!CV24</f>
        <v>0</v>
      </c>
      <c r="CF22">
        <f>Hourly_kWh!BT24</f>
        <v>1.1299999999998533E-2</v>
      </c>
      <c r="CG22">
        <f>Hourly_kWh!CA24</f>
        <v>1.7924624999999916E-2</v>
      </c>
      <c r="CH22">
        <f>Hourly_kWh!CF24</f>
        <v>8.9100000000108537E-4</v>
      </c>
      <c r="CI22">
        <f>Hourly_kWh!BZ24</f>
        <v>5.8160000000000878E-2</v>
      </c>
      <c r="CJ22">
        <f>Hourly_kWh!CK24</f>
        <v>0</v>
      </c>
      <c r="CK22">
        <f>Hourly_kWh!DT24</f>
        <v>1.1110999999999649E-2</v>
      </c>
      <c r="CL22">
        <f>Hourly_kWh!EB24</f>
        <v>3.7375999999994747E-2</v>
      </c>
      <c r="CM22">
        <f>Hourly_kWh!EC24</f>
        <v>3.1999999999982265E-2</v>
      </c>
      <c r="CN22">
        <f>Hourly_kWh!CQ24</f>
        <v>0</v>
      </c>
      <c r="CO22">
        <f>Hourly_kWh!DF24</f>
        <v>0</v>
      </c>
      <c r="CP22">
        <f>Hourly_kWh!DJ24</f>
        <v>0</v>
      </c>
      <c r="CQ22">
        <f>Hourly_kWh!DP24</f>
        <v>7.2049999999990177E-4</v>
      </c>
      <c r="CR22">
        <f>Hourly_kWh!BQ24</f>
        <v>0</v>
      </c>
      <c r="CS22">
        <f>Hourly_kWh!BY24</f>
        <v>0</v>
      </c>
      <c r="CT22">
        <f>Hourly_kWh!DU24</f>
        <v>0</v>
      </c>
      <c r="CU22">
        <f>Hourly_kWh!DQ24</f>
        <v>0</v>
      </c>
      <c r="CV22">
        <f>Hourly_kWh!EA24</f>
        <v>0</v>
      </c>
      <c r="CW22">
        <f>Hourly_kWh!DO24</f>
        <v>3.4080000000074051E-3</v>
      </c>
      <c r="CX22">
        <f>Hourly_kWh!DX24</f>
        <v>3.5749999999996618E-3</v>
      </c>
      <c r="CY22">
        <f>Hourly_kWh!DY24</f>
        <v>2.0856249999989807E-4</v>
      </c>
      <c r="CZ22">
        <f>Hourly_kWh!DZ24</f>
        <v>4.4760000000003686E-3</v>
      </c>
      <c r="DA22">
        <f>Hourly_kWh!ED24</f>
        <v>2.6049999999999685E-4</v>
      </c>
      <c r="DB22">
        <f>Hourly_kWh!DV24</f>
        <v>2.9624999999988688E-4</v>
      </c>
      <c r="DC22">
        <f>Hourly_kWh!CT24</f>
        <v>1.6000000000815362E-4</v>
      </c>
      <c r="DD22">
        <f>Hourly_kWh!DN24</f>
        <v>0</v>
      </c>
      <c r="DE22">
        <f>Hourly_kWh!AZ24</f>
        <v>0</v>
      </c>
      <c r="DF22">
        <f>Hourly_kWh!BD24</f>
        <v>1.0117968749999429E-4</v>
      </c>
      <c r="DG22">
        <f>Hourly_kWh!AV24</f>
        <v>5.7200000000001694E-4</v>
      </c>
      <c r="DH22">
        <f>Hourly_kWh!BG24</f>
        <v>4.3999999999932982E-4</v>
      </c>
      <c r="DI22">
        <f>Hourly_kWh!DK24</f>
        <v>2.7679999999996596E-3</v>
      </c>
      <c r="DJ22">
        <f>Hourly_kWh!DL24</f>
        <v>5.0184375000000836E-4</v>
      </c>
      <c r="DK22">
        <f>Hourly_kWh!AU24</f>
        <v>2.3959999999974002E-3</v>
      </c>
      <c r="DL22">
        <f>Hourly_kWh!DM24</f>
        <v>1.0240000000010241E-3</v>
      </c>
      <c r="DM22">
        <f>Hourly_kWh!CC24</f>
        <v>0</v>
      </c>
      <c r="DN22">
        <f>Hourly_kWh!BH24</f>
        <v>2.2559999999991476E-3</v>
      </c>
      <c r="DO22">
        <f>Hourly_kWh!AK24</f>
        <v>0</v>
      </c>
      <c r="DP22">
        <f>Hourly_kWh!AT24</f>
        <v>0</v>
      </c>
      <c r="DQ22">
        <f>Hourly_kWh!AX24</f>
        <v>0</v>
      </c>
      <c r="DR22">
        <f>Hourly_kWh!BA24</f>
        <v>0</v>
      </c>
      <c r="DS22">
        <f>Hourly_kWh!BB24</f>
        <v>0</v>
      </c>
      <c r="DT22">
        <f>Hourly_kWh!BC24</f>
        <v>0</v>
      </c>
      <c r="DU22">
        <f>Hourly_kWh!BF24</f>
        <v>0</v>
      </c>
      <c r="DV22">
        <f>Hourly_kWh!BN24</f>
        <v>0</v>
      </c>
      <c r="DW22">
        <f>Hourly_kWh!CD24</f>
        <v>0</v>
      </c>
      <c r="DX22">
        <f>Hourly_kWh!CE24</f>
        <v>0</v>
      </c>
      <c r="DY22">
        <f>Hourly_kWh!CJ24</f>
        <v>0</v>
      </c>
      <c r="DZ22">
        <f>Hourly_kWh!CP24</f>
        <v>0</v>
      </c>
      <c r="EA22">
        <f>Hourly_kWh!CS24</f>
        <v>0</v>
      </c>
      <c r="EB22">
        <f>Hourly_kWh!CU24</f>
        <v>0</v>
      </c>
      <c r="EC22">
        <f>Hourly_kWh!EG24</f>
        <v>0</v>
      </c>
      <c r="ED22">
        <f>Hourly_kWh!EQ24</f>
        <v>0</v>
      </c>
    </row>
    <row r="23" spans="1:134" ht="14" x14ac:dyDescent="0.25">
      <c r="A23" s="323"/>
      <c r="B23" s="137">
        <v>22</v>
      </c>
      <c r="C23" s="141" t="s">
        <v>143</v>
      </c>
      <c r="D23" s="134">
        <f>DAILY_ENERGY!C28</f>
        <v>11.970663</v>
      </c>
      <c r="E23" s="134">
        <f>DAILY_ENERGY!D28</f>
        <v>12.020104</v>
      </c>
      <c r="F23" s="134">
        <f>DAILY_ENERGY!E28</f>
        <v>4.9440999999999846E-2</v>
      </c>
      <c r="G23" s="134"/>
      <c r="H23" s="134">
        <f>SHIFT_A!E28</f>
        <v>1.9432000000000116E-2</v>
      </c>
      <c r="I23" s="134">
        <f>SHIFT_B!E28</f>
        <v>1.3748999999998901E-2</v>
      </c>
      <c r="J23" s="134">
        <f>SHIFT_C!E28</f>
        <v>1.6260000000000829E-2</v>
      </c>
      <c r="K23" s="162">
        <f t="shared" si="0"/>
        <v>4.9440999999999846E-2</v>
      </c>
      <c r="L23" s="163">
        <f t="shared" si="1"/>
        <v>0</v>
      </c>
      <c r="N23" s="149" t="s">
        <v>682</v>
      </c>
      <c r="O23">
        <f>Hourly_kWh!AF25</f>
        <v>0</v>
      </c>
      <c r="P23">
        <f>Hourly_kWh!BJ25</f>
        <v>0</v>
      </c>
      <c r="Q23">
        <f>Hourly_kWh!BK25</f>
        <v>1.458999999999655E-3</v>
      </c>
      <c r="R23">
        <f>Hourly_kWh!EP25</f>
        <v>0</v>
      </c>
      <c r="S23">
        <f>Hourly_kWh!EE25</f>
        <v>8.6549999999991911E-3</v>
      </c>
      <c r="T23">
        <f>Hourly_kWh!DH25</f>
        <v>1.1775000000007196E-3</v>
      </c>
      <c r="U23">
        <f>Hourly_kWh!CL25</f>
        <v>0</v>
      </c>
      <c r="V23">
        <f>Hourly_kWh!BL25</f>
        <v>0</v>
      </c>
      <c r="W23">
        <f>Hourly_kWh!V25</f>
        <v>6.3359999999974548E-3</v>
      </c>
      <c r="X23">
        <f>Hourly_kWh!AB25</f>
        <v>6.1459999999975423E-3</v>
      </c>
      <c r="Y23">
        <f>Hourly_kWh!AE25</f>
        <v>8.960000000000079E-4</v>
      </c>
      <c r="Z23">
        <f>Hourly_kWh!AG25</f>
        <v>2.8969999999999274E-3</v>
      </c>
      <c r="AA23">
        <f>Hourly_kWh!BE25</f>
        <v>4.8600000000007526E-3</v>
      </c>
      <c r="AB23">
        <f>Hourly_kWh!AY25</f>
        <v>2.8595000000004589E-3</v>
      </c>
      <c r="AC23">
        <f>Hourly_kWh!CX25</f>
        <v>0</v>
      </c>
      <c r="AD23">
        <f>Hourly_kWh!CY25</f>
        <v>6.6600000000005544E-4</v>
      </c>
      <c r="AE23">
        <f>Hourly_kWh!DC25</f>
        <v>7.9751249999999718E-3</v>
      </c>
      <c r="AF23">
        <f>Hourly_kWh!DD25</f>
        <v>1.2052500000001576E-3</v>
      </c>
      <c r="AG23">
        <f>Hourly_kWh!W25</f>
        <v>7.839999999994518E-4</v>
      </c>
      <c r="AH23">
        <f>Hourly_kWh!X25</f>
        <v>2.3809999999997444E-3</v>
      </c>
      <c r="AI23">
        <f>Hourly_kWh!Y25</f>
        <v>0</v>
      </c>
      <c r="AJ23">
        <f>Hourly_kWh!Z25</f>
        <v>1.8270000000004671E-3</v>
      </c>
      <c r="AK23">
        <f>Hourly_kWh!AA25</f>
        <v>3.4400000000012199E-3</v>
      </c>
      <c r="AL23">
        <f>Hourly_kWh!AC25</f>
        <v>6.7920000000007974E-3</v>
      </c>
      <c r="AM23">
        <f>Hourly_kWh!AD25</f>
        <v>1.4570000000002636E-3</v>
      </c>
      <c r="AN23">
        <f>Hourly_kWh!AI25</f>
        <v>0</v>
      </c>
      <c r="AO23">
        <f>Hourly_kWh!AJ25</f>
        <v>6.3049999999975626E-4</v>
      </c>
      <c r="AP23">
        <f>Hourly_kWh!AL25</f>
        <v>8.0896562499999658E-3</v>
      </c>
      <c r="AQ23">
        <f>Hourly_kWh!AM25</f>
        <v>2.1247999999999934E-2</v>
      </c>
      <c r="AR23">
        <f>Hourly_kWh!AN25</f>
        <v>1.5463999999994371E-2</v>
      </c>
      <c r="AS23">
        <f>Hourly_kWh!AO25</f>
        <v>5.1520000000024879E-3</v>
      </c>
      <c r="AT23">
        <f>Hourly_kWh!AP25</f>
        <v>3.3460000000005152E-3</v>
      </c>
      <c r="AU23">
        <f>Hourly_kWh!CN25</f>
        <v>2.5390000000005131E-3</v>
      </c>
      <c r="AV23">
        <f>Hourly_kWh!CR25</f>
        <v>5.3879999999999484E-3</v>
      </c>
      <c r="AW23">
        <f>Hourly_kWh!AQ25</f>
        <v>1.3615999999998962E-2</v>
      </c>
      <c r="AX23">
        <f>Hourly_kWh!AS25</f>
        <v>6.0999999999644672E-5</v>
      </c>
      <c r="AY23">
        <f>Hourly_kWh!EH25</f>
        <v>6.784000000038759E-3</v>
      </c>
      <c r="AZ23">
        <f>Hourly_kWh!EJ25</f>
        <v>0</v>
      </c>
      <c r="BA23">
        <f>Hourly_kWh!EI25</f>
        <v>1.8624000000045271E-2</v>
      </c>
      <c r="BB23">
        <f>Hourly_kWh!AW25</f>
        <v>3.8591999999994187E-2</v>
      </c>
      <c r="BC23">
        <f>Hourly_kWh!DS25</f>
        <v>5.8176000000003114E-2</v>
      </c>
      <c r="BD23">
        <f>Hourly_kWh!CO25</f>
        <v>1.7464000000003921E-2</v>
      </c>
      <c r="BE23">
        <f>Hourly_kWh!DA25</f>
        <v>1.1588000000003262E-2</v>
      </c>
      <c r="BF23">
        <f>Hourly_kWh!DB25</f>
        <v>3.7439999999975271E-3</v>
      </c>
      <c r="BG23">
        <f>Hourly_kWh!EK25</f>
        <v>0</v>
      </c>
      <c r="BH23">
        <f>Hourly_kWh!EL25</f>
        <v>0</v>
      </c>
      <c r="BI23">
        <f>Hourly_kWh!EM25</f>
        <v>0.14131200000019817</v>
      </c>
      <c r="BJ23">
        <f>Hourly_kWh!EN25</f>
        <v>0</v>
      </c>
      <c r="BK23">
        <f>Hourly_kWh!EO25</f>
        <v>7.6799999999366264E-4</v>
      </c>
      <c r="BL23">
        <f>Hourly_kWh!ER25</f>
        <v>9.7102000000006683E-2</v>
      </c>
      <c r="BM23">
        <f>Hourly_kWh!BW25</f>
        <v>0</v>
      </c>
      <c r="BN23">
        <f>Hourly_kWh!DR25</f>
        <v>0</v>
      </c>
      <c r="BO23">
        <f>Hourly_kWh!CG25</f>
        <v>0</v>
      </c>
      <c r="BP23">
        <f>Hourly_kWh!CI25</f>
        <v>0</v>
      </c>
      <c r="BQ23">
        <f>Hourly_kWh!BV25</f>
        <v>0</v>
      </c>
      <c r="BR23">
        <f>Hourly_kWh!BO25</f>
        <v>1.6439999999988686E-3</v>
      </c>
      <c r="BS23">
        <f>Hourly_kWh!CW25</f>
        <v>0</v>
      </c>
      <c r="BT23">
        <f>Hourly_kWh!DE25</f>
        <v>0</v>
      </c>
      <c r="BU23">
        <f>Hourly_kWh!DW25</f>
        <v>0</v>
      </c>
      <c r="BV23">
        <f>Hourly_kWh!CB25</f>
        <v>0</v>
      </c>
      <c r="BW23">
        <f>Hourly_kWh!CZ25</f>
        <v>4.9874999999977021E-4</v>
      </c>
      <c r="BX23">
        <f>Hourly_kWh!DG25</f>
        <v>0</v>
      </c>
      <c r="BY23">
        <f>Hourly_kWh!BS25</f>
        <v>0</v>
      </c>
      <c r="BZ23">
        <f>Hourly_kWh!CH25</f>
        <v>6.2950000000006057E-4</v>
      </c>
      <c r="CA23">
        <f>Hourly_kWh!BR25</f>
        <v>0</v>
      </c>
      <c r="CB23">
        <f>Hourly_kWh!BP25</f>
        <v>0</v>
      </c>
      <c r="CC23">
        <f>Hourly_kWh!BU25</f>
        <v>0</v>
      </c>
      <c r="CD23">
        <f>Hourly_kWh!BX25</f>
        <v>0</v>
      </c>
      <c r="CE23">
        <f>Hourly_kWh!CV25</f>
        <v>0</v>
      </c>
      <c r="CF23">
        <f>Hourly_kWh!BT25</f>
        <v>1.1456000000002575E-2</v>
      </c>
      <c r="CG23">
        <f>Hourly_kWh!CA25</f>
        <v>1.9332500000000086E-2</v>
      </c>
      <c r="CH23">
        <f>Hourly_kWh!CF25</f>
        <v>6.829999999986569E-4</v>
      </c>
      <c r="CI23">
        <f>Hourly_kWh!BZ25</f>
        <v>4.6520000000001005E-2</v>
      </c>
      <c r="CJ23">
        <f>Hourly_kWh!CK25</f>
        <v>0</v>
      </c>
      <c r="CK23">
        <f>Hourly_kWh!DT25</f>
        <v>1.167349999999967E-2</v>
      </c>
      <c r="CL23">
        <f>Hourly_kWh!EB25</f>
        <v>4.0495999999990318E-2</v>
      </c>
      <c r="CM23">
        <f>Hourly_kWh!EC25</f>
        <v>3.3168000000017628E-2</v>
      </c>
      <c r="CN23">
        <f>Hourly_kWh!CQ25</f>
        <v>0</v>
      </c>
      <c r="CO23">
        <f>Hourly_kWh!DF25</f>
        <v>0</v>
      </c>
      <c r="CP23">
        <f>Hourly_kWh!DJ25</f>
        <v>0</v>
      </c>
      <c r="CQ23">
        <f>Hourly_kWh!DP25</f>
        <v>5.6250000000090949E-4</v>
      </c>
      <c r="CR23">
        <f>Hourly_kWh!BQ25</f>
        <v>0</v>
      </c>
      <c r="CS23">
        <f>Hourly_kWh!BY25</f>
        <v>0</v>
      </c>
      <c r="CT23">
        <f>Hourly_kWh!DU25</f>
        <v>0</v>
      </c>
      <c r="CU23">
        <f>Hourly_kWh!DQ25</f>
        <v>0</v>
      </c>
      <c r="CV23">
        <f>Hourly_kWh!EA25</f>
        <v>0</v>
      </c>
      <c r="CW23">
        <f>Hourly_kWh!DO25</f>
        <v>3.4239999999954307E-3</v>
      </c>
      <c r="CX23">
        <f>Hourly_kWh!DX25</f>
        <v>3.5380000000007072E-3</v>
      </c>
      <c r="CY23">
        <f>Hourly_kWh!DY25</f>
        <v>2.0900000000001473E-4</v>
      </c>
      <c r="CZ23">
        <f>Hourly_kWh!DZ25</f>
        <v>4.7779999999981726E-3</v>
      </c>
      <c r="DA23">
        <f>Hourly_kWh!ED25</f>
        <v>2.6499999999973767E-4</v>
      </c>
      <c r="DB23">
        <f>Hourly_kWh!DV25</f>
        <v>2.9749999999983956E-4</v>
      </c>
      <c r="DC23">
        <f>Hourly_kWh!CT25</f>
        <v>1.5199999999992997E-4</v>
      </c>
      <c r="DD23">
        <f>Hourly_kWh!DN25</f>
        <v>0</v>
      </c>
      <c r="DE23">
        <f>Hourly_kWh!AZ25</f>
        <v>0</v>
      </c>
      <c r="DF23">
        <f>Hourly_kWh!BD25</f>
        <v>1.1030468750000688E-4</v>
      </c>
      <c r="DG23">
        <f>Hourly_kWh!AV25</f>
        <v>5.1250000000013785E-4</v>
      </c>
      <c r="DH23">
        <f>Hourly_kWh!BG25</f>
        <v>4.3300000000101591E-4</v>
      </c>
      <c r="DI23">
        <f>Hourly_kWh!DK25</f>
        <v>2.8119999999987044E-3</v>
      </c>
      <c r="DJ23">
        <f>Hourly_kWh!DL25</f>
        <v>4.9453124999998543E-4</v>
      </c>
      <c r="DK23">
        <f>Hourly_kWh!AU25</f>
        <v>2.0039999999994507E-3</v>
      </c>
      <c r="DL23">
        <f>Hourly_kWh!DM25</f>
        <v>9.6399999999974284E-4</v>
      </c>
      <c r="DM23">
        <f>Hourly_kWh!CC25</f>
        <v>0</v>
      </c>
      <c r="DN23">
        <f>Hourly_kWh!BH25</f>
        <v>0</v>
      </c>
      <c r="DO23">
        <f>Hourly_kWh!AK25</f>
        <v>0</v>
      </c>
      <c r="DP23">
        <f>Hourly_kWh!AT25</f>
        <v>0</v>
      </c>
      <c r="DQ23">
        <f>Hourly_kWh!AX25</f>
        <v>0</v>
      </c>
      <c r="DR23">
        <f>Hourly_kWh!BA25</f>
        <v>0</v>
      </c>
      <c r="DS23">
        <f>Hourly_kWh!BB25</f>
        <v>0</v>
      </c>
      <c r="DT23">
        <f>Hourly_kWh!BC25</f>
        <v>0</v>
      </c>
      <c r="DU23">
        <f>Hourly_kWh!BF25</f>
        <v>0</v>
      </c>
      <c r="DV23">
        <f>Hourly_kWh!BN25</f>
        <v>0</v>
      </c>
      <c r="DW23">
        <f>Hourly_kWh!CD25</f>
        <v>0</v>
      </c>
      <c r="DX23">
        <f>Hourly_kWh!CE25</f>
        <v>0</v>
      </c>
      <c r="DY23">
        <f>Hourly_kWh!CJ25</f>
        <v>0</v>
      </c>
      <c r="DZ23">
        <f>Hourly_kWh!CP25</f>
        <v>0</v>
      </c>
      <c r="EA23">
        <f>Hourly_kWh!CS25</f>
        <v>0</v>
      </c>
      <c r="EB23">
        <f>Hourly_kWh!CU25</f>
        <v>0</v>
      </c>
      <c r="EC23">
        <f>Hourly_kWh!EG25</f>
        <v>0</v>
      </c>
      <c r="ED23">
        <f>Hourly_kWh!EQ25</f>
        <v>0</v>
      </c>
    </row>
    <row r="24" spans="1:134" ht="14" x14ac:dyDescent="0.25">
      <c r="A24" s="323"/>
      <c r="B24" s="137">
        <v>23</v>
      </c>
      <c r="C24" s="141" t="s">
        <v>144</v>
      </c>
      <c r="D24" s="134">
        <f>DAILY_ENERGY!C29</f>
        <v>27.141154</v>
      </c>
      <c r="E24" s="134">
        <f>DAILY_ENERGY!D29</f>
        <v>27.262349999999998</v>
      </c>
      <c r="F24" s="134">
        <f>DAILY_ENERGY!E29</f>
        <v>0.12119599999999764</v>
      </c>
      <c r="G24" s="134"/>
      <c r="H24" s="134">
        <f>SHIFT_A!E29</f>
        <v>4.8573999999998563E-2</v>
      </c>
      <c r="I24" s="134">
        <f>SHIFT_B!E29</f>
        <v>4.3977999999999184E-2</v>
      </c>
      <c r="J24" s="134">
        <f>SHIFT_C!E29</f>
        <v>2.8643999999999892E-2</v>
      </c>
      <c r="K24" s="162">
        <f t="shared" si="0"/>
        <v>0.12119599999999764</v>
      </c>
      <c r="L24" s="163">
        <f t="shared" si="1"/>
        <v>0</v>
      </c>
      <c r="N24" s="149" t="s">
        <v>683</v>
      </c>
      <c r="O24">
        <f>Hourly_kWh!AF26</f>
        <v>0</v>
      </c>
      <c r="P24">
        <f>Hourly_kWh!BJ26</f>
        <v>0</v>
      </c>
      <c r="Q24">
        <f>Hourly_kWh!BK26</f>
        <v>1.472000000000584E-3</v>
      </c>
      <c r="R24">
        <f>Hourly_kWh!EP26</f>
        <v>0</v>
      </c>
      <c r="S24">
        <f>Hourly_kWh!EE26</f>
        <v>7.1360000000009194E-3</v>
      </c>
      <c r="T24">
        <f>Hourly_kWh!DH26</f>
        <v>1.1820000000000164E-3</v>
      </c>
      <c r="U24">
        <f>Hourly_kWh!CL26</f>
        <v>4.5799999999829311E-4</v>
      </c>
      <c r="V24">
        <f>Hourly_kWh!BL26</f>
        <v>0</v>
      </c>
      <c r="W24">
        <f>Hourly_kWh!V26</f>
        <v>6.2260000000051718E-3</v>
      </c>
      <c r="X24">
        <f>Hourly_kWh!AB26</f>
        <v>5.914000000000641E-3</v>
      </c>
      <c r="Y24">
        <f>Hourly_kWh!AE26</f>
        <v>8.8799999999977786E-4</v>
      </c>
      <c r="Z24">
        <f>Hourly_kWh!AG26</f>
        <v>2.4615000000007825E-3</v>
      </c>
      <c r="AA24">
        <f>Hourly_kWh!BE26</f>
        <v>4.8640000000013117E-3</v>
      </c>
      <c r="AB24">
        <f>Hourly_kWh!AY26</f>
        <v>2.9620000000001312E-3</v>
      </c>
      <c r="AC24">
        <f>Hourly_kWh!CX26</f>
        <v>0</v>
      </c>
      <c r="AD24">
        <f>Hourly_kWh!CY26</f>
        <v>6.5899999999996517E-4</v>
      </c>
      <c r="AE24">
        <f>Hourly_kWh!DC26</f>
        <v>7.9396250000001167E-3</v>
      </c>
      <c r="AF24">
        <f>Hourly_kWh!DD26</f>
        <v>1.2036250000000415E-3</v>
      </c>
      <c r="AG24">
        <f>Hourly_kWh!W26</f>
        <v>5.0000000000061107E-4</v>
      </c>
      <c r="AH24">
        <f>Hourly_kWh!X26</f>
        <v>2.4449999999998084E-3</v>
      </c>
      <c r="AI24">
        <f>Hourly_kWh!Y26</f>
        <v>0</v>
      </c>
      <c r="AJ24">
        <f>Hourly_kWh!Z26</f>
        <v>2.3800000000004928E-3</v>
      </c>
      <c r="AK24">
        <f>Hourly_kWh!AA26</f>
        <v>3.0639999999984013E-3</v>
      </c>
      <c r="AL24">
        <f>Hourly_kWh!AC26</f>
        <v>6.7659999999989395E-3</v>
      </c>
      <c r="AM24">
        <f>Hourly_kWh!AD26</f>
        <v>1.7060000000004294E-3</v>
      </c>
      <c r="AN24">
        <f>Hourly_kWh!AI26</f>
        <v>0</v>
      </c>
      <c r="AO24">
        <f>Hourly_kWh!AJ26</f>
        <v>6.0750000000009408E-4</v>
      </c>
      <c r="AP24">
        <f>Hourly_kWh!AL26</f>
        <v>5.7248437500000415E-3</v>
      </c>
      <c r="AQ24">
        <f>Hourly_kWh!AM26</f>
        <v>2.0296000000001868E-2</v>
      </c>
      <c r="AR24">
        <f>Hourly_kWh!AN26</f>
        <v>1.5072000000003527E-2</v>
      </c>
      <c r="AS24">
        <f>Hourly_kWh!AO26</f>
        <v>5.1719999999946253E-3</v>
      </c>
      <c r="AT24">
        <f>Hourly_kWh!AP26</f>
        <v>3.3019999999979177E-3</v>
      </c>
      <c r="AU24">
        <f>Hourly_kWh!CN26</f>
        <v>2.5449999999995754E-3</v>
      </c>
      <c r="AV24">
        <f>Hourly_kWh!CR26</f>
        <v>5.8949999999988734E-3</v>
      </c>
      <c r="AW24">
        <f>Hourly_kWh!AQ26</f>
        <v>1.310399999999845E-2</v>
      </c>
      <c r="AX24">
        <f>Hourly_kWh!AS26</f>
        <v>6.0000000000393072E-5</v>
      </c>
      <c r="AY24">
        <f>Hourly_kWh!EH26</f>
        <v>9.2160000000376385E-3</v>
      </c>
      <c r="AZ24">
        <f>Hourly_kWh!EJ26</f>
        <v>0</v>
      </c>
      <c r="BA24">
        <f>Hourly_kWh!EI26</f>
        <v>1.721599999996215E-2</v>
      </c>
      <c r="BB24">
        <f>Hourly_kWh!AW26</f>
        <v>3.8143999999988409E-2</v>
      </c>
      <c r="BC24">
        <f>Hourly_kWh!DS26</f>
        <v>4.278399999998328E-2</v>
      </c>
      <c r="BD24">
        <f>Hourly_kWh!CO26</f>
        <v>1.7511999999996419E-2</v>
      </c>
      <c r="BE24">
        <f>Hourly_kWh!DA26</f>
        <v>1.1411999999999978E-2</v>
      </c>
      <c r="BF24">
        <f>Hourly_kWh!DB26</f>
        <v>3.852000000001965E-3</v>
      </c>
      <c r="BG24">
        <f>Hourly_kWh!EK26</f>
        <v>0</v>
      </c>
      <c r="BH24">
        <f>Hourly_kWh!EL26</f>
        <v>0</v>
      </c>
      <c r="BI24">
        <f>Hourly_kWh!EM26</f>
        <v>0.14310399999976653</v>
      </c>
      <c r="BJ24">
        <f>Hourly_kWh!EN26</f>
        <v>0</v>
      </c>
      <c r="BK24">
        <f>Hourly_kWh!EO26</f>
        <v>7.6799999999366264E-4</v>
      </c>
      <c r="BL24">
        <f>Hourly_kWh!ER26</f>
        <v>9.9463999999983344E-2</v>
      </c>
      <c r="BM24">
        <f>Hourly_kWh!BW26</f>
        <v>0</v>
      </c>
      <c r="BN24">
        <f>Hourly_kWh!DR26</f>
        <v>0</v>
      </c>
      <c r="BO24">
        <f>Hourly_kWh!CG26</f>
        <v>0</v>
      </c>
      <c r="BP24">
        <f>Hourly_kWh!CI26</f>
        <v>0</v>
      </c>
      <c r="BQ24">
        <f>Hourly_kWh!BV26</f>
        <v>0</v>
      </c>
      <c r="BR24">
        <f>Hourly_kWh!BO26</f>
        <v>1.6099999999994452E-3</v>
      </c>
      <c r="BS24">
        <f>Hourly_kWh!CW26</f>
        <v>0</v>
      </c>
      <c r="BT24">
        <f>Hourly_kWh!DE26</f>
        <v>0</v>
      </c>
      <c r="BU24">
        <f>Hourly_kWh!DW26</f>
        <v>0</v>
      </c>
      <c r="BV24">
        <f>Hourly_kWh!CB26</f>
        <v>0</v>
      </c>
      <c r="BW24">
        <f>Hourly_kWh!CZ26</f>
        <v>4.8925000000021868E-4</v>
      </c>
      <c r="BX24">
        <f>Hourly_kWh!DG26</f>
        <v>0</v>
      </c>
      <c r="BY24">
        <f>Hourly_kWh!BS26</f>
        <v>0</v>
      </c>
      <c r="BZ24">
        <f>Hourly_kWh!CH26</f>
        <v>6.3925000000031318E-4</v>
      </c>
      <c r="CA24">
        <f>Hourly_kWh!BR26</f>
        <v>0</v>
      </c>
      <c r="CB24">
        <f>Hourly_kWh!BP26</f>
        <v>0</v>
      </c>
      <c r="CC24">
        <f>Hourly_kWh!BU26</f>
        <v>0</v>
      </c>
      <c r="CD24">
        <f>Hourly_kWh!BX26</f>
        <v>0</v>
      </c>
      <c r="CE24">
        <f>Hourly_kWh!CV26</f>
        <v>0</v>
      </c>
      <c r="CF24">
        <f>Hourly_kWh!BT26</f>
        <v>1.1371999999994387E-2</v>
      </c>
      <c r="CG24">
        <f>Hourly_kWh!CA26</f>
        <v>1.395706249999995E-2</v>
      </c>
      <c r="CH24">
        <f>Hourly_kWh!CF26</f>
        <v>6.3200000000129819E-4</v>
      </c>
      <c r="CI24">
        <f>Hourly_kWh!BZ26</f>
        <v>4.8215999999996484E-2</v>
      </c>
      <c r="CJ24">
        <f>Hourly_kWh!CK26</f>
        <v>0</v>
      </c>
      <c r="CK24">
        <f>Hourly_kWh!DT26</f>
        <v>1.0983000000000409E-2</v>
      </c>
      <c r="CL24">
        <f>Hourly_kWh!EB26</f>
        <v>3.5120000000006257E-2</v>
      </c>
      <c r="CM24">
        <f>Hourly_kWh!EC26</f>
        <v>2.9215999999991027E-2</v>
      </c>
      <c r="CN24">
        <f>Hourly_kWh!CQ26</f>
        <v>0</v>
      </c>
      <c r="CO24">
        <f>Hourly_kWh!DF26</f>
        <v>0</v>
      </c>
      <c r="CP24">
        <f>Hourly_kWh!DJ26</f>
        <v>0</v>
      </c>
      <c r="CQ24">
        <f>Hourly_kWh!DP26</f>
        <v>6.8800000000024397E-4</v>
      </c>
      <c r="CR24">
        <f>Hourly_kWh!BQ26</f>
        <v>0</v>
      </c>
      <c r="CS24">
        <f>Hourly_kWh!BY26</f>
        <v>0</v>
      </c>
      <c r="CT24">
        <f>Hourly_kWh!DU26</f>
        <v>0</v>
      </c>
      <c r="CU24">
        <f>Hourly_kWh!DQ26</f>
        <v>0</v>
      </c>
      <c r="CV24">
        <f>Hourly_kWh!EA26</f>
        <v>0</v>
      </c>
      <c r="CW24">
        <f>Hourly_kWh!DO26</f>
        <v>3.4559999999999036E-3</v>
      </c>
      <c r="CX24">
        <f>Hourly_kWh!DX26</f>
        <v>3.5439999999997696E-3</v>
      </c>
      <c r="CY24">
        <f>Hourly_kWh!DY26</f>
        <v>2.0575000000000454E-4</v>
      </c>
      <c r="CZ24">
        <f>Hourly_kWh!DZ26</f>
        <v>4.0960000000005437E-3</v>
      </c>
      <c r="DA24">
        <f>Hourly_kWh!ED26</f>
        <v>2.6474999999992477E-4</v>
      </c>
      <c r="DB24">
        <f>Hourly_kWh!DV26</f>
        <v>2.9150000000033316E-4</v>
      </c>
      <c r="DC24">
        <f>Hourly_kWh!CT26</f>
        <v>1.2559999999979254E-3</v>
      </c>
      <c r="DD24">
        <f>Hourly_kWh!DN26</f>
        <v>0</v>
      </c>
      <c r="DE24">
        <f>Hourly_kWh!AZ26</f>
        <v>0</v>
      </c>
      <c r="DF24">
        <f>Hourly_kWh!BD26</f>
        <v>1.0033593750000125E-4</v>
      </c>
      <c r="DG24">
        <f>Hourly_kWh!AV26</f>
        <v>5.959999999998189E-4</v>
      </c>
      <c r="DH24">
        <f>Hourly_kWh!BG26</f>
        <v>4.4299999999886097E-4</v>
      </c>
      <c r="DI24">
        <f>Hourly_kWh!DK26</f>
        <v>2.7660000000011564E-3</v>
      </c>
      <c r="DJ24">
        <f>Hourly_kWh!DL26</f>
        <v>5.0239062500001541E-4</v>
      </c>
      <c r="DK24">
        <f>Hourly_kWh!AU26</f>
        <v>1.948000000005834E-3</v>
      </c>
      <c r="DL24">
        <f>Hourly_kWh!DM26</f>
        <v>9.7500000000039222E-4</v>
      </c>
      <c r="DM24">
        <f>Hourly_kWh!CC26</f>
        <v>0</v>
      </c>
      <c r="DN24">
        <f>Hourly_kWh!BH26</f>
        <v>0</v>
      </c>
      <c r="DO24">
        <f>Hourly_kWh!AK26</f>
        <v>0</v>
      </c>
      <c r="DP24">
        <f>Hourly_kWh!AT26</f>
        <v>0</v>
      </c>
      <c r="DQ24">
        <f>Hourly_kWh!AX26</f>
        <v>0</v>
      </c>
      <c r="DR24">
        <f>Hourly_kWh!BA26</f>
        <v>0</v>
      </c>
      <c r="DS24">
        <f>Hourly_kWh!BB26</f>
        <v>0</v>
      </c>
      <c r="DT24">
        <f>Hourly_kWh!BC26</f>
        <v>0</v>
      </c>
      <c r="DU24">
        <f>Hourly_kWh!BF26</f>
        <v>0</v>
      </c>
      <c r="DV24">
        <f>Hourly_kWh!BN26</f>
        <v>0</v>
      </c>
      <c r="DW24">
        <f>Hourly_kWh!CD26</f>
        <v>0</v>
      </c>
      <c r="DX24">
        <f>Hourly_kWh!CE26</f>
        <v>0</v>
      </c>
      <c r="DY24">
        <f>Hourly_kWh!CJ26</f>
        <v>0</v>
      </c>
      <c r="DZ24">
        <f>Hourly_kWh!CP26</f>
        <v>0</v>
      </c>
      <c r="EA24">
        <f>Hourly_kWh!CS26</f>
        <v>0</v>
      </c>
      <c r="EB24">
        <f>Hourly_kWh!CU26</f>
        <v>0</v>
      </c>
      <c r="EC24">
        <f>Hourly_kWh!EG26</f>
        <v>0</v>
      </c>
      <c r="ED24">
        <f>Hourly_kWh!EQ26</f>
        <v>0</v>
      </c>
    </row>
    <row r="25" spans="1:134" ht="14" x14ac:dyDescent="0.25">
      <c r="A25" s="323"/>
      <c r="B25" s="137">
        <v>24</v>
      </c>
      <c r="C25" s="141" t="s">
        <v>146</v>
      </c>
      <c r="D25" s="134">
        <f>DAILY_ENERGY!C31</f>
        <v>23.389073999999997</v>
      </c>
      <c r="E25" s="134">
        <f>DAILY_ENERGY!D31</f>
        <v>23.47711</v>
      </c>
      <c r="F25" s="134">
        <f>DAILY_ENERGY!E31</f>
        <v>8.8036000000002446E-2</v>
      </c>
      <c r="G25" s="134"/>
      <c r="H25" s="134">
        <f>SHIFT_A!E31</f>
        <v>1.1962000000000472E-2</v>
      </c>
      <c r="I25" s="134">
        <f>SHIFT_B!E31</f>
        <v>2.9784000000002919E-2</v>
      </c>
      <c r="J25" s="134">
        <f>SHIFT_C!E31</f>
        <v>4.6289999999999054E-2</v>
      </c>
      <c r="K25" s="162">
        <f t="shared" si="0"/>
        <v>8.8036000000002446E-2</v>
      </c>
      <c r="L25" s="163">
        <f t="shared" si="1"/>
        <v>0</v>
      </c>
      <c r="N25" s="149" t="s">
        <v>684</v>
      </c>
      <c r="O25">
        <f>Hourly_kWh!AF27</f>
        <v>0</v>
      </c>
      <c r="P25">
        <f>Hourly_kWh!BJ27</f>
        <v>0</v>
      </c>
      <c r="Q25">
        <f>Hourly_kWh!BK27</f>
        <v>1.4659999999997453E-3</v>
      </c>
      <c r="R25">
        <f>Hourly_kWh!EP27</f>
        <v>0</v>
      </c>
      <c r="S25">
        <f>Hourly_kWh!EE27</f>
        <v>3.2879999999995135E-3</v>
      </c>
      <c r="T25">
        <f>Hourly_kWh!DH27</f>
        <v>6.2249999999952621E-4</v>
      </c>
      <c r="U25">
        <f>Hourly_kWh!CL27</f>
        <v>7.4000000001461785E-5</v>
      </c>
      <c r="V25">
        <f>Hourly_kWh!BL27</f>
        <v>0</v>
      </c>
      <c r="W25">
        <f>Hourly_kWh!V27</f>
        <v>6.6419999999993706E-3</v>
      </c>
      <c r="X25">
        <f>Hourly_kWh!AB27</f>
        <v>5.9940000000011651E-3</v>
      </c>
      <c r="Y25">
        <f>Hourly_kWh!AE27</f>
        <v>8.955000000003821E-4</v>
      </c>
      <c r="Z25">
        <f>Hourly_kWh!AG27</f>
        <v>2.3839999999992756E-3</v>
      </c>
      <c r="AA25">
        <f>Hourly_kWh!BE27</f>
        <v>5.0299999999978695E-3</v>
      </c>
      <c r="AB25">
        <f>Hourly_kWh!AY27</f>
        <v>1.9504999999995221E-3</v>
      </c>
      <c r="AC25">
        <f>Hourly_kWh!CX27</f>
        <v>0</v>
      </c>
      <c r="AD25">
        <f>Hourly_kWh!CY27</f>
        <v>6.7100000000008819E-4</v>
      </c>
      <c r="AE25">
        <f>Hourly_kWh!DC27</f>
        <v>1.8642499999999007E-3</v>
      </c>
      <c r="AF25">
        <f>Hourly_kWh!DD27</f>
        <v>1.203249999999878E-3</v>
      </c>
      <c r="AG25">
        <f>Hourly_kWh!W27</f>
        <v>4.6199999999885222E-4</v>
      </c>
      <c r="AH25">
        <f>Hourly_kWh!X27</f>
        <v>2.3269999999993018E-3</v>
      </c>
      <c r="AI25">
        <f>Hourly_kWh!Y27</f>
        <v>0</v>
      </c>
      <c r="AJ25">
        <f>Hourly_kWh!Z27</f>
        <v>2.3780000000002133E-3</v>
      </c>
      <c r="AK25">
        <f>Hourly_kWh!AA27</f>
        <v>3.1060000000024957E-3</v>
      </c>
      <c r="AL25">
        <f>Hourly_kWh!AC27</f>
        <v>6.5840000000001453E-3</v>
      </c>
      <c r="AM25">
        <f>Hourly_kWh!AD27</f>
        <v>1.3799999999992707E-3</v>
      </c>
      <c r="AN25">
        <f>Hourly_kWh!AI27</f>
        <v>0</v>
      </c>
      <c r="AO25">
        <f>Hourly_kWh!AJ27</f>
        <v>6.0799999999971988E-4</v>
      </c>
      <c r="AP25">
        <f>Hourly_kWh!AL27</f>
        <v>7.9523437499999794E-3</v>
      </c>
      <c r="AQ25">
        <f>Hourly_kWh!AM27</f>
        <v>1.9887999999994577E-2</v>
      </c>
      <c r="AR25">
        <f>Hourly_kWh!AN27</f>
        <v>1.5336000000004901E-2</v>
      </c>
      <c r="AS25">
        <f>Hourly_kWh!AO27</f>
        <v>4.9800000000033151E-3</v>
      </c>
      <c r="AT25">
        <f>Hourly_kWh!AP27</f>
        <v>3.3400000000014529E-3</v>
      </c>
      <c r="AU25">
        <f>Hourly_kWh!CN27</f>
        <v>2.5040000000000617E-3</v>
      </c>
      <c r="AV25">
        <f>Hourly_kWh!CR27</f>
        <v>5.8460000000000178E-3</v>
      </c>
      <c r="AW25">
        <f>Hourly_kWh!AQ27</f>
        <v>1.3251999999994268E-2</v>
      </c>
      <c r="AX25">
        <f>Hourly_kWh!AS27</f>
        <v>6.150000000015865E-5</v>
      </c>
      <c r="AY25">
        <f>Hourly_kWh!EH27</f>
        <v>7.0399999999608553E-3</v>
      </c>
      <c r="AZ25">
        <f>Hourly_kWh!EJ27</f>
        <v>0</v>
      </c>
      <c r="BA25">
        <f>Hourly_kWh!EI27</f>
        <v>1.555200000007062E-2</v>
      </c>
      <c r="BB25">
        <f>Hourly_kWh!AW27</f>
        <v>3.9359999999987849E-2</v>
      </c>
      <c r="BC25">
        <f>Hourly_kWh!DS27</f>
        <v>5.4623999999989792E-2</v>
      </c>
      <c r="BD25">
        <f>Hourly_kWh!CO27</f>
        <v>1.7191999999994323E-2</v>
      </c>
      <c r="BE25">
        <f>Hourly_kWh!DA27</f>
        <v>1.151999999999731E-2</v>
      </c>
      <c r="BF25">
        <f>Hourly_kWh!DB27</f>
        <v>3.8559999999989714E-3</v>
      </c>
      <c r="BG25">
        <f>Hourly_kWh!EK27</f>
        <v>0</v>
      </c>
      <c r="BH25">
        <f>Hourly_kWh!EL27</f>
        <v>0</v>
      </c>
      <c r="BI25">
        <f>Hourly_kWh!EM27</f>
        <v>0.15078400000038528</v>
      </c>
      <c r="BJ25">
        <f>Hourly_kWh!EN27</f>
        <v>0</v>
      </c>
      <c r="BK25">
        <f>Hourly_kWh!EO27</f>
        <v>7.6799999999366264E-4</v>
      </c>
      <c r="BL25">
        <f>Hourly_kWh!ER27</f>
        <v>9.2601000000016143E-2</v>
      </c>
      <c r="BM25">
        <f>Hourly_kWh!BW27</f>
        <v>0</v>
      </c>
      <c r="BN25">
        <f>Hourly_kWh!DR27</f>
        <v>0</v>
      </c>
      <c r="BO25">
        <f>Hourly_kWh!CG27</f>
        <v>0</v>
      </c>
      <c r="BP25">
        <f>Hourly_kWh!CI27</f>
        <v>0</v>
      </c>
      <c r="BQ25">
        <f>Hourly_kWh!BV27</f>
        <v>0</v>
      </c>
      <c r="BR25">
        <f>Hourly_kWh!BO27</f>
        <v>1.6440000000024213E-3</v>
      </c>
      <c r="BS25">
        <f>Hourly_kWh!CW27</f>
        <v>0</v>
      </c>
      <c r="BT25">
        <f>Hourly_kWh!DE27</f>
        <v>0</v>
      </c>
      <c r="BU25">
        <f>Hourly_kWh!DW27</f>
        <v>0</v>
      </c>
      <c r="BV25">
        <f>Hourly_kWh!CB27</f>
        <v>0</v>
      </c>
      <c r="BW25">
        <f>Hourly_kWh!CZ27</f>
        <v>4.9999999999972289E-4</v>
      </c>
      <c r="BX25">
        <f>Hourly_kWh!DG27</f>
        <v>0</v>
      </c>
      <c r="BY25">
        <f>Hourly_kWh!BS27</f>
        <v>0</v>
      </c>
      <c r="BZ25">
        <f>Hourly_kWh!CH27</f>
        <v>6.27750000000038E-4</v>
      </c>
      <c r="CA25">
        <f>Hourly_kWh!BR27</f>
        <v>0</v>
      </c>
      <c r="CB25">
        <f>Hourly_kWh!BP27</f>
        <v>0</v>
      </c>
      <c r="CC25">
        <f>Hourly_kWh!BU27</f>
        <v>0</v>
      </c>
      <c r="CD25">
        <f>Hourly_kWh!BX27</f>
        <v>0</v>
      </c>
      <c r="CE25">
        <f>Hourly_kWh!CV27</f>
        <v>0</v>
      </c>
      <c r="CF25">
        <f>Hourly_kWh!BT27</f>
        <v>1.092400000000282E-2</v>
      </c>
      <c r="CG25">
        <f>Hourly_kWh!CA27</f>
        <v>1.8380249999999987E-2</v>
      </c>
      <c r="CH25">
        <f>Hourly_kWh!CF27</f>
        <v>4.4499999999914053E-4</v>
      </c>
      <c r="CI25">
        <f>Hourly_kWh!BZ27</f>
        <v>4.8376000000004638E-2</v>
      </c>
      <c r="CJ25">
        <f>Hourly_kWh!CK27</f>
        <v>0</v>
      </c>
      <c r="CK25">
        <f>Hourly_kWh!DT27</f>
        <v>1.1876499999999623E-2</v>
      </c>
      <c r="CL25">
        <f>Hourly_kWh!EB27</f>
        <v>4.0079999999989013E-2</v>
      </c>
      <c r="CM25">
        <f>Hourly_kWh!EC27</f>
        <v>3.3184000000005653E-2</v>
      </c>
      <c r="CN25">
        <f>Hourly_kWh!CQ27</f>
        <v>0</v>
      </c>
      <c r="CO25">
        <f>Hourly_kWh!DF27</f>
        <v>0</v>
      </c>
      <c r="CP25">
        <f>Hourly_kWh!DJ27</f>
        <v>0</v>
      </c>
      <c r="CQ25">
        <f>Hourly_kWh!DP27</f>
        <v>6.294999999987283E-4</v>
      </c>
      <c r="CR25">
        <f>Hourly_kWh!BQ27</f>
        <v>0</v>
      </c>
      <c r="CS25">
        <f>Hourly_kWh!BY27</f>
        <v>0</v>
      </c>
      <c r="CT25">
        <f>Hourly_kWh!DU27</f>
        <v>0</v>
      </c>
      <c r="CU25">
        <f>Hourly_kWh!DQ27</f>
        <v>0</v>
      </c>
      <c r="CV25">
        <f>Hourly_kWh!EA27</f>
        <v>0</v>
      </c>
      <c r="CW25">
        <f>Hourly_kWh!DO27</f>
        <v>3.3919999999909578E-3</v>
      </c>
      <c r="CX25">
        <f>Hourly_kWh!DX27</f>
        <v>3.5709999999991027E-3</v>
      </c>
      <c r="CY25">
        <f>Hourly_kWh!DY27</f>
        <v>2.0981250000007279E-4</v>
      </c>
      <c r="CZ25">
        <f>Hourly_kWh!DZ27</f>
        <v>4.9139999999994188E-3</v>
      </c>
      <c r="DA25">
        <f>Hourly_kWh!ED27</f>
        <v>2.6075000000025383E-4</v>
      </c>
      <c r="DB25">
        <f>Hourly_kWh!DV27</f>
        <v>2.9749999999983956E-4</v>
      </c>
      <c r="DC25">
        <f>Hourly_kWh!CT27</f>
        <v>2.1360000000001378E-2</v>
      </c>
      <c r="DD25">
        <f>Hourly_kWh!DN27</f>
        <v>0</v>
      </c>
      <c r="DE25">
        <f>Hourly_kWh!AZ27</f>
        <v>0</v>
      </c>
      <c r="DF25">
        <f>Hourly_kWh!BD27</f>
        <v>3.6941406249998976E-4</v>
      </c>
      <c r="DG25">
        <f>Hourly_kWh!AV27</f>
        <v>5.2050000000036789E-4</v>
      </c>
      <c r="DH25">
        <f>Hourly_kWh!BG27</f>
        <v>4.4500000000091688E-4</v>
      </c>
      <c r="DI25">
        <f>Hourly_kWh!DK27</f>
        <v>2.8199999999998226E-3</v>
      </c>
      <c r="DJ25">
        <f>Hourly_kWh!DL27</f>
        <v>4.9723437499998857E-4</v>
      </c>
      <c r="DK25">
        <f>Hourly_kWh!AU27</f>
        <v>1.9119999999972492E-3</v>
      </c>
      <c r="DL25">
        <f>Hourly_kWh!DM27</f>
        <v>9.9099999999907595E-4</v>
      </c>
      <c r="DM25">
        <f>Hourly_kWh!CC27</f>
        <v>0</v>
      </c>
      <c r="DN25">
        <f>Hourly_kWh!BH27</f>
        <v>0</v>
      </c>
      <c r="DO25">
        <f>Hourly_kWh!AK27</f>
        <v>0</v>
      </c>
      <c r="DP25">
        <f>Hourly_kWh!AT27</f>
        <v>0</v>
      </c>
      <c r="DQ25">
        <f>Hourly_kWh!AX27</f>
        <v>0</v>
      </c>
      <c r="DR25">
        <f>Hourly_kWh!BA27</f>
        <v>0</v>
      </c>
      <c r="DS25">
        <f>Hourly_kWh!BB27</f>
        <v>0</v>
      </c>
      <c r="DT25">
        <f>Hourly_kWh!BC27</f>
        <v>0</v>
      </c>
      <c r="DU25">
        <f>Hourly_kWh!BF27</f>
        <v>0</v>
      </c>
      <c r="DV25">
        <f>Hourly_kWh!BN27</f>
        <v>0</v>
      </c>
      <c r="DW25">
        <f>Hourly_kWh!CD27</f>
        <v>0</v>
      </c>
      <c r="DX25">
        <f>Hourly_kWh!CE27</f>
        <v>0</v>
      </c>
      <c r="DY25">
        <f>Hourly_kWh!CJ27</f>
        <v>0</v>
      </c>
      <c r="DZ25">
        <f>Hourly_kWh!CP27</f>
        <v>0</v>
      </c>
      <c r="EA25">
        <f>Hourly_kWh!CS27</f>
        <v>0</v>
      </c>
      <c r="EB25">
        <f>Hourly_kWh!CU27</f>
        <v>0</v>
      </c>
      <c r="EC25">
        <f>Hourly_kWh!EG27</f>
        <v>0</v>
      </c>
      <c r="ED25">
        <f>Hourly_kWh!EQ27</f>
        <v>0</v>
      </c>
    </row>
    <row r="26" spans="1:134" ht="14" x14ac:dyDescent="0.25">
      <c r="A26" s="323"/>
      <c r="B26" s="137">
        <v>25</v>
      </c>
      <c r="C26" s="141" t="s">
        <v>147</v>
      </c>
      <c r="D26" s="134">
        <f>DAILY_ENERGY!C32</f>
        <v>8.7850850000000005</v>
      </c>
      <c r="E26" s="134">
        <f>DAILY_ENERGY!D32</f>
        <v>8.8410829999999994</v>
      </c>
      <c r="F26" s="134">
        <f>DAILY_ENERGY!E32</f>
        <v>5.5997999999998882E-2</v>
      </c>
      <c r="G26" s="134"/>
      <c r="H26" s="134">
        <f>SHIFT_A!E32</f>
        <v>2.2087999999998331E-2</v>
      </c>
      <c r="I26" s="134">
        <f>SHIFT_B!E32</f>
        <v>2.0491000000001591E-2</v>
      </c>
      <c r="J26" s="134">
        <f>SHIFT_C!E32</f>
        <v>1.341899999999896E-2</v>
      </c>
      <c r="K26" s="162">
        <f t="shared" si="0"/>
        <v>5.5997999999998882E-2</v>
      </c>
      <c r="L26" s="163">
        <f t="shared" si="1"/>
        <v>0</v>
      </c>
      <c r="N26" s="149" t="s">
        <v>685</v>
      </c>
      <c r="O26">
        <f>Hourly_kWh!AF28</f>
        <v>0</v>
      </c>
      <c r="P26">
        <f>Hourly_kWh!BJ28</f>
        <v>0</v>
      </c>
      <c r="Q26">
        <f>Hourly_kWh!BK28</f>
        <v>1.4570000000002636E-3</v>
      </c>
      <c r="R26">
        <f>Hourly_kWh!EP28</f>
        <v>0</v>
      </c>
      <c r="S26">
        <f>Hourly_kWh!EE28</f>
        <v>7.9130000000002809E-3</v>
      </c>
      <c r="T26">
        <f>Hourly_kWh!DH28</f>
        <v>4.4749999999993406E-4</v>
      </c>
      <c r="U26">
        <f>Hourly_kWh!CL28</f>
        <v>3.6599999999964439E-4</v>
      </c>
      <c r="V26">
        <f>Hourly_kWh!BL28</f>
        <v>0</v>
      </c>
      <c r="W26">
        <f>Hourly_kWh!V28</f>
        <v>6.1040000000005534E-3</v>
      </c>
      <c r="X26">
        <f>Hourly_kWh!AB28</f>
        <v>5.990000000000606E-3</v>
      </c>
      <c r="Y26">
        <f>Hourly_kWh!AE28</f>
        <v>9.5899999999993213E-4</v>
      </c>
      <c r="Z26">
        <f>Hourly_kWh!AG28</f>
        <v>2.2640000000002658E-3</v>
      </c>
      <c r="AA26">
        <f>Hourly_kWh!BE28</f>
        <v>4.9480000000023949E-3</v>
      </c>
      <c r="AB26">
        <f>Hourly_kWh!AY28</f>
        <v>1.8640000000003099E-3</v>
      </c>
      <c r="AC26">
        <f>Hourly_kWh!CX28</f>
        <v>0</v>
      </c>
      <c r="AD26">
        <f>Hourly_kWh!CY28</f>
        <v>6.7799999999973437E-4</v>
      </c>
      <c r="AE26">
        <f>Hourly_kWh!DC28</f>
        <v>0</v>
      </c>
      <c r="AF26">
        <f>Hourly_kWh!DD28</f>
        <v>1.2243750000000553E-3</v>
      </c>
      <c r="AG26">
        <f>Hourly_kWh!W28</f>
        <v>4.5600000000156626E-4</v>
      </c>
      <c r="AH26">
        <f>Hourly_kWh!X28</f>
        <v>2.3580000000009704E-3</v>
      </c>
      <c r="AI26">
        <f>Hourly_kWh!Y28</f>
        <v>0</v>
      </c>
      <c r="AJ26">
        <f>Hourly_kWh!Z28</f>
        <v>2.3389999999992028E-3</v>
      </c>
      <c r="AK26">
        <f>Hourly_kWh!AA28</f>
        <v>3.0219999999978597E-3</v>
      </c>
      <c r="AL26">
        <f>Hourly_kWh!AC28</f>
        <v>6.8079999999994811E-3</v>
      </c>
      <c r="AM26">
        <f>Hourly_kWh!AD28</f>
        <v>1.3299999999993872E-3</v>
      </c>
      <c r="AN26">
        <f>Hourly_kWh!AI28</f>
        <v>0</v>
      </c>
      <c r="AO26">
        <f>Hourly_kWh!AJ28</f>
        <v>6.4500000000045077E-4</v>
      </c>
      <c r="AP26">
        <f>Hourly_kWh!AL28</f>
        <v>6.8635624999999756E-3</v>
      </c>
      <c r="AQ26">
        <f>Hourly_kWh!AM28</f>
        <v>2.080800000000238E-2</v>
      </c>
      <c r="AR26">
        <f>Hourly_kWh!AN28</f>
        <v>1.53839999999974E-2</v>
      </c>
      <c r="AS26">
        <f>Hourly_kWh!AO28</f>
        <v>5.1479999999983761E-3</v>
      </c>
      <c r="AT26">
        <f>Hourly_kWh!AP28</f>
        <v>3.3020000000014704E-3</v>
      </c>
      <c r="AU26">
        <f>Hourly_kWh!CN28</f>
        <v>2.5399999999997647E-3</v>
      </c>
      <c r="AV26">
        <f>Hourly_kWh!CR28</f>
        <v>5.5790000000008888E-3</v>
      </c>
      <c r="AW26">
        <f>Hourly_kWh!AQ28</f>
        <v>1.277200000001244E-2</v>
      </c>
      <c r="AX26">
        <f>Hourly_kWh!AS28</f>
        <v>6.150000000015865E-5</v>
      </c>
      <c r="AY26">
        <f>Hourly_kWh!EH28</f>
        <v>6.6560000000208674E-3</v>
      </c>
      <c r="AZ26">
        <f>Hourly_kWh!EJ28</f>
        <v>0</v>
      </c>
      <c r="BA26">
        <f>Hourly_kWh!EI28</f>
        <v>1.5807999999992717E-2</v>
      </c>
      <c r="BB26">
        <f>Hourly_kWh!AW28</f>
        <v>3.8207999999940512E-2</v>
      </c>
      <c r="BC26">
        <f>Hourly_kWh!DS28</f>
        <v>5.0080000000036762E-2</v>
      </c>
      <c r="BD26">
        <f>Hourly_kWh!CO28</f>
        <v>1.7472000000012144E-2</v>
      </c>
      <c r="BE26">
        <f>Hourly_kWh!DA28</f>
        <v>1.1540000000003658E-2</v>
      </c>
      <c r="BF26">
        <f>Hourly_kWh!DB28</f>
        <v>3.8529999999994402E-3</v>
      </c>
      <c r="BG26">
        <f>Hourly_kWh!EK28</f>
        <v>0</v>
      </c>
      <c r="BH26">
        <f>Hourly_kWh!EL28</f>
        <v>0</v>
      </c>
      <c r="BI26">
        <f>Hourly_kWh!EM28</f>
        <v>0.14694399999962116</v>
      </c>
      <c r="BJ26">
        <f>Hourly_kWh!EN28</f>
        <v>0</v>
      </c>
      <c r="BK26">
        <f>Hourly_kWh!EO28</f>
        <v>7.6799999999366264E-4</v>
      </c>
      <c r="BL26">
        <f>Hourly_kWh!ER28</f>
        <v>0.10254100000000221</v>
      </c>
      <c r="BM26">
        <f>Hourly_kWh!BW28</f>
        <v>0</v>
      </c>
      <c r="BN26">
        <f>Hourly_kWh!DR28</f>
        <v>0</v>
      </c>
      <c r="BO26">
        <f>Hourly_kWh!CG28</f>
        <v>0</v>
      </c>
      <c r="BP26">
        <f>Hourly_kWh!CI28</f>
        <v>0</v>
      </c>
      <c r="BQ26">
        <f>Hourly_kWh!BV28</f>
        <v>0</v>
      </c>
      <c r="BR26">
        <f>Hourly_kWh!BO28</f>
        <v>1.0587999999998488E-2</v>
      </c>
      <c r="BS26">
        <f>Hourly_kWh!CW28</f>
        <v>0</v>
      </c>
      <c r="BT26">
        <f>Hourly_kWh!DE28</f>
        <v>0</v>
      </c>
      <c r="BU26">
        <f>Hourly_kWh!DW28</f>
        <v>0</v>
      </c>
      <c r="BV26">
        <f>Hourly_kWh!CB28</f>
        <v>0</v>
      </c>
      <c r="BW26">
        <f>Hourly_kWh!CZ28</f>
        <v>2.5335000000001884E-3</v>
      </c>
      <c r="BX26">
        <f>Hourly_kWh!DG28</f>
        <v>0</v>
      </c>
      <c r="BY26">
        <f>Hourly_kWh!BS28</f>
        <v>0</v>
      </c>
      <c r="BZ26">
        <f>Hourly_kWh!CH28</f>
        <v>6.3799999999991641E-4</v>
      </c>
      <c r="CA26">
        <f>Hourly_kWh!BR28</f>
        <v>0</v>
      </c>
      <c r="CB26">
        <f>Hourly_kWh!BP28</f>
        <v>0</v>
      </c>
      <c r="CC26">
        <f>Hourly_kWh!BU28</f>
        <v>0</v>
      </c>
      <c r="CD26">
        <f>Hourly_kWh!BX28</f>
        <v>0</v>
      </c>
      <c r="CE26">
        <f>Hourly_kWh!CV28</f>
        <v>0</v>
      </c>
      <c r="CF26">
        <f>Hourly_kWh!BT28</f>
        <v>1.1048000000002389E-2</v>
      </c>
      <c r="CG26">
        <f>Hourly_kWh!CA28</f>
        <v>1.4085312500000002E-2</v>
      </c>
      <c r="CH26">
        <f>Hourly_kWh!CF28</f>
        <v>4.6600000000118769E-4</v>
      </c>
      <c r="CI26">
        <f>Hourly_kWh!BZ28</f>
        <v>4.2448000000007369E-2</v>
      </c>
      <c r="CJ26">
        <f>Hourly_kWh!CK28</f>
        <v>0</v>
      </c>
      <c r="CK26">
        <f>Hourly_kWh!DT28</f>
        <v>1.4590000000000103E-2</v>
      </c>
      <c r="CL26">
        <f>Hourly_kWh!EB28</f>
        <v>3.9007999999995491E-2</v>
      </c>
      <c r="CM26">
        <f>Hourly_kWh!EC28</f>
        <v>2.7967999999987114E-2</v>
      </c>
      <c r="CN26">
        <f>Hourly_kWh!CQ28</f>
        <v>0</v>
      </c>
      <c r="CO26">
        <f>Hourly_kWh!DF28</f>
        <v>0</v>
      </c>
      <c r="CP26">
        <f>Hourly_kWh!DJ28</f>
        <v>0</v>
      </c>
      <c r="CQ26">
        <f>Hourly_kWh!DP28</f>
        <v>6.3100000000027023E-4</v>
      </c>
      <c r="CR26">
        <f>Hourly_kWh!BQ28</f>
        <v>0</v>
      </c>
      <c r="CS26">
        <f>Hourly_kWh!BY28</f>
        <v>0</v>
      </c>
      <c r="CT26">
        <f>Hourly_kWh!DU28</f>
        <v>0</v>
      </c>
      <c r="CU26">
        <f>Hourly_kWh!DQ28</f>
        <v>0</v>
      </c>
      <c r="CV26">
        <f>Hourly_kWh!EA28</f>
        <v>0</v>
      </c>
      <c r="CW26">
        <f>Hourly_kWh!DO28</f>
        <v>3.4239999999954307E-3</v>
      </c>
      <c r="CX26">
        <f>Hourly_kWh!DX28</f>
        <v>3.58300000000078E-3</v>
      </c>
      <c r="CY26">
        <f>Hourly_kWh!DY28</f>
        <v>2.0624999999996341E-4</v>
      </c>
      <c r="CZ26">
        <f>Hourly_kWh!DZ28</f>
        <v>4.4220000000017023E-3</v>
      </c>
      <c r="DA26">
        <f>Hourly_kWh!ED28</f>
        <v>2.6524999999999466E-4</v>
      </c>
      <c r="DB26">
        <f>Hourly_kWh!DV28</f>
        <v>2.9725000000002666E-4</v>
      </c>
      <c r="DC26">
        <f>Hourly_kWh!CT28</f>
        <v>2.0807999999988169E-2</v>
      </c>
      <c r="DD26">
        <f>Hourly_kWh!DN28</f>
        <v>0</v>
      </c>
      <c r="DE26">
        <f>Hourly_kWh!AZ28</f>
        <v>0</v>
      </c>
      <c r="DF26">
        <f>Hourly_kWh!BD28</f>
        <v>1.257500000000078E-4</v>
      </c>
      <c r="DG26">
        <f>Hourly_kWh!AV28</f>
        <v>3.0850000000004485E-4</v>
      </c>
      <c r="DH26">
        <f>Hourly_kWh!BG28</f>
        <v>4.4499999999914053E-4</v>
      </c>
      <c r="DI26">
        <f>Hourly_kWh!DK28</f>
        <v>2.8240000000003818E-3</v>
      </c>
      <c r="DJ26">
        <f>Hourly_kWh!DL28</f>
        <v>4.8471875000000164E-4</v>
      </c>
      <c r="DK26">
        <f>Hourly_kWh!AU28</f>
        <v>1.9119999999972492E-3</v>
      </c>
      <c r="DL26">
        <f>Hourly_kWh!DM28</f>
        <v>9.7399999999936426E-4</v>
      </c>
      <c r="DM26">
        <f>Hourly_kWh!CC28</f>
        <v>0</v>
      </c>
      <c r="DN26">
        <f>Hourly_kWh!BH28</f>
        <v>0</v>
      </c>
      <c r="DO26">
        <f>Hourly_kWh!AK28</f>
        <v>0</v>
      </c>
      <c r="DP26">
        <f>Hourly_kWh!AT28</f>
        <v>0</v>
      </c>
      <c r="DQ26">
        <f>Hourly_kWh!AX28</f>
        <v>0</v>
      </c>
      <c r="DR26">
        <f>Hourly_kWh!BA28</f>
        <v>0</v>
      </c>
      <c r="DS26">
        <f>Hourly_kWh!BB28</f>
        <v>0</v>
      </c>
      <c r="DT26">
        <f>Hourly_kWh!BC28</f>
        <v>0</v>
      </c>
      <c r="DU26">
        <f>Hourly_kWh!BF28</f>
        <v>0</v>
      </c>
      <c r="DV26">
        <f>Hourly_kWh!BN28</f>
        <v>0</v>
      </c>
      <c r="DW26">
        <f>Hourly_kWh!CD28</f>
        <v>0</v>
      </c>
      <c r="DX26">
        <f>Hourly_kWh!CE28</f>
        <v>0</v>
      </c>
      <c r="DY26">
        <f>Hourly_kWh!CJ28</f>
        <v>0</v>
      </c>
      <c r="DZ26">
        <f>Hourly_kWh!CP28</f>
        <v>0</v>
      </c>
      <c r="EA26">
        <f>Hourly_kWh!CS28</f>
        <v>0</v>
      </c>
      <c r="EB26">
        <f>Hourly_kWh!CU28</f>
        <v>0</v>
      </c>
      <c r="EC26">
        <f>Hourly_kWh!EG28</f>
        <v>0</v>
      </c>
      <c r="ED26">
        <f>Hourly_kWh!EQ28</f>
        <v>0</v>
      </c>
    </row>
    <row r="27" spans="1:134" ht="14" x14ac:dyDescent="0.25">
      <c r="A27" s="323"/>
      <c r="B27" s="137">
        <v>26</v>
      </c>
      <c r="C27" s="141" t="s">
        <v>688</v>
      </c>
      <c r="D27" s="134">
        <f>DAILY_ENERGY!C37</f>
        <v>0</v>
      </c>
      <c r="E27" s="134">
        <f>DAILY_ENERGY!D37</f>
        <v>0</v>
      </c>
      <c r="F27" s="134">
        <f>DAILY_ENERGY!E37</f>
        <v>0</v>
      </c>
      <c r="G27" s="134"/>
      <c r="H27" s="134">
        <f>SHIFT_A!E37</f>
        <v>0</v>
      </c>
      <c r="I27" s="134">
        <f>SHIFT_B!E37</f>
        <v>0</v>
      </c>
      <c r="J27" s="134">
        <f>SHIFT_C!E37</f>
        <v>0</v>
      </c>
      <c r="K27" s="162">
        <f t="shared" si="0"/>
        <v>0</v>
      </c>
      <c r="L27" s="163">
        <f t="shared" si="1"/>
        <v>0</v>
      </c>
      <c r="N27" s="149" t="s">
        <v>686</v>
      </c>
      <c r="O27">
        <f>Hourly_kWh!AF29</f>
        <v>0</v>
      </c>
      <c r="P27">
        <f>Hourly_kWh!BJ29</f>
        <v>0</v>
      </c>
      <c r="Q27">
        <f>Hourly_kWh!BK29</f>
        <v>3.6274999999994506E-3</v>
      </c>
      <c r="R27">
        <f>Hourly_kWh!EP29</f>
        <v>0</v>
      </c>
      <c r="S27">
        <f>Hourly_kWh!EE29</f>
        <v>4.4899999999987728E-3</v>
      </c>
      <c r="T27">
        <f>Hourly_kWh!DH29</f>
        <v>4.3850000000045242E-4</v>
      </c>
      <c r="U27">
        <f>Hourly_kWh!CL29</f>
        <v>5.3000000000125169E-4</v>
      </c>
      <c r="V27">
        <f>Hourly_kWh!BL29</f>
        <v>0</v>
      </c>
      <c r="W27">
        <f>Hourly_kWh!V29</f>
        <v>5.9079999999980259E-3</v>
      </c>
      <c r="X27">
        <f>Hourly_kWh!AB29</f>
        <v>5.8620000000004779E-3</v>
      </c>
      <c r="Y27">
        <f>Hourly_kWh!AE29</f>
        <v>1.9729999999995584E-3</v>
      </c>
      <c r="Z27">
        <f>Hourly_kWh!AG29</f>
        <v>2.5320000000004228E-3</v>
      </c>
      <c r="AA27">
        <f>Hourly_kWh!BE29</f>
        <v>5.0359999999969318E-3</v>
      </c>
      <c r="AB27">
        <f>Hourly_kWh!AY29</f>
        <v>2.7995000000000658E-3</v>
      </c>
      <c r="AC27">
        <f>Hourly_kWh!CX29</f>
        <v>0</v>
      </c>
      <c r="AD27">
        <f>Hourly_kWh!CY29</f>
        <v>6.5600000000021197E-4</v>
      </c>
      <c r="AE27">
        <f>Hourly_kWh!DC29</f>
        <v>0</v>
      </c>
      <c r="AF27">
        <f>Hourly_kWh!DD29</f>
        <v>1.1823749999999578E-3</v>
      </c>
      <c r="AG27">
        <f>Hourly_kWh!W29</f>
        <v>4.6299999999988017E-4</v>
      </c>
      <c r="AH27">
        <f>Hourly_kWh!X29</f>
        <v>2.3719999999993746E-3</v>
      </c>
      <c r="AI27">
        <f>Hourly_kWh!Y29</f>
        <v>0</v>
      </c>
      <c r="AJ27">
        <f>Hourly_kWh!Z29</f>
        <v>2.3789999999994649E-3</v>
      </c>
      <c r="AK27">
        <f>Hourly_kWh!AA29</f>
        <v>3.1520000000000437E-3</v>
      </c>
      <c r="AL27">
        <f>Hourly_kWh!AC29</f>
        <v>3.8899999999983947E-3</v>
      </c>
      <c r="AM27">
        <f>Hourly_kWh!AD29</f>
        <v>2.0459999999999923E-3</v>
      </c>
      <c r="AN27">
        <f>Hourly_kWh!AI29</f>
        <v>0</v>
      </c>
      <c r="AO27">
        <f>Hourly_kWh!AJ29</f>
        <v>6.6499999999969361E-4</v>
      </c>
      <c r="AP27">
        <f>Hourly_kWh!AL29</f>
        <v>6.0140625000000281E-3</v>
      </c>
      <c r="AQ27">
        <f>Hourly_kWh!AM29</f>
        <v>2.0616000000003964E-2</v>
      </c>
      <c r="AR27">
        <f>Hourly_kWh!AN29</f>
        <v>1.4879999999990901E-2</v>
      </c>
      <c r="AS27">
        <f>Hourly_kWh!AO29</f>
        <v>5.0840000000036412E-3</v>
      </c>
      <c r="AT27">
        <f>Hourly_kWh!AP29</f>
        <v>3.3759999999993795E-3</v>
      </c>
      <c r="AU27">
        <f>Hourly_kWh!CN29</f>
        <v>2.5150000000007111E-3</v>
      </c>
      <c r="AV27">
        <f>Hourly_kWh!CR29</f>
        <v>5.7639999999992142E-3</v>
      </c>
      <c r="AW27">
        <f>Hourly_kWh!AQ29</f>
        <v>1.3127999999994699E-2</v>
      </c>
      <c r="AX27">
        <f>Hourly_kWh!AS29</f>
        <v>6.599999999998829E-4</v>
      </c>
      <c r="AY27">
        <f>Hourly_kWh!EH29</f>
        <v>6.3999999999850843E-3</v>
      </c>
      <c r="AZ27">
        <f>Hourly_kWh!EJ29</f>
        <v>1.151999999990494E-3</v>
      </c>
      <c r="BA27">
        <f>Hourly_kWh!EI29</f>
        <v>1.7663999999967928E-2</v>
      </c>
      <c r="BB27">
        <f>Hourly_kWh!AW29</f>
        <v>3.8016000000084205E-2</v>
      </c>
      <c r="BC27">
        <f>Hourly_kWh!DS29</f>
        <v>4.7359999999969205E-2</v>
      </c>
      <c r="BD27">
        <f>Hourly_kWh!CO29</f>
        <v>1.6951999999989198E-2</v>
      </c>
      <c r="BE27">
        <f>Hourly_kWh!DA29</f>
        <v>1.1323999999994783E-2</v>
      </c>
      <c r="BF27">
        <f>Hourly_kWh!DB29</f>
        <v>4.4050000000002143E-3</v>
      </c>
      <c r="BG27">
        <f>Hourly_kWh!EK29</f>
        <v>0</v>
      </c>
      <c r="BH27">
        <f>Hourly_kWh!EL29</f>
        <v>4.2112000000088301E-2</v>
      </c>
      <c r="BI27">
        <f>Hourly_kWh!EM29</f>
        <v>0.14924800000017058</v>
      </c>
      <c r="BJ27">
        <f>Hourly_kWh!EN29</f>
        <v>0</v>
      </c>
      <c r="BK27">
        <f>Hourly_kWh!EO29</f>
        <v>7.6799999999366264E-4</v>
      </c>
      <c r="BL27">
        <f>Hourly_kWh!ER29</f>
        <v>0.10042799999999374</v>
      </c>
      <c r="BM27">
        <f>Hourly_kWh!BW29</f>
        <v>0</v>
      </c>
      <c r="BN27">
        <f>Hourly_kWh!DR29</f>
        <v>0</v>
      </c>
      <c r="BO27">
        <f>Hourly_kWh!CG29</f>
        <v>0</v>
      </c>
      <c r="BP27">
        <f>Hourly_kWh!CI29</f>
        <v>0</v>
      </c>
      <c r="BQ27">
        <f>Hourly_kWh!BV29</f>
        <v>0</v>
      </c>
      <c r="BR27">
        <f>Hourly_kWh!BO29</f>
        <v>1.8032000000001602E-2</v>
      </c>
      <c r="BS27">
        <f>Hourly_kWh!CW29</f>
        <v>0</v>
      </c>
      <c r="BT27">
        <f>Hourly_kWh!DE29</f>
        <v>0</v>
      </c>
      <c r="BU27">
        <f>Hourly_kWh!DW29</f>
        <v>0</v>
      </c>
      <c r="BV27">
        <f>Hourly_kWh!CB29</f>
        <v>0</v>
      </c>
      <c r="BW27">
        <f>Hourly_kWh!CZ29</f>
        <v>1.3637499999998859E-3</v>
      </c>
      <c r="BX27">
        <f>Hourly_kWh!DG29</f>
        <v>0</v>
      </c>
      <c r="BY27">
        <f>Hourly_kWh!BS29</f>
        <v>0</v>
      </c>
      <c r="BZ27">
        <f>Hourly_kWh!CH29</f>
        <v>6.2924999999980358E-4</v>
      </c>
      <c r="CA27">
        <f>Hourly_kWh!BR29</f>
        <v>0</v>
      </c>
      <c r="CB27">
        <f>Hourly_kWh!BP29</f>
        <v>0</v>
      </c>
      <c r="CC27">
        <f>Hourly_kWh!BU29</f>
        <v>0</v>
      </c>
      <c r="CD27">
        <f>Hourly_kWh!BX29</f>
        <v>0</v>
      </c>
      <c r="CE27">
        <f>Hourly_kWh!CV29</f>
        <v>3.074999999985728E-5</v>
      </c>
      <c r="CF27">
        <f>Hourly_kWh!BT29</f>
        <v>1.1403999999998859E-2</v>
      </c>
      <c r="CG27">
        <f>Hourly_kWh!CA29</f>
        <v>1.5595374999999967E-2</v>
      </c>
      <c r="CH27">
        <f>Hourly_kWh!CF29</f>
        <v>4.6099999999960062E-4</v>
      </c>
      <c r="CI27">
        <f>Hourly_kWh!BZ29</f>
        <v>2.7407999999994104E-2</v>
      </c>
      <c r="CJ27">
        <f>Hourly_kWh!CK29</f>
        <v>0</v>
      </c>
      <c r="CK27">
        <f>Hourly_kWh!DT29</f>
        <v>1.37135000000006E-2</v>
      </c>
      <c r="CL27">
        <f>Hourly_kWh!EB29</f>
        <v>3.9296000000007325E-2</v>
      </c>
      <c r="CM27">
        <f>Hourly_kWh!EC29</f>
        <v>2.955199999999536E-2</v>
      </c>
      <c r="CN27">
        <f>Hourly_kWh!CQ29</f>
        <v>0</v>
      </c>
      <c r="CO27">
        <f>Hourly_kWh!DF29</f>
        <v>0</v>
      </c>
      <c r="CP27">
        <f>Hourly_kWh!DJ29</f>
        <v>0</v>
      </c>
      <c r="CQ27">
        <f>Hourly_kWh!DP29</f>
        <v>6.2450000000069394E-4</v>
      </c>
      <c r="CR27">
        <f>Hourly_kWh!BQ29</f>
        <v>0</v>
      </c>
      <c r="CS27">
        <f>Hourly_kWh!BY29</f>
        <v>0</v>
      </c>
      <c r="CT27">
        <f>Hourly_kWh!DU29</f>
        <v>0</v>
      </c>
      <c r="CU27">
        <f>Hourly_kWh!DQ29</f>
        <v>0</v>
      </c>
      <c r="CV27">
        <f>Hourly_kWh!EA29</f>
        <v>0</v>
      </c>
      <c r="CW27">
        <f>Hourly_kWh!DO29</f>
        <v>3.4559999999999036E-3</v>
      </c>
      <c r="CX27">
        <f>Hourly_kWh!DX29</f>
        <v>3.5150000000001569E-3</v>
      </c>
      <c r="CY27">
        <f>Hourly_kWh!DY29</f>
        <v>2.0968749999994429E-4</v>
      </c>
      <c r="CZ27">
        <f>Hourly_kWh!DZ29</f>
        <v>3.8079999999993674E-3</v>
      </c>
      <c r="DA27">
        <f>Hourly_kWh!ED29</f>
        <v>2.6499999999973767E-4</v>
      </c>
      <c r="DB27">
        <f>Hourly_kWh!DV29</f>
        <v>2.9125000000007617E-4</v>
      </c>
      <c r="DC27">
        <f>Hourly_kWh!CT29</f>
        <v>2.1040000000013492E-2</v>
      </c>
      <c r="DD27">
        <f>Hourly_kWh!DN29</f>
        <v>0</v>
      </c>
      <c r="DE27">
        <f>Hourly_kWh!AZ29</f>
        <v>2.4999999999053557E-6</v>
      </c>
      <c r="DF27">
        <f>Hourly_kWh!BD29</f>
        <v>1.0088281249999442E-4</v>
      </c>
      <c r="DG27">
        <f>Hourly_kWh!AV29</f>
        <v>7.0000000000014495E-5</v>
      </c>
      <c r="DH27">
        <f>Hourly_kWh!BG29</f>
        <v>4.7499999999978115E-4</v>
      </c>
      <c r="DI27">
        <f>Hourly_kWh!DK29</f>
        <v>2.7760000000007778E-3</v>
      </c>
      <c r="DJ27">
        <f>Hourly_kWh!DL29</f>
        <v>6.4335937500001328E-4</v>
      </c>
      <c r="DK27">
        <f>Hourly_kWh!AU29</f>
        <v>2.1040000000027703E-3</v>
      </c>
      <c r="DL27">
        <f>Hourly_kWh!DM29</f>
        <v>9.8900000000057275E-4</v>
      </c>
      <c r="DM27">
        <f>Hourly_kWh!CC29</f>
        <v>0</v>
      </c>
      <c r="DN27">
        <f>Hourly_kWh!BH29</f>
        <v>0</v>
      </c>
      <c r="DO27">
        <f>Hourly_kWh!AK29</f>
        <v>0</v>
      </c>
      <c r="DP27">
        <f>Hourly_kWh!AT29</f>
        <v>0</v>
      </c>
      <c r="DQ27">
        <f>Hourly_kWh!AX29</f>
        <v>0</v>
      </c>
      <c r="DR27">
        <f>Hourly_kWh!BA29</f>
        <v>0</v>
      </c>
      <c r="DS27">
        <f>Hourly_kWh!BB29</f>
        <v>0</v>
      </c>
      <c r="DT27">
        <f>Hourly_kWh!BC29</f>
        <v>0</v>
      </c>
      <c r="DU27">
        <f>Hourly_kWh!BF29</f>
        <v>0</v>
      </c>
      <c r="DV27">
        <f>Hourly_kWh!BN29</f>
        <v>0</v>
      </c>
      <c r="DW27">
        <f>Hourly_kWh!CD29</f>
        <v>0</v>
      </c>
      <c r="DX27">
        <f>Hourly_kWh!CE29</f>
        <v>0</v>
      </c>
      <c r="DY27">
        <f>Hourly_kWh!CJ29</f>
        <v>0</v>
      </c>
      <c r="DZ27">
        <f>Hourly_kWh!CP29</f>
        <v>0</v>
      </c>
      <c r="EA27">
        <f>Hourly_kWh!CS29</f>
        <v>0</v>
      </c>
      <c r="EB27">
        <f>Hourly_kWh!CU29</f>
        <v>0</v>
      </c>
      <c r="EC27">
        <f>Hourly_kWh!EG29</f>
        <v>0</v>
      </c>
      <c r="ED27">
        <f>Hourly_kWh!EQ29</f>
        <v>0</v>
      </c>
    </row>
    <row r="28" spans="1:134" ht="14" x14ac:dyDescent="0.25">
      <c r="A28" s="323"/>
      <c r="B28" s="137">
        <v>27</v>
      </c>
      <c r="C28" s="141" t="s">
        <v>130</v>
      </c>
      <c r="D28" s="134">
        <f>DAILY_ENERGY!C38</f>
        <v>5.7186379999999994</v>
      </c>
      <c r="E28" s="134">
        <f>DAILY_ENERGY!D38</f>
        <v>5.7561374999999995</v>
      </c>
      <c r="F28" s="134">
        <f>DAILY_ENERGY!E38</f>
        <v>3.7499500000000019E-2</v>
      </c>
      <c r="G28" s="134"/>
      <c r="H28" s="134">
        <f>SHIFT_A!E38</f>
        <v>1.6671000000000546E-2</v>
      </c>
      <c r="I28" s="134">
        <f>SHIFT_B!E38</f>
        <v>1.5137000000000178E-2</v>
      </c>
      <c r="J28" s="134">
        <f>SHIFT_C!E38</f>
        <v>5.6914999999992943E-3</v>
      </c>
      <c r="K28" s="162">
        <f t="shared" si="0"/>
        <v>3.7499500000000019E-2</v>
      </c>
      <c r="L28" s="163">
        <f t="shared" si="1"/>
        <v>0</v>
      </c>
      <c r="N28" s="149" t="s">
        <v>663</v>
      </c>
      <c r="O28">
        <f>Hourly_kWh!AF30</f>
        <v>0</v>
      </c>
      <c r="P28">
        <f>Hourly_kWh!BJ30</f>
        <v>1.699999999971169E-5</v>
      </c>
      <c r="Q28">
        <f>Hourly_kWh!BK30</f>
        <v>5.5364999999998332E-3</v>
      </c>
      <c r="R28">
        <f>Hourly_kWh!EP30</f>
        <v>0</v>
      </c>
      <c r="S28">
        <f>Hourly_kWh!EE30</f>
        <v>5.5645000000001943E-3</v>
      </c>
      <c r="T28">
        <f>Hourly_kWh!DH30</f>
        <v>7.8999999999940229E-4</v>
      </c>
      <c r="U28">
        <f>Hourly_kWh!CL30</f>
        <v>1.1659999999977799E-3</v>
      </c>
      <c r="V28">
        <f>Hourly_kWh!BL30</f>
        <v>0</v>
      </c>
      <c r="W28">
        <f>Hourly_kWh!V30</f>
        <v>5.2439999999975839E-3</v>
      </c>
      <c r="X28">
        <f>Hourly_kWh!AB30</f>
        <v>6.0599999999979559E-3</v>
      </c>
      <c r="Y28">
        <f>Hourly_kWh!AE30</f>
        <v>2.502999999999922E-3</v>
      </c>
      <c r="Z28">
        <f>Hourly_kWh!AG30</f>
        <v>2.7884999999994164E-3</v>
      </c>
      <c r="AA28">
        <f>Hourly_kWh!BE30</f>
        <v>5.0080000000001235E-3</v>
      </c>
      <c r="AB28">
        <f>Hourly_kWh!AY30</f>
        <v>3.3775000000000333E-3</v>
      </c>
      <c r="AC28">
        <f>Hourly_kWh!CX30</f>
        <v>0</v>
      </c>
      <c r="AD28">
        <f>Hourly_kWh!CY30</f>
        <v>3.4299999999976016E-4</v>
      </c>
      <c r="AE28">
        <f>Hourly_kWh!DC30</f>
        <v>4.0127500000000094E-3</v>
      </c>
      <c r="AF28">
        <f>Hourly_kWh!DD30</f>
        <v>1.1894999999999545E-3</v>
      </c>
      <c r="AG28">
        <f>Hourly_kWh!W30</f>
        <v>2.8869999999994178E-3</v>
      </c>
      <c r="AH28">
        <f>Hourly_kWh!X30</f>
        <v>2.458999999999989E-3</v>
      </c>
      <c r="AI28">
        <f>Hourly_kWh!Y30</f>
        <v>0</v>
      </c>
      <c r="AJ28">
        <f>Hourly_kWh!Z30</f>
        <v>2.3770000000009617E-3</v>
      </c>
      <c r="AK28">
        <f>Hourly_kWh!AA30</f>
        <v>4.7239999999995064E-3</v>
      </c>
      <c r="AL28">
        <f>Hourly_kWh!AC30</f>
        <v>1.0080000000023404E-3</v>
      </c>
      <c r="AM28">
        <f>Hourly_kWh!AD30</f>
        <v>2.48700000000035E-3</v>
      </c>
      <c r="AN28">
        <f>Hourly_kWh!AI30</f>
        <v>0</v>
      </c>
      <c r="AO28">
        <f>Hourly_kWh!AJ30</f>
        <v>1.2629999999997921E-3</v>
      </c>
      <c r="AP28">
        <f>Hourly_kWh!AL30</f>
        <v>1.2055406250000011E-2</v>
      </c>
      <c r="AQ28">
        <f>Hourly_kWh!AM30</f>
        <v>2.1335999999990918E-2</v>
      </c>
      <c r="AR28">
        <f>Hourly_kWh!AN30</f>
        <v>1.708000000000709E-2</v>
      </c>
      <c r="AS28">
        <f>Hourly_kWh!AO30</f>
        <v>8.0919999999977676E-3</v>
      </c>
      <c r="AT28">
        <f>Hourly_kWh!AP30</f>
        <v>3.9359999999994955E-3</v>
      </c>
      <c r="AU28">
        <f>Hourly_kWh!CN30</f>
        <v>2.1520000000005979E-3</v>
      </c>
      <c r="AV28">
        <f>Hourly_kWh!CR30</f>
        <v>5.964999999999776E-3</v>
      </c>
      <c r="AW28">
        <f>Hourly_kWh!AQ30</f>
        <v>1.3891999999998461E-2</v>
      </c>
      <c r="AX28">
        <f>Hourly_kWh!AS30</f>
        <v>2.6674999999993787E-3</v>
      </c>
      <c r="AY28">
        <f>Hourly_kWh!EH30</f>
        <v>1.100799999994706E-2</v>
      </c>
      <c r="AZ28">
        <f>Hourly_kWh!EJ30</f>
        <v>1.8239999999991596E-3</v>
      </c>
      <c r="BA28">
        <f>Hourly_kWh!EI30</f>
        <v>1.4783999999963271E-2</v>
      </c>
      <c r="BB28">
        <f>Hourly_kWh!AW30</f>
        <v>6.4127999999982421E-2</v>
      </c>
      <c r="BC28">
        <f>Hourly_kWh!DS30</f>
        <v>7.4048000000004777E-2</v>
      </c>
      <c r="BD28">
        <f>Hourly_kWh!CO30</f>
        <v>1.6952000000003409E-2</v>
      </c>
      <c r="BE28">
        <f>Hourly_kWh!DA30</f>
        <v>1.1496000000001061E-2</v>
      </c>
      <c r="BF28">
        <f>Hourly_kWh!DB30</f>
        <v>4.5650000000012625E-3</v>
      </c>
      <c r="BG28">
        <f>Hourly_kWh!EK30</f>
        <v>0</v>
      </c>
      <c r="BH28">
        <f>Hourly_kWh!EL30</f>
        <v>0.12851200000000063</v>
      </c>
      <c r="BI28">
        <f>Hourly_kWh!EM30</f>
        <v>3.763200000003053E-2</v>
      </c>
      <c r="BJ28">
        <f>Hourly_kWh!EN30</f>
        <v>0</v>
      </c>
      <c r="BK28">
        <f>Hourly_kWh!EO30</f>
        <v>7.0400000004156027E-4</v>
      </c>
      <c r="BL28">
        <f>Hourly_kWh!ER30</f>
        <v>0.10264500000000965</v>
      </c>
      <c r="BM28">
        <f>Hourly_kWh!BW30</f>
        <v>0</v>
      </c>
      <c r="BN28">
        <f>Hourly_kWh!DR30</f>
        <v>0</v>
      </c>
      <c r="BO28">
        <f>Hourly_kWh!CG30</f>
        <v>0</v>
      </c>
      <c r="BP28">
        <f>Hourly_kWh!CI30</f>
        <v>0</v>
      </c>
      <c r="BQ28">
        <f>Hourly_kWh!BV30</f>
        <v>0</v>
      </c>
      <c r="BR28">
        <f>Hourly_kWh!BO30</f>
        <v>4.7532000000000352E-2</v>
      </c>
      <c r="BS28">
        <f>Hourly_kWh!CW30</f>
        <v>7.6559999999972206E-3</v>
      </c>
      <c r="BT28">
        <f>Hourly_kWh!DE30</f>
        <v>0</v>
      </c>
      <c r="BU28">
        <f>Hourly_kWh!DW30</f>
        <v>0</v>
      </c>
      <c r="BV28">
        <f>Hourly_kWh!CB30</f>
        <v>0</v>
      </c>
      <c r="BW28">
        <f>Hourly_kWh!CZ30</f>
        <v>1.2285000000002988E-3</v>
      </c>
      <c r="BX28">
        <f>Hourly_kWh!DG30</f>
        <v>1.6119999999997248E-3</v>
      </c>
      <c r="BY28">
        <f>Hourly_kWh!BS30</f>
        <v>0</v>
      </c>
      <c r="BZ28">
        <f>Hourly_kWh!CH30</f>
        <v>6.3775000000010351E-4</v>
      </c>
      <c r="CA28">
        <f>Hourly_kWh!BR30</f>
        <v>0</v>
      </c>
      <c r="CB28">
        <f>Hourly_kWh!BP30</f>
        <v>0</v>
      </c>
      <c r="CC28">
        <f>Hourly_kWh!BU30</f>
        <v>0</v>
      </c>
      <c r="CD28">
        <f>Hourly_kWh!BX30</f>
        <v>0</v>
      </c>
      <c r="CE28">
        <f>Hourly_kWh!CV30</f>
        <v>7.8025000000003786E-4</v>
      </c>
      <c r="CF28">
        <f>Hourly_kWh!BT30</f>
        <v>1.1431999999999221E-2</v>
      </c>
      <c r="CG28">
        <f>Hourly_kWh!CA30</f>
        <v>1.8173687500000035E-2</v>
      </c>
      <c r="CH28">
        <f>Hourly_kWh!CF30</f>
        <v>8.1400000000009243E-4</v>
      </c>
      <c r="CI28">
        <f>Hourly_kWh!BZ30</f>
        <v>3.003200000000561E-2</v>
      </c>
      <c r="CJ28">
        <f>Hourly_kWh!CK30</f>
        <v>0</v>
      </c>
      <c r="CK28">
        <f>Hourly_kWh!DT30</f>
        <v>1.7226999999999215E-2</v>
      </c>
      <c r="CL28">
        <f>Hourly_kWh!EB30</f>
        <v>5.8719999999993888E-2</v>
      </c>
      <c r="CM28">
        <f>Hourly_kWh!EC30</f>
        <v>3.6560000000008586E-2</v>
      </c>
      <c r="CN28">
        <f>Hourly_kWh!CQ30</f>
        <v>0</v>
      </c>
      <c r="CO28">
        <f>Hourly_kWh!DF30</f>
        <v>0</v>
      </c>
      <c r="CP28">
        <f>Hourly_kWh!DJ30</f>
        <v>0</v>
      </c>
      <c r="CQ28">
        <f>Hourly_kWh!DP30</f>
        <v>2.1865000000005352E-3</v>
      </c>
      <c r="CR28">
        <f>Hourly_kWh!BQ30</f>
        <v>0</v>
      </c>
      <c r="CS28">
        <f>Hourly_kWh!BY30</f>
        <v>0</v>
      </c>
      <c r="CT28">
        <f>Hourly_kWh!DU30</f>
        <v>3.8600000000066359E-4</v>
      </c>
      <c r="CU28">
        <f>Hourly_kWh!DQ30</f>
        <v>0</v>
      </c>
      <c r="CV28">
        <f>Hourly_kWh!EA30</f>
        <v>0</v>
      </c>
      <c r="CW28">
        <f>Hourly_kWh!DO30</f>
        <v>1.1136000000021795E-2</v>
      </c>
      <c r="CX28">
        <f>Hourly_kWh!DX30</f>
        <v>3.5439999999997696E-3</v>
      </c>
      <c r="CY28">
        <f>Hourly_kWh!DY30</f>
        <v>1.5940625000000486E-3</v>
      </c>
      <c r="CZ28">
        <f>Hourly_kWh!DZ30</f>
        <v>3.209999999999269E-3</v>
      </c>
      <c r="DA28">
        <f>Hourly_kWh!ED30</f>
        <v>4.2310000000003178E-3</v>
      </c>
      <c r="DB28">
        <f>Hourly_kWh!DV30</f>
        <v>5.8374999999966093E-4</v>
      </c>
      <c r="DC28">
        <f>Hourly_kWh!CT30</f>
        <v>1.7399999999994975E-2</v>
      </c>
      <c r="DD28">
        <f>Hourly_kWh!DN30</f>
        <v>0</v>
      </c>
      <c r="DE28">
        <f>Hourly_kWh!AZ30</f>
        <v>0</v>
      </c>
      <c r="DF28">
        <f>Hourly_kWh!BD30</f>
        <v>9.9500000000002364E-5</v>
      </c>
      <c r="DG28">
        <f>Hourly_kWh!AV30</f>
        <v>5.4499999999979565E-4</v>
      </c>
      <c r="DH28">
        <f>Hourly_kWh!BG30</f>
        <v>6.0700000000046828E-4</v>
      </c>
      <c r="DI28">
        <f>Hourly_kWh!DK30</f>
        <v>2.8140000000007603E-3</v>
      </c>
      <c r="DJ28">
        <f>Hourly_kWh!DL30</f>
        <v>1.1157031249999783E-3</v>
      </c>
      <c r="DK28">
        <f>Hourly_kWh!AU30</f>
        <v>2.4119999999996367E-3</v>
      </c>
      <c r="DL28">
        <f>Hourly_kWh!DM30</f>
        <v>1.4870000000009043E-3</v>
      </c>
      <c r="DM28">
        <f>Hourly_kWh!CC30</f>
        <v>0</v>
      </c>
      <c r="DN28">
        <f>Hourly_kWh!BH30</f>
        <v>0</v>
      </c>
      <c r="DO28">
        <f>Hourly_kWh!AK30</f>
        <v>0</v>
      </c>
      <c r="DP28">
        <f>Hourly_kWh!AT30</f>
        <v>0</v>
      </c>
      <c r="DQ28">
        <f>Hourly_kWh!AX30</f>
        <v>0</v>
      </c>
      <c r="DR28">
        <f>Hourly_kWh!BA30</f>
        <v>0</v>
      </c>
      <c r="DS28">
        <f>Hourly_kWh!BB30</f>
        <v>0</v>
      </c>
      <c r="DT28">
        <f>Hourly_kWh!BC30</f>
        <v>0</v>
      </c>
      <c r="DU28">
        <f>Hourly_kWh!BF30</f>
        <v>0</v>
      </c>
      <c r="DV28">
        <f>Hourly_kWh!BN30</f>
        <v>0</v>
      </c>
      <c r="DW28">
        <f>Hourly_kWh!CD30</f>
        <v>0</v>
      </c>
      <c r="DX28">
        <f>Hourly_kWh!CE30</f>
        <v>0</v>
      </c>
      <c r="DY28">
        <f>Hourly_kWh!CJ30</f>
        <v>0</v>
      </c>
      <c r="DZ28">
        <f>Hourly_kWh!CP30</f>
        <v>0</v>
      </c>
      <c r="EA28">
        <f>Hourly_kWh!CS30</f>
        <v>0</v>
      </c>
      <c r="EB28">
        <f>Hourly_kWh!CU30</f>
        <v>0</v>
      </c>
      <c r="EC28">
        <f>Hourly_kWh!EG30</f>
        <v>0</v>
      </c>
      <c r="ED28">
        <f>Hourly_kWh!EQ30</f>
        <v>0</v>
      </c>
    </row>
    <row r="29" spans="1:134" ht="14" x14ac:dyDescent="0.25">
      <c r="A29" s="323"/>
      <c r="B29" s="137">
        <v>28</v>
      </c>
      <c r="C29" s="141" t="s">
        <v>132</v>
      </c>
      <c r="D29" s="134">
        <f>DAILY_ENERGY!C40</f>
        <v>0.14484573437500001</v>
      </c>
      <c r="E29" s="134">
        <f>DAILY_ENERGY!D40</f>
        <v>0.453649625</v>
      </c>
      <c r="F29" s="134">
        <f>DAILY_ENERGY!E40</f>
        <v>0.30880389062500002</v>
      </c>
      <c r="G29" s="134"/>
      <c r="H29" s="134">
        <f>SHIFT_A!E40</f>
        <v>0.132765765625</v>
      </c>
      <c r="I29" s="134">
        <f>SHIFT_B!E40</f>
        <v>0.11399512499999997</v>
      </c>
      <c r="J29" s="134">
        <f>SHIFT_C!E40</f>
        <v>6.2043000000000015E-2</v>
      </c>
      <c r="K29" s="162">
        <f t="shared" si="0"/>
        <v>0.30880389062500002</v>
      </c>
      <c r="L29" s="163">
        <f t="shared" si="1"/>
        <v>0</v>
      </c>
      <c r="N29" s="173" t="s">
        <v>721</v>
      </c>
    </row>
    <row r="30" spans="1:134" ht="14" x14ac:dyDescent="0.25">
      <c r="A30" s="323"/>
      <c r="B30" s="137">
        <v>29</v>
      </c>
      <c r="C30" s="141" t="s">
        <v>133</v>
      </c>
      <c r="D30" s="134">
        <f>DAILY_ENERGY!C41</f>
        <v>85.764583999999999</v>
      </c>
      <c r="E30" s="134">
        <f>DAILY_ENERGY!D41</f>
        <v>86.252727999999991</v>
      </c>
      <c r="F30" s="134">
        <f>DAILY_ENERGY!E41</f>
        <v>0.48814399999999125</v>
      </c>
      <c r="G30" s="134"/>
      <c r="H30" s="134">
        <f>SHIFT_A!E41</f>
        <v>0.15881600000000162</v>
      </c>
      <c r="I30" s="134">
        <f>SHIFT_B!E41</f>
        <v>0.1637360000000001</v>
      </c>
      <c r="J30" s="134">
        <f>SHIFT_C!E41</f>
        <v>0.16559199999998953</v>
      </c>
      <c r="K30" s="162">
        <f t="shared" si="0"/>
        <v>0.48814399999999125</v>
      </c>
      <c r="L30" s="163">
        <f t="shared" si="1"/>
        <v>0</v>
      </c>
      <c r="N30" s="168">
        <v>1</v>
      </c>
      <c r="O30">
        <f>Monthly_kWh!AF7</f>
        <v>0</v>
      </c>
      <c r="P30">
        <f>Monthly_kWh!BJ7</f>
        <v>4.2000000000541597E-5</v>
      </c>
      <c r="Q30">
        <f>Monthly_kWh!BK7</f>
        <v>0.17084750000000001</v>
      </c>
      <c r="R30">
        <f>Monthly_kWh!EP7</f>
        <v>0</v>
      </c>
      <c r="S30">
        <f>Monthly_kWh!EE7</f>
        <v>2.74495000000003E-2</v>
      </c>
      <c r="T30">
        <f>Monthly_kWh!DH7</f>
        <v>6.8770000000002397E-3</v>
      </c>
      <c r="U30">
        <f>Monthly_kWh!CL7</f>
        <v>0.110074000000001</v>
      </c>
      <c r="V30">
        <f>Monthly_kWh!BL7</f>
        <v>1.2800000000012801E-4</v>
      </c>
      <c r="W30">
        <f>Monthly_kWh!V7</f>
        <v>0.114522000000001</v>
      </c>
      <c r="X30">
        <f>Monthly_kWh!AB7</f>
        <v>0.14646200000000001</v>
      </c>
      <c r="Y30">
        <f>Monthly_kWh!AE7</f>
        <v>5.4767499999999601E-2</v>
      </c>
      <c r="Z30">
        <f>Monthly_kWh!AG7</f>
        <v>1.45735E-2</v>
      </c>
      <c r="AA30">
        <f>Monthly_kWh!BE7</f>
        <v>0.136405999999999</v>
      </c>
      <c r="AB30">
        <f>Monthly_kWh!AY7</f>
        <v>5.9878999999999599E-2</v>
      </c>
      <c r="AC30">
        <f>Monthly_kWh!CX7</f>
        <v>0.18693600000000299</v>
      </c>
      <c r="AD30">
        <f>Monthly_kWh!CY7</f>
        <v>1.19359999999999E-2</v>
      </c>
      <c r="AE30">
        <f>Monthly_kWh!DC7</f>
        <v>0.146615999999995</v>
      </c>
      <c r="AF30">
        <f>Monthly_kWh!DD7</f>
        <v>1.5064375E-2</v>
      </c>
      <c r="AG30">
        <f>Monthly_kWh!W7</f>
        <v>1.04810000000004E-2</v>
      </c>
      <c r="AH30">
        <f>Monthly_kWh!X7</f>
        <v>4.2380000000001403E-2</v>
      </c>
      <c r="AI30">
        <f>Monthly_kWh!Y7</f>
        <v>0</v>
      </c>
      <c r="AJ30">
        <f>Monthly_kWh!Z7</f>
        <v>3.8918999999999898E-2</v>
      </c>
      <c r="AK30">
        <f>Monthly_kWh!AA7</f>
        <v>8.0300000000001107E-2</v>
      </c>
      <c r="AL30">
        <f>Monthly_kWh!AC7</f>
        <v>9.56800000000015E-2</v>
      </c>
      <c r="AM30">
        <f>Monthly_kWh!AD7</f>
        <v>3.7385000000000397E-2</v>
      </c>
      <c r="AN30">
        <f>Monthly_kWh!AI7</f>
        <v>0</v>
      </c>
      <c r="AO30">
        <f>Monthly_kWh!AJ7</f>
        <v>2.44085000000007E-2</v>
      </c>
      <c r="AP30">
        <f>Monthly_kWh!AL7</f>
        <v>0.18668000000001</v>
      </c>
      <c r="AQ30">
        <f>Monthly_kWh!AM7</f>
        <v>0.35727199999999498</v>
      </c>
      <c r="AR30">
        <f>Monthly_kWh!AN7</f>
        <v>0.26430399999999599</v>
      </c>
      <c r="AS30">
        <f>Monthly_kWh!AO7</f>
        <v>9.4808000000000406E-2</v>
      </c>
      <c r="AT30">
        <f>Monthly_kWh!AP7</f>
        <v>6.6261999999998294E-2</v>
      </c>
      <c r="AU30">
        <f>Monthly_kWh!CN7</f>
        <v>3.37984999999996E-2</v>
      </c>
      <c r="AV30">
        <f>Monthly_kWh!CR7</f>
        <v>9.6103000000001201E-2</v>
      </c>
      <c r="AW30">
        <f>Monthly_kWh!AQ7</f>
        <v>0.169072</v>
      </c>
      <c r="AX30">
        <f>Monthly_kWh!AS7</f>
        <v>7.46749999999974E-3</v>
      </c>
      <c r="AY30">
        <f>Monthly_kWh!EH7</f>
        <v>0.23462399999993999</v>
      </c>
      <c r="AZ30">
        <f>Monthly_kWh!EJ7</f>
        <v>2.1792000000004901E-2</v>
      </c>
      <c r="BA30">
        <f>Monthly_kWh!EI7</f>
        <v>0.43910400000004302</v>
      </c>
      <c r="BB30">
        <f>Monthly_kWh!AW7</f>
        <v>0.89523200000007797</v>
      </c>
      <c r="BC30">
        <f>Monthly_kWh!DS7</f>
        <v>0.40092799999996498</v>
      </c>
      <c r="BD30">
        <f>Monthly_kWh!CO7</f>
        <v>0.24037599999999801</v>
      </c>
      <c r="BE30">
        <f>Monthly_kWh!DA7</f>
        <v>0.22833199999999501</v>
      </c>
      <c r="BF30">
        <f>Monthly_kWh!DB7</f>
        <v>7.5267999999999405E-2</v>
      </c>
      <c r="BG30">
        <f>Monthly_kWh!EK7</f>
        <v>0</v>
      </c>
      <c r="BH30">
        <f>Monthly_kWh!EL7</f>
        <v>1.5103999999837499E-2</v>
      </c>
      <c r="BI30">
        <f>Monthly_kWh!EM7</f>
        <v>1.8321920000003</v>
      </c>
      <c r="BJ30">
        <f>Monthly_kWh!EN7</f>
        <v>1.9765760000000201</v>
      </c>
      <c r="BK30">
        <f>Monthly_kWh!EO7</f>
        <v>0</v>
      </c>
      <c r="BL30">
        <f>Monthly_kWh!ER7</f>
        <v>1.2230350000000001</v>
      </c>
      <c r="BM30">
        <f>Monthly_kWh!BW7</f>
        <v>0</v>
      </c>
      <c r="BN30">
        <f>Monthly_kWh!DR7</f>
        <v>0</v>
      </c>
      <c r="BO30">
        <f>Monthly_kWh!CG7</f>
        <v>0</v>
      </c>
      <c r="BP30">
        <f>Monthly_kWh!CI7</f>
        <v>0</v>
      </c>
      <c r="BQ30">
        <f>Monthly_kWh!BV7</f>
        <v>0</v>
      </c>
      <c r="BR30">
        <f>Monthly_kWh!BO7</f>
        <v>2.8964000000000201E-2</v>
      </c>
      <c r="BS30">
        <f>Monthly_kWh!CW7</f>
        <v>0</v>
      </c>
      <c r="BT30">
        <f>Monthly_kWh!DE7</f>
        <v>0</v>
      </c>
      <c r="BU30">
        <f>Monthly_kWh!DW7</f>
        <v>0</v>
      </c>
      <c r="BV30">
        <f>Monthly_kWh!CB7</f>
        <v>0</v>
      </c>
      <c r="BW30">
        <f>Monthly_kWh!CZ7</f>
        <v>1.12317499999999E-2</v>
      </c>
      <c r="BX30">
        <f>Monthly_kWh!DG7</f>
        <v>0</v>
      </c>
      <c r="BY30">
        <f>Monthly_kWh!BS7</f>
        <v>0</v>
      </c>
      <c r="BZ30">
        <f>Monthly_kWh!CH7</f>
        <v>1.03927499999998E-2</v>
      </c>
      <c r="CA30">
        <f>Monthly_kWh!BR7</f>
        <v>0</v>
      </c>
      <c r="CB30">
        <f>Monthly_kWh!BP7</f>
        <v>0</v>
      </c>
      <c r="CC30">
        <f>Monthly_kWh!BU7</f>
        <v>0</v>
      </c>
      <c r="CD30">
        <f>Monthly_kWh!BX7</f>
        <v>0</v>
      </c>
      <c r="CE30">
        <f>Monthly_kWh!CV7</f>
        <v>1.4817499999999499E-3</v>
      </c>
      <c r="CF30">
        <f>Monthly_kWh!BT7</f>
        <v>3.1399999999997902E-2</v>
      </c>
      <c r="CG30">
        <f>Monthly_kWh!CA7</f>
        <v>7.5999999999993406E-2</v>
      </c>
      <c r="CH30">
        <f>Monthly_kWh!CF7</f>
        <v>3.9685000000000401E-2</v>
      </c>
      <c r="CI30">
        <f>Monthly_kWh!BZ7</f>
        <v>0.319280000000006</v>
      </c>
      <c r="CJ30">
        <f>Monthly_kWh!CK7</f>
        <v>0</v>
      </c>
      <c r="CK30">
        <f>Monthly_kWh!DT7</f>
        <v>0.12710400000000299</v>
      </c>
      <c r="CL30">
        <f>Monthly_kWh!EB7</f>
        <v>0.26878399999998198</v>
      </c>
      <c r="CM30">
        <f>Monthly_kWh!EC7</f>
        <v>0.19534400000000601</v>
      </c>
      <c r="CN30">
        <f>Monthly_kWh!CQ7</f>
        <v>0</v>
      </c>
      <c r="CO30">
        <f>Monthly_kWh!DF7</f>
        <v>0</v>
      </c>
      <c r="CP30">
        <f>Monthly_kWh!DJ7</f>
        <v>0</v>
      </c>
      <c r="CQ30">
        <f>Monthly_kWh!DP7</f>
        <v>1.47634999999999E-2</v>
      </c>
      <c r="CR30">
        <f>Monthly_kWh!BQ7</f>
        <v>0</v>
      </c>
      <c r="CS30">
        <f>Monthly_kWh!BY7</f>
        <v>0</v>
      </c>
      <c r="CT30">
        <f>Monthly_kWh!DU7</f>
        <v>9.7399999999936405E-4</v>
      </c>
      <c r="CU30">
        <f>Monthly_kWh!DQ7</f>
        <v>0</v>
      </c>
      <c r="CV30">
        <f>Monthly_kWh!EA7</f>
        <v>0</v>
      </c>
      <c r="CW30">
        <f>Monthly_kWh!DO7</f>
        <v>0.40976000000000601</v>
      </c>
      <c r="CX30">
        <f>Monthly_kWh!DX7</f>
        <v>0.155694</v>
      </c>
      <c r="CY30">
        <f>Monthly_kWh!DY7</f>
        <v>3.2530625000000099E-3</v>
      </c>
      <c r="CZ30">
        <f>Monthly_kWh!DZ7</f>
        <v>5.3401999999998402E-2</v>
      </c>
      <c r="DA30">
        <f>Monthly_kWh!ED7</f>
        <v>2.1078999999999799E-2</v>
      </c>
      <c r="DB30">
        <f>Monthly_kWh!DV7</f>
        <v>7.1330000000000603E-3</v>
      </c>
      <c r="DC30">
        <f>Monthly_kWh!CT7</f>
        <v>8.6327999999994603E-2</v>
      </c>
      <c r="DD30">
        <f>Monthly_kWh!DN7</f>
        <v>0</v>
      </c>
      <c r="DE30">
        <f>Monthly_kWh!AZ7</f>
        <v>4.9999999998107097E-6</v>
      </c>
      <c r="DF30">
        <f>Monthly_kWh!BD7</f>
        <v>2.4871250000000301E-3</v>
      </c>
      <c r="DG30">
        <f>Monthly_kWh!AV7</f>
        <v>1.6184500000000501E-2</v>
      </c>
      <c r="DH30">
        <f>Monthly_kWh!BG7</f>
        <v>1.04260000000007E-2</v>
      </c>
      <c r="DI30">
        <f>Monthly_kWh!DK7</f>
        <v>6.56259999999982E-2</v>
      </c>
      <c r="DJ30">
        <f>Monthly_kWh!DL7</f>
        <v>1.14669999999997E-2</v>
      </c>
      <c r="DK30">
        <f>Monthly_kWh!AU7</f>
        <v>3.8304000000003703E-2</v>
      </c>
      <c r="DL30">
        <f>Monthly_kWh!DM7</f>
        <v>3.0420999999998699E-2</v>
      </c>
      <c r="DM30">
        <f>Monthly_kWh!CC7</f>
        <v>0</v>
      </c>
      <c r="DN30">
        <f>Monthly_kWh!BH7</f>
        <v>1.85040000000001E-2</v>
      </c>
      <c r="DO30">
        <f>Monthly_kWh!AK7</f>
        <v>0</v>
      </c>
      <c r="DP30">
        <f>Monthly_kWh!AT7</f>
        <v>0</v>
      </c>
      <c r="DQ30">
        <f>Monthly_kWh!AX7</f>
        <v>0</v>
      </c>
      <c r="DR30">
        <f>Monthly_kWh!BA7</f>
        <v>0</v>
      </c>
      <c r="DS30">
        <f>Monthly_kWh!BB7</f>
        <v>0</v>
      </c>
      <c r="DT30">
        <f>Monthly_kWh!BC7</f>
        <v>0</v>
      </c>
      <c r="DU30">
        <f>Monthly_kWh!BF7</f>
        <v>0</v>
      </c>
      <c r="DV30">
        <f>Monthly_kWh!BN7</f>
        <v>0</v>
      </c>
      <c r="DW30">
        <f>Monthly_kWh!CD7</f>
        <v>0</v>
      </c>
      <c r="DX30">
        <f>Monthly_kWh!CE7</f>
        <v>0</v>
      </c>
      <c r="DY30">
        <f>Monthly_kWh!CJ7</f>
        <v>0</v>
      </c>
      <c r="DZ30">
        <f>Monthly_kWh!CP7</f>
        <v>0</v>
      </c>
      <c r="EA30">
        <f>Monthly_kWh!CS7</f>
        <v>0</v>
      </c>
      <c r="EB30">
        <f>Monthly_kWh!CU7</f>
        <v>0</v>
      </c>
      <c r="EC30">
        <f>Monthly_kWh!EG7</f>
        <v>0</v>
      </c>
      <c r="ED30">
        <f>Monthly_kWh!EQ7</f>
        <v>0</v>
      </c>
    </row>
    <row r="31" spans="1:134" ht="14" x14ac:dyDescent="0.25">
      <c r="A31" s="323"/>
      <c r="B31" s="137">
        <v>30</v>
      </c>
      <c r="C31" s="141" t="s">
        <v>134</v>
      </c>
      <c r="D31" s="134">
        <f>DAILY_ENERGY!C42</f>
        <v>78.000439999999998</v>
      </c>
      <c r="E31" s="134">
        <f>DAILY_ENERGY!D42</f>
        <v>78.376007999999999</v>
      </c>
      <c r="F31" s="134">
        <f>DAILY_ENERGY!E42</f>
        <v>0.37556800000000123</v>
      </c>
      <c r="G31" s="134"/>
      <c r="H31" s="134">
        <f>SHIFT_A!E42</f>
        <v>0.12733599999999967</v>
      </c>
      <c r="I31" s="134">
        <f>SHIFT_B!E42</f>
        <v>0.12440800000000252</v>
      </c>
      <c r="J31" s="134">
        <f>SHIFT_C!E42</f>
        <v>0.12382399999999905</v>
      </c>
      <c r="K31" s="162">
        <f t="shared" si="0"/>
        <v>0.37556800000000123</v>
      </c>
      <c r="L31" s="163">
        <f t="shared" si="1"/>
        <v>0</v>
      </c>
      <c r="N31" s="168">
        <v>2</v>
      </c>
      <c r="O31">
        <f>Monthly_kWh!AF8</f>
        <v>0</v>
      </c>
      <c r="P31">
        <f>Monthly_kWh!BJ8</f>
        <v>2.7249999999980901E-3</v>
      </c>
      <c r="Q31">
        <f>Monthly_kWh!BK8</f>
        <v>5.0178499999999501E-2</v>
      </c>
      <c r="R31">
        <f>Monthly_kWh!EP8</f>
        <v>0</v>
      </c>
      <c r="S31">
        <f>Monthly_kWh!EE8</f>
        <v>2.1848499999999899E-2</v>
      </c>
      <c r="T31">
        <f>Monthly_kWh!DH8</f>
        <v>7.1564999999997898E-3</v>
      </c>
      <c r="U31">
        <f>Monthly_kWh!CL8</f>
        <v>0.20181199999999999</v>
      </c>
      <c r="V31">
        <f>Monthly_kWh!BL8</f>
        <v>3.7800000000132199E-4</v>
      </c>
      <c r="W31">
        <f>Monthly_kWh!V8</f>
        <v>0.128056000000001</v>
      </c>
      <c r="X31">
        <f>Monthly_kWh!AB8</f>
        <v>0.14740399999999801</v>
      </c>
      <c r="Y31">
        <f>Monthly_kWh!AE8</f>
        <v>8.4655500000000203E-2</v>
      </c>
      <c r="Z31">
        <f>Monthly_kWh!AG8</f>
        <v>1.56200000000002E-2</v>
      </c>
      <c r="AA31">
        <f>Monthly_kWh!BE8</f>
        <v>0.139321000000001</v>
      </c>
      <c r="AB31">
        <f>Monthly_kWh!AY8</f>
        <v>5.8442500000000001E-2</v>
      </c>
      <c r="AC31">
        <f>Monthly_kWh!CX8</f>
        <v>0.24176399999999601</v>
      </c>
      <c r="AD31">
        <f>Monthly_kWh!CY8</f>
        <v>1.4921999999999901E-2</v>
      </c>
      <c r="AE31">
        <f>Monthly_kWh!DC8</f>
        <v>9.1120000000017905E-3</v>
      </c>
      <c r="AF31">
        <f>Monthly_kWh!DD8</f>
        <v>2.1709812499999901E-2</v>
      </c>
      <c r="AG31">
        <f>Monthly_kWh!W8</f>
        <v>6.2398000000000002E-2</v>
      </c>
      <c r="AH31">
        <f>Monthly_kWh!X8</f>
        <v>6.6516999999999299E-2</v>
      </c>
      <c r="AI31">
        <f>Monthly_kWh!Y8</f>
        <v>0</v>
      </c>
      <c r="AJ31">
        <f>Monthly_kWh!Z8</f>
        <v>4.6475000000000898E-2</v>
      </c>
      <c r="AK31">
        <f>Monthly_kWh!AA8</f>
        <v>0.110659999999999</v>
      </c>
      <c r="AL31">
        <f>Monthly_kWh!AC8</f>
        <v>9.1338000000000405E-2</v>
      </c>
      <c r="AM31">
        <f>Monthly_kWh!AD8</f>
        <v>4.8367499999999501E-2</v>
      </c>
      <c r="AN31">
        <f>Monthly_kWh!AI8</f>
        <v>0</v>
      </c>
      <c r="AO31">
        <f>Monthly_kWh!AJ8</f>
        <v>3.1619999999999301E-2</v>
      </c>
      <c r="AP31">
        <f>Monthly_kWh!AL8</f>
        <v>0.326048</v>
      </c>
      <c r="AQ31">
        <f>Monthly_kWh!AM8</f>
        <v>0.45799999999999802</v>
      </c>
      <c r="AR31">
        <f>Monthly_kWh!AN8</f>
        <v>0.41523200000000299</v>
      </c>
      <c r="AS31">
        <f>Monthly_kWh!AO8</f>
        <v>0.113332</v>
      </c>
      <c r="AT31">
        <f>Monthly_kWh!AP8</f>
        <v>8.1760000000002706E-2</v>
      </c>
      <c r="AU31">
        <f>Monthly_kWh!CN8</f>
        <v>4.5381999999999999E-2</v>
      </c>
      <c r="AV31">
        <f>Monthly_kWh!CR8</f>
        <v>0.107775</v>
      </c>
      <c r="AW31">
        <f>Monthly_kWh!AQ8</f>
        <v>0.32807600000000298</v>
      </c>
      <c r="AX31">
        <f>Monthly_kWh!AS8</f>
        <v>5.1539000000000001E-2</v>
      </c>
      <c r="AY31">
        <f>Monthly_kWh!EH8</f>
        <v>0.40287999999998197</v>
      </c>
      <c r="AZ31">
        <f>Monthly_kWh!EJ8</f>
        <v>3.61599999999953E-2</v>
      </c>
      <c r="BA31">
        <f>Monthly_kWh!EI8</f>
        <v>0.52262400000006404</v>
      </c>
      <c r="BB31">
        <f>Monthly_kWh!AW8</f>
        <v>1.7534719999999899</v>
      </c>
      <c r="BC31">
        <f>Monthly_kWh!DS8</f>
        <v>1.7312320000000301</v>
      </c>
      <c r="BD31">
        <f>Monthly_kWh!CO8</f>
        <v>0.58706800000000203</v>
      </c>
      <c r="BE31">
        <f>Monthly_kWh!DA8</f>
        <v>0.282640000000001</v>
      </c>
      <c r="BF31">
        <f>Monthly_kWh!DB8</f>
        <v>0.12628900000000201</v>
      </c>
      <c r="BG31">
        <f>Monthly_kWh!EK8</f>
        <v>0</v>
      </c>
      <c r="BH31">
        <f>Monthly_kWh!EL8</f>
        <v>1.23904000000016</v>
      </c>
      <c r="BI31">
        <f>Monthly_kWh!EM8</f>
        <v>3.5013119999998699</v>
      </c>
      <c r="BJ31">
        <f>Monthly_kWh!EN8</f>
        <v>1.27436799999987</v>
      </c>
      <c r="BK31">
        <f>Monthly_kWh!EO8</f>
        <v>0</v>
      </c>
      <c r="BL31">
        <f>Monthly_kWh!ER8</f>
        <v>1.994629</v>
      </c>
      <c r="BM31">
        <f>Monthly_kWh!BW8</f>
        <v>0</v>
      </c>
      <c r="BN31">
        <f>Monthly_kWh!DR8</f>
        <v>0</v>
      </c>
      <c r="BO31">
        <f>Monthly_kWh!CG8</f>
        <v>0</v>
      </c>
      <c r="BP31">
        <f>Monthly_kWh!CI8</f>
        <v>0</v>
      </c>
      <c r="BQ31">
        <f>Monthly_kWh!BV8</f>
        <v>0</v>
      </c>
      <c r="BR31">
        <f>Monthly_kWh!BO8</f>
        <v>4.1329000000001101E-2</v>
      </c>
      <c r="BS31">
        <f>Monthly_kWh!CW8</f>
        <v>0</v>
      </c>
      <c r="BT31">
        <f>Monthly_kWh!DE8</f>
        <v>0</v>
      </c>
      <c r="BU31">
        <f>Monthly_kWh!DW8</f>
        <v>0</v>
      </c>
      <c r="BV31">
        <f>Monthly_kWh!CB8</f>
        <v>0</v>
      </c>
      <c r="BW31">
        <f>Monthly_kWh!CZ8</f>
        <v>1.1968250000000199E-2</v>
      </c>
      <c r="BX31">
        <f>Monthly_kWh!DG8</f>
        <v>0</v>
      </c>
      <c r="BY31">
        <f>Monthly_kWh!BS8</f>
        <v>0</v>
      </c>
      <c r="BZ31">
        <f>Monthly_kWh!CH8</f>
        <v>2.2502000000000199E-2</v>
      </c>
      <c r="CA31">
        <f>Monthly_kWh!BR8</f>
        <v>0</v>
      </c>
      <c r="CB31">
        <f>Monthly_kWh!BP8</f>
        <v>0</v>
      </c>
      <c r="CC31">
        <f>Monthly_kWh!BU8</f>
        <v>0</v>
      </c>
      <c r="CD31">
        <f>Monthly_kWh!BX8</f>
        <v>0</v>
      </c>
      <c r="CE31">
        <f>Monthly_kWh!CV8</f>
        <v>1.86253750000001E-2</v>
      </c>
      <c r="CF31">
        <f>Monthly_kWh!BT8</f>
        <v>0.27624400000000499</v>
      </c>
      <c r="CG31">
        <f>Monthly_kWh!CA8</f>
        <v>0.30792800000000398</v>
      </c>
      <c r="CH31">
        <f>Monthly_kWh!CF8</f>
        <v>4.8180999999999599E-2</v>
      </c>
      <c r="CI31">
        <f>Monthly_kWh!BZ8</f>
        <v>0.98352800000000695</v>
      </c>
      <c r="CJ31">
        <f>Monthly_kWh!CK8</f>
        <v>0</v>
      </c>
      <c r="CK31">
        <f>Monthly_kWh!DT8</f>
        <v>0.40438399999999303</v>
      </c>
      <c r="CL31">
        <f>Monthly_kWh!EB8</f>
        <v>1.37750400000002</v>
      </c>
      <c r="CM31">
        <f>Monthly_kWh!EC8</f>
        <v>0.62014400000001002</v>
      </c>
      <c r="CN31">
        <f>Monthly_kWh!CQ8</f>
        <v>0</v>
      </c>
      <c r="CO31">
        <f>Monthly_kWh!DF8</f>
        <v>0</v>
      </c>
      <c r="CP31">
        <f>Monthly_kWh!DJ8</f>
        <v>0</v>
      </c>
      <c r="CQ31">
        <f>Monthly_kWh!DP8</f>
        <v>3.5984500000000502E-2</v>
      </c>
      <c r="CR31">
        <f>Monthly_kWh!BQ8</f>
        <v>0</v>
      </c>
      <c r="CS31">
        <f>Monthly_kWh!BY8</f>
        <v>0</v>
      </c>
      <c r="CT31">
        <f>Monthly_kWh!DU8</f>
        <v>2.30309999999996E-2</v>
      </c>
      <c r="CU31">
        <f>Monthly_kWh!DQ8</f>
        <v>0</v>
      </c>
      <c r="CV31">
        <f>Monthly_kWh!EA8</f>
        <v>0</v>
      </c>
      <c r="CW31">
        <f>Monthly_kWh!DO8</f>
        <v>0.74768000000000301</v>
      </c>
      <c r="CX31">
        <f>Monthly_kWh!DX8</f>
        <v>0.15559049999999999</v>
      </c>
      <c r="CY31">
        <f>Monthly_kWh!DY8</f>
        <v>3.9664375000000298E-3</v>
      </c>
      <c r="CZ31">
        <f>Monthly_kWh!DZ8</f>
        <v>0.10527800000000199</v>
      </c>
      <c r="DA31">
        <f>Monthly_kWh!ED8</f>
        <v>3.9490250000000102E-2</v>
      </c>
      <c r="DB31">
        <f>Monthly_kWh!DV8</f>
        <v>7.0967500000001004E-3</v>
      </c>
      <c r="DC31">
        <f>Monthly_kWh!CT8</f>
        <v>0.20339200000000801</v>
      </c>
      <c r="DD31">
        <f>Monthly_kWh!DN8</f>
        <v>1.93999999999916E-4</v>
      </c>
      <c r="DE31">
        <f>Monthly_kWh!AZ8</f>
        <v>1.5499999999946099E-5</v>
      </c>
      <c r="DF31">
        <f>Monthly_kWh!BD8</f>
        <v>3.8876249999999501E-3</v>
      </c>
      <c r="DG31">
        <f>Monthly_kWh!AV8</f>
        <v>1.8547499999999498E-2</v>
      </c>
      <c r="DH31">
        <f>Monthly_kWh!BG8</f>
        <v>1.08629999999987E-2</v>
      </c>
      <c r="DI31">
        <f>Monthly_kWh!DK8</f>
        <v>6.5272000000000205E-2</v>
      </c>
      <c r="DJ31">
        <f>Monthly_kWh!DL8</f>
        <v>1.9265999999999998E-2</v>
      </c>
      <c r="DK31">
        <f>Monthly_kWh!AU8</f>
        <v>4.3607999999999002E-2</v>
      </c>
      <c r="DL31">
        <f>Monthly_kWh!DM8</f>
        <v>4.4378000000000001E-2</v>
      </c>
      <c r="DM31">
        <f>Monthly_kWh!CC8</f>
        <v>0</v>
      </c>
      <c r="DN31">
        <f>Monthly_kWh!BH8</f>
        <v>4.3896000000000199E-2</v>
      </c>
      <c r="DO31">
        <f>Monthly_kWh!AK8</f>
        <v>0</v>
      </c>
      <c r="DP31">
        <f>Monthly_kWh!AT8</f>
        <v>0</v>
      </c>
      <c r="DQ31">
        <f>Monthly_kWh!AX8</f>
        <v>0</v>
      </c>
      <c r="DR31">
        <f>Monthly_kWh!BA8</f>
        <v>0</v>
      </c>
      <c r="DS31">
        <f>Monthly_kWh!BB8</f>
        <v>0</v>
      </c>
      <c r="DT31">
        <f>Monthly_kWh!BC8</f>
        <v>0</v>
      </c>
      <c r="DU31">
        <f>Monthly_kWh!BF8</f>
        <v>0</v>
      </c>
      <c r="DV31">
        <f>Monthly_kWh!BN8</f>
        <v>0</v>
      </c>
      <c r="DW31">
        <f>Monthly_kWh!CD8</f>
        <v>0</v>
      </c>
      <c r="DX31">
        <f>Monthly_kWh!CE8</f>
        <v>0</v>
      </c>
      <c r="DY31">
        <f>Monthly_kWh!CJ8</f>
        <v>0</v>
      </c>
      <c r="DZ31">
        <f>Monthly_kWh!CP8</f>
        <v>0</v>
      </c>
      <c r="EA31">
        <f>Monthly_kWh!CS8</f>
        <v>0</v>
      </c>
      <c r="EB31">
        <f>Monthly_kWh!CU8</f>
        <v>0</v>
      </c>
      <c r="EC31">
        <f>Monthly_kWh!EG8</f>
        <v>0</v>
      </c>
      <c r="ED31">
        <f>Monthly_kWh!EQ8</f>
        <v>0</v>
      </c>
    </row>
    <row r="32" spans="1:134" ht="14" x14ac:dyDescent="0.25">
      <c r="A32" s="323"/>
      <c r="B32" s="137">
        <v>31</v>
      </c>
      <c r="C32" s="141" t="s">
        <v>135</v>
      </c>
      <c r="D32" s="134">
        <f>DAILY_ENERGY!C43</f>
        <v>36.349356</v>
      </c>
      <c r="E32" s="134">
        <f>DAILY_ENERGY!D43</f>
        <v>36.504331999999998</v>
      </c>
      <c r="F32" s="134">
        <f>DAILY_ENERGY!E43</f>
        <v>0.15497599999999778</v>
      </c>
      <c r="G32" s="134"/>
      <c r="H32" s="134">
        <f>SHIFT_A!E43</f>
        <v>6.6635999999995477E-2</v>
      </c>
      <c r="I32" s="134">
        <f>SHIFT_B!E43</f>
        <v>4.4624000000005992E-2</v>
      </c>
      <c r="J32" s="134">
        <f>SHIFT_C!E43</f>
        <v>4.3715999999996313E-2</v>
      </c>
      <c r="K32" s="162">
        <f t="shared" si="0"/>
        <v>0.15497599999999778</v>
      </c>
      <c r="L32" s="163">
        <f t="shared" si="1"/>
        <v>0</v>
      </c>
      <c r="N32" s="168">
        <v>3</v>
      </c>
      <c r="O32">
        <f>Monthly_kWh!AF9</f>
        <v>0</v>
      </c>
      <c r="P32">
        <f>Monthly_kWh!BJ9</f>
        <v>1.4399999999881199E-4</v>
      </c>
      <c r="Q32">
        <f>Monthly_kWh!BK9</f>
        <v>4.5702000000000402E-2</v>
      </c>
      <c r="R32">
        <f>Monthly_kWh!EP9</f>
        <v>0</v>
      </c>
      <c r="S32">
        <f>Monthly_kWh!EE9</f>
        <v>1.9777000000000398E-2</v>
      </c>
      <c r="T32">
        <f>Monthly_kWh!DH9</f>
        <v>8.0075000000006096E-3</v>
      </c>
      <c r="U32">
        <f>Monthly_kWh!CL9</f>
        <v>0.17868799999999799</v>
      </c>
      <c r="V32">
        <f>Monthly_kWh!BL9</f>
        <v>8.8000000001642307E-5</v>
      </c>
      <c r="W32">
        <f>Monthly_kWh!V9</f>
        <v>0.12228800000000099</v>
      </c>
      <c r="X32">
        <f>Monthly_kWh!AB9</f>
        <v>0.14488200000000301</v>
      </c>
      <c r="Y32">
        <f>Monthly_kWh!AE9</f>
        <v>6.0660999999999597E-2</v>
      </c>
      <c r="Z32">
        <f>Monthly_kWh!AG9</f>
        <v>1.13309999999998E-2</v>
      </c>
      <c r="AA32">
        <f>Monthly_kWh!BE9</f>
        <v>0.27191199999999899</v>
      </c>
      <c r="AB32">
        <f>Monthly_kWh!AY9</f>
        <v>5.13380000000003E-2</v>
      </c>
      <c r="AC32">
        <f>Monthly_kWh!CX9</f>
        <v>0.221972000000001</v>
      </c>
      <c r="AD32">
        <f>Monthly_kWh!CY9</f>
        <v>1.34890000000001E-2</v>
      </c>
      <c r="AE32">
        <f>Monthly_kWh!DC9</f>
        <v>1.1947999999996701E-2</v>
      </c>
      <c r="AF32">
        <f>Monthly_kWh!DD9</f>
        <v>2.1543375E-2</v>
      </c>
      <c r="AG32">
        <f>Monthly_kWh!W9</f>
        <v>5.8008000000000899E-2</v>
      </c>
      <c r="AH32">
        <f>Monthly_kWh!X9</f>
        <v>7.4849999999999597E-2</v>
      </c>
      <c r="AI32">
        <f>Monthly_kWh!Y9</f>
        <v>0</v>
      </c>
      <c r="AJ32">
        <f>Monthly_kWh!Z9</f>
        <v>4.9728000000000001E-2</v>
      </c>
      <c r="AK32">
        <f>Monthly_kWh!AA9</f>
        <v>0.11204599999999899</v>
      </c>
      <c r="AL32">
        <f>Monthly_kWh!AC9</f>
        <v>9.5897999999998304E-2</v>
      </c>
      <c r="AM32">
        <f>Monthly_kWh!AD9</f>
        <v>4.8812500000000397E-2</v>
      </c>
      <c r="AN32">
        <f>Monthly_kWh!AI9</f>
        <v>0</v>
      </c>
      <c r="AO32">
        <f>Monthly_kWh!AJ9</f>
        <v>3.9760500000000802E-2</v>
      </c>
      <c r="AP32">
        <f>Monthly_kWh!AL9</f>
        <v>0.31319999999999498</v>
      </c>
      <c r="AQ32">
        <f>Monthly_kWh!AM9</f>
        <v>0.44940800000000503</v>
      </c>
      <c r="AR32">
        <f>Monthly_kWh!AN9</f>
        <v>0.412351999999999</v>
      </c>
      <c r="AS32">
        <f>Monthly_kWh!AO9</f>
        <v>0.10613</v>
      </c>
      <c r="AT32">
        <f>Monthly_kWh!AP9</f>
        <v>8.0499999999997102E-2</v>
      </c>
      <c r="AU32">
        <f>Monthly_kWh!CN9</f>
        <v>4.4058500000000202E-2</v>
      </c>
      <c r="AV32">
        <f>Monthly_kWh!CR9</f>
        <v>9.1118999999999103E-2</v>
      </c>
      <c r="AW32">
        <f>Monthly_kWh!AQ9</f>
        <v>0.33355199999999702</v>
      </c>
      <c r="AX32">
        <f>Monthly_kWh!AS9</f>
        <v>4.3688999999999603E-2</v>
      </c>
      <c r="AY32">
        <f>Monthly_kWh!EH9</f>
        <v>0.382207999999991</v>
      </c>
      <c r="AZ32">
        <f>Monthly_kWh!EJ9</f>
        <v>2.3680000000013E-2</v>
      </c>
      <c r="BA32">
        <f>Monthly_kWh!EI9</f>
        <v>0.44940799999994901</v>
      </c>
      <c r="BB32">
        <f>Monthly_kWh!AW9</f>
        <v>1.88390400000003</v>
      </c>
      <c r="BC32">
        <f>Monthly_kWh!DS9</f>
        <v>1.5808639999999601</v>
      </c>
      <c r="BD32">
        <f>Monthly_kWh!CO9</f>
        <v>0.44995600000000002</v>
      </c>
      <c r="BE32">
        <f>Monthly_kWh!DA9</f>
        <v>0.29192800000000602</v>
      </c>
      <c r="BF32">
        <f>Monthly_kWh!DB9</f>
        <v>0.12020599999999999</v>
      </c>
      <c r="BG32">
        <f>Monthly_kWh!EK9</f>
        <v>0</v>
      </c>
      <c r="BH32">
        <f>Monthly_kWh!EL9</f>
        <v>7.1679999998650601E-3</v>
      </c>
      <c r="BI32">
        <f>Monthly_kWh!EM9</f>
        <v>3.2819199999999</v>
      </c>
      <c r="BJ32">
        <f>Monthly_kWh!EN9</f>
        <v>1.6816640000001799</v>
      </c>
      <c r="BK32">
        <f>Monthly_kWh!EO9</f>
        <v>0</v>
      </c>
      <c r="BL32">
        <f>Monthly_kWh!ER9</f>
        <v>2.1242020000000101</v>
      </c>
      <c r="BM32">
        <f>Monthly_kWh!BW9</f>
        <v>0</v>
      </c>
      <c r="BN32">
        <f>Monthly_kWh!DR9</f>
        <v>0</v>
      </c>
      <c r="BO32">
        <f>Monthly_kWh!CG9</f>
        <v>0</v>
      </c>
      <c r="BP32">
        <f>Monthly_kWh!CI9</f>
        <v>0</v>
      </c>
      <c r="BQ32">
        <f>Monthly_kWh!BV9</f>
        <v>0</v>
      </c>
      <c r="BR32">
        <f>Monthly_kWh!BO9</f>
        <v>4.2339000000000099E-2</v>
      </c>
      <c r="BS32">
        <f>Monthly_kWh!CW9</f>
        <v>0</v>
      </c>
      <c r="BT32">
        <f>Monthly_kWh!DE9</f>
        <v>0</v>
      </c>
      <c r="BU32">
        <f>Monthly_kWh!DW9</f>
        <v>0</v>
      </c>
      <c r="BV32">
        <f>Monthly_kWh!CB9</f>
        <v>0</v>
      </c>
      <c r="BW32">
        <f>Monthly_kWh!CZ9</f>
        <v>1.19482499999997E-2</v>
      </c>
      <c r="BX32">
        <f>Monthly_kWh!DG9</f>
        <v>0</v>
      </c>
      <c r="BY32">
        <f>Monthly_kWh!BS9</f>
        <v>0</v>
      </c>
      <c r="BZ32">
        <f>Monthly_kWh!CH9</f>
        <v>1.91262499999998E-2</v>
      </c>
      <c r="CA32">
        <f>Monthly_kWh!BR9</f>
        <v>0</v>
      </c>
      <c r="CB32">
        <f>Monthly_kWh!BP9</f>
        <v>0</v>
      </c>
      <c r="CC32">
        <f>Monthly_kWh!BU9</f>
        <v>0</v>
      </c>
      <c r="CD32">
        <f>Monthly_kWh!BX9</f>
        <v>0</v>
      </c>
      <c r="CE32">
        <f>Monthly_kWh!CV9</f>
        <v>2.0615999999999999E-2</v>
      </c>
      <c r="CF32">
        <f>Monthly_kWh!BT9</f>
        <v>0.27489599999999798</v>
      </c>
      <c r="CG32">
        <f>Monthly_kWh!CA9</f>
        <v>0.286192</v>
      </c>
      <c r="CH32">
        <f>Monthly_kWh!CF9</f>
        <v>4.4890000000000499E-2</v>
      </c>
      <c r="CI32">
        <f>Monthly_kWh!BZ9</f>
        <v>0.92685599999998702</v>
      </c>
      <c r="CJ32">
        <f>Monthly_kWh!CK9</f>
        <v>0</v>
      </c>
      <c r="CK32">
        <f>Monthly_kWh!DT9</f>
        <v>0.40534400000001403</v>
      </c>
      <c r="CL32">
        <f>Monthly_kWh!EB9</f>
        <v>1.377488</v>
      </c>
      <c r="CM32">
        <f>Monthly_kWh!EC9</f>
        <v>0.56094400000000599</v>
      </c>
      <c r="CN32">
        <f>Monthly_kWh!CQ9</f>
        <v>0</v>
      </c>
      <c r="CO32">
        <f>Monthly_kWh!DF9</f>
        <v>0</v>
      </c>
      <c r="CP32">
        <f>Monthly_kWh!DJ9</f>
        <v>0</v>
      </c>
      <c r="CQ32">
        <f>Monthly_kWh!DP9</f>
        <v>4.2244499999999803E-2</v>
      </c>
      <c r="CR32">
        <f>Monthly_kWh!BQ9</f>
        <v>0</v>
      </c>
      <c r="CS32">
        <f>Monthly_kWh!BY9</f>
        <v>0</v>
      </c>
      <c r="CT32">
        <f>Monthly_kWh!DU9</f>
        <v>2.3330000000001402E-2</v>
      </c>
      <c r="CU32">
        <f>Monthly_kWh!DQ9</f>
        <v>0</v>
      </c>
      <c r="CV32">
        <f>Monthly_kWh!EA9</f>
        <v>0</v>
      </c>
      <c r="CW32">
        <f>Monthly_kWh!DO9</f>
        <v>0.76158399999999904</v>
      </c>
      <c r="CX32">
        <f>Monthly_kWh!DX9</f>
        <v>0.183674</v>
      </c>
      <c r="CY32">
        <f>Monthly_kWh!DY9</f>
        <v>3.3179687499999598E-3</v>
      </c>
      <c r="CZ32">
        <f>Monthly_kWh!DZ9</f>
        <v>0.11866399999999901</v>
      </c>
      <c r="DA32">
        <f>Monthly_kWh!ED9</f>
        <v>3.9919750000000101E-2</v>
      </c>
      <c r="DB32">
        <f>Monthly_kWh!DV9</f>
        <v>8.0132499999998608E-3</v>
      </c>
      <c r="DC32">
        <f>Monthly_kWh!CT9</f>
        <v>0.201515999999998</v>
      </c>
      <c r="DD32">
        <f>Monthly_kWh!DN9</f>
        <v>1.8750000000400399E-6</v>
      </c>
      <c r="DE32">
        <f>Monthly_kWh!AZ9</f>
        <v>0</v>
      </c>
      <c r="DF32">
        <f>Monthly_kWh!BD9</f>
        <v>2.6852500000000799E-3</v>
      </c>
      <c r="DG32">
        <f>Monthly_kWh!AV9</f>
        <v>2.8443499999999799E-2</v>
      </c>
      <c r="DH32">
        <f>Monthly_kWh!BG9</f>
        <v>1.12670000000001E-2</v>
      </c>
      <c r="DI32">
        <f>Monthly_kWh!DK9</f>
        <v>6.5044000000000296E-2</v>
      </c>
      <c r="DJ32">
        <f>Monthly_kWh!DL9</f>
        <v>1.8892000000000998E-2</v>
      </c>
      <c r="DK32">
        <f>Monthly_kWh!AU9</f>
        <v>4.4083999999998E-2</v>
      </c>
      <c r="DL32">
        <f>Monthly_kWh!DM9</f>
        <v>4.3361000000000899E-2</v>
      </c>
      <c r="DM32">
        <f>Monthly_kWh!CC9</f>
        <v>0</v>
      </c>
      <c r="DN32">
        <f>Monthly_kWh!BH9</f>
        <v>1.7820000000000401E-2</v>
      </c>
      <c r="DO32">
        <f>Monthly_kWh!AK9</f>
        <v>0</v>
      </c>
      <c r="DP32">
        <f>Monthly_kWh!AT9</f>
        <v>0</v>
      </c>
      <c r="DQ32">
        <f>Monthly_kWh!AX9</f>
        <v>0</v>
      </c>
      <c r="DR32">
        <f>Monthly_kWh!BA9</f>
        <v>0</v>
      </c>
      <c r="DS32">
        <f>Monthly_kWh!BB9</f>
        <v>0</v>
      </c>
      <c r="DT32">
        <f>Monthly_kWh!BC9</f>
        <v>0</v>
      </c>
      <c r="DU32">
        <f>Monthly_kWh!BF9</f>
        <v>0</v>
      </c>
      <c r="DV32">
        <f>Monthly_kWh!BN9</f>
        <v>0</v>
      </c>
      <c r="DW32">
        <f>Monthly_kWh!CD9</f>
        <v>0</v>
      </c>
      <c r="DX32">
        <f>Monthly_kWh!CE9</f>
        <v>0</v>
      </c>
      <c r="DY32">
        <f>Monthly_kWh!CJ9</f>
        <v>0</v>
      </c>
      <c r="DZ32">
        <f>Monthly_kWh!CP9</f>
        <v>0</v>
      </c>
      <c r="EA32">
        <f>Monthly_kWh!CS9</f>
        <v>0</v>
      </c>
      <c r="EB32">
        <f>Monthly_kWh!CU9</f>
        <v>0</v>
      </c>
      <c r="EC32">
        <f>Monthly_kWh!EG9</f>
        <v>0</v>
      </c>
      <c r="ED32">
        <f>Monthly_kWh!EQ9</f>
        <v>0</v>
      </c>
    </row>
    <row r="33" spans="1:134" ht="14" x14ac:dyDescent="0.25">
      <c r="A33" s="323"/>
      <c r="B33" s="137">
        <v>32</v>
      </c>
      <c r="C33" s="141" t="s">
        <v>687</v>
      </c>
      <c r="D33" s="134">
        <f>DAILY_ENERGY!C44</f>
        <v>20.443763999999998</v>
      </c>
      <c r="E33" s="134">
        <f>DAILY_ENERGY!D44</f>
        <v>20.524956</v>
      </c>
      <c r="F33" s="134">
        <f>DAILY_ENERGY!E44</f>
        <v>8.1192000000001485E-2</v>
      </c>
      <c r="G33" s="134"/>
      <c r="H33" s="134">
        <f>SHIFT_A!E44</f>
        <v>2.5754000000002719E-2</v>
      </c>
      <c r="I33" s="134">
        <f>SHIFT_B!E44</f>
        <v>2.8191999999997108E-2</v>
      </c>
      <c r="J33" s="134">
        <f>SHIFT_C!E44</f>
        <v>2.7246000000001658E-2</v>
      </c>
      <c r="K33" s="162">
        <f t="shared" si="0"/>
        <v>8.1192000000001485E-2</v>
      </c>
      <c r="L33" s="163">
        <f t="shared" si="1"/>
        <v>0</v>
      </c>
      <c r="N33" s="168">
        <v>4</v>
      </c>
      <c r="O33">
        <f>Monthly_kWh!AF10</f>
        <v>0</v>
      </c>
      <c r="P33">
        <f>Monthly_kWh!BJ10</f>
        <v>2.0010000000034701E-3</v>
      </c>
      <c r="Q33">
        <f>Monthly_kWh!BK10</f>
        <v>5.3650499999999803E-2</v>
      </c>
      <c r="R33">
        <f>Monthly_kWh!EP10</f>
        <v>0</v>
      </c>
      <c r="S33">
        <f>Monthly_kWh!EE10</f>
        <v>1.9370499999999999E-2</v>
      </c>
      <c r="T33">
        <f>Monthly_kWh!DH10</f>
        <v>1.0394999999999901E-2</v>
      </c>
      <c r="U33">
        <f>Monthly_kWh!CL10</f>
        <v>0.20203000000000099</v>
      </c>
      <c r="V33">
        <f>Monthly_kWh!BL10</f>
        <v>3.1999999997367501E-5</v>
      </c>
      <c r="W33">
        <f>Monthly_kWh!V10</f>
        <v>0.123801999999998</v>
      </c>
      <c r="X33">
        <f>Monthly_kWh!AB10</f>
        <v>0.14723</v>
      </c>
      <c r="Y33">
        <f>Monthly_kWh!AE10</f>
        <v>6.3676000000000094E-2</v>
      </c>
      <c r="Z33">
        <f>Monthly_kWh!AG10</f>
        <v>1.45427499999999E-2</v>
      </c>
      <c r="AA33">
        <f>Monthly_kWh!BE10</f>
        <v>0.12595300000000101</v>
      </c>
      <c r="AB33">
        <f>Monthly_kWh!AY10</f>
        <v>5.6489499999999603E-2</v>
      </c>
      <c r="AC33">
        <f>Monthly_kWh!CX10</f>
        <v>0.217752000000004</v>
      </c>
      <c r="AD33">
        <f>Monthly_kWh!CY10</f>
        <v>9.1759999999998492E-3</v>
      </c>
      <c r="AE33">
        <f>Monthly_kWh!DC10</f>
        <v>0.113656000000006</v>
      </c>
      <c r="AF33">
        <f>Monthly_kWh!DD10</f>
        <v>1.65198750000001E-2</v>
      </c>
      <c r="AG33">
        <f>Monthly_kWh!W10</f>
        <v>6.6499999999999601E-2</v>
      </c>
      <c r="AH33">
        <f>Monthly_kWh!X10</f>
        <v>8.0547000000001007E-2</v>
      </c>
      <c r="AI33">
        <f>Monthly_kWh!Y10</f>
        <v>0</v>
      </c>
      <c r="AJ33">
        <f>Monthly_kWh!Z10</f>
        <v>5.0720999999999399E-2</v>
      </c>
      <c r="AK33">
        <f>Monthly_kWh!AA10</f>
        <v>0.11218399999999901</v>
      </c>
      <c r="AL33">
        <f>Monthly_kWh!AC10</f>
        <v>9.7616000000002104E-2</v>
      </c>
      <c r="AM33">
        <f>Monthly_kWh!AD10</f>
        <v>5.2209499999999999E-2</v>
      </c>
      <c r="AN33">
        <f>Monthly_kWh!AI10</f>
        <v>0</v>
      </c>
      <c r="AO33">
        <f>Monthly_kWh!AJ10</f>
        <v>4.5447999999999503E-2</v>
      </c>
      <c r="AP33">
        <f>Monthly_kWh!AL10</f>
        <v>0.32583999999999902</v>
      </c>
      <c r="AQ33">
        <f>Monthly_kWh!AM10</f>
        <v>0.45747199999999599</v>
      </c>
      <c r="AR33">
        <f>Monthly_kWh!AN10</f>
        <v>0.41071999999999798</v>
      </c>
      <c r="AS33">
        <f>Monthly_kWh!AO10</f>
        <v>0.109127999999998</v>
      </c>
      <c r="AT33">
        <f>Monthly_kWh!AP10</f>
        <v>8.2252000000000394E-2</v>
      </c>
      <c r="AU33">
        <f>Monthly_kWh!CN10</f>
        <v>4.5799500000000201E-2</v>
      </c>
      <c r="AV33">
        <f>Monthly_kWh!CR10</f>
        <v>0.11056100000000101</v>
      </c>
      <c r="AW33">
        <f>Monthly_kWh!AQ10</f>
        <v>0.33482800000000201</v>
      </c>
      <c r="AX33">
        <f>Monthly_kWh!AS10</f>
        <v>3.6905E-2</v>
      </c>
      <c r="AY33">
        <f>Monthly_kWh!EH10</f>
        <v>0.41132800000002601</v>
      </c>
      <c r="AZ33">
        <f>Monthly_kWh!EJ10</f>
        <v>3.2703999999967003E-2</v>
      </c>
      <c r="BA33">
        <f>Monthly_kWh!EI10</f>
        <v>0.48063999999999402</v>
      </c>
      <c r="BB33">
        <f>Monthly_kWh!AW10</f>
        <v>1.91884799999991</v>
      </c>
      <c r="BC33">
        <f>Monthly_kWh!DS10</f>
        <v>1.63769600000001</v>
      </c>
      <c r="BD33">
        <f>Monthly_kWh!CO10</f>
        <v>0.55444400000000404</v>
      </c>
      <c r="BE33">
        <f>Monthly_kWh!DA10</f>
        <v>0.28745199999999499</v>
      </c>
      <c r="BF33">
        <f>Monthly_kWh!DB10</f>
        <v>0.124323</v>
      </c>
      <c r="BG33">
        <f>Monthly_kWh!EK10</f>
        <v>0</v>
      </c>
      <c r="BH33">
        <f>Monthly_kWh!EL10</f>
        <v>0.120959999999968</v>
      </c>
      <c r="BI33">
        <f>Monthly_kWh!EM10</f>
        <v>3.3886720000000401</v>
      </c>
      <c r="BJ33">
        <f>Monthly_kWh!EN10</f>
        <v>1.66886400000021</v>
      </c>
      <c r="BK33">
        <f>Monthly_kWh!EO10</f>
        <v>0</v>
      </c>
      <c r="BL33">
        <f>Monthly_kWh!ER10</f>
        <v>1.85330999999999</v>
      </c>
      <c r="BM33">
        <f>Monthly_kWh!BW10</f>
        <v>0</v>
      </c>
      <c r="BN33">
        <f>Monthly_kWh!DR10</f>
        <v>0</v>
      </c>
      <c r="BO33">
        <f>Monthly_kWh!CG10</f>
        <v>0</v>
      </c>
      <c r="BP33">
        <f>Monthly_kWh!CI10</f>
        <v>0</v>
      </c>
      <c r="BQ33">
        <f>Monthly_kWh!BV10</f>
        <v>0</v>
      </c>
      <c r="BR33">
        <f>Monthly_kWh!BO10</f>
        <v>4.22769999999986E-2</v>
      </c>
      <c r="BS33">
        <f>Monthly_kWh!CW10</f>
        <v>0</v>
      </c>
      <c r="BT33">
        <f>Monthly_kWh!DE10</f>
        <v>0</v>
      </c>
      <c r="BU33">
        <f>Monthly_kWh!DW10</f>
        <v>0</v>
      </c>
      <c r="BV33">
        <f>Monthly_kWh!CB10</f>
        <v>0</v>
      </c>
      <c r="BW33">
        <f>Monthly_kWh!CZ10</f>
        <v>1.18947500000002E-2</v>
      </c>
      <c r="BX33">
        <f>Monthly_kWh!DG10</f>
        <v>0</v>
      </c>
      <c r="BY33">
        <f>Monthly_kWh!BS10</f>
        <v>0</v>
      </c>
      <c r="BZ33">
        <f>Monthly_kWh!CH10</f>
        <v>3.1294250000000197E-2</v>
      </c>
      <c r="CA33">
        <f>Monthly_kWh!BR10</f>
        <v>0</v>
      </c>
      <c r="CB33">
        <f>Monthly_kWh!BP10</f>
        <v>0</v>
      </c>
      <c r="CC33">
        <f>Monthly_kWh!BU10</f>
        <v>0</v>
      </c>
      <c r="CD33">
        <f>Monthly_kWh!BX10</f>
        <v>0</v>
      </c>
      <c r="CE33">
        <f>Monthly_kWh!CV10</f>
        <v>2.2150125E-2</v>
      </c>
      <c r="CF33">
        <f>Monthly_kWh!BT10</f>
        <v>0.27310800000000102</v>
      </c>
      <c r="CG33">
        <f>Monthly_kWh!CA10</f>
        <v>0.316056000000003</v>
      </c>
      <c r="CH33">
        <f>Monthly_kWh!CF10</f>
        <v>3.7629000000000801E-2</v>
      </c>
      <c r="CI33">
        <f>Monthly_kWh!BZ10</f>
        <v>0.99520800000000498</v>
      </c>
      <c r="CJ33">
        <f>Monthly_kWh!CK10</f>
        <v>0</v>
      </c>
      <c r="CK33">
        <f>Monthly_kWh!DT10</f>
        <v>0.40613600000000399</v>
      </c>
      <c r="CL33">
        <f>Monthly_kWh!EB10</f>
        <v>1.44136</v>
      </c>
      <c r="CM33">
        <f>Monthly_kWh!EC10</f>
        <v>0.60204799999999603</v>
      </c>
      <c r="CN33">
        <f>Monthly_kWh!CQ10</f>
        <v>0</v>
      </c>
      <c r="CO33">
        <f>Monthly_kWh!DF10</f>
        <v>0</v>
      </c>
      <c r="CP33">
        <f>Monthly_kWh!DJ10</f>
        <v>0</v>
      </c>
      <c r="CQ33">
        <f>Monthly_kWh!DP10</f>
        <v>4.0714999999999599E-2</v>
      </c>
      <c r="CR33">
        <f>Monthly_kWh!BQ10</f>
        <v>0</v>
      </c>
      <c r="CS33">
        <f>Monthly_kWh!BY10</f>
        <v>0</v>
      </c>
      <c r="CT33">
        <f>Monthly_kWh!DU10</f>
        <v>2.0111E-2</v>
      </c>
      <c r="CU33">
        <f>Monthly_kWh!DQ10</f>
        <v>0</v>
      </c>
      <c r="CV33">
        <f>Monthly_kWh!EA10</f>
        <v>0</v>
      </c>
      <c r="CW33">
        <f>Monthly_kWh!DO10</f>
        <v>0.80571199999999998</v>
      </c>
      <c r="CX33">
        <f>Monthly_kWh!DX10</f>
        <v>0.185289500000001</v>
      </c>
      <c r="CY33">
        <f>Monthly_kWh!DY10</f>
        <v>3.6475312500000002E-3</v>
      </c>
      <c r="CZ33">
        <f>Monthly_kWh!DZ10</f>
        <v>0.101672000000001</v>
      </c>
      <c r="DA33">
        <f>Monthly_kWh!ED10</f>
        <v>3.14884999999996E-2</v>
      </c>
      <c r="DB33">
        <f>Monthly_kWh!DV10</f>
        <v>6.9712499999998699E-3</v>
      </c>
      <c r="DC33">
        <f>Monthly_kWh!CT10</f>
        <v>0.20188399999999301</v>
      </c>
      <c r="DD33">
        <f>Monthly_kWh!DN10</f>
        <v>0</v>
      </c>
      <c r="DE33">
        <f>Monthly_kWh!AZ10</f>
        <v>5.5000000003246896E-6</v>
      </c>
      <c r="DF33">
        <f>Monthly_kWh!BD10</f>
        <v>3.2986249999999999E-3</v>
      </c>
      <c r="DG33">
        <f>Monthly_kWh!AV10</f>
        <v>2.8489500000000102E-2</v>
      </c>
      <c r="DH33">
        <f>Monthly_kWh!BG10</f>
        <v>1.0127999999999899E-2</v>
      </c>
      <c r="DI33">
        <f>Monthly_kWh!DK10</f>
        <v>6.4270000000000493E-2</v>
      </c>
      <c r="DJ33">
        <f>Monthly_kWh!DL10</f>
        <v>1.91169999999996E-2</v>
      </c>
      <c r="DK33">
        <f>Monthly_kWh!AU10</f>
        <v>4.3227999999999198E-2</v>
      </c>
      <c r="DL33">
        <f>Monthly_kWh!DM10</f>
        <v>4.7820999999999003E-2</v>
      </c>
      <c r="DM33">
        <f>Monthly_kWh!CC10</f>
        <v>0</v>
      </c>
      <c r="DN33">
        <f>Monthly_kWh!BH10</f>
        <v>1.0654000000002399E-2</v>
      </c>
      <c r="DO33">
        <f>Monthly_kWh!AK10</f>
        <v>0</v>
      </c>
      <c r="DP33">
        <f>Monthly_kWh!AT10</f>
        <v>0</v>
      </c>
      <c r="DQ33">
        <f>Monthly_kWh!AX10</f>
        <v>0</v>
      </c>
      <c r="DR33">
        <f>Monthly_kWh!BA10</f>
        <v>0</v>
      </c>
      <c r="DS33">
        <f>Monthly_kWh!BB10</f>
        <v>0</v>
      </c>
      <c r="DT33">
        <f>Monthly_kWh!BC10</f>
        <v>0</v>
      </c>
      <c r="DU33">
        <f>Monthly_kWh!BF10</f>
        <v>0</v>
      </c>
      <c r="DV33">
        <f>Monthly_kWh!BN10</f>
        <v>0</v>
      </c>
      <c r="DW33">
        <f>Monthly_kWh!CD10</f>
        <v>0</v>
      </c>
      <c r="DX33">
        <f>Monthly_kWh!CE10</f>
        <v>0</v>
      </c>
      <c r="DY33">
        <f>Monthly_kWh!CJ10</f>
        <v>0</v>
      </c>
      <c r="DZ33">
        <f>Monthly_kWh!CP10</f>
        <v>0</v>
      </c>
      <c r="EA33">
        <f>Monthly_kWh!CS10</f>
        <v>0</v>
      </c>
      <c r="EB33">
        <f>Monthly_kWh!CU10</f>
        <v>0</v>
      </c>
      <c r="EC33">
        <f>Monthly_kWh!EG10</f>
        <v>0</v>
      </c>
      <c r="ED33">
        <f>Monthly_kWh!EQ10</f>
        <v>0</v>
      </c>
    </row>
    <row r="34" spans="1:134" ht="14" x14ac:dyDescent="0.25">
      <c r="A34" s="323"/>
      <c r="B34" s="137">
        <v>33</v>
      </c>
      <c r="C34" s="141" t="s">
        <v>305</v>
      </c>
      <c r="D34" s="134">
        <f>DAILY_ENERGY!C94</f>
        <v>8.8672550000000001</v>
      </c>
      <c r="E34" s="134">
        <f>DAILY_ENERGY!D94</f>
        <v>8.9221690000000002</v>
      </c>
      <c r="F34" s="134">
        <f>DAILY_ENERGY!E94</f>
        <v>5.4914000000000129E-2</v>
      </c>
      <c r="G34" s="134"/>
      <c r="H34" s="134">
        <f>SHIFT_A!E94</f>
        <v>1.5746000000000038E-2</v>
      </c>
      <c r="I34" s="134">
        <f>SHIFT_B!E94</f>
        <v>1.9231999999998806E-2</v>
      </c>
      <c r="J34" s="134">
        <f>SHIFT_C!E94</f>
        <v>1.9936000000001286E-2</v>
      </c>
      <c r="K34" s="162">
        <f t="shared" si="0"/>
        <v>5.4914000000000129E-2</v>
      </c>
      <c r="L34" s="163">
        <f t="shared" si="1"/>
        <v>0</v>
      </c>
      <c r="N34" s="168">
        <v>5</v>
      </c>
      <c r="O34">
        <f>Monthly_kWh!AF11</f>
        <v>0</v>
      </c>
      <c r="P34">
        <f>Monthly_kWh!BJ11</f>
        <v>9.1099999999855197E-4</v>
      </c>
      <c r="Q34">
        <f>Monthly_kWh!BK11</f>
        <v>4.9101000000000297E-2</v>
      </c>
      <c r="R34">
        <f>Monthly_kWh!EP11</f>
        <v>0</v>
      </c>
      <c r="S34">
        <f>Monthly_kWh!EE11</f>
        <v>2.0474499999999701E-2</v>
      </c>
      <c r="T34">
        <f>Monthly_kWh!DH11</f>
        <v>1.1283499999999299E-2</v>
      </c>
      <c r="U34">
        <f>Monthly_kWh!CL11</f>
        <v>0.16237600000000199</v>
      </c>
      <c r="V34">
        <f>Monthly_kWh!BL11</f>
        <v>1.5800000000254499E-4</v>
      </c>
      <c r="W34">
        <f>Monthly_kWh!V11</f>
        <v>0.120260000000002</v>
      </c>
      <c r="X34">
        <f>Monthly_kWh!AB11</f>
        <v>0.150527999999998</v>
      </c>
      <c r="Y34">
        <f>Monthly_kWh!AE11</f>
        <v>9.0038500000000396E-2</v>
      </c>
      <c r="Z34">
        <f>Monthly_kWh!AG11</f>
        <v>1.35175000000003E-2</v>
      </c>
      <c r="AA34">
        <f>Monthly_kWh!BE11</f>
        <v>0.122389999999999</v>
      </c>
      <c r="AB34">
        <f>Monthly_kWh!AY11</f>
        <v>6.3349000000000502E-2</v>
      </c>
      <c r="AC34">
        <f>Monthly_kWh!CX11</f>
        <v>0.230123999999996</v>
      </c>
      <c r="AD34">
        <f>Monthly_kWh!CY11</f>
        <v>1.39469999999999E-2</v>
      </c>
      <c r="AE34">
        <f>Monthly_kWh!DC11</f>
        <v>0.15444000000000099</v>
      </c>
      <c r="AF34">
        <f>Monthly_kWh!DD11</f>
        <v>2.1360312499999898E-2</v>
      </c>
      <c r="AG34">
        <f>Monthly_kWh!W11</f>
        <v>7.1260999999999797E-2</v>
      </c>
      <c r="AH34">
        <f>Monthly_kWh!X11</f>
        <v>7.9757999999999996E-2</v>
      </c>
      <c r="AI34">
        <f>Monthly_kWh!Y11</f>
        <v>0</v>
      </c>
      <c r="AJ34">
        <f>Monthly_kWh!Z11</f>
        <v>4.0611999999999399E-2</v>
      </c>
      <c r="AK34">
        <f>Monthly_kWh!AA11</f>
        <v>0.110950000000003</v>
      </c>
      <c r="AL34">
        <f>Monthly_kWh!AC11</f>
        <v>0.110948</v>
      </c>
      <c r="AM34">
        <f>Monthly_kWh!AD11</f>
        <v>5.07849999999994E-2</v>
      </c>
      <c r="AN34">
        <f>Monthly_kWh!AI11</f>
        <v>0</v>
      </c>
      <c r="AO34">
        <f>Monthly_kWh!AJ11</f>
        <v>4.16559999999997E-2</v>
      </c>
      <c r="AP34">
        <f>Monthly_kWh!AL11</f>
        <v>0.31445599999999302</v>
      </c>
      <c r="AQ34">
        <f>Monthly_kWh!AM11</f>
        <v>0.45679200000000703</v>
      </c>
      <c r="AR34">
        <f>Monthly_kWh!AN11</f>
        <v>0.38635200000000203</v>
      </c>
      <c r="AS34">
        <f>Monthly_kWh!AO11</f>
        <v>0.101863999999999</v>
      </c>
      <c r="AT34">
        <f>Monthly_kWh!AP11</f>
        <v>8.4683999999999302E-2</v>
      </c>
      <c r="AU34">
        <f>Monthly_kWh!CN11</f>
        <v>4.14334999999992E-2</v>
      </c>
      <c r="AV34">
        <f>Monthly_kWh!CR11</f>
        <v>0.119266</v>
      </c>
      <c r="AW34">
        <f>Monthly_kWh!AQ11</f>
        <v>0.33294800000000202</v>
      </c>
      <c r="AX34">
        <f>Monthly_kWh!AS11</f>
        <v>4.3492500000000198E-2</v>
      </c>
      <c r="AY34">
        <f>Monthly_kWh!EH11</f>
        <v>0.41222400000003701</v>
      </c>
      <c r="AZ34">
        <f>Monthly_kWh!EJ11</f>
        <v>3.9904000000035501E-2</v>
      </c>
      <c r="BA34">
        <f>Monthly_kWh!EI11</f>
        <v>0.61996799999997199</v>
      </c>
      <c r="BB34">
        <f>Monthly_kWh!AW11</f>
        <v>2.2730240000000799</v>
      </c>
      <c r="BC34">
        <f>Monthly_kWh!DS11</f>
        <v>1.5929600000000099</v>
      </c>
      <c r="BD34">
        <f>Monthly_kWh!CO11</f>
        <v>0.63020799999999599</v>
      </c>
      <c r="BE34">
        <f>Monthly_kWh!DA11</f>
        <v>0.2515</v>
      </c>
      <c r="BF34">
        <f>Monthly_kWh!DB11</f>
        <v>0.129574999999999</v>
      </c>
      <c r="BG34">
        <f>Monthly_kWh!EK11</f>
        <v>0</v>
      </c>
      <c r="BH34">
        <f>Monthly_kWh!EL11</f>
        <v>5.1200000000335404E-3</v>
      </c>
      <c r="BI34">
        <f>Monthly_kWh!EM11</f>
        <v>3.6451839999999698</v>
      </c>
      <c r="BJ34">
        <f>Monthly_kWh!EN11</f>
        <v>1.8370559999998499</v>
      </c>
      <c r="BK34">
        <f>Monthly_kWh!EO11</f>
        <v>0.62566400000002897</v>
      </c>
      <c r="BL34">
        <f>Monthly_kWh!ER11</f>
        <v>2.0414530000000002</v>
      </c>
      <c r="BM34">
        <f>Monthly_kWh!BW11</f>
        <v>0</v>
      </c>
      <c r="BN34">
        <f>Monthly_kWh!DR11</f>
        <v>0</v>
      </c>
      <c r="BO34">
        <f>Monthly_kWh!CG11</f>
        <v>0</v>
      </c>
      <c r="BP34">
        <f>Monthly_kWh!CI11</f>
        <v>0</v>
      </c>
      <c r="BQ34">
        <f>Monthly_kWh!BV11</f>
        <v>0</v>
      </c>
      <c r="BR34">
        <f>Monthly_kWh!BO11</f>
        <v>4.2193000000001001E-2</v>
      </c>
      <c r="BS34">
        <f>Monthly_kWh!CW11</f>
        <v>0</v>
      </c>
      <c r="BT34">
        <f>Monthly_kWh!DE11</f>
        <v>0</v>
      </c>
      <c r="BU34">
        <f>Monthly_kWh!DW11</f>
        <v>0</v>
      </c>
      <c r="BV34">
        <f>Monthly_kWh!CB11</f>
        <v>0</v>
      </c>
      <c r="BW34">
        <f>Monthly_kWh!CZ11</f>
        <v>1.19807500000002E-2</v>
      </c>
      <c r="BX34">
        <f>Monthly_kWh!DG11</f>
        <v>0</v>
      </c>
      <c r="BY34">
        <f>Monthly_kWh!BS11</f>
        <v>0</v>
      </c>
      <c r="BZ34">
        <f>Monthly_kWh!CH11</f>
        <v>2.5607499999997802E-3</v>
      </c>
      <c r="CA34">
        <f>Monthly_kWh!BR11</f>
        <v>0</v>
      </c>
      <c r="CB34">
        <f>Monthly_kWh!BP11</f>
        <v>0</v>
      </c>
      <c r="CC34">
        <f>Monthly_kWh!BU11</f>
        <v>0</v>
      </c>
      <c r="CD34">
        <f>Monthly_kWh!BX11</f>
        <v>0</v>
      </c>
      <c r="CE34">
        <f>Monthly_kWh!CV11</f>
        <v>2.2287250000000002E-2</v>
      </c>
      <c r="CF34">
        <f>Monthly_kWh!BT11</f>
        <v>0.22426800000000199</v>
      </c>
      <c r="CG34">
        <f>Monthly_kWh!CA11</f>
        <v>0.29116799999999898</v>
      </c>
      <c r="CH34">
        <f>Monthly_kWh!CF11</f>
        <v>3.8691999999999303E-2</v>
      </c>
      <c r="CI34">
        <f>Monthly_kWh!BZ11</f>
        <v>0.98096800000000395</v>
      </c>
      <c r="CJ34">
        <f>Monthly_kWh!CK11</f>
        <v>0</v>
      </c>
      <c r="CK34">
        <f>Monthly_kWh!DT11</f>
        <v>0.40033599999998198</v>
      </c>
      <c r="CL34">
        <f>Monthly_kWh!EB11</f>
        <v>1.434944</v>
      </c>
      <c r="CM34">
        <f>Monthly_kWh!EC11</f>
        <v>0.62281600000000004</v>
      </c>
      <c r="CN34">
        <f>Monthly_kWh!CQ11</f>
        <v>0</v>
      </c>
      <c r="CO34">
        <f>Monthly_kWh!DF11</f>
        <v>0</v>
      </c>
      <c r="CP34">
        <f>Monthly_kWh!DJ11</f>
        <v>0</v>
      </c>
      <c r="CQ34">
        <f>Monthly_kWh!DP11</f>
        <v>4.0376000000000203E-2</v>
      </c>
      <c r="CR34">
        <f>Monthly_kWh!BQ11</f>
        <v>0</v>
      </c>
      <c r="CS34">
        <f>Monthly_kWh!BY11</f>
        <v>0</v>
      </c>
      <c r="CT34">
        <f>Monthly_kWh!DU11</f>
        <v>1.2910999999999E-2</v>
      </c>
      <c r="CU34">
        <f>Monthly_kWh!DQ11</f>
        <v>0</v>
      </c>
      <c r="CV34">
        <f>Monthly_kWh!EA11</f>
        <v>0</v>
      </c>
      <c r="CW34">
        <f>Monthly_kWh!DO11</f>
        <v>0.81380799999999498</v>
      </c>
      <c r="CX34">
        <f>Monthly_kWh!DX11</f>
        <v>0.18015900000000001</v>
      </c>
      <c r="CY34">
        <f>Monthly_kWh!DY11</f>
        <v>3.60537500000002E-3</v>
      </c>
      <c r="CZ34">
        <f>Monthly_kWh!DZ11</f>
        <v>0.10370599999999899</v>
      </c>
      <c r="DA34">
        <f>Monthly_kWh!ED11</f>
        <v>3.7994250000000097E-2</v>
      </c>
      <c r="DB34">
        <f>Monthly_kWh!DV11</f>
        <v>8.1832500000000898E-3</v>
      </c>
      <c r="DC34">
        <f>Monthly_kWh!CT11</f>
        <v>0.181148000000007</v>
      </c>
      <c r="DD34">
        <f>Monthly_kWh!DN11</f>
        <v>2.9550000000000398E-4</v>
      </c>
      <c r="DE34">
        <f>Monthly_kWh!AZ11</f>
        <v>0</v>
      </c>
      <c r="DF34">
        <f>Monthly_kWh!BD11</f>
        <v>3.8736249999999899E-3</v>
      </c>
      <c r="DG34">
        <f>Monthly_kWh!AV11</f>
        <v>2.20560000000001E-2</v>
      </c>
      <c r="DH34">
        <f>Monthly_kWh!BG11</f>
        <v>1.01800000000001E-2</v>
      </c>
      <c r="DI34">
        <f>Monthly_kWh!DK11</f>
        <v>6.3748000000000402E-2</v>
      </c>
      <c r="DJ34">
        <f>Monthly_kWh!DL11</f>
        <v>1.8157000000000399E-2</v>
      </c>
      <c r="DK34">
        <f>Monthly_kWh!AU11</f>
        <v>4.40560000000048E-2</v>
      </c>
      <c r="DL34">
        <f>Monthly_kWh!DM11</f>
        <v>4.5391000000000403E-2</v>
      </c>
      <c r="DM34">
        <f>Monthly_kWh!CC11</f>
        <v>0</v>
      </c>
      <c r="DN34">
        <f>Monthly_kWh!BH11</f>
        <v>1.9477999999999399E-2</v>
      </c>
      <c r="DO34">
        <f>Monthly_kWh!AK11</f>
        <v>0</v>
      </c>
      <c r="DP34">
        <f>Monthly_kWh!AT11</f>
        <v>0</v>
      </c>
      <c r="DQ34">
        <f>Monthly_kWh!AX11</f>
        <v>0</v>
      </c>
      <c r="DR34">
        <f>Monthly_kWh!BA11</f>
        <v>0</v>
      </c>
      <c r="DS34">
        <f>Monthly_kWh!BB11</f>
        <v>0</v>
      </c>
      <c r="DT34">
        <f>Monthly_kWh!BC11</f>
        <v>0</v>
      </c>
      <c r="DU34">
        <f>Monthly_kWh!BF11</f>
        <v>0</v>
      </c>
      <c r="DV34">
        <f>Monthly_kWh!BN11</f>
        <v>0</v>
      </c>
      <c r="DW34">
        <f>Monthly_kWh!CD11</f>
        <v>0</v>
      </c>
      <c r="DX34">
        <f>Monthly_kWh!CE11</f>
        <v>0</v>
      </c>
      <c r="DY34">
        <f>Monthly_kWh!CJ11</f>
        <v>0</v>
      </c>
      <c r="DZ34">
        <f>Monthly_kWh!CP11</f>
        <v>0</v>
      </c>
      <c r="EA34">
        <f>Monthly_kWh!CS11</f>
        <v>0</v>
      </c>
      <c r="EB34">
        <f>Monthly_kWh!CU11</f>
        <v>0</v>
      </c>
      <c r="EC34">
        <f>Monthly_kWh!EG11</f>
        <v>0</v>
      </c>
      <c r="ED34">
        <f>Monthly_kWh!EQ11</f>
        <v>0</v>
      </c>
    </row>
    <row r="35" spans="1:134" ht="14" x14ac:dyDescent="0.25">
      <c r="A35" s="323"/>
      <c r="B35" s="137">
        <v>34</v>
      </c>
      <c r="C35" s="141" t="s">
        <v>309</v>
      </c>
      <c r="D35" s="134">
        <f>DAILY_ENERGY!C98</f>
        <v>14.489376999999999</v>
      </c>
      <c r="E35" s="134">
        <f>DAILY_ENERGY!D98</f>
        <v>14.644981999999999</v>
      </c>
      <c r="F35" s="134">
        <f>DAILY_ENERGY!E98</f>
        <v>0.15560499999999955</v>
      </c>
      <c r="G35" s="134"/>
      <c r="H35" s="134">
        <f>SHIFT_A!E98</f>
        <v>6.6931000000000296E-2</v>
      </c>
      <c r="I35" s="134">
        <f>SHIFT_B!E98</f>
        <v>4.5690999999999704E-2</v>
      </c>
      <c r="J35" s="134">
        <f>SHIFT_C!E98</f>
        <v>4.2982999999999549E-2</v>
      </c>
      <c r="K35" s="162">
        <f t="shared" si="0"/>
        <v>0.15560499999999955</v>
      </c>
      <c r="L35" s="163">
        <f t="shared" si="1"/>
        <v>0</v>
      </c>
      <c r="N35" s="168">
        <v>6</v>
      </c>
      <c r="O35">
        <f>Monthly_kWh!AF12</f>
        <v>0</v>
      </c>
      <c r="P35">
        <f>Monthly_kWh!BJ12</f>
        <v>3.3039999999999702E-3</v>
      </c>
      <c r="Q35">
        <f>Monthly_kWh!BK12</f>
        <v>4.2657000000000202E-2</v>
      </c>
      <c r="R35">
        <f>Monthly_kWh!EP12</f>
        <v>0</v>
      </c>
      <c r="S35">
        <f>Monthly_kWh!EE12</f>
        <v>2.17675000000002E-2</v>
      </c>
      <c r="T35">
        <f>Monthly_kWh!DH12</f>
        <v>1.1339500000000099E-2</v>
      </c>
      <c r="U35">
        <f>Monthly_kWh!CL12</f>
        <v>0.15827999999999801</v>
      </c>
      <c r="V35">
        <f>Monthly_kWh!BL12</f>
        <v>1.3999999999825301E-4</v>
      </c>
      <c r="W35">
        <f>Monthly_kWh!V12</f>
        <v>0.121753999999999</v>
      </c>
      <c r="X35">
        <f>Monthly_kWh!AB12</f>
        <v>0.15610400000000299</v>
      </c>
      <c r="Y35">
        <f>Monthly_kWh!AE12</f>
        <v>0.1153435</v>
      </c>
      <c r="Z35">
        <f>Monthly_kWh!AG12</f>
        <v>1.4107249999999899E-2</v>
      </c>
      <c r="AA35">
        <f>Monthly_kWh!BE12</f>
        <v>0.118732000000001</v>
      </c>
      <c r="AB35">
        <f>Monthly_kWh!AY12</f>
        <v>6.4871000000000095E-2</v>
      </c>
      <c r="AC35">
        <f>Monthly_kWh!CX12</f>
        <v>0.258720000000004</v>
      </c>
      <c r="AD35">
        <f>Monthly_kWh!CY12</f>
        <v>1.6941999999999999E-2</v>
      </c>
      <c r="AE35">
        <f>Monthly_kWh!DC12</f>
        <v>0.19176399999999899</v>
      </c>
      <c r="AF35">
        <f>Monthly_kWh!DD12</f>
        <v>2.54934375E-2</v>
      </c>
      <c r="AG35">
        <f>Monthly_kWh!W12</f>
        <v>6.2485999999999799E-2</v>
      </c>
      <c r="AH35">
        <f>Monthly_kWh!X12</f>
        <v>7.7233999999998901E-2</v>
      </c>
      <c r="AI35">
        <f>Monthly_kWh!Y12</f>
        <v>0</v>
      </c>
      <c r="AJ35">
        <f>Monthly_kWh!Z12</f>
        <v>4.7367000000001297E-2</v>
      </c>
      <c r="AK35">
        <f>Monthly_kWh!AA12</f>
        <v>0.113028</v>
      </c>
      <c r="AL35">
        <f>Monthly_kWh!AC12</f>
        <v>0.116228</v>
      </c>
      <c r="AM35">
        <f>Monthly_kWh!AD12</f>
        <v>5.0034000000000099E-2</v>
      </c>
      <c r="AN35">
        <f>Monthly_kWh!AI12</f>
        <v>0</v>
      </c>
      <c r="AO35">
        <f>Monthly_kWh!AJ12</f>
        <v>4.5196500000000299E-2</v>
      </c>
      <c r="AP35">
        <f>Monthly_kWh!AL12</f>
        <v>0.32163200000000802</v>
      </c>
      <c r="AQ35">
        <f>Monthly_kWh!AM12</f>
        <v>0.482399999999998</v>
      </c>
      <c r="AR35">
        <f>Monthly_kWh!AN12</f>
        <v>0.38578400000000101</v>
      </c>
      <c r="AS35">
        <f>Monthly_kWh!AO12</f>
        <v>0.108913999999999</v>
      </c>
      <c r="AT35">
        <f>Monthly_kWh!AP12</f>
        <v>8.3899999999999905E-2</v>
      </c>
      <c r="AU35">
        <f>Monthly_kWh!CN12</f>
        <v>4.3082500000000599E-2</v>
      </c>
      <c r="AV35">
        <f>Monthly_kWh!CR12</f>
        <v>0.13753899999999999</v>
      </c>
      <c r="AW35">
        <f>Monthly_kWh!AQ12</f>
        <v>0.33371600000000301</v>
      </c>
      <c r="AX35">
        <f>Monthly_kWh!AS12</f>
        <v>5.9079999999999799E-2</v>
      </c>
      <c r="AY35">
        <f>Monthly_kWh!EH12</f>
        <v>0.50886400000001697</v>
      </c>
      <c r="AZ35">
        <f>Monthly_kWh!EJ12</f>
        <v>4.1183999999987002E-2</v>
      </c>
      <c r="BA35">
        <f>Monthly_kWh!EI12</f>
        <v>0.72550400000000104</v>
      </c>
      <c r="BB35">
        <f>Monthly_kWh!AW12</f>
        <v>2.3000319999999901</v>
      </c>
      <c r="BC35">
        <f>Monthly_kWh!DS12</f>
        <v>1.4734720000000201</v>
      </c>
      <c r="BD35">
        <f>Monthly_kWh!CO12</f>
        <v>0.65812799999999805</v>
      </c>
      <c r="BE35">
        <f>Monthly_kWh!DA12</f>
        <v>0.278635999999999</v>
      </c>
      <c r="BF35">
        <f>Monthly_kWh!DB12</f>
        <v>0.131135</v>
      </c>
      <c r="BG35">
        <f>Monthly_kWh!EK12</f>
        <v>0</v>
      </c>
      <c r="BH35">
        <f>Monthly_kWh!EL12</f>
        <v>2.6224640000000399</v>
      </c>
      <c r="BI35">
        <f>Monthly_kWh!EM12</f>
        <v>2.36416000000008</v>
      </c>
      <c r="BJ35">
        <f>Monthly_kWh!EN12</f>
        <v>2.0441599999999198</v>
      </c>
      <c r="BK35">
        <f>Monthly_kWh!EO12</f>
        <v>1.1607679999999601</v>
      </c>
      <c r="BL35">
        <f>Monthly_kWh!ER12</f>
        <v>2.4303349999999999</v>
      </c>
      <c r="BM35">
        <f>Monthly_kWh!BW12</f>
        <v>0</v>
      </c>
      <c r="BN35">
        <f>Monthly_kWh!DR12</f>
        <v>0</v>
      </c>
      <c r="BO35">
        <f>Monthly_kWh!CG12</f>
        <v>0</v>
      </c>
      <c r="BP35">
        <f>Monthly_kWh!CI12</f>
        <v>0</v>
      </c>
      <c r="BQ35">
        <f>Monthly_kWh!BV12</f>
        <v>0</v>
      </c>
      <c r="BR35">
        <f>Monthly_kWh!BO12</f>
        <v>4.1916000000000501E-2</v>
      </c>
      <c r="BS35">
        <f>Monthly_kWh!CW12</f>
        <v>0</v>
      </c>
      <c r="BT35">
        <f>Monthly_kWh!DE12</f>
        <v>0</v>
      </c>
      <c r="BU35">
        <f>Monthly_kWh!DW12</f>
        <v>0</v>
      </c>
      <c r="BV35">
        <f>Monthly_kWh!CB12</f>
        <v>0</v>
      </c>
      <c r="BW35">
        <f>Monthly_kWh!CZ12</f>
        <v>1.2067E-2</v>
      </c>
      <c r="BX35">
        <f>Monthly_kWh!DG12</f>
        <v>0</v>
      </c>
      <c r="BY35">
        <f>Monthly_kWh!BS12</f>
        <v>0</v>
      </c>
      <c r="BZ35">
        <f>Monthly_kWh!CH12</f>
        <v>2.10325000000022E-3</v>
      </c>
      <c r="CA35">
        <f>Monthly_kWh!BR12</f>
        <v>0</v>
      </c>
      <c r="CB35">
        <f>Monthly_kWh!BP12</f>
        <v>0</v>
      </c>
      <c r="CC35">
        <f>Monthly_kWh!BU12</f>
        <v>0</v>
      </c>
      <c r="CD35">
        <f>Monthly_kWh!BX12</f>
        <v>0</v>
      </c>
      <c r="CE35">
        <f>Monthly_kWh!CV12</f>
        <v>2.1482750000000099E-2</v>
      </c>
      <c r="CF35">
        <f>Monthly_kWh!BT12</f>
        <v>0.26191599999999898</v>
      </c>
      <c r="CG35">
        <f>Monthly_kWh!CA12</f>
        <v>0.32083199999999601</v>
      </c>
      <c r="CH35">
        <f>Monthly_kWh!CF12</f>
        <v>6.9919999999999802E-2</v>
      </c>
      <c r="CI35">
        <f>Monthly_kWh!BZ12</f>
        <v>0.97492799999999102</v>
      </c>
      <c r="CJ35">
        <f>Monthly_kWh!CK12</f>
        <v>0</v>
      </c>
      <c r="CK35">
        <f>Monthly_kWh!DT12</f>
        <v>0.40072800000001502</v>
      </c>
      <c r="CL35">
        <f>Monthly_kWh!EB12</f>
        <v>1.28177599999998</v>
      </c>
      <c r="CM35">
        <f>Monthly_kWh!EC12</f>
        <v>0.63319999999998799</v>
      </c>
      <c r="CN35">
        <f>Monthly_kWh!CQ12</f>
        <v>0</v>
      </c>
      <c r="CO35">
        <f>Monthly_kWh!DF12</f>
        <v>0</v>
      </c>
      <c r="CP35">
        <f>Monthly_kWh!DJ12</f>
        <v>0</v>
      </c>
      <c r="CQ35">
        <f>Monthly_kWh!DP12</f>
        <v>4.3953000000000103E-2</v>
      </c>
      <c r="CR35">
        <f>Monthly_kWh!BQ12</f>
        <v>0</v>
      </c>
      <c r="CS35">
        <f>Monthly_kWh!BY12</f>
        <v>0</v>
      </c>
      <c r="CT35">
        <f>Monthly_kWh!DU12</f>
        <v>2.0995000000000999E-2</v>
      </c>
      <c r="CU35">
        <f>Monthly_kWh!DQ12</f>
        <v>0</v>
      </c>
      <c r="CV35">
        <f>Monthly_kWh!EA12</f>
        <v>0</v>
      </c>
      <c r="CW35">
        <f>Monthly_kWh!DO12</f>
        <v>0.78995199999999999</v>
      </c>
      <c r="CX35">
        <f>Monthly_kWh!DX12</f>
        <v>0.1881275</v>
      </c>
      <c r="CY35">
        <f>Monthly_kWh!DY12</f>
        <v>4.8679062499999998E-3</v>
      </c>
      <c r="CZ35">
        <f>Monthly_kWh!DZ12</f>
        <v>0.106929999999998</v>
      </c>
      <c r="DA35">
        <f>Monthly_kWh!ED12</f>
        <v>2.9804500000000001E-2</v>
      </c>
      <c r="DB35">
        <f>Monthly_kWh!DV12</f>
        <v>9.1487500000000405E-3</v>
      </c>
      <c r="DC35">
        <f>Monthly_kWh!CT12</f>
        <v>0.117872000000006</v>
      </c>
      <c r="DD35">
        <f>Monthly_kWh!DN12</f>
        <v>0</v>
      </c>
      <c r="DE35">
        <f>Monthly_kWh!AZ12</f>
        <v>6.49999999957629E-6</v>
      </c>
      <c r="DF35">
        <f>Monthly_kWh!BD12</f>
        <v>3.8343749999998301E-3</v>
      </c>
      <c r="DG35">
        <f>Monthly_kWh!AV12</f>
        <v>4.4909500000000199E-2</v>
      </c>
      <c r="DH35">
        <f>Monthly_kWh!BG12</f>
        <v>1.13730000000007E-2</v>
      </c>
      <c r="DI35">
        <f>Monthly_kWh!DK12</f>
        <v>6.4025999999998404E-2</v>
      </c>
      <c r="DJ35">
        <f>Monthly_kWh!DL12</f>
        <v>1.93709999999996E-2</v>
      </c>
      <c r="DK35">
        <f>Monthly_kWh!AU12</f>
        <v>4.31319999999999E-2</v>
      </c>
      <c r="DL35">
        <f>Monthly_kWh!DM12</f>
        <v>4.2628000000000603E-2</v>
      </c>
      <c r="DM35">
        <f>Monthly_kWh!CC12</f>
        <v>0</v>
      </c>
      <c r="DN35">
        <f>Monthly_kWh!BH12</f>
        <v>1.8867999999997699E-2</v>
      </c>
      <c r="DO35">
        <f>Monthly_kWh!AK12</f>
        <v>0</v>
      </c>
      <c r="DP35">
        <f>Monthly_kWh!AT12</f>
        <v>0</v>
      </c>
      <c r="DQ35">
        <f>Monthly_kWh!AX12</f>
        <v>0</v>
      </c>
      <c r="DR35">
        <f>Monthly_kWh!BA12</f>
        <v>0</v>
      </c>
      <c r="DS35">
        <f>Monthly_kWh!BB12</f>
        <v>0</v>
      </c>
      <c r="DT35">
        <f>Monthly_kWh!BC12</f>
        <v>0</v>
      </c>
      <c r="DU35">
        <f>Monthly_kWh!BF12</f>
        <v>0</v>
      </c>
      <c r="DV35">
        <f>Monthly_kWh!BN12</f>
        <v>0</v>
      </c>
      <c r="DW35">
        <f>Monthly_kWh!CD12</f>
        <v>0</v>
      </c>
      <c r="DX35">
        <f>Monthly_kWh!CE12</f>
        <v>0</v>
      </c>
      <c r="DY35">
        <f>Monthly_kWh!CJ12</f>
        <v>0</v>
      </c>
      <c r="DZ35">
        <f>Monthly_kWh!CP12</f>
        <v>0</v>
      </c>
      <c r="EA35">
        <f>Monthly_kWh!CS12</f>
        <v>0</v>
      </c>
      <c r="EB35">
        <f>Monthly_kWh!CU12</f>
        <v>0</v>
      </c>
      <c r="EC35">
        <f>Monthly_kWh!EG12</f>
        <v>0</v>
      </c>
      <c r="ED35">
        <f>Monthly_kWh!EQ12</f>
        <v>0</v>
      </c>
    </row>
    <row r="36" spans="1:134" ht="14" x14ac:dyDescent="0.25">
      <c r="A36" s="323"/>
      <c r="B36" s="137">
        <v>35</v>
      </c>
      <c r="C36" s="141" t="s">
        <v>137</v>
      </c>
      <c r="D36" s="134">
        <f>DAILY_ENERGY!C45</f>
        <v>63.989891999999998</v>
      </c>
      <c r="E36" s="134">
        <f>DAILY_ENERGY!D45</f>
        <v>64.316851999999997</v>
      </c>
      <c r="F36" s="134">
        <f>DAILY_ENERGY!E45</f>
        <v>0.3269599999999997</v>
      </c>
      <c r="G36" s="134"/>
      <c r="H36" s="134">
        <f>SHIFT_A!E45</f>
        <v>0.11006399999999417</v>
      </c>
      <c r="I36" s="134">
        <f>SHIFT_B!E45</f>
        <v>0.10998400000001141</v>
      </c>
      <c r="J36" s="134">
        <f>SHIFT_C!E45</f>
        <v>0.10691199999999412</v>
      </c>
      <c r="K36" s="162">
        <f t="shared" si="0"/>
        <v>0.3269599999999997</v>
      </c>
      <c r="L36" s="163">
        <f t="shared" si="1"/>
        <v>0</v>
      </c>
      <c r="N36" s="168">
        <v>7</v>
      </c>
      <c r="O36">
        <f>Monthly_kWh!AF13</f>
        <v>0</v>
      </c>
      <c r="P36">
        <f>Monthly_kWh!BJ13</f>
        <v>2.4699999999988598E-3</v>
      </c>
      <c r="Q36">
        <f>Monthly_kWh!BK13</f>
        <v>4.4574499999999503E-2</v>
      </c>
      <c r="R36">
        <f>Monthly_kWh!EP13</f>
        <v>0</v>
      </c>
      <c r="S36">
        <f>Monthly_kWh!EE13</f>
        <v>2.0487499999999801E-2</v>
      </c>
      <c r="T36">
        <f>Monthly_kWh!DH13</f>
        <v>8.9730000000001198E-3</v>
      </c>
      <c r="U36">
        <f>Monthly_kWh!CL13</f>
        <v>0.144372000000001</v>
      </c>
      <c r="V36">
        <f>Monthly_kWh!BL13</f>
        <v>6.1999999999784504E-5</v>
      </c>
      <c r="W36">
        <f>Monthly_kWh!V13</f>
        <v>0.123457999999999</v>
      </c>
      <c r="X36">
        <f>Monthly_kWh!AB13</f>
        <v>0.15859999999999999</v>
      </c>
      <c r="Y36">
        <f>Monthly_kWh!AE13</f>
        <v>0.1073585</v>
      </c>
      <c r="Z36">
        <f>Monthly_kWh!AG13</f>
        <v>1.1829999999999801E-2</v>
      </c>
      <c r="AA36">
        <f>Monthly_kWh!BE13</f>
        <v>0.31612099999999899</v>
      </c>
      <c r="AB36">
        <f>Monthly_kWh!AY13</f>
        <v>7.6892000000000002E-2</v>
      </c>
      <c r="AC36">
        <f>Monthly_kWh!CX13</f>
        <v>0.268096</v>
      </c>
      <c r="AD36">
        <f>Monthly_kWh!CY13</f>
        <v>1.83290000000003E-2</v>
      </c>
      <c r="AE36">
        <f>Monthly_kWh!DC13</f>
        <v>0.210755999999996</v>
      </c>
      <c r="AF36">
        <f>Monthly_kWh!DD13</f>
        <v>3.1672312500000001E-2</v>
      </c>
      <c r="AG36">
        <f>Monthly_kWh!W13</f>
        <v>5.53419999999996E-2</v>
      </c>
      <c r="AH36">
        <f>Monthly_kWh!X13</f>
        <v>6.2813999999999495E-2</v>
      </c>
      <c r="AI36">
        <f>Monthly_kWh!Y13</f>
        <v>0</v>
      </c>
      <c r="AJ36">
        <f>Monthly_kWh!Z13</f>
        <v>4.6637999999999701E-2</v>
      </c>
      <c r="AK36">
        <f>Monthly_kWh!AA13</f>
        <v>0.107067999999998</v>
      </c>
      <c r="AL36">
        <f>Monthly_kWh!AC13</f>
        <v>0.121388</v>
      </c>
      <c r="AM36">
        <f>Monthly_kWh!AD13</f>
        <v>5.0415000000000099E-2</v>
      </c>
      <c r="AN36">
        <f>Monthly_kWh!AI13</f>
        <v>0</v>
      </c>
      <c r="AO36">
        <f>Monthly_kWh!AJ13</f>
        <v>4.1970000000000098E-2</v>
      </c>
      <c r="AP36">
        <f>Monthly_kWh!AL13</f>
        <v>0.323703999999992</v>
      </c>
      <c r="AQ36">
        <f>Monthly_kWh!AM13</f>
        <v>0.472687999999991</v>
      </c>
      <c r="AR36">
        <f>Monthly_kWh!AN13</f>
        <v>0.38627199999999101</v>
      </c>
      <c r="AS36">
        <f>Monthly_kWh!AO13</f>
        <v>0.111670000000004</v>
      </c>
      <c r="AT36">
        <f>Monthly_kWh!AP13</f>
        <v>8.2026000000002597E-2</v>
      </c>
      <c r="AU36">
        <f>Monthly_kWh!CN13</f>
        <v>4.6980999999999697E-2</v>
      </c>
      <c r="AV36">
        <f>Monthly_kWh!CR13</f>
        <v>0.141346</v>
      </c>
      <c r="AW36">
        <f>Monthly_kWh!AQ13</f>
        <v>0.32657599999999598</v>
      </c>
      <c r="AX36">
        <f>Monthly_kWh!AS13</f>
        <v>6.2776000000000401E-2</v>
      </c>
      <c r="AY36">
        <f>Monthly_kWh!EH13</f>
        <v>0.44601599999998598</v>
      </c>
      <c r="AZ36">
        <f>Monthly_kWh!EJ13</f>
        <v>4.6047999999984802E-2</v>
      </c>
      <c r="BA36">
        <f>Monthly_kWh!EI13</f>
        <v>0.58688000000006502</v>
      </c>
      <c r="BB36">
        <f>Monthly_kWh!AW13</f>
        <v>2.2790400000000099</v>
      </c>
      <c r="BC36">
        <f>Monthly_kWh!DS13</f>
        <v>1.34352000000001</v>
      </c>
      <c r="BD36">
        <f>Monthly_kWh!CO13</f>
        <v>0.83169600000000099</v>
      </c>
      <c r="BE36">
        <f>Monthly_kWh!DA13</f>
        <v>0.25926000000000499</v>
      </c>
      <c r="BF36">
        <f>Monthly_kWh!DB13</f>
        <v>0.13204300000000099</v>
      </c>
      <c r="BG36">
        <f>Monthly_kWh!EK13</f>
        <v>0</v>
      </c>
      <c r="BH36">
        <f>Monthly_kWh!EL13</f>
        <v>2.9112319999999299</v>
      </c>
      <c r="BI36">
        <f>Monthly_kWh!EM13</f>
        <v>3.7542400000002099</v>
      </c>
      <c r="BJ36">
        <f>Monthly_kWh!EN13</f>
        <v>0</v>
      </c>
      <c r="BK36">
        <f>Monthly_kWh!EO13</f>
        <v>1.291968</v>
      </c>
      <c r="BL36">
        <f>Monthly_kWh!ER13</f>
        <v>2.50198399999999</v>
      </c>
      <c r="BM36">
        <f>Monthly_kWh!BW13</f>
        <v>0</v>
      </c>
      <c r="BN36">
        <f>Monthly_kWh!DR13</f>
        <v>0</v>
      </c>
      <c r="BO36">
        <f>Monthly_kWh!CG13</f>
        <v>0</v>
      </c>
      <c r="BP36">
        <f>Monthly_kWh!CI13</f>
        <v>0</v>
      </c>
      <c r="BQ36">
        <f>Monthly_kWh!BV13</f>
        <v>0</v>
      </c>
      <c r="BR36">
        <f>Monthly_kWh!BO13</f>
        <v>4.1555999999999899E-2</v>
      </c>
      <c r="BS36">
        <f>Monthly_kWh!CW13</f>
        <v>0</v>
      </c>
      <c r="BT36">
        <f>Monthly_kWh!DE13</f>
        <v>0</v>
      </c>
      <c r="BU36">
        <f>Monthly_kWh!DW13</f>
        <v>0</v>
      </c>
      <c r="BV36">
        <f>Monthly_kWh!CB13</f>
        <v>0</v>
      </c>
      <c r="BW36">
        <f>Monthly_kWh!CZ13</f>
        <v>1.20834999999997E-2</v>
      </c>
      <c r="BX36">
        <f>Monthly_kWh!DG13</f>
        <v>0</v>
      </c>
      <c r="BY36">
        <f>Monthly_kWh!BS13</f>
        <v>0</v>
      </c>
      <c r="BZ36">
        <f>Monthly_kWh!CH13</f>
        <v>6.90500000000149E-4</v>
      </c>
      <c r="CA36">
        <f>Monthly_kWh!BR13</f>
        <v>0</v>
      </c>
      <c r="CB36">
        <f>Monthly_kWh!BP13</f>
        <v>0</v>
      </c>
      <c r="CC36">
        <f>Monthly_kWh!BU13</f>
        <v>0</v>
      </c>
      <c r="CD36">
        <f>Monthly_kWh!BX13</f>
        <v>0</v>
      </c>
      <c r="CE36">
        <f>Monthly_kWh!CV13</f>
        <v>2.0850250000000101E-2</v>
      </c>
      <c r="CF36">
        <f>Monthly_kWh!BT13</f>
        <v>0.24157999999999899</v>
      </c>
      <c r="CG36">
        <f>Monthly_kWh!CA13</f>
        <v>0.296520000000001</v>
      </c>
      <c r="CH36">
        <f>Monthly_kWh!CF13</f>
        <v>3.5474999999999902E-2</v>
      </c>
      <c r="CI36">
        <f>Monthly_kWh!BZ13</f>
        <v>0.81473600000001101</v>
      </c>
      <c r="CJ36">
        <f>Monthly_kWh!CK13</f>
        <v>0</v>
      </c>
      <c r="CK36">
        <f>Monthly_kWh!DT13</f>
        <v>0.38017600000000601</v>
      </c>
      <c r="CL36">
        <f>Monthly_kWh!EB13</f>
        <v>1.3728959999999999</v>
      </c>
      <c r="CM36">
        <f>Monthly_kWh!EC13</f>
        <v>0.57611199999999496</v>
      </c>
      <c r="CN36">
        <f>Monthly_kWh!CQ13</f>
        <v>0</v>
      </c>
      <c r="CO36">
        <f>Monthly_kWh!DF13</f>
        <v>0</v>
      </c>
      <c r="CP36">
        <f>Monthly_kWh!DJ13</f>
        <v>0</v>
      </c>
      <c r="CQ36">
        <f>Monthly_kWh!DP13</f>
        <v>3.8003500000000301E-2</v>
      </c>
      <c r="CR36">
        <f>Monthly_kWh!BQ13</f>
        <v>0</v>
      </c>
      <c r="CS36">
        <f>Monthly_kWh!BY13</f>
        <v>0</v>
      </c>
      <c r="CT36">
        <f>Monthly_kWh!DU13</f>
        <v>1.8964999999999701E-2</v>
      </c>
      <c r="CU36">
        <f>Monthly_kWh!DQ13</f>
        <v>0</v>
      </c>
      <c r="CV36">
        <f>Monthly_kWh!EA13</f>
        <v>0</v>
      </c>
      <c r="CW36">
        <f>Monthly_kWh!DO13</f>
        <v>0.77291199999999105</v>
      </c>
      <c r="CX36">
        <f>Monthly_kWh!DX13</f>
        <v>0.14285999999999999</v>
      </c>
      <c r="CY36">
        <f>Monthly_kWh!DY13</f>
        <v>4.7909687500000096E-3</v>
      </c>
      <c r="CZ36">
        <f>Monthly_kWh!DZ13</f>
        <v>0.10183399999999999</v>
      </c>
      <c r="DA36">
        <f>Monthly_kWh!ED13</f>
        <v>2.9395500000000099E-2</v>
      </c>
      <c r="DB36">
        <f>Monthly_kWh!DV13</f>
        <v>9.1387499999999698E-3</v>
      </c>
      <c r="DC36">
        <f>Monthly_kWh!CT13</f>
        <v>9.7199999999020303E-4</v>
      </c>
      <c r="DD36">
        <f>Monthly_kWh!DN13</f>
        <v>1.6050000000000799E-4</v>
      </c>
      <c r="DE36">
        <f>Monthly_kWh!AZ13</f>
        <v>1.1500000000275199E-5</v>
      </c>
      <c r="DF36">
        <f>Monthly_kWh!BD13</f>
        <v>3.1007500000002101E-3</v>
      </c>
      <c r="DG36">
        <f>Monthly_kWh!AV13</f>
        <v>3.5477000000000203E-2</v>
      </c>
      <c r="DH36">
        <f>Monthly_kWh!BG13</f>
        <v>1.0863999999999799E-2</v>
      </c>
      <c r="DI36">
        <f>Monthly_kWh!DK13</f>
        <v>6.3850000000002197E-2</v>
      </c>
      <c r="DJ36">
        <f>Monthly_kWh!DL13</f>
        <v>1.8648999999999898E-2</v>
      </c>
      <c r="DK36">
        <f>Monthly_kWh!AU13</f>
        <v>4.1615999999997703E-2</v>
      </c>
      <c r="DL36">
        <f>Monthly_kWh!DM13</f>
        <v>4.26330000000004E-2</v>
      </c>
      <c r="DM36">
        <f>Monthly_kWh!CC13</f>
        <v>0</v>
      </c>
      <c r="DN36">
        <f>Monthly_kWh!BH13</f>
        <v>1.1624000000001199E-2</v>
      </c>
      <c r="DO36">
        <f>Monthly_kWh!AK13</f>
        <v>0</v>
      </c>
      <c r="DP36">
        <f>Monthly_kWh!AT13</f>
        <v>0</v>
      </c>
      <c r="DQ36">
        <f>Monthly_kWh!AX13</f>
        <v>0</v>
      </c>
      <c r="DR36">
        <f>Monthly_kWh!BA13</f>
        <v>0</v>
      </c>
      <c r="DS36">
        <f>Monthly_kWh!BB13</f>
        <v>0</v>
      </c>
      <c r="DT36">
        <f>Monthly_kWh!BC13</f>
        <v>0</v>
      </c>
      <c r="DU36">
        <f>Monthly_kWh!BF13</f>
        <v>0</v>
      </c>
      <c r="DV36">
        <f>Monthly_kWh!BN13</f>
        <v>0</v>
      </c>
      <c r="DW36">
        <f>Monthly_kWh!CD13</f>
        <v>0</v>
      </c>
      <c r="DX36">
        <f>Monthly_kWh!CE13</f>
        <v>0</v>
      </c>
      <c r="DY36">
        <f>Monthly_kWh!CJ13</f>
        <v>0</v>
      </c>
      <c r="DZ36">
        <f>Monthly_kWh!CP13</f>
        <v>0</v>
      </c>
      <c r="EA36">
        <f>Monthly_kWh!CS13</f>
        <v>0</v>
      </c>
      <c r="EB36">
        <f>Monthly_kWh!CU13</f>
        <v>0</v>
      </c>
      <c r="EC36">
        <f>Monthly_kWh!EG13</f>
        <v>0</v>
      </c>
      <c r="ED36">
        <f>Monthly_kWh!EQ13</f>
        <v>0</v>
      </c>
    </row>
    <row r="37" spans="1:134" ht="14.15" customHeight="1" x14ac:dyDescent="0.25">
      <c r="A37" s="333" t="s">
        <v>461</v>
      </c>
      <c r="B37" s="137">
        <v>36</v>
      </c>
      <c r="C37" s="139" t="s">
        <v>258</v>
      </c>
      <c r="D37" s="142">
        <f>DAILY_ENERGY!C47</f>
        <v>7.1778594999999994</v>
      </c>
      <c r="E37" s="142">
        <f>DAILY_ENERGY!D47</f>
        <v>7.2301344999999992</v>
      </c>
      <c r="F37" s="142">
        <f>DAILY_ENERGY!E47</f>
        <v>5.2274999999999849E-2</v>
      </c>
      <c r="G37" s="142"/>
      <c r="H37" s="142">
        <f>SHIFT_A!E47</f>
        <v>2.5179500000000132E-2</v>
      </c>
      <c r="I37" s="142">
        <f>SHIFT_B!E47</f>
        <v>2.3297499999999971E-2</v>
      </c>
      <c r="J37" s="142">
        <f>SHIFT_C!E47</f>
        <v>3.797999999999746E-3</v>
      </c>
      <c r="K37" s="162">
        <f t="shared" si="0"/>
        <v>5.2274999999999849E-2</v>
      </c>
      <c r="L37" s="163">
        <f t="shared" si="1"/>
        <v>0</v>
      </c>
      <c r="N37" s="168">
        <v>8</v>
      </c>
      <c r="O37">
        <f>Monthly_kWh!AF14</f>
        <v>0</v>
      </c>
      <c r="P37">
        <f>Monthly_kWh!BJ14</f>
        <v>1.5560000000007801E-3</v>
      </c>
      <c r="Q37">
        <f>Monthly_kWh!BK14</f>
        <v>4.0468000000000601E-2</v>
      </c>
      <c r="R37">
        <f>Monthly_kWh!EP14</f>
        <v>0</v>
      </c>
      <c r="S37">
        <f>Monthly_kWh!EE14</f>
        <v>2.52865E-2</v>
      </c>
      <c r="T37">
        <f>Monthly_kWh!DH14</f>
        <v>5.74750000000002E-3</v>
      </c>
      <c r="U37">
        <f>Monthly_kWh!CL14</f>
        <v>5.52659999999996E-2</v>
      </c>
      <c r="V37">
        <f>Monthly_kWh!BL14</f>
        <v>3.3999999999423401E-5</v>
      </c>
      <c r="W37">
        <f>Monthly_kWh!V14</f>
        <v>0.123822000000001</v>
      </c>
      <c r="X37">
        <f>Monthly_kWh!AB14</f>
        <v>0.16543999999999701</v>
      </c>
      <c r="Y37">
        <f>Monthly_kWh!AE14</f>
        <v>0.102492499999999</v>
      </c>
      <c r="Z37">
        <f>Monthly_kWh!AG14</f>
        <v>7.0472500000002799E-3</v>
      </c>
      <c r="AA37">
        <f>Monthly_kWh!BE14</f>
        <v>0.31537300000000101</v>
      </c>
      <c r="AB37">
        <f>Monthly_kWh!AY14</f>
        <v>9.1435999999999906E-2</v>
      </c>
      <c r="AC37">
        <f>Monthly_kWh!CX14</f>
        <v>0.26763199999999898</v>
      </c>
      <c r="AD37">
        <f>Monthly_kWh!CY14</f>
        <v>1.8155999999999801E-2</v>
      </c>
      <c r="AE37">
        <f>Monthly_kWh!DC14</f>
        <v>0.19911200000000001</v>
      </c>
      <c r="AF37">
        <f>Monthly_kWh!DD14</f>
        <v>3.0714250000000099E-2</v>
      </c>
      <c r="AG37">
        <f>Monthly_kWh!W14</f>
        <v>1.9763000000001099E-2</v>
      </c>
      <c r="AH37">
        <f>Monthly_kWh!X14</f>
        <v>1.9728000000000599E-2</v>
      </c>
      <c r="AI37">
        <f>Monthly_kWh!Y14</f>
        <v>0</v>
      </c>
      <c r="AJ37">
        <f>Monthly_kWh!Z14</f>
        <v>4.3725999999999501E-2</v>
      </c>
      <c r="AK37">
        <f>Monthly_kWh!AA14</f>
        <v>8.0657999999999702E-2</v>
      </c>
      <c r="AL37">
        <f>Monthly_kWh!AC14</f>
        <v>0.124327999999998</v>
      </c>
      <c r="AM37">
        <f>Monthly_kWh!AD14</f>
        <v>4.19365000000003E-2</v>
      </c>
      <c r="AN37">
        <f>Monthly_kWh!AI14</f>
        <v>0</v>
      </c>
      <c r="AO37">
        <f>Monthly_kWh!AJ14</f>
        <v>3.06344999999997E-2</v>
      </c>
      <c r="AP37">
        <f>Monthly_kWh!AL14</f>
        <v>0.206680000000006</v>
      </c>
      <c r="AQ37">
        <f>Monthly_kWh!AM14</f>
        <v>0.32784800000000303</v>
      </c>
      <c r="AR37">
        <f>Monthly_kWh!AN14</f>
        <v>0.19658400000000101</v>
      </c>
      <c r="AS37">
        <f>Monthly_kWh!AO14</f>
        <v>0.120821999999997</v>
      </c>
      <c r="AT37">
        <f>Monthly_kWh!AP14</f>
        <v>8.8159999999998503E-2</v>
      </c>
      <c r="AU37">
        <f>Monthly_kWh!CN14</f>
        <v>2.3765000000000001E-2</v>
      </c>
      <c r="AV37">
        <f>Monthly_kWh!CR14</f>
        <v>0.15013699999999899</v>
      </c>
      <c r="AW37">
        <f>Monthly_kWh!AQ14</f>
        <v>0.16741199999999901</v>
      </c>
      <c r="AX37">
        <f>Monthly_kWh!AS14</f>
        <v>1.6154000000000199E-2</v>
      </c>
      <c r="AY37">
        <f>Monthly_kWh!EH14</f>
        <v>0.16230399999994899</v>
      </c>
      <c r="AZ37">
        <f>Monthly_kWh!EJ14</f>
        <v>4.0608000000020197E-2</v>
      </c>
      <c r="BA37">
        <f>Monthly_kWh!EI14</f>
        <v>0.63897599999995702</v>
      </c>
      <c r="BB37">
        <f>Monthly_kWh!AW14</f>
        <v>1.09299199999998</v>
      </c>
      <c r="BC37">
        <f>Monthly_kWh!DS14</f>
        <v>0.66678400000000704</v>
      </c>
      <c r="BD37">
        <f>Monthly_kWh!CO14</f>
        <v>0.44747999999999899</v>
      </c>
      <c r="BE37">
        <f>Monthly_kWh!DA14</f>
        <v>0.18339599999999501</v>
      </c>
      <c r="BF37">
        <f>Monthly_kWh!DB14</f>
        <v>0.11576299999999901</v>
      </c>
      <c r="BG37">
        <f>Monthly_kWh!EK14</f>
        <v>0</v>
      </c>
      <c r="BH37">
        <f>Monthly_kWh!EL14</f>
        <v>1.46713600000021</v>
      </c>
      <c r="BI37">
        <f>Monthly_kWh!EM14</f>
        <v>2.36236800000006</v>
      </c>
      <c r="BJ37">
        <f>Monthly_kWh!EN14</f>
        <v>0.172288000000208</v>
      </c>
      <c r="BK37">
        <f>Monthly_kWh!EO14</f>
        <v>0.72070399999995505</v>
      </c>
      <c r="BL37">
        <f>Monthly_kWh!ER14</f>
        <v>1.65754</v>
      </c>
      <c r="BM37">
        <f>Monthly_kWh!BW14</f>
        <v>0</v>
      </c>
      <c r="BN37">
        <f>Monthly_kWh!DR14</f>
        <v>0</v>
      </c>
      <c r="BO37">
        <f>Monthly_kWh!CG14</f>
        <v>0</v>
      </c>
      <c r="BP37">
        <f>Monthly_kWh!CI14</f>
        <v>0</v>
      </c>
      <c r="BQ37">
        <f>Monthly_kWh!BV14</f>
        <v>0</v>
      </c>
      <c r="BR37">
        <f>Monthly_kWh!BO14</f>
        <v>7.5628000000000001E-2</v>
      </c>
      <c r="BS37">
        <f>Monthly_kWh!CW14</f>
        <v>3.7000000000020402E-3</v>
      </c>
      <c r="BT37">
        <f>Monthly_kWh!DE14</f>
        <v>0</v>
      </c>
      <c r="BU37">
        <f>Monthly_kWh!DW14</f>
        <v>0</v>
      </c>
      <c r="BV37">
        <f>Monthly_kWh!CB14</f>
        <v>0</v>
      </c>
      <c r="BW37">
        <f>Monthly_kWh!CZ14</f>
        <v>1.5412E-2</v>
      </c>
      <c r="BX37">
        <f>Monthly_kWh!DG14</f>
        <v>1.2645000000004499E-3</v>
      </c>
      <c r="BY37">
        <f>Monthly_kWh!BS14</f>
        <v>0</v>
      </c>
      <c r="BZ37">
        <f>Monthly_kWh!CH14</f>
        <v>1.70849999999989E-3</v>
      </c>
      <c r="CA37">
        <f>Monthly_kWh!BR14</f>
        <v>0</v>
      </c>
      <c r="CB37">
        <f>Monthly_kWh!BP14</f>
        <v>0</v>
      </c>
      <c r="CC37">
        <f>Monthly_kWh!BU14</f>
        <v>0</v>
      </c>
      <c r="CD37">
        <f>Monthly_kWh!BX14</f>
        <v>0</v>
      </c>
      <c r="CE37">
        <f>Monthly_kWh!CV14</f>
        <v>1.02049999999987E-3</v>
      </c>
      <c r="CF37">
        <f>Monthly_kWh!BT14</f>
        <v>1.4983999999998301E-2</v>
      </c>
      <c r="CG37">
        <f>Monthly_kWh!CA14</f>
        <v>2.19120000000004E-2</v>
      </c>
      <c r="CH37">
        <f>Monthly_kWh!CF14</f>
        <v>2.2304000000000102E-2</v>
      </c>
      <c r="CI37">
        <f>Monthly_kWh!BZ14</f>
        <v>0.20690399999999401</v>
      </c>
      <c r="CJ37">
        <f>Monthly_kWh!CK14</f>
        <v>0</v>
      </c>
      <c r="CK37">
        <f>Monthly_kWh!DT14</f>
        <v>7.0063999999973703E-2</v>
      </c>
      <c r="CL37">
        <f>Monthly_kWh!EB14</f>
        <v>0.34390400000000898</v>
      </c>
      <c r="CM37">
        <f>Monthly_kWh!EC14</f>
        <v>0.146895999999998</v>
      </c>
      <c r="CN37">
        <f>Monthly_kWh!CQ14</f>
        <v>0</v>
      </c>
      <c r="CO37">
        <f>Monthly_kWh!DF14</f>
        <v>0</v>
      </c>
      <c r="CP37">
        <f>Monthly_kWh!DJ14</f>
        <v>0</v>
      </c>
      <c r="CQ37">
        <f>Monthly_kWh!DP14</f>
        <v>1.25024999999992E-2</v>
      </c>
      <c r="CR37">
        <f>Monthly_kWh!BQ14</f>
        <v>0</v>
      </c>
      <c r="CS37">
        <f>Monthly_kWh!BY14</f>
        <v>0</v>
      </c>
      <c r="CT37">
        <f>Monthly_kWh!DU14</f>
        <v>4.1299999999999697E-4</v>
      </c>
      <c r="CU37">
        <f>Monthly_kWh!DQ14</f>
        <v>0</v>
      </c>
      <c r="CV37">
        <f>Monthly_kWh!EA14</f>
        <v>0</v>
      </c>
      <c r="CW37">
        <f>Monthly_kWh!DO14</f>
        <v>0.45438400000000501</v>
      </c>
      <c r="CX37">
        <f>Monthly_kWh!DX14</f>
        <v>0.11147749999999999</v>
      </c>
      <c r="CY37">
        <f>Monthly_kWh!DY14</f>
        <v>4.4440625000000096E-3</v>
      </c>
      <c r="CZ37">
        <f>Monthly_kWh!DZ14</f>
        <v>5.49700000000009E-2</v>
      </c>
      <c r="DA37">
        <f>Monthly_kWh!ED14</f>
        <v>7.10849999999974E-3</v>
      </c>
      <c r="DB37">
        <f>Monthly_kWh!DV14</f>
        <v>5.6727499999999998E-3</v>
      </c>
      <c r="DC37">
        <f>Monthly_kWh!CT14</f>
        <v>8.5692000000008803E-2</v>
      </c>
      <c r="DD37">
        <f>Monthly_kWh!DN14</f>
        <v>8.3749999999938E-5</v>
      </c>
      <c r="DE37">
        <f>Monthly_kWh!AZ14</f>
        <v>0</v>
      </c>
      <c r="DF37">
        <f>Monthly_kWh!BD14</f>
        <v>0</v>
      </c>
      <c r="DG37">
        <f>Monthly_kWh!AV14</f>
        <v>1.8949000000000101E-2</v>
      </c>
      <c r="DH37">
        <f>Monthly_kWh!BG14</f>
        <v>1.0707E-2</v>
      </c>
      <c r="DI37">
        <f>Monthly_kWh!DK14</f>
        <v>6.4099999999999796E-2</v>
      </c>
      <c r="DJ37">
        <f>Monthly_kWh!DL14</f>
        <v>1.26179999999998E-2</v>
      </c>
      <c r="DK37">
        <f>Monthly_kWh!AU14</f>
        <v>3.8295999999995403E-2</v>
      </c>
      <c r="DL37">
        <f>Monthly_kWh!DM14</f>
        <v>3.3317999999999501E-2</v>
      </c>
      <c r="DM37">
        <f>Monthly_kWh!CC14</f>
        <v>0</v>
      </c>
      <c r="DN37">
        <f>Monthly_kWh!BH14</f>
        <v>7.1720000000006197E-3</v>
      </c>
      <c r="DO37">
        <f>Monthly_kWh!AK14</f>
        <v>0</v>
      </c>
      <c r="DP37">
        <f>Monthly_kWh!AT14</f>
        <v>0</v>
      </c>
      <c r="DQ37">
        <f>Monthly_kWh!AX14</f>
        <v>0</v>
      </c>
      <c r="DR37">
        <f>Monthly_kWh!BA14</f>
        <v>0</v>
      </c>
      <c r="DS37">
        <f>Monthly_kWh!BB14</f>
        <v>0</v>
      </c>
      <c r="DT37">
        <f>Monthly_kWh!BC14</f>
        <v>0</v>
      </c>
      <c r="DU37">
        <f>Monthly_kWh!BF14</f>
        <v>0</v>
      </c>
      <c r="DV37">
        <f>Monthly_kWh!BN14</f>
        <v>0</v>
      </c>
      <c r="DW37">
        <f>Monthly_kWh!CD14</f>
        <v>0</v>
      </c>
      <c r="DX37">
        <f>Monthly_kWh!CE14</f>
        <v>0</v>
      </c>
      <c r="DY37">
        <f>Monthly_kWh!CJ14</f>
        <v>0</v>
      </c>
      <c r="DZ37">
        <f>Monthly_kWh!CP14</f>
        <v>0</v>
      </c>
      <c r="EA37">
        <f>Monthly_kWh!CS14</f>
        <v>0</v>
      </c>
      <c r="EB37">
        <f>Monthly_kWh!CU14</f>
        <v>0</v>
      </c>
      <c r="EC37">
        <f>Monthly_kWh!EG14</f>
        <v>0</v>
      </c>
      <c r="ED37">
        <f>Monthly_kWh!EQ14</f>
        <v>0</v>
      </c>
    </row>
    <row r="38" spans="1:134" ht="14" x14ac:dyDescent="0.25">
      <c r="A38" s="333"/>
      <c r="B38" s="137">
        <v>37</v>
      </c>
      <c r="C38" s="139" t="s">
        <v>351</v>
      </c>
      <c r="D38" s="142">
        <f>DAILY_ENERGY!C140</f>
        <v>580.65631999999994</v>
      </c>
      <c r="E38" s="142">
        <f>DAILY_ENERGY!D140</f>
        <v>581.12588799999992</v>
      </c>
      <c r="F38" s="142">
        <f>DAILY_ENERGY!E140</f>
        <v>0.46956799999998111</v>
      </c>
      <c r="G38" s="142"/>
      <c r="H38" s="142">
        <f>SHIFT_A!E140</f>
        <v>0.26585599999998522</v>
      </c>
      <c r="I38" s="142">
        <f>SHIFT_B!E140</f>
        <v>0.14182400000004236</v>
      </c>
      <c r="J38" s="142">
        <f>SHIFT_C!E140</f>
        <v>6.1887999999953536E-2</v>
      </c>
      <c r="K38" s="162">
        <f t="shared" si="0"/>
        <v>0.46956799999998111</v>
      </c>
      <c r="L38" s="163">
        <f t="shared" si="1"/>
        <v>0</v>
      </c>
      <c r="N38" s="168">
        <v>9</v>
      </c>
      <c r="O38">
        <f>Monthly_kWh!AF15</f>
        <v>0</v>
      </c>
      <c r="P38">
        <f>Monthly_kWh!BJ15</f>
        <v>6.2810000000013098E-3</v>
      </c>
      <c r="Q38">
        <f>Monthly_kWh!BK15</f>
        <v>5.8876499999999297E-2</v>
      </c>
      <c r="R38">
        <f>Monthly_kWh!EP15</f>
        <v>0</v>
      </c>
      <c r="S38">
        <f>Monthly_kWh!EE15</f>
        <v>7.1005000000000401E-2</v>
      </c>
      <c r="T38">
        <f>Monthly_kWh!DH15</f>
        <v>1.0435000000000199E-2</v>
      </c>
      <c r="U38">
        <f>Monthly_kWh!CL15</f>
        <v>5.7432000000002099E-2</v>
      </c>
      <c r="V38">
        <f>Monthly_kWh!BL15</f>
        <v>6.1999999999784504E-5</v>
      </c>
      <c r="W38">
        <f>Monthly_kWh!V15</f>
        <v>0.123093999999998</v>
      </c>
      <c r="X38">
        <f>Monthly_kWh!AB15</f>
        <v>0.166822000000003</v>
      </c>
      <c r="Y38">
        <f>Monthly_kWh!AE15</f>
        <v>0.13682449999999999</v>
      </c>
      <c r="Z38">
        <f>Monthly_kWh!AG15</f>
        <v>1.22295000000001E-2</v>
      </c>
      <c r="AA38">
        <f>Monthly_kWh!BE15</f>
        <v>0.11603999999999801</v>
      </c>
      <c r="AB38">
        <f>Monthly_kWh!AY15</f>
        <v>0.10236149999999999</v>
      </c>
      <c r="AC38">
        <f>Monthly_kWh!CX15</f>
        <v>0.27050800000000003</v>
      </c>
      <c r="AD38">
        <f>Monthly_kWh!CY15</f>
        <v>1.8265E-2</v>
      </c>
      <c r="AE38">
        <f>Monthly_kWh!DC15</f>
        <v>0.201875999999999</v>
      </c>
      <c r="AF38">
        <f>Monthly_kWh!DD15</f>
        <v>2.7759812499999901E-2</v>
      </c>
      <c r="AG38">
        <f>Monthly_kWh!W15</f>
        <v>6.2538999999999206E-2</v>
      </c>
      <c r="AH38">
        <f>Monthly_kWh!X15</f>
        <v>4.7748000000000297E-2</v>
      </c>
      <c r="AI38">
        <f>Monthly_kWh!Y15</f>
        <v>0</v>
      </c>
      <c r="AJ38">
        <f>Monthly_kWh!Z15</f>
        <v>4.6020000000000401E-2</v>
      </c>
      <c r="AK38">
        <f>Monthly_kWh!AA15</f>
        <v>0.114812000000001</v>
      </c>
      <c r="AL38">
        <f>Monthly_kWh!AC15</f>
        <v>0.129222000000002</v>
      </c>
      <c r="AM38">
        <f>Monthly_kWh!AD15</f>
        <v>5.1626499999999402E-2</v>
      </c>
      <c r="AN38">
        <f>Monthly_kWh!AI15</f>
        <v>0</v>
      </c>
      <c r="AO38">
        <f>Monthly_kWh!AJ15</f>
        <v>4.4162E-2</v>
      </c>
      <c r="AP38">
        <f>Monthly_kWh!AL15</f>
        <v>0.33092000000000599</v>
      </c>
      <c r="AQ38">
        <f>Monthly_kWh!AM15</f>
        <v>0.49392799999999698</v>
      </c>
      <c r="AR38">
        <f>Monthly_kWh!AN15</f>
        <v>0.36893600000000498</v>
      </c>
      <c r="AS38">
        <f>Monthly_kWh!AO15</f>
        <v>0.14574000000000401</v>
      </c>
      <c r="AT38">
        <f>Monthly_kWh!AP15</f>
        <v>8.4880000000001801E-2</v>
      </c>
      <c r="AU38">
        <f>Monthly_kWh!CN15</f>
        <v>3.4144000000000403E-2</v>
      </c>
      <c r="AV38">
        <f>Monthly_kWh!CR15</f>
        <v>0.14551</v>
      </c>
      <c r="AW38">
        <f>Monthly_kWh!AQ15</f>
        <v>0.32978800000000102</v>
      </c>
      <c r="AX38">
        <f>Monthly_kWh!AS15</f>
        <v>8.68395E-2</v>
      </c>
      <c r="AY38">
        <f>Monthly_kWh!EH15</f>
        <v>0.69401600000003305</v>
      </c>
      <c r="AZ38">
        <f>Monthly_kWh!EJ15</f>
        <v>8.3296000000018494E-2</v>
      </c>
      <c r="BA38">
        <f>Monthly_kWh!EI15</f>
        <v>0.646656000000007</v>
      </c>
      <c r="BB38">
        <f>Monthly_kWh!AW15</f>
        <v>2.09542399999998</v>
      </c>
      <c r="BC38">
        <f>Monthly_kWh!DS15</f>
        <v>1.5220479999999801</v>
      </c>
      <c r="BD38">
        <f>Monthly_kWh!CO15</f>
        <v>0.88087600000000099</v>
      </c>
      <c r="BE38">
        <f>Monthly_kWh!DA15</f>
        <v>0.28480000000000399</v>
      </c>
      <c r="BF38">
        <f>Monthly_kWh!DB15</f>
        <v>0.132076000000001</v>
      </c>
      <c r="BG38">
        <f>Monthly_kWh!EK15</f>
        <v>0</v>
      </c>
      <c r="BH38">
        <f>Monthly_kWh!EL15</f>
        <v>2.6030079999998201</v>
      </c>
      <c r="BI38">
        <f>Monthly_kWh!EM15</f>
        <v>4.09830399999964</v>
      </c>
      <c r="BJ38">
        <f>Monthly_kWh!EN15</f>
        <v>2.2476799999999502</v>
      </c>
      <c r="BK38">
        <f>Monthly_kWh!EO15</f>
        <v>1.2139520000000601</v>
      </c>
      <c r="BL38">
        <f>Monthly_kWh!ER15</f>
        <v>2.546198</v>
      </c>
      <c r="BM38">
        <f>Monthly_kWh!BW15</f>
        <v>0</v>
      </c>
      <c r="BN38">
        <f>Monthly_kWh!DR15</f>
        <v>0</v>
      </c>
      <c r="BO38">
        <f>Monthly_kWh!CG15</f>
        <v>0</v>
      </c>
      <c r="BP38">
        <f>Monthly_kWh!CI15</f>
        <v>0</v>
      </c>
      <c r="BQ38">
        <f>Monthly_kWh!BV15</f>
        <v>0</v>
      </c>
      <c r="BR38">
        <f>Monthly_kWh!BO15</f>
        <v>0.26692499999999902</v>
      </c>
      <c r="BS38">
        <f>Monthly_kWh!CW15</f>
        <v>3.9151999999994302E-2</v>
      </c>
      <c r="BT38">
        <f>Monthly_kWh!DE15</f>
        <v>0</v>
      </c>
      <c r="BU38">
        <f>Monthly_kWh!DW15</f>
        <v>0</v>
      </c>
      <c r="BV38">
        <f>Monthly_kWh!CB15</f>
        <v>0</v>
      </c>
      <c r="BW38">
        <f>Monthly_kWh!CZ15</f>
        <v>2.40452499999999E-2</v>
      </c>
      <c r="BX38">
        <f>Monthly_kWh!DG15</f>
        <v>1.7136999999999999E-2</v>
      </c>
      <c r="BY38">
        <f>Monthly_kWh!BS15</f>
        <v>0</v>
      </c>
      <c r="BZ38">
        <f>Monthly_kWh!CH15</f>
        <v>5.3925000000010204E-4</v>
      </c>
      <c r="CA38">
        <f>Monthly_kWh!BR15</f>
        <v>0</v>
      </c>
      <c r="CB38">
        <f>Monthly_kWh!BP15</f>
        <v>0</v>
      </c>
      <c r="CC38">
        <f>Monthly_kWh!BU15</f>
        <v>0</v>
      </c>
      <c r="CD38">
        <f>Monthly_kWh!BX15</f>
        <v>0</v>
      </c>
      <c r="CE38">
        <f>Monthly_kWh!CV15</f>
        <v>2.1958249999999999E-2</v>
      </c>
      <c r="CF38">
        <f>Monthly_kWh!BT15</f>
        <v>0.243423999999997</v>
      </c>
      <c r="CG38">
        <f>Monthly_kWh!CA15</f>
        <v>0.43967200000000201</v>
      </c>
      <c r="CH38">
        <f>Monthly_kWh!CF15</f>
        <v>3.46170000000008E-2</v>
      </c>
      <c r="CI38">
        <f>Monthly_kWh!BZ15</f>
        <v>1.018224</v>
      </c>
      <c r="CJ38">
        <f>Monthly_kWh!CK15</f>
        <v>0</v>
      </c>
      <c r="CK38">
        <f>Monthly_kWh!DT15</f>
        <v>0.41457600000001099</v>
      </c>
      <c r="CL38">
        <f>Monthly_kWh!EB15</f>
        <v>1.2625600000000099</v>
      </c>
      <c r="CM38">
        <f>Monthly_kWh!EC15</f>
        <v>0.65723200000002202</v>
      </c>
      <c r="CN38">
        <f>Monthly_kWh!CQ15</f>
        <v>0</v>
      </c>
      <c r="CO38">
        <f>Monthly_kWh!DF15</f>
        <v>0</v>
      </c>
      <c r="CP38">
        <f>Monthly_kWh!DJ15</f>
        <v>0</v>
      </c>
      <c r="CQ38">
        <f>Monthly_kWh!DP15</f>
        <v>4.0913000000000602E-2</v>
      </c>
      <c r="CR38">
        <f>Monthly_kWh!BQ15</f>
        <v>0</v>
      </c>
      <c r="CS38">
        <f>Monthly_kWh!BY15</f>
        <v>0</v>
      </c>
      <c r="CT38">
        <f>Monthly_kWh!DU15</f>
        <v>1.6755999999999101E-2</v>
      </c>
      <c r="CU38">
        <f>Monthly_kWh!DQ15</f>
        <v>0</v>
      </c>
      <c r="CV38">
        <f>Monthly_kWh!EA15</f>
        <v>0</v>
      </c>
      <c r="CW38">
        <f>Monthly_kWh!DO15</f>
        <v>0.73395199999998795</v>
      </c>
      <c r="CX38">
        <f>Monthly_kWh!DX15</f>
        <v>0.20067850000000001</v>
      </c>
      <c r="CY38">
        <f>Monthly_kWh!DY15</f>
        <v>4.3984999999999701E-3</v>
      </c>
      <c r="CZ38">
        <f>Monthly_kWh!DZ15</f>
        <v>8.9096000000001396E-2</v>
      </c>
      <c r="DA38">
        <f>Monthly_kWh!ED15</f>
        <v>2.6222500000000301E-2</v>
      </c>
      <c r="DB38">
        <f>Monthly_kWh!DV15</f>
        <v>8.6172499999999097E-3</v>
      </c>
      <c r="DC38">
        <f>Monthly_kWh!CT15</f>
        <v>0.19976399999998801</v>
      </c>
      <c r="DD38">
        <f>Monthly_kWh!DN15</f>
        <v>3.4518750000000998E-4</v>
      </c>
      <c r="DE38">
        <f>Monthly_kWh!AZ15</f>
        <v>0</v>
      </c>
      <c r="DF38">
        <f>Monthly_kWh!BD15</f>
        <v>3.9381068725585899E-3</v>
      </c>
      <c r="DG38">
        <f>Monthly_kWh!AV15</f>
        <v>4.5586999999999399E-2</v>
      </c>
      <c r="DH38">
        <f>Monthly_kWh!BG15</f>
        <v>1.98970000000003E-2</v>
      </c>
      <c r="DI38">
        <f>Monthly_kWh!DK15</f>
        <v>6.5020000000000494E-2</v>
      </c>
      <c r="DJ38">
        <f>Monthly_kWh!DL15</f>
        <v>1.9256999999999601E-2</v>
      </c>
      <c r="DK38">
        <f>Monthly_kWh!AU15</f>
        <v>4.3068000000005199E-2</v>
      </c>
      <c r="DL38">
        <f>Monthly_kWh!DM15</f>
        <v>4.8997999999999202E-2</v>
      </c>
      <c r="DM38">
        <f>Monthly_kWh!CC15</f>
        <v>0</v>
      </c>
      <c r="DN38">
        <f>Monthly_kWh!BH15</f>
        <v>3.7572000000000799E-2</v>
      </c>
      <c r="DO38">
        <f>Monthly_kWh!AK15</f>
        <v>0</v>
      </c>
      <c r="DP38">
        <f>Monthly_kWh!AT15</f>
        <v>0</v>
      </c>
      <c r="DQ38">
        <f>Monthly_kWh!AX15</f>
        <v>0</v>
      </c>
      <c r="DR38">
        <f>Monthly_kWh!BA15</f>
        <v>0</v>
      </c>
      <c r="DS38">
        <f>Monthly_kWh!BB15</f>
        <v>0</v>
      </c>
      <c r="DT38">
        <f>Monthly_kWh!BC15</f>
        <v>0</v>
      </c>
      <c r="DU38">
        <f>Monthly_kWh!BF15</f>
        <v>0</v>
      </c>
      <c r="DV38">
        <f>Monthly_kWh!BN15</f>
        <v>0</v>
      </c>
      <c r="DW38">
        <f>Monthly_kWh!CD15</f>
        <v>0</v>
      </c>
      <c r="DX38">
        <f>Monthly_kWh!CE15</f>
        <v>0</v>
      </c>
      <c r="DY38">
        <f>Monthly_kWh!CJ15</f>
        <v>0</v>
      </c>
      <c r="DZ38">
        <f>Monthly_kWh!CP15</f>
        <v>0</v>
      </c>
      <c r="EA38">
        <f>Monthly_kWh!CS15</f>
        <v>0</v>
      </c>
      <c r="EB38">
        <f>Monthly_kWh!CU15</f>
        <v>0</v>
      </c>
      <c r="EC38">
        <f>Monthly_kWh!EG15</f>
        <v>0</v>
      </c>
      <c r="ED38">
        <f>Monthly_kWh!EQ15</f>
        <v>0</v>
      </c>
    </row>
    <row r="39" spans="1:134" ht="14" x14ac:dyDescent="0.25">
      <c r="A39" s="333"/>
      <c r="B39" s="137">
        <v>38</v>
      </c>
      <c r="C39" s="139" t="s">
        <v>353</v>
      </c>
      <c r="D39" s="142">
        <f>DAILY_ENERGY!C142</f>
        <v>340.51049599999999</v>
      </c>
      <c r="E39" s="142">
        <f>DAILY_ENERGY!D142</f>
        <v>340.57324799999998</v>
      </c>
      <c r="F39" s="142">
        <f>DAILY_ENERGY!E142</f>
        <v>6.2751999999989039E-2</v>
      </c>
      <c r="G39" s="142"/>
      <c r="H39" s="142">
        <f>SHIFT_A!E142</f>
        <v>1.8463999999994485E-2</v>
      </c>
      <c r="I39" s="142">
        <f>SHIFT_B!E142</f>
        <v>4.0480000000002292E-2</v>
      </c>
      <c r="J39" s="142">
        <f>SHIFT_C!E142</f>
        <v>3.807999999992262E-3</v>
      </c>
      <c r="K39" s="162">
        <f t="shared" si="0"/>
        <v>6.2751999999989039E-2</v>
      </c>
      <c r="L39" s="163">
        <f t="shared" si="1"/>
        <v>0</v>
      </c>
      <c r="N39" s="168">
        <v>10</v>
      </c>
      <c r="O39">
        <f>Monthly_kWh!AF16</f>
        <v>0</v>
      </c>
      <c r="P39">
        <f>Monthly_kWh!BJ16</f>
        <v>3.6479999999983201E-3</v>
      </c>
      <c r="Q39">
        <f>Monthly_kWh!BK16</f>
        <v>0.19056300000000001</v>
      </c>
      <c r="R39">
        <f>Monthly_kWh!EP16</f>
        <v>0</v>
      </c>
      <c r="S39">
        <f>Monthly_kWh!EE16</f>
        <v>0.1402525</v>
      </c>
      <c r="T39">
        <f>Monthly_kWh!DH16</f>
        <v>1.04654999999996E-2</v>
      </c>
      <c r="U39">
        <f>Monthly_kWh!CL16</f>
        <v>4.8593999999997799E-2</v>
      </c>
      <c r="V39">
        <f>Monthly_kWh!BL16</f>
        <v>1.3400000000274301E-4</v>
      </c>
      <c r="W39">
        <f>Monthly_kWh!V16</f>
        <v>0.1235</v>
      </c>
      <c r="X39">
        <f>Monthly_kWh!AB16</f>
        <v>0.168626</v>
      </c>
      <c r="Y39">
        <f>Monthly_kWh!AE16</f>
        <v>0.1476285</v>
      </c>
      <c r="Z39">
        <f>Monthly_kWh!AG16</f>
        <v>1.49954999999999E-2</v>
      </c>
      <c r="AA39">
        <f>Monthly_kWh!BE16</f>
        <v>0.11700000000000101</v>
      </c>
      <c r="AB39">
        <f>Monthly_kWh!AY16</f>
        <v>7.8362499999999904E-2</v>
      </c>
      <c r="AC39">
        <f>Monthly_kWh!CX16</f>
        <v>0.27296799999999899</v>
      </c>
      <c r="AD39">
        <f>Monthly_kWh!CY16</f>
        <v>1.8402000000000002E-2</v>
      </c>
      <c r="AE39">
        <f>Monthly_kWh!DC16</f>
        <v>0.21551600000000101</v>
      </c>
      <c r="AF39">
        <f>Monthly_kWh!DD16</f>
        <v>2.6654125000000001E-2</v>
      </c>
      <c r="AG39">
        <f>Monthly_kWh!W16</f>
        <v>6.6244000000001094E-2</v>
      </c>
      <c r="AH39">
        <f>Monthly_kWh!X16</f>
        <v>6.5117999999999995E-2</v>
      </c>
      <c r="AI39">
        <f>Monthly_kWh!Y16</f>
        <v>0</v>
      </c>
      <c r="AJ39">
        <f>Monthly_kWh!Z16</f>
        <v>4.2009000000000199E-2</v>
      </c>
      <c r="AK39">
        <f>Monthly_kWh!AA16</f>
        <v>0.114163999999999</v>
      </c>
      <c r="AL39">
        <f>Monthly_kWh!AC16</f>
        <v>0.124897999999998</v>
      </c>
      <c r="AM39">
        <f>Monthly_kWh!AD16</f>
        <v>6.7729000000000802E-2</v>
      </c>
      <c r="AN39">
        <f>Monthly_kWh!AI16</f>
        <v>0</v>
      </c>
      <c r="AO39">
        <f>Monthly_kWh!AJ16</f>
        <v>4.6810999999999901E-2</v>
      </c>
      <c r="AP39">
        <f>Monthly_kWh!AL16</f>
        <v>0.33282399999998802</v>
      </c>
      <c r="AQ39">
        <f>Monthly_kWh!AM16</f>
        <v>0.49547200000000702</v>
      </c>
      <c r="AR39">
        <f>Monthly_kWh!AN16</f>
        <v>0.37184800000000001</v>
      </c>
      <c r="AS39">
        <f>Monthly_kWh!AO16</f>
        <v>0.15398999999999999</v>
      </c>
      <c r="AT39">
        <f>Monthly_kWh!AP16</f>
        <v>8.5746000000000294E-2</v>
      </c>
      <c r="AU39">
        <f>Monthly_kWh!CN16</f>
        <v>5.0582999999999601E-2</v>
      </c>
      <c r="AV39">
        <f>Monthly_kWh!CR16</f>
        <v>0.126633</v>
      </c>
      <c r="AW39">
        <f>Monthly_kWh!AQ16</f>
        <v>0.32459200000000299</v>
      </c>
      <c r="AX39">
        <f>Monthly_kWh!AS16</f>
        <v>8.3349499999999702E-2</v>
      </c>
      <c r="AY39">
        <f>Monthly_kWh!EH16</f>
        <v>0.68019200000003399</v>
      </c>
      <c r="AZ39">
        <f>Monthly_kWh!EJ16</f>
        <v>6.5215999999963997E-2</v>
      </c>
      <c r="BA39">
        <f>Monthly_kWh!EI16</f>
        <v>0.65491199999996796</v>
      </c>
      <c r="BB39">
        <f>Monthly_kWh!AW16</f>
        <v>2.2816000000000298</v>
      </c>
      <c r="BC39">
        <f>Monthly_kWh!DS16</f>
        <v>1.35721599999999</v>
      </c>
      <c r="BD39">
        <f>Monthly_kWh!CO16</f>
        <v>0.91181200000000495</v>
      </c>
      <c r="BE39">
        <f>Monthly_kWh!DA16</f>
        <v>0.25367599999999901</v>
      </c>
      <c r="BF39">
        <f>Monthly_kWh!DB16</f>
        <v>0.122470999999999</v>
      </c>
      <c r="BG39">
        <f>Monthly_kWh!EK16</f>
        <v>0</v>
      </c>
      <c r="BH39">
        <f>Monthly_kWh!EL16</f>
        <v>2.6869760000001901</v>
      </c>
      <c r="BI39">
        <f>Monthly_kWh!EM16</f>
        <v>4.01561600000014</v>
      </c>
      <c r="BJ39">
        <f>Monthly_kWh!EN16</f>
        <v>2.0497919999998002</v>
      </c>
      <c r="BK39">
        <f>Monthly_kWh!EO16</f>
        <v>1.26790399999993</v>
      </c>
      <c r="BL39">
        <f>Monthly_kWh!ER16</f>
        <v>2.7027729999999899</v>
      </c>
      <c r="BM39">
        <f>Monthly_kWh!BW16</f>
        <v>0</v>
      </c>
      <c r="BN39">
        <f>Monthly_kWh!DR16</f>
        <v>0</v>
      </c>
      <c r="BO39">
        <f>Monthly_kWh!CG16</f>
        <v>0</v>
      </c>
      <c r="BP39">
        <f>Monthly_kWh!CI16</f>
        <v>0</v>
      </c>
      <c r="BQ39">
        <f>Monthly_kWh!BV16</f>
        <v>0</v>
      </c>
      <c r="BR39">
        <f>Monthly_kWh!BO16</f>
        <v>0.44059200000000098</v>
      </c>
      <c r="BS39">
        <f>Monthly_kWh!CW16</f>
        <v>6.9396000000004704E-2</v>
      </c>
      <c r="BT39">
        <f>Monthly_kWh!DE16</f>
        <v>0</v>
      </c>
      <c r="BU39">
        <f>Monthly_kWh!DW16</f>
        <v>0</v>
      </c>
      <c r="BV39">
        <f>Monthly_kWh!CB16</f>
        <v>0</v>
      </c>
      <c r="BW39">
        <f>Monthly_kWh!CZ16</f>
        <v>2.20395E-2</v>
      </c>
      <c r="BX39">
        <f>Monthly_kWh!DG16</f>
        <v>1.7238499999999501E-2</v>
      </c>
      <c r="BY39">
        <f>Monthly_kWh!BS16</f>
        <v>0</v>
      </c>
      <c r="BZ39">
        <f>Monthly_kWh!CH16</f>
        <v>3.5724999999997602E-4</v>
      </c>
      <c r="CA39">
        <f>Monthly_kWh!BR16</f>
        <v>0</v>
      </c>
      <c r="CB39">
        <f>Monthly_kWh!BP16</f>
        <v>0</v>
      </c>
      <c r="CC39">
        <f>Monthly_kWh!BU16</f>
        <v>0</v>
      </c>
      <c r="CD39">
        <f>Monthly_kWh!BX16</f>
        <v>0</v>
      </c>
      <c r="CE39">
        <f>Monthly_kWh!CV16</f>
        <v>2.03140000000002E-2</v>
      </c>
      <c r="CF39">
        <f>Monthly_kWh!BT16</f>
        <v>0.12801600000000199</v>
      </c>
      <c r="CG39">
        <f>Monthly_kWh!CA16</f>
        <v>0.40659200000000301</v>
      </c>
      <c r="CH39">
        <f>Monthly_kWh!CF16</f>
        <v>3.7670999999999601E-2</v>
      </c>
      <c r="CI39">
        <f>Monthly_kWh!BZ16</f>
        <v>1.0172479999999999</v>
      </c>
      <c r="CJ39">
        <f>Monthly_kWh!CK16</f>
        <v>0</v>
      </c>
      <c r="CK39">
        <f>Monthly_kWh!DT16</f>
        <v>0</v>
      </c>
      <c r="CL39">
        <f>Monthly_kWh!EB16</f>
        <v>1.3264319999999801</v>
      </c>
      <c r="CM39">
        <f>Monthly_kWh!EC16</f>
        <v>0.69470400000000199</v>
      </c>
      <c r="CN39">
        <f>Monthly_kWh!CQ16</f>
        <v>0</v>
      </c>
      <c r="CO39">
        <f>Monthly_kWh!DF16</f>
        <v>0</v>
      </c>
      <c r="CP39">
        <f>Monthly_kWh!DJ16</f>
        <v>0</v>
      </c>
      <c r="CQ39">
        <f>Monthly_kWh!DP16</f>
        <v>3.4234500000000202E-2</v>
      </c>
      <c r="CR39">
        <f>Monthly_kWh!BQ16</f>
        <v>0</v>
      </c>
      <c r="CS39">
        <f>Monthly_kWh!BY16</f>
        <v>0</v>
      </c>
      <c r="CT39">
        <f>Monthly_kWh!DU16</f>
        <v>7.40799999999986E-3</v>
      </c>
      <c r="CU39">
        <f>Monthly_kWh!DQ16</f>
        <v>0</v>
      </c>
      <c r="CV39">
        <f>Monthly_kWh!EA16</f>
        <v>0</v>
      </c>
      <c r="CW39">
        <f>Monthly_kWh!DO16</f>
        <v>0.75497599999999898</v>
      </c>
      <c r="CX39">
        <f>Monthly_kWh!DX16</f>
        <v>0.189635</v>
      </c>
      <c r="CY39">
        <f>Monthly_kWh!DY16</f>
        <v>4.0622499999999903E-3</v>
      </c>
      <c r="CZ39">
        <f>Monthly_kWh!DZ16</f>
        <v>0.10571800000000001</v>
      </c>
      <c r="DA39">
        <f>Monthly_kWh!ED16</f>
        <v>3.1684999999999998E-2</v>
      </c>
      <c r="DB39">
        <f>Monthly_kWh!DV16</f>
        <v>8.3342500000003206E-3</v>
      </c>
      <c r="DC39">
        <f>Monthly_kWh!CT16</f>
        <v>0.20466400000000801</v>
      </c>
      <c r="DD39">
        <f>Monthly_kWh!DN16</f>
        <v>9.2443750000004198E-4</v>
      </c>
      <c r="DE39">
        <f>Monthly_kWh!AZ16</f>
        <v>1.0500000000135399E-5</v>
      </c>
      <c r="DF39">
        <f>Monthly_kWh!BD16</f>
        <v>3.3948759765625E-3</v>
      </c>
      <c r="DG39">
        <f>Monthly_kWh!AV16</f>
        <v>3.85685000000002E-2</v>
      </c>
      <c r="DH39">
        <f>Monthly_kWh!BG16</f>
        <v>2.2707999999999701E-2</v>
      </c>
      <c r="DI39">
        <f>Monthly_kWh!DK16</f>
        <v>6.5281999999999799E-2</v>
      </c>
      <c r="DJ39">
        <f>Monthly_kWh!DL16</f>
        <v>1.9223999999999498E-2</v>
      </c>
      <c r="DK39">
        <f>Monthly_kWh!AU16</f>
        <v>4.3475999999998301E-2</v>
      </c>
      <c r="DL39">
        <f>Monthly_kWh!DM16</f>
        <v>4.4004000000001001E-2</v>
      </c>
      <c r="DM39">
        <f>Monthly_kWh!CC16</f>
        <v>0</v>
      </c>
      <c r="DN39">
        <f>Monthly_kWh!BH16</f>
        <v>1.65739999999985E-2</v>
      </c>
      <c r="DO39">
        <f>Monthly_kWh!AK16</f>
        <v>0</v>
      </c>
      <c r="DP39">
        <f>Monthly_kWh!AT16</f>
        <v>0</v>
      </c>
      <c r="DQ39">
        <f>Monthly_kWh!AX16</f>
        <v>0</v>
      </c>
      <c r="DR39">
        <f>Monthly_kWh!BA16</f>
        <v>0</v>
      </c>
      <c r="DS39">
        <f>Monthly_kWh!BB16</f>
        <v>0</v>
      </c>
      <c r="DT39">
        <f>Monthly_kWh!BC16</f>
        <v>0</v>
      </c>
      <c r="DU39">
        <f>Monthly_kWh!BF16</f>
        <v>0</v>
      </c>
      <c r="DV39">
        <f>Monthly_kWh!BN16</f>
        <v>0</v>
      </c>
      <c r="DW39">
        <f>Monthly_kWh!CD16</f>
        <v>0</v>
      </c>
      <c r="DX39">
        <f>Monthly_kWh!CE16</f>
        <v>0</v>
      </c>
      <c r="DY39">
        <f>Monthly_kWh!CJ16</f>
        <v>0</v>
      </c>
      <c r="DZ39">
        <f>Monthly_kWh!CP16</f>
        <v>0</v>
      </c>
      <c r="EA39">
        <f>Monthly_kWh!CS16</f>
        <v>0</v>
      </c>
      <c r="EB39">
        <f>Monthly_kWh!CU16</f>
        <v>0</v>
      </c>
      <c r="EC39">
        <f>Monthly_kWh!EG16</f>
        <v>0</v>
      </c>
      <c r="ED39">
        <f>Monthly_kWh!EQ16</f>
        <v>0</v>
      </c>
    </row>
    <row r="40" spans="1:134" ht="14.15" customHeight="1" x14ac:dyDescent="0.25">
      <c r="A40" s="333"/>
      <c r="B40" s="137">
        <v>39</v>
      </c>
      <c r="C40" s="139" t="s">
        <v>352</v>
      </c>
      <c r="D40" s="142">
        <f>DAILY_ENERGY!C141</f>
        <v>929.71231999999998</v>
      </c>
      <c r="E40" s="142">
        <f>DAILY_ENERGY!D141</f>
        <v>930.24300799999992</v>
      </c>
      <c r="F40" s="142">
        <f>DAILY_ENERGY!E141</f>
        <v>0.53068799999994098</v>
      </c>
      <c r="G40" s="142"/>
      <c r="H40" s="142">
        <f>SHIFT_A!E141</f>
        <v>0.21081600000002254</v>
      </c>
      <c r="I40" s="142">
        <f>SHIFT_B!E141</f>
        <v>0.18246399999998175</v>
      </c>
      <c r="J40" s="142">
        <f>SHIFT_C!E141</f>
        <v>0.13740799999993669</v>
      </c>
      <c r="K40" s="162">
        <f t="shared" si="0"/>
        <v>0.53068799999994098</v>
      </c>
      <c r="L40" s="163">
        <f t="shared" si="1"/>
        <v>0</v>
      </c>
      <c r="N40" s="168">
        <v>11</v>
      </c>
      <c r="O40">
        <f>Monthly_kWh!AF17</f>
        <v>0</v>
      </c>
      <c r="P40">
        <f>Monthly_kWh!BJ17</f>
        <v>7.3400000000134501E-4</v>
      </c>
      <c r="Q40">
        <f>Monthly_kWh!BK17</f>
        <v>7.1506000000000305E-2</v>
      </c>
      <c r="R40">
        <f>Monthly_kWh!EP17</f>
        <v>0</v>
      </c>
      <c r="S40">
        <f>Monthly_kWh!EE17</f>
        <v>0.13050999999999899</v>
      </c>
      <c r="T40">
        <f>Monthly_kWh!DH17</f>
        <v>1.03335000000007E-2</v>
      </c>
      <c r="U40">
        <f>Monthly_kWh!CL17</f>
        <v>2.6921999999998999E-2</v>
      </c>
      <c r="V40">
        <f>Monthly_kWh!BL17</f>
        <v>1.05999999998829E-4</v>
      </c>
      <c r="W40">
        <f>Monthly_kWh!V17</f>
        <v>0.12466400000000299</v>
      </c>
      <c r="X40">
        <f>Monthly_kWh!AB17</f>
        <v>0.16894799999999999</v>
      </c>
      <c r="Y40">
        <f>Monthly_kWh!AE17</f>
        <v>0.1584795</v>
      </c>
      <c r="Z40">
        <f>Monthly_kWh!AG17</f>
        <v>1.5750499999999799E-2</v>
      </c>
      <c r="AA40">
        <f>Monthly_kWh!BE17</f>
        <v>0.141234000000001</v>
      </c>
      <c r="AB40">
        <f>Monthly_kWh!AY17</f>
        <v>0.106562</v>
      </c>
      <c r="AC40">
        <f>Monthly_kWh!CX17</f>
        <v>0.28118799999999999</v>
      </c>
      <c r="AD40">
        <f>Monthly_kWh!CY17</f>
        <v>1.94619999999999E-2</v>
      </c>
      <c r="AE40">
        <f>Monthly_kWh!DC17</f>
        <v>0.204675999999999</v>
      </c>
      <c r="AF40">
        <f>Monthly_kWh!DD17</f>
        <v>3.2791375000000102E-2</v>
      </c>
      <c r="AG40">
        <f>Monthly_kWh!W17</f>
        <v>6.8236999999999895E-2</v>
      </c>
      <c r="AH40">
        <f>Monthly_kWh!X17</f>
        <v>7.0050999999999405E-2</v>
      </c>
      <c r="AI40">
        <f>Monthly_kWh!Y17</f>
        <v>0</v>
      </c>
      <c r="AJ40">
        <f>Monthly_kWh!Z17</f>
        <v>4.21820000000004E-2</v>
      </c>
      <c r="AK40">
        <f>Monthly_kWh!AA17</f>
        <v>0.108556</v>
      </c>
      <c r="AL40">
        <f>Monthly_kWh!AC17</f>
        <v>0.14704800000000201</v>
      </c>
      <c r="AM40">
        <f>Monthly_kWh!AD17</f>
        <v>8.0139000000000002E-2</v>
      </c>
      <c r="AN40">
        <f>Monthly_kWh!AI17</f>
        <v>0</v>
      </c>
      <c r="AO40">
        <f>Monthly_kWh!AJ17</f>
        <v>4.7315500000000697E-2</v>
      </c>
      <c r="AP40">
        <f>Monthly_kWh!AL17</f>
        <v>0.33546400000000198</v>
      </c>
      <c r="AQ40">
        <f>Monthly_kWh!AM17</f>
        <v>0.48411199999999599</v>
      </c>
      <c r="AR40">
        <f>Monthly_kWh!AN17</f>
        <v>0.39818400000000098</v>
      </c>
      <c r="AS40">
        <f>Monthly_kWh!AO17</f>
        <v>0.141343999999997</v>
      </c>
      <c r="AT40">
        <f>Monthly_kWh!AP17</f>
        <v>8.4351999999999094E-2</v>
      </c>
      <c r="AU40">
        <f>Monthly_kWh!CN17</f>
        <v>4.6091500000000202E-2</v>
      </c>
      <c r="AV40">
        <f>Monthly_kWh!CR17</f>
        <v>0.193328000000001</v>
      </c>
      <c r="AW40">
        <f>Monthly_kWh!AQ17</f>
        <v>0.33744800000000202</v>
      </c>
      <c r="AX40">
        <f>Monthly_kWh!AS17</f>
        <v>8.6213500000000401E-2</v>
      </c>
      <c r="AY40">
        <f>Monthly_kWh!EH17</f>
        <v>0.588351999999986</v>
      </c>
      <c r="AZ40">
        <f>Monthly_kWh!EJ17</f>
        <v>7.2736000000020298E-2</v>
      </c>
      <c r="BA40">
        <f>Monthly_kWh!EI17</f>
        <v>0.75366400000007205</v>
      </c>
      <c r="BB40">
        <f>Monthly_kWh!AW17</f>
        <v>2.2177919999999198</v>
      </c>
      <c r="BC40">
        <f>Monthly_kWh!DS17</f>
        <v>1.42847999999998</v>
      </c>
      <c r="BD40">
        <f>Monthly_kWh!CO17</f>
        <v>1.067572</v>
      </c>
      <c r="BE40">
        <f>Monthly_kWh!DA17</f>
        <v>0.2868</v>
      </c>
      <c r="BF40">
        <f>Monthly_kWh!DB17</f>
        <v>0.13269300000000001</v>
      </c>
      <c r="BG40">
        <f>Monthly_kWh!EK17</f>
        <v>0</v>
      </c>
      <c r="BH40">
        <f>Monthly_kWh!EL17</f>
        <v>3.9585279999998901</v>
      </c>
      <c r="BI40">
        <f>Monthly_kWh!EM17</f>
        <v>2.57868800000006</v>
      </c>
      <c r="BJ40">
        <f>Monthly_kWh!EN17</f>
        <v>3.4649600000002501</v>
      </c>
      <c r="BK40">
        <f>Monthly_kWh!EO17</f>
        <v>2.1363200000000702</v>
      </c>
      <c r="BL40">
        <f>Monthly_kWh!ER17</f>
        <v>3.30655400000001</v>
      </c>
      <c r="BM40">
        <f>Monthly_kWh!BW17</f>
        <v>0</v>
      </c>
      <c r="BN40">
        <f>Monthly_kWh!DR17</f>
        <v>0</v>
      </c>
      <c r="BO40">
        <f>Monthly_kWh!CG17</f>
        <v>0</v>
      </c>
      <c r="BP40">
        <f>Monthly_kWh!CI17</f>
        <v>0</v>
      </c>
      <c r="BQ40">
        <f>Monthly_kWh!BV17</f>
        <v>0</v>
      </c>
      <c r="BR40">
        <f>Monthly_kWh!BO17</f>
        <v>0.38217499999999999</v>
      </c>
      <c r="BS40">
        <f>Monthly_kWh!CW17</f>
        <v>6.1664000000000399E-2</v>
      </c>
      <c r="BT40">
        <f>Monthly_kWh!DE17</f>
        <v>0</v>
      </c>
      <c r="BU40">
        <f>Monthly_kWh!DW17</f>
        <v>0</v>
      </c>
      <c r="BV40">
        <f>Monthly_kWh!CB17</f>
        <v>0</v>
      </c>
      <c r="BW40">
        <f>Monthly_kWh!CZ17</f>
        <v>2.5781500000000301E-2</v>
      </c>
      <c r="BX40">
        <f>Monthly_kWh!DG17</f>
        <v>2.8106499999999798E-2</v>
      </c>
      <c r="BY40">
        <f>Monthly_kWh!BS17</f>
        <v>0</v>
      </c>
      <c r="BZ40">
        <f>Monthly_kWh!CH17</f>
        <v>4.2999999999793197E-5</v>
      </c>
      <c r="CA40">
        <f>Monthly_kWh!BR17</f>
        <v>0</v>
      </c>
      <c r="CB40">
        <f>Monthly_kWh!BP17</f>
        <v>0</v>
      </c>
      <c r="CC40">
        <f>Monthly_kWh!BU17</f>
        <v>0</v>
      </c>
      <c r="CD40">
        <f>Monthly_kWh!BX17</f>
        <v>0</v>
      </c>
      <c r="CE40">
        <f>Monthly_kWh!CV17</f>
        <v>1.8961499999999899E-2</v>
      </c>
      <c r="CF40">
        <f>Monthly_kWh!BT17</f>
        <v>0.232100000000003</v>
      </c>
      <c r="CG40">
        <f>Monthly_kWh!CA17</f>
        <v>0.41369599999998702</v>
      </c>
      <c r="CH40">
        <f>Monthly_kWh!CF17</f>
        <v>4.4689E-2</v>
      </c>
      <c r="CI40">
        <f>Monthly_kWh!BZ17</f>
        <v>0.97012000000000898</v>
      </c>
      <c r="CJ40">
        <f>Monthly_kWh!CK17</f>
        <v>0</v>
      </c>
      <c r="CK40">
        <f>Monthly_kWh!DT17</f>
        <v>0.40787796874999999</v>
      </c>
      <c r="CL40">
        <f>Monthly_kWh!EB17</f>
        <v>1.364384</v>
      </c>
      <c r="CM40">
        <f>Monthly_kWh!EC17</f>
        <v>0.69790399999999397</v>
      </c>
      <c r="CN40">
        <f>Monthly_kWh!CQ17</f>
        <v>0</v>
      </c>
      <c r="CO40">
        <f>Monthly_kWh!DF17</f>
        <v>0</v>
      </c>
      <c r="CP40">
        <f>Monthly_kWh!DJ17</f>
        <v>0</v>
      </c>
      <c r="CQ40">
        <f>Monthly_kWh!DP17</f>
        <v>4.0278499999999398E-2</v>
      </c>
      <c r="CR40">
        <f>Monthly_kWh!BQ17</f>
        <v>0</v>
      </c>
      <c r="CS40">
        <f>Monthly_kWh!BY17</f>
        <v>0</v>
      </c>
      <c r="CT40">
        <f>Monthly_kWh!DU17</f>
        <v>1.56039999999997E-2</v>
      </c>
      <c r="CU40">
        <f>Monthly_kWh!DQ17</f>
        <v>0</v>
      </c>
      <c r="CV40">
        <f>Monthly_kWh!EA17</f>
        <v>0</v>
      </c>
      <c r="CW40">
        <f>Monthly_kWh!DO17</f>
        <v>0.72320000000002005</v>
      </c>
      <c r="CX40">
        <f>Monthly_kWh!DX17</f>
        <v>0.22941700000000001</v>
      </c>
      <c r="CY40">
        <f>Monthly_kWh!DY17</f>
        <v>4.3732812500000299E-3</v>
      </c>
      <c r="CZ40">
        <f>Monthly_kWh!DZ17</f>
        <v>0.105432</v>
      </c>
      <c r="DA40">
        <f>Monthly_kWh!ED17</f>
        <v>3.1424500000000001E-2</v>
      </c>
      <c r="DB40">
        <f>Monthly_kWh!DV17</f>
        <v>1.09049999999997E-2</v>
      </c>
      <c r="DC40">
        <f>Monthly_kWh!CT17</f>
        <v>0.201328000000004</v>
      </c>
      <c r="DD40">
        <f>Monthly_kWh!DN17</f>
        <v>4.3185000000000003E-3</v>
      </c>
      <c r="DE40">
        <f>Monthly_kWh!AZ17</f>
        <v>1.49999999994321E-5</v>
      </c>
      <c r="DF40">
        <f>Monthly_kWh!BD17</f>
        <v>3.6455781249999999E-3</v>
      </c>
      <c r="DG40">
        <f>Monthly_kWh!AV17</f>
        <v>2.9283000000000399E-2</v>
      </c>
      <c r="DH40">
        <f>Monthly_kWh!BG17</f>
        <v>2.2771000000000499E-2</v>
      </c>
      <c r="DI40">
        <f>Monthly_kWh!DK17</f>
        <v>6.4949999999999605E-2</v>
      </c>
      <c r="DJ40">
        <f>Monthly_kWh!DL17</f>
        <v>1.9174000000001402E-2</v>
      </c>
      <c r="DK40">
        <f>Monthly_kWh!AU17</f>
        <v>4.3928000000001098E-2</v>
      </c>
      <c r="DL40">
        <f>Monthly_kWh!DM17</f>
        <v>4.3758999999999701E-2</v>
      </c>
      <c r="DM40">
        <f>Monthly_kWh!CC17</f>
        <v>0</v>
      </c>
      <c r="DN40">
        <f>Monthly_kWh!BH17</f>
        <v>6.6562000000001106E-2</v>
      </c>
      <c r="DO40">
        <f>Monthly_kWh!AK17</f>
        <v>0</v>
      </c>
      <c r="DP40">
        <f>Monthly_kWh!AT17</f>
        <v>0</v>
      </c>
      <c r="DQ40">
        <f>Monthly_kWh!AX17</f>
        <v>0</v>
      </c>
      <c r="DR40">
        <f>Monthly_kWh!BA17</f>
        <v>0</v>
      </c>
      <c r="DS40">
        <f>Monthly_kWh!BB17</f>
        <v>0</v>
      </c>
      <c r="DT40">
        <f>Monthly_kWh!BC17</f>
        <v>0</v>
      </c>
      <c r="DU40">
        <f>Monthly_kWh!BF17</f>
        <v>0</v>
      </c>
      <c r="DV40">
        <f>Monthly_kWh!BN17</f>
        <v>0</v>
      </c>
      <c r="DW40">
        <f>Monthly_kWh!CD17</f>
        <v>0</v>
      </c>
      <c r="DX40">
        <f>Monthly_kWh!CE17</f>
        <v>0</v>
      </c>
      <c r="DY40">
        <f>Monthly_kWh!CJ17</f>
        <v>0</v>
      </c>
      <c r="DZ40">
        <f>Monthly_kWh!CP17</f>
        <v>0</v>
      </c>
      <c r="EA40">
        <f>Monthly_kWh!CS17</f>
        <v>0</v>
      </c>
      <c r="EB40">
        <f>Monthly_kWh!CU17</f>
        <v>0</v>
      </c>
      <c r="EC40">
        <f>Monthly_kWh!EG17</f>
        <v>0</v>
      </c>
      <c r="ED40">
        <f>Monthly_kWh!EQ17</f>
        <v>0</v>
      </c>
    </row>
    <row r="41" spans="1:134" ht="14" x14ac:dyDescent="0.25">
      <c r="A41" s="323" t="s">
        <v>460</v>
      </c>
      <c r="B41" s="137">
        <v>40</v>
      </c>
      <c r="C41" s="141" t="s">
        <v>262</v>
      </c>
      <c r="D41" s="134">
        <f>DAILY_ENERGY!C51</f>
        <v>744.50182399999994</v>
      </c>
      <c r="E41" s="134">
        <f>DAILY_ENERGY!D51</f>
        <v>745.75545599999998</v>
      </c>
      <c r="F41" s="134">
        <f>DAILY_ENERGY!E51</f>
        <v>1.2536320000000387</v>
      </c>
      <c r="G41" s="134"/>
      <c r="H41" s="134">
        <f>SHIFT_A!E51</f>
        <v>0.47424000000000888</v>
      </c>
      <c r="I41" s="134">
        <f>SHIFT_B!E51</f>
        <v>0.44582400000001599</v>
      </c>
      <c r="J41" s="134">
        <f>SHIFT_C!E51</f>
        <v>0.33356800000001385</v>
      </c>
      <c r="K41" s="162">
        <f t="shared" si="0"/>
        <v>1.2536320000000387</v>
      </c>
      <c r="L41" s="163">
        <f t="shared" si="1"/>
        <v>0</v>
      </c>
      <c r="N41" s="168">
        <v>12</v>
      </c>
      <c r="O41">
        <f>Monthly_kWh!AF18</f>
        <v>0</v>
      </c>
      <c r="P41">
        <f>Monthly_kWh!BJ18</f>
        <v>1.77300000000002E-3</v>
      </c>
      <c r="Q41">
        <f>Monthly_kWh!BK18</f>
        <v>5.18815000000004E-2</v>
      </c>
      <c r="R41">
        <f>Monthly_kWh!EP18</f>
        <v>0</v>
      </c>
      <c r="S41">
        <f>Monthly_kWh!EE18</f>
        <v>0.14298150000000001</v>
      </c>
      <c r="T41">
        <f>Monthly_kWh!DH18</f>
        <v>1.10049999999999E-2</v>
      </c>
      <c r="U41">
        <f>Monthly_kWh!CL18</f>
        <v>3.6686000000003098E-2</v>
      </c>
      <c r="V41">
        <f>Monthly_kWh!BL18</f>
        <v>6.6000000000343602E-5</v>
      </c>
      <c r="W41">
        <f>Monthly_kWh!V18</f>
        <v>0.127333999999998</v>
      </c>
      <c r="X41">
        <f>Monthly_kWh!AB18</f>
        <v>0.16982999999999701</v>
      </c>
      <c r="Y41">
        <f>Monthly_kWh!AE18</f>
        <v>0.14941849999999901</v>
      </c>
      <c r="Z41">
        <f>Monthly_kWh!AG18</f>
        <v>1.472775E-2</v>
      </c>
      <c r="AA41">
        <f>Monthly_kWh!BE18</f>
        <v>0.169485999999999</v>
      </c>
      <c r="AB41">
        <f>Monthly_kWh!AY18</f>
        <v>9.5741499999999896E-2</v>
      </c>
      <c r="AC41">
        <f>Monthly_kWh!CX18</f>
        <v>0.27677599999999802</v>
      </c>
      <c r="AD41">
        <f>Monthly_kWh!CY18</f>
        <v>1.8870000000000199E-2</v>
      </c>
      <c r="AE41">
        <f>Monthly_kWh!DC18</f>
        <v>0.20682</v>
      </c>
      <c r="AF41">
        <f>Monthly_kWh!DD18</f>
        <v>3.2938375000000103E-2</v>
      </c>
      <c r="AG41">
        <f>Monthly_kWh!W18</f>
        <v>6.5663999999999903E-2</v>
      </c>
      <c r="AH41">
        <f>Monthly_kWh!X18</f>
        <v>6.6275000000001E-2</v>
      </c>
      <c r="AI41">
        <f>Monthly_kWh!Y18</f>
        <v>0</v>
      </c>
      <c r="AJ41">
        <f>Monthly_kWh!Z18</f>
        <v>4.4954999999999898E-2</v>
      </c>
      <c r="AK41">
        <f>Monthly_kWh!AA18</f>
        <v>0.112898000000001</v>
      </c>
      <c r="AL41">
        <f>Monthly_kWh!AC18</f>
        <v>0.153579999999998</v>
      </c>
      <c r="AM41">
        <f>Monthly_kWh!AD18</f>
        <v>8.2250499999999796E-2</v>
      </c>
      <c r="AN41">
        <f>Monthly_kWh!AI18</f>
        <v>0</v>
      </c>
      <c r="AO41">
        <f>Monthly_kWh!AJ18</f>
        <v>4.4384999999999203E-2</v>
      </c>
      <c r="AP41">
        <f>Monthly_kWh!AL18</f>
        <v>0.341031999999998</v>
      </c>
      <c r="AQ41">
        <f>Monthly_kWh!AM18</f>
        <v>0.452759999999998</v>
      </c>
      <c r="AR41">
        <f>Monthly_kWh!AN18</f>
        <v>0.38398399999999799</v>
      </c>
      <c r="AS41">
        <f>Monthly_kWh!AO18</f>
        <v>0.15703599999999801</v>
      </c>
      <c r="AT41">
        <f>Monthly_kWh!AP18</f>
        <v>8.7533999999998002E-2</v>
      </c>
      <c r="AU41">
        <f>Monthly_kWh!CN18</f>
        <v>4.7457500000000201E-2</v>
      </c>
      <c r="AV41">
        <f>Monthly_kWh!CR18</f>
        <v>0.19784099999999899</v>
      </c>
      <c r="AW41">
        <f>Monthly_kWh!AQ18</f>
        <v>0.32941199999999798</v>
      </c>
      <c r="AX41">
        <f>Monthly_kWh!AS18</f>
        <v>8.4053499999999601E-2</v>
      </c>
      <c r="AY41">
        <f>Monthly_kWh!EH18</f>
        <v>0.59865600000000496</v>
      </c>
      <c r="AZ41">
        <f>Monthly_kWh!EJ18</f>
        <v>7.50400000000013E-2</v>
      </c>
      <c r="BA41">
        <f>Monthly_kWh!EI18</f>
        <v>0.87622399999997902</v>
      </c>
      <c r="BB41">
        <f>Monthly_kWh!AW18</f>
        <v>2.7685760000000501</v>
      </c>
      <c r="BC41">
        <f>Monthly_kWh!DS18</f>
        <v>1.0201600000000299</v>
      </c>
      <c r="BD41">
        <f>Monthly_kWh!CO18</f>
        <v>1.0564119999999999</v>
      </c>
      <c r="BE41">
        <f>Monthly_kWh!DA18</f>
        <v>0.28934000000000298</v>
      </c>
      <c r="BF41">
        <f>Monthly_kWh!DB18</f>
        <v>0.12041399999999999</v>
      </c>
      <c r="BG41">
        <f>Monthly_kWh!EK18</f>
        <v>0</v>
      </c>
      <c r="BH41">
        <f>Monthly_kWh!EL18</f>
        <v>3.9587839999999201</v>
      </c>
      <c r="BI41">
        <f>Monthly_kWh!EM18</f>
        <v>4.13235200000008</v>
      </c>
      <c r="BJ41">
        <f>Monthly_kWh!EN18</f>
        <v>2.3782400000000101</v>
      </c>
      <c r="BK41">
        <f>Monthly_kWh!EO18</f>
        <v>2.2913919999999699</v>
      </c>
      <c r="BL41">
        <f>Monthly_kWh!ER18</f>
        <v>3.6441979999999901</v>
      </c>
      <c r="BM41">
        <f>Monthly_kWh!BW18</f>
        <v>0</v>
      </c>
      <c r="BN41">
        <f>Monthly_kWh!DR18</f>
        <v>0</v>
      </c>
      <c r="BO41">
        <f>Monthly_kWh!CG18</f>
        <v>0</v>
      </c>
      <c r="BP41">
        <f>Monthly_kWh!CI18</f>
        <v>0</v>
      </c>
      <c r="BQ41">
        <f>Monthly_kWh!BV18</f>
        <v>0</v>
      </c>
      <c r="BR41">
        <f>Monthly_kWh!BO18</f>
        <v>0.53492600000000001</v>
      </c>
      <c r="BS41">
        <f>Monthly_kWh!CW18</f>
        <v>7.5071999999998695E-2</v>
      </c>
      <c r="BT41">
        <f>Monthly_kWh!DE18</f>
        <v>0</v>
      </c>
      <c r="BU41">
        <f>Monthly_kWh!DW18</f>
        <v>0</v>
      </c>
      <c r="BV41">
        <f>Monthly_kWh!CB18</f>
        <v>0</v>
      </c>
      <c r="BW41">
        <f>Monthly_kWh!CZ18</f>
        <v>2.9284749999999998E-2</v>
      </c>
      <c r="BX41">
        <f>Monthly_kWh!DG18</f>
        <v>4.3667000000000102E-2</v>
      </c>
      <c r="BY41">
        <f>Monthly_kWh!BS18</f>
        <v>0</v>
      </c>
      <c r="BZ41">
        <f>Monthly_kWh!CH18</f>
        <v>2.1884999999999301E-3</v>
      </c>
      <c r="CA41">
        <f>Monthly_kWh!BR18</f>
        <v>0</v>
      </c>
      <c r="CB41">
        <f>Monthly_kWh!BP18</f>
        <v>0</v>
      </c>
      <c r="CC41">
        <f>Monthly_kWh!BU18</f>
        <v>0</v>
      </c>
      <c r="CD41">
        <f>Monthly_kWh!BX18</f>
        <v>0</v>
      </c>
      <c r="CE41">
        <f>Monthly_kWh!CV18</f>
        <v>2.0985250000000101E-2</v>
      </c>
      <c r="CF41">
        <f>Monthly_kWh!BT18</f>
        <v>0.335979999999999</v>
      </c>
      <c r="CG41">
        <f>Monthly_kWh!CA18</f>
        <v>0.42774400000000401</v>
      </c>
      <c r="CH41">
        <f>Monthly_kWh!CF18</f>
        <v>8.3973000000000297E-2</v>
      </c>
      <c r="CI41">
        <f>Monthly_kWh!BZ18</f>
        <v>0.91073599999999999</v>
      </c>
      <c r="CJ41">
        <f>Monthly_kWh!CK18</f>
        <v>0</v>
      </c>
      <c r="CK41">
        <f>Monthly_kWh!DT18</f>
        <v>0.39438956250000001</v>
      </c>
      <c r="CL41">
        <f>Monthly_kWh!EB18</f>
        <v>1.4125760000000001</v>
      </c>
      <c r="CM41">
        <f>Monthly_kWh!EC18</f>
        <v>0.64804799999998897</v>
      </c>
      <c r="CN41">
        <f>Monthly_kWh!CQ18</f>
        <v>0</v>
      </c>
      <c r="CO41">
        <f>Monthly_kWh!DF18</f>
        <v>0</v>
      </c>
      <c r="CP41">
        <f>Monthly_kWh!DJ18</f>
        <v>0</v>
      </c>
      <c r="CQ41">
        <f>Monthly_kWh!DP18</f>
        <v>3.2505500000000097E-2</v>
      </c>
      <c r="CR41">
        <f>Monthly_kWh!BQ18</f>
        <v>0</v>
      </c>
      <c r="CS41">
        <f>Monthly_kWh!BY18</f>
        <v>0</v>
      </c>
      <c r="CT41">
        <f>Monthly_kWh!DU18</f>
        <v>2.3174000000000899E-2</v>
      </c>
      <c r="CU41">
        <f>Monthly_kWh!DQ18</f>
        <v>0</v>
      </c>
      <c r="CV41">
        <f>Monthly_kWh!EA18</f>
        <v>0</v>
      </c>
      <c r="CW41">
        <f>Monthly_kWh!DO18</f>
        <v>0.79625599999999996</v>
      </c>
      <c r="CX41">
        <f>Monthly_kWh!DX18</f>
        <v>0.204177</v>
      </c>
      <c r="CY41">
        <f>Monthly_kWh!DY18</f>
        <v>5.2169062499999898E-3</v>
      </c>
      <c r="CZ41">
        <f>Monthly_kWh!DZ18</f>
        <v>0.126445999999998</v>
      </c>
      <c r="DA41">
        <f>Monthly_kWh!ED18</f>
        <v>2.6987000000000101E-2</v>
      </c>
      <c r="DB41">
        <f>Monthly_kWh!DV18</f>
        <v>1.1191000000000201E-2</v>
      </c>
      <c r="DC41">
        <f>Monthly_kWh!CT18</f>
        <v>0.20706399999998801</v>
      </c>
      <c r="DD41">
        <f>Monthly_kWh!DN18</f>
        <v>3.7659374999999798E-3</v>
      </c>
      <c r="DE41">
        <f>Monthly_kWh!AZ18</f>
        <v>2.4999999999053599E-6</v>
      </c>
      <c r="DF41">
        <f>Monthly_kWh!BD18</f>
        <v>3.4130996093749998E-3</v>
      </c>
      <c r="DG41">
        <f>Monthly_kWh!AV18</f>
        <v>4.7759499999999698E-2</v>
      </c>
      <c r="DH41">
        <f>Monthly_kWh!BG18</f>
        <v>2.0014999999998999E-2</v>
      </c>
      <c r="DI41">
        <f>Monthly_kWh!DK18</f>
        <v>6.4889999999998296E-2</v>
      </c>
      <c r="DJ41">
        <f>Monthly_kWh!DL18</f>
        <v>1.91199999999991E-2</v>
      </c>
      <c r="DK41">
        <f>Monthly_kWh!AU18</f>
        <v>4.4840000000000699E-2</v>
      </c>
      <c r="DL41">
        <f>Monthly_kWh!DM18</f>
        <v>4.5666000000000699E-2</v>
      </c>
      <c r="DM41">
        <f>Monthly_kWh!CC18</f>
        <v>0</v>
      </c>
      <c r="DN41">
        <f>Monthly_kWh!BH18</f>
        <v>1.2323999999999599E-2</v>
      </c>
      <c r="DO41">
        <f>Monthly_kWh!AK18</f>
        <v>0</v>
      </c>
      <c r="DP41">
        <f>Monthly_kWh!AT18</f>
        <v>0</v>
      </c>
      <c r="DQ41">
        <f>Monthly_kWh!AX18</f>
        <v>0</v>
      </c>
      <c r="DR41">
        <f>Monthly_kWh!BA18</f>
        <v>0</v>
      </c>
      <c r="DS41">
        <f>Monthly_kWh!BB18</f>
        <v>0</v>
      </c>
      <c r="DT41">
        <f>Monthly_kWh!BC18</f>
        <v>0</v>
      </c>
      <c r="DU41">
        <f>Monthly_kWh!BF18</f>
        <v>0</v>
      </c>
      <c r="DV41">
        <f>Monthly_kWh!BN18</f>
        <v>0</v>
      </c>
      <c r="DW41">
        <f>Monthly_kWh!CD18</f>
        <v>0</v>
      </c>
      <c r="DX41">
        <f>Monthly_kWh!CE18</f>
        <v>0</v>
      </c>
      <c r="DY41">
        <f>Monthly_kWh!CJ18</f>
        <v>0</v>
      </c>
      <c r="DZ41">
        <f>Monthly_kWh!CP18</f>
        <v>0</v>
      </c>
      <c r="EA41">
        <f>Monthly_kWh!CS18</f>
        <v>0</v>
      </c>
      <c r="EB41">
        <f>Monthly_kWh!CU18</f>
        <v>0</v>
      </c>
      <c r="EC41">
        <f>Monthly_kWh!EG18</f>
        <v>0</v>
      </c>
      <c r="ED41">
        <f>Monthly_kWh!EQ18</f>
        <v>0</v>
      </c>
    </row>
    <row r="42" spans="1:134" ht="14.15" customHeight="1" x14ac:dyDescent="0.25">
      <c r="A42" s="323"/>
      <c r="B42" s="137">
        <v>41</v>
      </c>
      <c r="C42" s="141" t="s">
        <v>336</v>
      </c>
      <c r="D42" s="134">
        <f>DAILY_ENERGY!C125</f>
        <v>486.85846399999997</v>
      </c>
      <c r="E42" s="134">
        <f>DAILY_ENERGY!D125</f>
        <v>488.59407999999996</v>
      </c>
      <c r="F42" s="134">
        <f>DAILY_ENERGY!E125</f>
        <v>1.7356159999999932</v>
      </c>
      <c r="G42" s="134"/>
      <c r="H42" s="134">
        <f>SHIFT_A!E125</f>
        <v>0.68198399999999992</v>
      </c>
      <c r="I42" s="134">
        <f>SHIFT_B!E125</f>
        <v>0.61580800000001545</v>
      </c>
      <c r="J42" s="134">
        <f>SHIFT_C!E125</f>
        <v>0.43782399999997779</v>
      </c>
      <c r="K42" s="162">
        <f t="shared" si="0"/>
        <v>1.7356159999999932</v>
      </c>
      <c r="L42" s="163">
        <f t="shared" si="1"/>
        <v>0</v>
      </c>
      <c r="N42" s="168">
        <v>13</v>
      </c>
      <c r="O42">
        <f>Monthly_kWh!AF19</f>
        <v>0</v>
      </c>
      <c r="P42">
        <f>Monthly_kWh!BJ19</f>
        <v>4.9299999999874401E-4</v>
      </c>
      <c r="Q42">
        <f>Monthly_kWh!BK19</f>
        <v>4.9515499999999199E-2</v>
      </c>
      <c r="R42">
        <f>Monthly_kWh!EP19</f>
        <v>0</v>
      </c>
      <c r="S42">
        <f>Monthly_kWh!EE19</f>
        <v>0.12975999999999999</v>
      </c>
      <c r="T42">
        <f>Monthly_kWh!DH19</f>
        <v>1.0291999999999701E-2</v>
      </c>
      <c r="U42">
        <f>Monthly_kWh!CL19</f>
        <v>4.0939999999999102E-2</v>
      </c>
      <c r="V42">
        <f>Monthly_kWh!BL19</f>
        <v>7.7999999998468197E-5</v>
      </c>
      <c r="W42">
        <f>Monthly_kWh!V19</f>
        <v>0.138298000000002</v>
      </c>
      <c r="X42">
        <f>Monthly_kWh!AB19</f>
        <v>0.164439999999999</v>
      </c>
      <c r="Y42">
        <f>Monthly_kWh!AE19</f>
        <v>0.15165500000000101</v>
      </c>
      <c r="Z42">
        <f>Monthly_kWh!AG19</f>
        <v>1.7509249999999799E-2</v>
      </c>
      <c r="AA42">
        <f>Monthly_kWh!BE19</f>
        <v>0.11036599999999901</v>
      </c>
      <c r="AB42">
        <f>Monthly_kWh!AY19</f>
        <v>8.9940500000000007E-2</v>
      </c>
      <c r="AC42">
        <f>Monthly_kWh!CX19</f>
        <v>0.27239600000000103</v>
      </c>
      <c r="AD42">
        <f>Monthly_kWh!CY19</f>
        <v>1.9452000000000001E-2</v>
      </c>
      <c r="AE42">
        <f>Monthly_kWh!DC19</f>
        <v>0.19885599999999901</v>
      </c>
      <c r="AF42">
        <f>Monthly_kWh!DD19</f>
        <v>3.2058374999999903E-2</v>
      </c>
      <c r="AG42">
        <f>Monthly_kWh!W19</f>
        <v>6.9065000000000196E-2</v>
      </c>
      <c r="AH42">
        <f>Monthly_kWh!X19</f>
        <v>7.09759999999999E-2</v>
      </c>
      <c r="AI42">
        <f>Monthly_kWh!Y19</f>
        <v>0</v>
      </c>
      <c r="AJ42">
        <f>Monthly_kWh!Z19</f>
        <v>4.2987999999999402E-2</v>
      </c>
      <c r="AK42">
        <f>Monthly_kWh!AA19</f>
        <v>0.113778</v>
      </c>
      <c r="AL42">
        <f>Monthly_kWh!AC19</f>
        <v>0.15230400000000099</v>
      </c>
      <c r="AM42">
        <f>Monthly_kWh!AD19</f>
        <v>7.9743999999999801E-2</v>
      </c>
      <c r="AN42">
        <f>Monthly_kWh!AI19</f>
        <v>0</v>
      </c>
      <c r="AO42">
        <f>Monthly_kWh!AJ19</f>
        <v>4.6156999999999997E-2</v>
      </c>
      <c r="AP42">
        <f>Monthly_kWh!AL19</f>
        <v>0.33981599999999901</v>
      </c>
      <c r="AQ42">
        <f>Monthly_kWh!AM19</f>
        <v>0.49593599999999999</v>
      </c>
      <c r="AR42">
        <f>Monthly_kWh!AN19</f>
        <v>0.39782400000000001</v>
      </c>
      <c r="AS42">
        <f>Monthly_kWh!AO19</f>
        <v>0.140900000000002</v>
      </c>
      <c r="AT42">
        <f>Monthly_kWh!AP19</f>
        <v>8.6866000000000596E-2</v>
      </c>
      <c r="AU42">
        <f>Monthly_kWh!CN19</f>
        <v>4.5859499999998797E-2</v>
      </c>
      <c r="AV42">
        <f>Monthly_kWh!CR19</f>
        <v>0.16578800000000099</v>
      </c>
      <c r="AW42">
        <f>Monthly_kWh!AQ19</f>
        <v>0.33455999999999603</v>
      </c>
      <c r="AX42">
        <f>Monthly_kWh!AS19</f>
        <v>9.3013499999999597E-2</v>
      </c>
      <c r="AY42">
        <f>Monthly_kWh!EH19</f>
        <v>0.62310400000001198</v>
      </c>
      <c r="AZ42">
        <f>Monthly_kWh!EJ19</f>
        <v>6.6463999999996304E-2</v>
      </c>
      <c r="BA42">
        <f>Monthly_kWh!EI19</f>
        <v>0.93664000000001102</v>
      </c>
      <c r="BB42">
        <f>Monthly_kWh!AW19</f>
        <v>2.8969600000000399</v>
      </c>
      <c r="BC42">
        <f>Monthly_kWh!DS19</f>
        <v>0.74326400000001103</v>
      </c>
      <c r="BD42">
        <f>Monthly_kWh!CO19</f>
        <v>0.92886399999999703</v>
      </c>
      <c r="BE42">
        <f>Monthly_kWh!DA19</f>
        <v>0.28999599999999498</v>
      </c>
      <c r="BF42">
        <f>Monthly_kWh!DB19</f>
        <v>0.115414999999999</v>
      </c>
      <c r="BG42">
        <f>Monthly_kWh!EK19</f>
        <v>0</v>
      </c>
      <c r="BH42">
        <f>Monthly_kWh!EL19</f>
        <v>2.3018240000001202</v>
      </c>
      <c r="BI42">
        <f>Monthly_kWh!EM19</f>
        <v>4.2654720000000497</v>
      </c>
      <c r="BJ42">
        <f>Monthly_kWh!EN19</f>
        <v>2.7161599999999502</v>
      </c>
      <c r="BK42">
        <f>Monthly_kWh!EO19</f>
        <v>2.2477440000000102</v>
      </c>
      <c r="BL42">
        <f>Monthly_kWh!ER19</f>
        <v>3.3402910000000099</v>
      </c>
      <c r="BM42">
        <f>Monthly_kWh!BW19</f>
        <v>0</v>
      </c>
      <c r="BN42">
        <f>Monthly_kWh!DR19</f>
        <v>0</v>
      </c>
      <c r="BO42">
        <f>Monthly_kWh!CG19</f>
        <v>0</v>
      </c>
      <c r="BP42">
        <f>Monthly_kWh!CI19</f>
        <v>0</v>
      </c>
      <c r="BQ42">
        <f>Monthly_kWh!BV19</f>
        <v>0</v>
      </c>
      <c r="BR42">
        <f>Monthly_kWh!BO19</f>
        <v>0.52390599999999798</v>
      </c>
      <c r="BS42">
        <f>Monthly_kWh!CW19</f>
        <v>7.4136000000002894E-2</v>
      </c>
      <c r="BT42">
        <f>Monthly_kWh!DE19</f>
        <v>0</v>
      </c>
      <c r="BU42">
        <f>Monthly_kWh!DW19</f>
        <v>0</v>
      </c>
      <c r="BV42">
        <f>Monthly_kWh!CB19</f>
        <v>0</v>
      </c>
      <c r="BW42">
        <f>Monthly_kWh!CZ19</f>
        <v>1.9602499999999998E-2</v>
      </c>
      <c r="BX42">
        <f>Monthly_kWh!DG19</f>
        <v>2.6185500000000399E-2</v>
      </c>
      <c r="BY42">
        <f>Monthly_kWh!BS19</f>
        <v>0</v>
      </c>
      <c r="BZ42">
        <f>Monthly_kWh!CH19</f>
        <v>2.1002500000002499E-3</v>
      </c>
      <c r="CA42">
        <f>Monthly_kWh!BR19</f>
        <v>0</v>
      </c>
      <c r="CB42">
        <f>Monthly_kWh!BP19</f>
        <v>0</v>
      </c>
      <c r="CC42">
        <f>Monthly_kWh!BU19</f>
        <v>0</v>
      </c>
      <c r="CD42">
        <f>Monthly_kWh!BX19</f>
        <v>0</v>
      </c>
      <c r="CE42">
        <f>Monthly_kWh!CV19</f>
        <v>1.7452999999999899E-2</v>
      </c>
      <c r="CF42">
        <f>Monthly_kWh!BT19</f>
        <v>0.20922399999999899</v>
      </c>
      <c r="CG42">
        <f>Monthly_kWh!CA19</f>
        <v>0.40824000000000599</v>
      </c>
      <c r="CH42">
        <f>Monthly_kWh!CF19</f>
        <v>7.7389000000000194E-2</v>
      </c>
      <c r="CI42">
        <f>Monthly_kWh!BZ19</f>
        <v>1.0332479999999999</v>
      </c>
      <c r="CJ42">
        <f>Monthly_kWh!CK19</f>
        <v>0</v>
      </c>
      <c r="CK42">
        <f>Monthly_kWh!DT19</f>
        <v>0.396592375</v>
      </c>
      <c r="CL42">
        <f>Monthly_kWh!EB19</f>
        <v>1.3515360000000101</v>
      </c>
      <c r="CM42">
        <f>Monthly_kWh!EC19</f>
        <v>0.71639999999999304</v>
      </c>
      <c r="CN42">
        <f>Monthly_kWh!CQ19</f>
        <v>0</v>
      </c>
      <c r="CO42">
        <f>Monthly_kWh!DF19</f>
        <v>0</v>
      </c>
      <c r="CP42">
        <f>Monthly_kWh!DJ19</f>
        <v>0</v>
      </c>
      <c r="CQ42">
        <f>Monthly_kWh!DP19</f>
        <v>3.8109000000000399E-2</v>
      </c>
      <c r="CR42">
        <f>Monthly_kWh!BQ19</f>
        <v>0</v>
      </c>
      <c r="CS42">
        <f>Monthly_kWh!BY19</f>
        <v>0</v>
      </c>
      <c r="CT42">
        <f>Monthly_kWh!DU19</f>
        <v>1.2162999999999299E-2</v>
      </c>
      <c r="CU42">
        <f>Monthly_kWh!DQ19</f>
        <v>0</v>
      </c>
      <c r="CV42">
        <f>Monthly_kWh!EA19</f>
        <v>0</v>
      </c>
      <c r="CW42">
        <f>Monthly_kWh!DO19</f>
        <v>0.76032000000000699</v>
      </c>
      <c r="CX42">
        <f>Monthly_kWh!DX19</f>
        <v>0.24926400000000001</v>
      </c>
      <c r="CY42">
        <f>Monthly_kWh!DY19</f>
        <v>1.7702249999999999E-2</v>
      </c>
      <c r="CZ42">
        <f>Monthly_kWh!DZ19</f>
        <v>0.11529200000000001</v>
      </c>
      <c r="DA42">
        <f>Monthly_kWh!ED19</f>
        <v>2.7809749999999901E-2</v>
      </c>
      <c r="DB42">
        <f>Monthly_kWh!DV19</f>
        <v>1.02722499999999E-2</v>
      </c>
      <c r="DC42">
        <f>Monthly_kWh!CT19</f>
        <v>0.20360800000000301</v>
      </c>
      <c r="DD42">
        <f>Monthly_kWh!DN19</f>
        <v>4.6138125000000398E-3</v>
      </c>
      <c r="DE42">
        <f>Monthly_kWh!AZ19</f>
        <v>1.1500000000275199E-5</v>
      </c>
      <c r="DF42">
        <f>Monthly_kWh!BD19</f>
        <v>3.5060009765625001E-3</v>
      </c>
      <c r="DG42">
        <f>Monthly_kWh!AV19</f>
        <v>3.8287500000000002E-2</v>
      </c>
      <c r="DH42">
        <f>Monthly_kWh!BG19</f>
        <v>1.6839000000000898E-2</v>
      </c>
      <c r="DI42">
        <f>Monthly_kWh!DK19</f>
        <v>6.4674000000000106E-2</v>
      </c>
      <c r="DJ42">
        <f>Monthly_kWh!DL19</f>
        <v>1.9180000000000402E-2</v>
      </c>
      <c r="DK42">
        <f>Monthly_kWh!AU19</f>
        <v>4.57759999999965E-2</v>
      </c>
      <c r="DL42">
        <f>Monthly_kWh!DM19</f>
        <v>4.6366999999999998E-2</v>
      </c>
      <c r="DM42">
        <f>Monthly_kWh!CC19</f>
        <v>0</v>
      </c>
      <c r="DN42">
        <f>Monthly_kWh!BH19</f>
        <v>2.22939999999987E-2</v>
      </c>
      <c r="DO42">
        <f>Monthly_kWh!AK19</f>
        <v>0</v>
      </c>
      <c r="DP42">
        <f>Monthly_kWh!AT19</f>
        <v>0</v>
      </c>
      <c r="DQ42">
        <f>Monthly_kWh!AX19</f>
        <v>0</v>
      </c>
      <c r="DR42">
        <f>Monthly_kWh!BA19</f>
        <v>0</v>
      </c>
      <c r="DS42">
        <f>Monthly_kWh!BB19</f>
        <v>0</v>
      </c>
      <c r="DT42">
        <f>Monthly_kWh!BC19</f>
        <v>0</v>
      </c>
      <c r="DU42">
        <f>Monthly_kWh!BF19</f>
        <v>0</v>
      </c>
      <c r="DV42">
        <f>Monthly_kWh!BN19</f>
        <v>0</v>
      </c>
      <c r="DW42">
        <f>Monthly_kWh!CD19</f>
        <v>0</v>
      </c>
      <c r="DX42">
        <f>Monthly_kWh!CE19</f>
        <v>0</v>
      </c>
      <c r="DY42">
        <f>Monthly_kWh!CJ19</f>
        <v>0</v>
      </c>
      <c r="DZ42">
        <f>Monthly_kWh!CP19</f>
        <v>0</v>
      </c>
      <c r="EA42">
        <f>Monthly_kWh!CS19</f>
        <v>0</v>
      </c>
      <c r="EB42">
        <f>Monthly_kWh!CU19</f>
        <v>0</v>
      </c>
      <c r="EC42">
        <f>Monthly_kWh!EG19</f>
        <v>0</v>
      </c>
      <c r="ED42">
        <f>Monthly_kWh!EQ19</f>
        <v>0</v>
      </c>
    </row>
    <row r="43" spans="1:134" ht="14" x14ac:dyDescent="0.25">
      <c r="A43" s="315" t="s">
        <v>459</v>
      </c>
      <c r="B43" s="137">
        <v>42</v>
      </c>
      <c r="C43" s="139" t="s">
        <v>306</v>
      </c>
      <c r="D43" s="142">
        <f>DAILY_ENERGY!C95</f>
        <v>71.151383999999993</v>
      </c>
      <c r="E43" s="142">
        <f>DAILY_ENERGY!D95</f>
        <v>71.746911999999995</v>
      </c>
      <c r="F43" s="142">
        <f>DAILY_ENERGY!E95</f>
        <v>0.59552800000000161</v>
      </c>
      <c r="G43" s="142"/>
      <c r="H43" s="142">
        <f>SHIFT_A!E95</f>
        <v>0.2237440000000106</v>
      </c>
      <c r="I43" s="142">
        <f>SHIFT_B!E95</f>
        <v>0.2336959999999948</v>
      </c>
      <c r="J43" s="142">
        <f>SHIFT_C!E95</f>
        <v>0.13808799999999621</v>
      </c>
      <c r="K43" s="162">
        <f t="shared" si="0"/>
        <v>0.59552800000000161</v>
      </c>
      <c r="L43" s="163">
        <f t="shared" si="1"/>
        <v>0</v>
      </c>
      <c r="N43" s="168">
        <v>14</v>
      </c>
      <c r="O43">
        <f>Monthly_kWh!AF20</f>
        <v>0</v>
      </c>
      <c r="P43">
        <f>Monthly_kWh!BJ20</f>
        <v>6.3000000000101896E-4</v>
      </c>
      <c r="Q43">
        <f>Monthly_kWh!BK20</f>
        <v>6.9109500000000601E-2</v>
      </c>
      <c r="R43">
        <f>Monthly_kWh!EP20</f>
        <v>0</v>
      </c>
      <c r="S43">
        <f>Monthly_kWh!EE20</f>
        <v>0.132218</v>
      </c>
      <c r="T43">
        <f>Monthly_kWh!DH20</f>
        <v>1.1710999999999999E-2</v>
      </c>
      <c r="U43">
        <f>Monthly_kWh!CL20</f>
        <v>3.6770000000000601E-2</v>
      </c>
      <c r="V43">
        <f>Monthly_kWh!BL20</f>
        <v>1.18000000000507E-4</v>
      </c>
      <c r="W43">
        <f>Monthly_kWh!V20</f>
        <v>0.12985999999999701</v>
      </c>
      <c r="X43">
        <f>Monthly_kWh!AB20</f>
        <v>0.17106600000000299</v>
      </c>
      <c r="Y43">
        <f>Monthly_kWh!AE20</f>
        <v>0.14218449999999999</v>
      </c>
      <c r="Z43">
        <f>Monthly_kWh!AG20</f>
        <v>2.0155500000000399E-2</v>
      </c>
      <c r="AA43">
        <f>Monthly_kWh!BE20</f>
        <v>0.106956</v>
      </c>
      <c r="AB43">
        <f>Monthly_kWh!AY20</f>
        <v>0.10485999999999999</v>
      </c>
      <c r="AC43">
        <f>Monthly_kWh!CX20</f>
        <v>0.27732400000000001</v>
      </c>
      <c r="AD43">
        <f>Monthly_kWh!CY20</f>
        <v>1.9788000000000101E-2</v>
      </c>
      <c r="AE43">
        <f>Monthly_kWh!DC20</f>
        <v>0.21985200000000299</v>
      </c>
      <c r="AF43">
        <f>Monthly_kWh!DD20</f>
        <v>3.2547875000000101E-2</v>
      </c>
      <c r="AG43">
        <f>Monthly_kWh!W20</f>
        <v>5.3593999999998601E-2</v>
      </c>
      <c r="AH43">
        <f>Monthly_kWh!X20</f>
        <v>5.9343000000000097E-2</v>
      </c>
      <c r="AI43">
        <f>Monthly_kWh!Y20</f>
        <v>0</v>
      </c>
      <c r="AJ43">
        <f>Monthly_kWh!Z20</f>
        <v>3.91379999999995E-2</v>
      </c>
      <c r="AK43">
        <f>Monthly_kWh!AA20</f>
        <v>0.109625999999999</v>
      </c>
      <c r="AL43">
        <f>Monthly_kWh!AC20</f>
        <v>0.150310000000001</v>
      </c>
      <c r="AM43">
        <f>Monthly_kWh!AD20</f>
        <v>6.9878000000000107E-2</v>
      </c>
      <c r="AN43">
        <f>Monthly_kWh!AI20</f>
        <v>0</v>
      </c>
      <c r="AO43">
        <f>Monthly_kWh!AJ20</f>
        <v>4.6531000000000801E-2</v>
      </c>
      <c r="AP43">
        <f>Monthly_kWh!AL20</f>
        <v>0.33149600000000101</v>
      </c>
      <c r="AQ43">
        <f>Monthly_kWh!AM20</f>
        <v>0.49227199999999999</v>
      </c>
      <c r="AR43">
        <f>Monthly_kWh!AN20</f>
        <v>0.38038399999999201</v>
      </c>
      <c r="AS43">
        <f>Monthly_kWh!AO20</f>
        <v>0.131556000000003</v>
      </c>
      <c r="AT43">
        <f>Monthly_kWh!AP20</f>
        <v>8.5390000000000299E-2</v>
      </c>
      <c r="AU43">
        <f>Monthly_kWh!CN20</f>
        <v>5.2451000000001399E-2</v>
      </c>
      <c r="AV43">
        <f>Monthly_kWh!CR20</f>
        <v>0.14708599999999999</v>
      </c>
      <c r="AW43">
        <f>Monthly_kWh!AQ20</f>
        <v>0.330104000000006</v>
      </c>
      <c r="AX43">
        <f>Monthly_kWh!AS20</f>
        <v>8.7348000000000398E-2</v>
      </c>
      <c r="AY43">
        <f>Monthly_kWh!EH20</f>
        <v>0.66732799999999803</v>
      </c>
      <c r="AZ43">
        <f>Monthly_kWh!EJ20</f>
        <v>6.0288000000014101E-2</v>
      </c>
      <c r="BA43">
        <f>Monthly_kWh!EI20</f>
        <v>0.86720000000002495</v>
      </c>
      <c r="BB43">
        <f>Monthly_kWh!AW20</f>
        <v>2.11436800000001</v>
      </c>
      <c r="BC43">
        <f>Monthly_kWh!DS20</f>
        <v>1.21577600000001</v>
      </c>
      <c r="BD43">
        <f>Monthly_kWh!CO20</f>
        <v>0.85134399999999699</v>
      </c>
      <c r="BE43">
        <f>Monthly_kWh!DA20</f>
        <v>0.28864000000000101</v>
      </c>
      <c r="BF43">
        <f>Monthly_kWh!DB20</f>
        <v>0.115214</v>
      </c>
      <c r="BG43">
        <f>Monthly_kWh!EK20</f>
        <v>0</v>
      </c>
      <c r="BH43">
        <f>Monthly_kWh!EL20</f>
        <v>0.72627199999988101</v>
      </c>
      <c r="BI43">
        <f>Monthly_kWh!EM20</f>
        <v>4.3724800000000004</v>
      </c>
      <c r="BJ43">
        <f>Monthly_kWh!EN20</f>
        <v>3.4472959999998198</v>
      </c>
      <c r="BK43">
        <f>Monthly_kWh!EO20</f>
        <v>2.3054720000000102</v>
      </c>
      <c r="BL43">
        <f>Monthly_kWh!ER20</f>
        <v>3.5900429999999899</v>
      </c>
      <c r="BM43">
        <f>Monthly_kWh!BW20</f>
        <v>0</v>
      </c>
      <c r="BN43">
        <f>Monthly_kWh!DR20</f>
        <v>0</v>
      </c>
      <c r="BO43">
        <f>Monthly_kWh!CG20</f>
        <v>0</v>
      </c>
      <c r="BP43">
        <f>Monthly_kWh!CI20</f>
        <v>0</v>
      </c>
      <c r="BQ43">
        <f>Monthly_kWh!BV20</f>
        <v>0</v>
      </c>
      <c r="BR43">
        <f>Monthly_kWh!BO20</f>
        <v>0.22126599999999999</v>
      </c>
      <c r="BS43">
        <f>Monthly_kWh!CW20</f>
        <v>2.7083999999995001E-2</v>
      </c>
      <c r="BT43">
        <f>Monthly_kWh!DE20</f>
        <v>0</v>
      </c>
      <c r="BU43">
        <f>Monthly_kWh!DW20</f>
        <v>0</v>
      </c>
      <c r="BV43">
        <f>Monthly_kWh!CB20</f>
        <v>0</v>
      </c>
      <c r="BW43">
        <f>Monthly_kWh!CZ20</f>
        <v>1.9479500000000101E-2</v>
      </c>
      <c r="BX43">
        <f>Monthly_kWh!DG20</f>
        <v>1.8006999999999902E-2</v>
      </c>
      <c r="BY43">
        <f>Monthly_kWh!BS20</f>
        <v>0</v>
      </c>
      <c r="BZ43">
        <f>Monthly_kWh!CH20</f>
        <v>2.0794999999997898E-3</v>
      </c>
      <c r="CA43">
        <f>Monthly_kWh!BR20</f>
        <v>0</v>
      </c>
      <c r="CB43">
        <f>Monthly_kWh!BP20</f>
        <v>0</v>
      </c>
      <c r="CC43">
        <f>Monthly_kWh!BU20</f>
        <v>0</v>
      </c>
      <c r="CD43">
        <f>Monthly_kWh!BX20</f>
        <v>0</v>
      </c>
      <c r="CE43">
        <f>Monthly_kWh!CV20</f>
        <v>1.9399625000000101E-2</v>
      </c>
      <c r="CF43">
        <f>Monthly_kWh!BT20</f>
        <v>0.29508400000000301</v>
      </c>
      <c r="CG43">
        <f>Monthly_kWh!CA20</f>
        <v>0.26249599999999901</v>
      </c>
      <c r="CH43">
        <f>Monthly_kWh!CF20</f>
        <v>4.8948999999998598E-2</v>
      </c>
      <c r="CI43">
        <f>Monthly_kWh!BZ20</f>
        <v>0.87738399999999195</v>
      </c>
      <c r="CJ43">
        <f>Monthly_kWh!CK20</f>
        <v>0</v>
      </c>
      <c r="CK43">
        <f>Monthly_kWh!DT20</f>
        <v>0.3887275</v>
      </c>
      <c r="CL43">
        <f>Monthly_kWh!EB20</f>
        <v>1.24263999999999</v>
      </c>
      <c r="CM43">
        <f>Monthly_kWh!EC20</f>
        <v>0.64984000000001196</v>
      </c>
      <c r="CN43">
        <f>Monthly_kWh!CQ20</f>
        <v>0</v>
      </c>
      <c r="CO43">
        <f>Monthly_kWh!DF20</f>
        <v>0</v>
      </c>
      <c r="CP43">
        <f>Monthly_kWh!DJ20</f>
        <v>0</v>
      </c>
      <c r="CQ43">
        <f>Monthly_kWh!DP20</f>
        <v>4.6262500000000102E-2</v>
      </c>
      <c r="CR43">
        <f>Monthly_kWh!BQ20</f>
        <v>0</v>
      </c>
      <c r="CS43">
        <f>Monthly_kWh!BY20</f>
        <v>0</v>
      </c>
      <c r="CT43">
        <f>Monthly_kWh!DU20</f>
        <v>2.3654999999999801E-2</v>
      </c>
      <c r="CU43">
        <f>Monthly_kWh!DQ20</f>
        <v>0</v>
      </c>
      <c r="CV43">
        <f>Monthly_kWh!EA20</f>
        <v>0</v>
      </c>
      <c r="CW43">
        <f>Monthly_kWh!DO20</f>
        <v>0.801839999999999</v>
      </c>
      <c r="CX43">
        <f>Monthly_kWh!DX20</f>
        <v>0.20019300000000101</v>
      </c>
      <c r="CY43">
        <f>Monthly_kWh!DY20</f>
        <v>1.1023750000000001E-2</v>
      </c>
      <c r="CZ43">
        <f>Monthly_kWh!DZ20</f>
        <v>0.105362</v>
      </c>
      <c r="DA43">
        <f>Monthly_kWh!ED20</f>
        <v>2.4532249999999999E-2</v>
      </c>
      <c r="DB43">
        <f>Monthly_kWh!DV20</f>
        <v>9.8732500000000608E-3</v>
      </c>
      <c r="DC43">
        <f>Monthly_kWh!CT20</f>
        <v>0.114952000000002</v>
      </c>
      <c r="DD43">
        <f>Monthly_kWh!DN20</f>
        <v>1.0489375000000099E-3</v>
      </c>
      <c r="DE43">
        <f>Monthly_kWh!AZ20</f>
        <v>0</v>
      </c>
      <c r="DF43">
        <f>Monthly_kWh!BD20</f>
        <v>4.7580976562499998E-3</v>
      </c>
      <c r="DG43">
        <f>Monthly_kWh!AV20</f>
        <v>2.6789499999999598E-2</v>
      </c>
      <c r="DH43">
        <f>Monthly_kWh!BG20</f>
        <v>1.4206999999999E-2</v>
      </c>
      <c r="DI43">
        <f>Monthly_kWh!DK20</f>
        <v>6.3919999999999505E-2</v>
      </c>
      <c r="DJ43">
        <f>Monthly_kWh!DL20</f>
        <v>1.8428999999999401E-2</v>
      </c>
      <c r="DK43">
        <f>Monthly_kWh!AU20</f>
        <v>4.3792000000003398E-2</v>
      </c>
      <c r="DL43">
        <f>Monthly_kWh!DM20</f>
        <v>4.7554999999999098E-2</v>
      </c>
      <c r="DM43">
        <f>Monthly_kWh!CC20</f>
        <v>0</v>
      </c>
      <c r="DN43">
        <f>Monthly_kWh!BH20</f>
        <v>5.9420000000010003E-3</v>
      </c>
      <c r="DO43">
        <f>Monthly_kWh!AK20</f>
        <v>0</v>
      </c>
      <c r="DP43">
        <f>Monthly_kWh!AT20</f>
        <v>0</v>
      </c>
      <c r="DQ43">
        <f>Monthly_kWh!AX20</f>
        <v>0</v>
      </c>
      <c r="DR43">
        <f>Monthly_kWh!BA20</f>
        <v>0</v>
      </c>
      <c r="DS43">
        <f>Monthly_kWh!BB20</f>
        <v>0</v>
      </c>
      <c r="DT43">
        <f>Monthly_kWh!BC20</f>
        <v>0</v>
      </c>
      <c r="DU43">
        <f>Monthly_kWh!BF20</f>
        <v>0</v>
      </c>
      <c r="DV43">
        <f>Monthly_kWh!BN20</f>
        <v>0</v>
      </c>
      <c r="DW43">
        <f>Monthly_kWh!CD20</f>
        <v>0</v>
      </c>
      <c r="DX43">
        <f>Monthly_kWh!CE20</f>
        <v>0</v>
      </c>
      <c r="DY43">
        <f>Monthly_kWh!CJ20</f>
        <v>0</v>
      </c>
      <c r="DZ43">
        <f>Monthly_kWh!CP20</f>
        <v>0</v>
      </c>
      <c r="EA43">
        <f>Monthly_kWh!CS20</f>
        <v>0</v>
      </c>
      <c r="EB43">
        <f>Monthly_kWh!CU20</f>
        <v>0</v>
      </c>
      <c r="EC43">
        <f>Monthly_kWh!EG20</f>
        <v>0</v>
      </c>
      <c r="ED43">
        <f>Monthly_kWh!EQ20</f>
        <v>0</v>
      </c>
    </row>
    <row r="44" spans="1:134" ht="14" x14ac:dyDescent="0.25">
      <c r="A44" s="315"/>
      <c r="B44" s="137">
        <v>43</v>
      </c>
      <c r="C44" s="139" t="s">
        <v>318</v>
      </c>
      <c r="D44" s="142">
        <f>DAILY_ENERGY!C107</f>
        <v>51.107383999999996</v>
      </c>
      <c r="E44" s="142">
        <f>DAILY_ENERGY!D107</f>
        <v>51.385191999999996</v>
      </c>
      <c r="F44" s="142">
        <f>DAILY_ENERGY!E107</f>
        <v>0.27780800000000028</v>
      </c>
      <c r="G44" s="142"/>
      <c r="H44" s="142">
        <f>SHIFT_A!E107</f>
        <v>9.273600000000215E-2</v>
      </c>
      <c r="I44" s="142">
        <f>SHIFT_B!E107</f>
        <v>9.3123999999995988E-2</v>
      </c>
      <c r="J44" s="142">
        <f>SHIFT_C!E107</f>
        <v>9.1948000000002139E-2</v>
      </c>
      <c r="K44" s="162">
        <f t="shared" si="0"/>
        <v>0.27780800000000028</v>
      </c>
      <c r="L44" s="163">
        <f t="shared" si="1"/>
        <v>0</v>
      </c>
      <c r="N44" s="168">
        <v>15</v>
      </c>
      <c r="O44">
        <f>Monthly_kWh!AF21</f>
        <v>0</v>
      </c>
      <c r="P44">
        <f>Monthly_kWh!BJ21</f>
        <v>1.1589999999976901E-3</v>
      </c>
      <c r="Q44">
        <f>Monthly_kWh!BK21</f>
        <v>4.1409999999999898E-2</v>
      </c>
      <c r="R44">
        <f>Monthly_kWh!EP21</f>
        <v>0</v>
      </c>
      <c r="S44">
        <f>Monthly_kWh!EE21</f>
        <v>0.1396415</v>
      </c>
      <c r="T44">
        <f>Monthly_kWh!DH21</f>
        <v>6.7469999999998399E-3</v>
      </c>
      <c r="U44">
        <f>Monthly_kWh!CL21</f>
        <v>5.27979999999992E-2</v>
      </c>
      <c r="V44">
        <f>Monthly_kWh!BL21</f>
        <v>9.9999999996214194E-6</v>
      </c>
      <c r="W44">
        <f>Monthly_kWh!V21</f>
        <v>0.12337000000000101</v>
      </c>
      <c r="X44">
        <f>Monthly_kWh!AB21</f>
        <v>0.15492600000000001</v>
      </c>
      <c r="Y44">
        <f>Monthly_kWh!AE21</f>
        <v>5.5679500000000097E-2</v>
      </c>
      <c r="Z44">
        <f>Monthly_kWh!AG21</f>
        <v>1.09729999999999E-2</v>
      </c>
      <c r="AA44">
        <f>Monthly_kWh!BE21</f>
        <v>0.24221599999999899</v>
      </c>
      <c r="AB44">
        <f>Monthly_kWh!AY21</f>
        <v>6.5285499999999899E-2</v>
      </c>
      <c r="AC44">
        <f>Monthly_kWh!CX21</f>
        <v>0.240068000000001</v>
      </c>
      <c r="AD44">
        <f>Monthly_kWh!CY21</f>
        <v>1.6828999999999799E-2</v>
      </c>
      <c r="AE44">
        <f>Monthly_kWh!DC21</f>
        <v>0.19953600000000199</v>
      </c>
      <c r="AF44">
        <f>Monthly_kWh!DD21</f>
        <v>2.9617000000000001E-2</v>
      </c>
      <c r="AG44">
        <f>Monthly_kWh!W21</f>
        <v>1.73450000000006E-2</v>
      </c>
      <c r="AH44">
        <f>Monthly_kWh!X21</f>
        <v>4.6405999999999302E-2</v>
      </c>
      <c r="AI44">
        <f>Monthly_kWh!Y21</f>
        <v>0</v>
      </c>
      <c r="AJ44">
        <f>Monthly_kWh!Z21</f>
        <v>4.4449000000000197E-2</v>
      </c>
      <c r="AK44">
        <f>Monthly_kWh!AA21</f>
        <v>8.8936000000000306E-2</v>
      </c>
      <c r="AL44">
        <f>Monthly_kWh!AC21</f>
        <v>0.122602000000001</v>
      </c>
      <c r="AM44">
        <f>Monthly_kWh!AD21</f>
        <v>6.00934999999998E-2</v>
      </c>
      <c r="AN44">
        <f>Monthly_kWh!AI21</f>
        <v>0</v>
      </c>
      <c r="AO44">
        <f>Monthly_kWh!AJ21</f>
        <v>2.32729999999997E-2</v>
      </c>
      <c r="AP44">
        <f>Monthly_kWh!AL21</f>
        <v>0.253336000000004</v>
      </c>
      <c r="AQ44">
        <f>Monthly_kWh!AM21</f>
        <v>0.40341600000000699</v>
      </c>
      <c r="AR44">
        <f>Monthly_kWh!AN21</f>
        <v>0.28815200000001101</v>
      </c>
      <c r="AS44">
        <f>Monthly_kWh!AO21</f>
        <v>0.112231999999999</v>
      </c>
      <c r="AT44">
        <f>Monthly_kWh!AP21</f>
        <v>7.0869999999999295E-2</v>
      </c>
      <c r="AU44">
        <f>Monthly_kWh!CN21</f>
        <v>6.0332499999999498E-2</v>
      </c>
      <c r="AV44">
        <f>Monthly_kWh!CR21</f>
        <v>9.4763999999999599E-2</v>
      </c>
      <c r="AW44">
        <f>Monthly_kWh!AQ21</f>
        <v>0.16378799999999699</v>
      </c>
      <c r="AX44">
        <f>Monthly_kWh!AS21</f>
        <v>2.8212999999999998E-2</v>
      </c>
      <c r="AY44">
        <f>Monthly_kWh!EH21</f>
        <v>0.169344000000024</v>
      </c>
      <c r="AZ44">
        <f>Monthly_kWh!EJ21</f>
        <v>4.7680000000127603E-3</v>
      </c>
      <c r="BA44">
        <f>Monthly_kWh!EI21</f>
        <v>0.59955199999990305</v>
      </c>
      <c r="BB44">
        <f>Monthly_kWh!AW21</f>
        <v>0.77958400000000005</v>
      </c>
      <c r="BC44">
        <f>Monthly_kWh!DS21</f>
        <v>0.57887999999996997</v>
      </c>
      <c r="BD44">
        <f>Monthly_kWh!CO21</f>
        <v>0.38574400000000297</v>
      </c>
      <c r="BE44">
        <f>Monthly_kWh!DA21</f>
        <v>0.274872000000002</v>
      </c>
      <c r="BF44">
        <f>Monthly_kWh!DB21</f>
        <v>8.8310000000001707E-2</v>
      </c>
      <c r="BG44">
        <f>Monthly_kWh!EK21</f>
        <v>0</v>
      </c>
      <c r="BH44">
        <f>Monthly_kWh!EL21</f>
        <v>0</v>
      </c>
      <c r="BI44">
        <f>Monthly_kWh!EM21</f>
        <v>3.62547199999972</v>
      </c>
      <c r="BJ44">
        <f>Monthly_kWh!EN21</f>
        <v>2.0321279999998301</v>
      </c>
      <c r="BK44">
        <f>Monthly_kWh!EO21</f>
        <v>0.14841599999999699</v>
      </c>
      <c r="BL44">
        <f>Monthly_kWh!ER21</f>
        <v>1.77418900000001</v>
      </c>
      <c r="BM44">
        <f>Monthly_kWh!BW21</f>
        <v>0</v>
      </c>
      <c r="BN44">
        <f>Monthly_kWh!DR21</f>
        <v>0</v>
      </c>
      <c r="BO44">
        <f>Monthly_kWh!CG21</f>
        <v>0</v>
      </c>
      <c r="BP44">
        <f>Monthly_kWh!CI21</f>
        <v>0</v>
      </c>
      <c r="BQ44">
        <f>Monthly_kWh!BV21</f>
        <v>0</v>
      </c>
      <c r="BR44">
        <f>Monthly_kWh!BO21</f>
        <v>7.0184000000001107E-2</v>
      </c>
      <c r="BS44">
        <f>Monthly_kWh!CW21</f>
        <v>2.5120000000029602E-3</v>
      </c>
      <c r="BT44">
        <f>Monthly_kWh!DE21</f>
        <v>0</v>
      </c>
      <c r="BU44">
        <f>Monthly_kWh!DW21</f>
        <v>0</v>
      </c>
      <c r="BV44">
        <f>Monthly_kWh!CB21</f>
        <v>0</v>
      </c>
      <c r="BW44">
        <f>Monthly_kWh!CZ21</f>
        <v>1.8551000000000002E-2</v>
      </c>
      <c r="BX44">
        <f>Monthly_kWh!DG21</f>
        <v>1.84899999999999E-3</v>
      </c>
      <c r="BY44">
        <f>Monthly_kWh!BS21</f>
        <v>0</v>
      </c>
      <c r="BZ44">
        <f>Monthly_kWh!CH21</f>
        <v>5.5750000000021104E-4</v>
      </c>
      <c r="CA44">
        <f>Monthly_kWh!BR21</f>
        <v>0</v>
      </c>
      <c r="CB44">
        <f>Monthly_kWh!BP21</f>
        <v>0</v>
      </c>
      <c r="CC44">
        <f>Monthly_kWh!BU21</f>
        <v>0</v>
      </c>
      <c r="CD44">
        <f>Monthly_kWh!BX21</f>
        <v>0</v>
      </c>
      <c r="CE44">
        <f>Monthly_kWh!CV21</f>
        <v>3.6383749999999702E-3</v>
      </c>
      <c r="CF44">
        <f>Monthly_kWh!BT21</f>
        <v>2.7983999999996501E-2</v>
      </c>
      <c r="CG44">
        <f>Monthly_kWh!CA21</f>
        <v>1.5792000000004702E-2</v>
      </c>
      <c r="CH44">
        <f>Monthly_kWh!CF21</f>
        <v>2.12560000000011E-2</v>
      </c>
      <c r="CI44">
        <f>Monthly_kWh!BZ21</f>
        <v>0.186864</v>
      </c>
      <c r="CJ44">
        <f>Monthly_kWh!CK21</f>
        <v>0</v>
      </c>
      <c r="CK44">
        <f>Monthly_kWh!DT21</f>
        <v>0.10837812500000001</v>
      </c>
      <c r="CL44">
        <f>Monthly_kWh!EB21</f>
        <v>0.31246400000000601</v>
      </c>
      <c r="CM44">
        <f>Monthly_kWh!EC21</f>
        <v>0.113071999999988</v>
      </c>
      <c r="CN44">
        <f>Monthly_kWh!CQ21</f>
        <v>0</v>
      </c>
      <c r="CO44">
        <f>Monthly_kWh!DF21</f>
        <v>0</v>
      </c>
      <c r="CP44">
        <f>Monthly_kWh!DJ21</f>
        <v>0</v>
      </c>
      <c r="CQ44">
        <f>Monthly_kWh!DP21</f>
        <v>1.7836000000000001E-2</v>
      </c>
      <c r="CR44">
        <f>Monthly_kWh!BQ21</f>
        <v>0</v>
      </c>
      <c r="CS44">
        <f>Monthly_kWh!BY21</f>
        <v>0</v>
      </c>
      <c r="CT44">
        <f>Monthly_kWh!DU21</f>
        <v>2.41000000000824E-4</v>
      </c>
      <c r="CU44">
        <f>Monthly_kWh!DQ21</f>
        <v>0</v>
      </c>
      <c r="CV44">
        <f>Monthly_kWh!EA21</f>
        <v>0</v>
      </c>
      <c r="CW44">
        <f>Monthly_kWh!DO21</f>
        <v>0.68611199999997996</v>
      </c>
      <c r="CX44">
        <f>Monthly_kWh!DX21</f>
        <v>0.19364400000000101</v>
      </c>
      <c r="CY44">
        <f>Monthly_kWh!DY21</f>
        <v>3.5135625000000102E-3</v>
      </c>
      <c r="CZ44">
        <f>Monthly_kWh!DZ21</f>
        <v>7.05860000000023E-2</v>
      </c>
      <c r="DA44">
        <f>Monthly_kWh!ED21</f>
        <v>8.0202499999999493E-3</v>
      </c>
      <c r="DB44">
        <f>Monthly_kWh!DV21</f>
        <v>6.79549999999995E-3</v>
      </c>
      <c r="DC44">
        <f>Monthly_kWh!CT21</f>
        <v>8.6576000000007994E-2</v>
      </c>
      <c r="DD44">
        <f>Monthly_kWh!DN21</f>
        <v>7.8725000000001699E-4</v>
      </c>
      <c r="DE44">
        <f>Monthly_kWh!AZ21</f>
        <v>0</v>
      </c>
      <c r="DF44">
        <f>Monthly_kWh!BD21</f>
        <v>2.4719882812499999E-3</v>
      </c>
      <c r="DG44">
        <f>Monthly_kWh!AV21</f>
        <v>1.4647500000000599E-2</v>
      </c>
      <c r="DH44">
        <f>Monthly_kWh!BG21</f>
        <v>1.1026000000001099E-2</v>
      </c>
      <c r="DI44">
        <f>Monthly_kWh!DK21</f>
        <v>6.4248000000002706E-2</v>
      </c>
      <c r="DJ44">
        <f>Monthly_kWh!DL21</f>
        <v>0</v>
      </c>
      <c r="DK44">
        <f>Monthly_kWh!AU21</f>
        <v>4.1351999999996301E-2</v>
      </c>
      <c r="DL44">
        <f>Monthly_kWh!DM21</f>
        <v>3.4779000000000303E-2</v>
      </c>
      <c r="DM44">
        <f>Monthly_kWh!CC21</f>
        <v>0</v>
      </c>
      <c r="DN44">
        <f>Monthly_kWh!BH21</f>
        <v>0</v>
      </c>
      <c r="DO44">
        <f>Monthly_kWh!AK21</f>
        <v>0</v>
      </c>
      <c r="DP44">
        <f>Monthly_kWh!AT21</f>
        <v>0</v>
      </c>
      <c r="DQ44">
        <f>Monthly_kWh!AX21</f>
        <v>0</v>
      </c>
      <c r="DR44">
        <f>Monthly_kWh!BA21</f>
        <v>0</v>
      </c>
      <c r="DS44">
        <f>Monthly_kWh!BB21</f>
        <v>0</v>
      </c>
      <c r="DT44">
        <f>Monthly_kWh!BC21</f>
        <v>0</v>
      </c>
      <c r="DU44">
        <f>Monthly_kWh!BF21</f>
        <v>0</v>
      </c>
      <c r="DV44">
        <f>Monthly_kWh!BN21</f>
        <v>0</v>
      </c>
      <c r="DW44">
        <f>Monthly_kWh!CD21</f>
        <v>0</v>
      </c>
      <c r="DX44">
        <f>Monthly_kWh!CE21</f>
        <v>0</v>
      </c>
      <c r="DY44">
        <f>Monthly_kWh!CJ21</f>
        <v>0</v>
      </c>
      <c r="DZ44">
        <f>Monthly_kWh!CP21</f>
        <v>0</v>
      </c>
      <c r="EA44">
        <f>Monthly_kWh!CS21</f>
        <v>0</v>
      </c>
      <c r="EB44">
        <f>Monthly_kWh!CU21</f>
        <v>0</v>
      </c>
      <c r="EC44">
        <f>Monthly_kWh!EG21</f>
        <v>0</v>
      </c>
      <c r="ED44">
        <f>Monthly_kWh!EQ21</f>
        <v>0</v>
      </c>
    </row>
    <row r="45" spans="1:134" ht="14" x14ac:dyDescent="0.25">
      <c r="A45" s="315"/>
      <c r="B45" s="137">
        <v>44</v>
      </c>
      <c r="C45" s="139" t="s">
        <v>319</v>
      </c>
      <c r="D45" s="142">
        <f>DAILY_ENERGY!C108</f>
        <v>11.523637000000001</v>
      </c>
      <c r="E45" s="142">
        <f>DAILY_ENERGY!D108</f>
        <v>11.639074000000001</v>
      </c>
      <c r="F45" s="142">
        <f>DAILY_ENERGY!E108</f>
        <v>0.11543700000000001</v>
      </c>
      <c r="G45" s="142"/>
      <c r="H45" s="142">
        <f>SHIFT_A!E108</f>
        <v>4.2176999999998799E-2</v>
      </c>
      <c r="I45" s="142">
        <f>SHIFT_B!E108</f>
        <v>4.2360000000002174E-2</v>
      </c>
      <c r="J45" s="142">
        <f>SHIFT_C!E108</f>
        <v>3.0899999999999039E-2</v>
      </c>
      <c r="K45" s="162">
        <f t="shared" si="0"/>
        <v>0.11543700000000001</v>
      </c>
      <c r="L45" s="163">
        <f t="shared" si="1"/>
        <v>0</v>
      </c>
      <c r="N45" s="168">
        <v>16</v>
      </c>
      <c r="O45">
        <f>Monthly_kWh!AF22</f>
        <v>0</v>
      </c>
      <c r="P45">
        <f>Monthly_kWh!BJ22</f>
        <v>8.1430000000004606E-3</v>
      </c>
      <c r="Q45">
        <f>Monthly_kWh!BK22</f>
        <v>0.171434</v>
      </c>
      <c r="R45">
        <f>Monthly_kWh!EP22</f>
        <v>0</v>
      </c>
      <c r="S45">
        <f>Monthly_kWh!EE22</f>
        <v>0.122736000000001</v>
      </c>
      <c r="T45">
        <f>Monthly_kWh!DH22</f>
        <v>1.1830500000000301E-2</v>
      </c>
      <c r="U45">
        <f>Monthly_kWh!CL22</f>
        <v>3.8584000000000201E-2</v>
      </c>
      <c r="V45">
        <f>Monthly_kWh!BL22</f>
        <v>1.6600000000011099E-4</v>
      </c>
      <c r="W45">
        <f>Monthly_kWh!V22</f>
        <v>0.14308400000000199</v>
      </c>
      <c r="X45">
        <f>Monthly_kWh!AB22</f>
        <v>0.15920799999999999</v>
      </c>
      <c r="Y45">
        <f>Monthly_kWh!AE22</f>
        <v>9.2153499999999305E-2</v>
      </c>
      <c r="Z45">
        <f>Monthly_kWh!AG22</f>
        <v>1.37687499999997E-2</v>
      </c>
      <c r="AA45">
        <f>Monthly_kWh!BE22</f>
        <v>0.111190000000001</v>
      </c>
      <c r="AB45">
        <f>Monthly_kWh!AY22</f>
        <v>8.0801999999999402E-2</v>
      </c>
      <c r="AC45">
        <f>Monthly_kWh!CX22</f>
        <v>0.25239200000000001</v>
      </c>
      <c r="AD45">
        <f>Monthly_kWh!CY22</f>
        <v>1.53050000000001E-2</v>
      </c>
      <c r="AE45">
        <f>Monthly_kWh!DC22</f>
        <v>0.203151999999996</v>
      </c>
      <c r="AF45">
        <f>Monthly_kWh!DD22</f>
        <v>3.0249000000000002E-2</v>
      </c>
      <c r="AG45">
        <f>Monthly_kWh!W22</f>
        <v>5.7130000000000798E-2</v>
      </c>
      <c r="AH45">
        <f>Monthly_kWh!X22</f>
        <v>6.2675000000000494E-2</v>
      </c>
      <c r="AI45">
        <f>Monthly_kWh!Y22</f>
        <v>0</v>
      </c>
      <c r="AJ45">
        <f>Monthly_kWh!Z22</f>
        <v>4.3897000000001199E-2</v>
      </c>
      <c r="AK45">
        <f>Monthly_kWh!AA22</f>
        <v>0.11529200000000001</v>
      </c>
      <c r="AL45">
        <f>Monthly_kWh!AC22</f>
        <v>0.123829999999998</v>
      </c>
      <c r="AM45">
        <f>Monthly_kWh!AD22</f>
        <v>5.4778000000000701E-2</v>
      </c>
      <c r="AN45">
        <f>Monthly_kWh!AI22</f>
        <v>0</v>
      </c>
      <c r="AO45">
        <f>Monthly_kWh!AJ22</f>
        <v>4.1349999999999602E-2</v>
      </c>
      <c r="AP45">
        <f>Monthly_kWh!AL22</f>
        <v>0.34176800000000201</v>
      </c>
      <c r="AQ45">
        <f>Monthly_kWh!AM22</f>
        <v>0.49423999999999102</v>
      </c>
      <c r="AR45">
        <f>Monthly_kWh!AN22</f>
        <v>0.397695999999996</v>
      </c>
      <c r="AS45">
        <f>Monthly_kWh!AO22</f>
        <v>0.15853599999999801</v>
      </c>
      <c r="AT45">
        <f>Monthly_kWh!AP22</f>
        <v>8.7151999999999702E-2</v>
      </c>
      <c r="AU45">
        <f>Monthly_kWh!CN22</f>
        <v>5.52670000000006E-2</v>
      </c>
      <c r="AV45">
        <f>Monthly_kWh!CR22</f>
        <v>0.140346000000001</v>
      </c>
      <c r="AW45">
        <f>Monthly_kWh!AQ22</f>
        <v>0.335811999999997</v>
      </c>
      <c r="AX45">
        <f>Monthly_kWh!AS22</f>
        <v>8.8321500000000205E-2</v>
      </c>
      <c r="AY45">
        <f>Monthly_kWh!EH22</f>
        <v>0.51513599999998405</v>
      </c>
      <c r="AZ45">
        <f>Monthly_kWh!EJ22</f>
        <v>4.1855999999995702E-2</v>
      </c>
      <c r="BA45">
        <f>Monthly_kWh!EI22</f>
        <v>0.61254400000007103</v>
      </c>
      <c r="BB45">
        <f>Monthly_kWh!AW22</f>
        <v>2.21324799999991</v>
      </c>
      <c r="BC45">
        <f>Monthly_kWh!DS22</f>
        <v>1.2633920000000101</v>
      </c>
      <c r="BD45">
        <f>Monthly_kWh!CO22</f>
        <v>0.71738800000000003</v>
      </c>
      <c r="BE45">
        <f>Monthly_kWh!DA22</f>
        <v>0.26119200000000098</v>
      </c>
      <c r="BF45">
        <f>Monthly_kWh!DB22</f>
        <v>0.117958999999999</v>
      </c>
      <c r="BG45">
        <f>Monthly_kWh!EK22</f>
        <v>0</v>
      </c>
      <c r="BH45">
        <f>Monthly_kWh!EL22</f>
        <v>0.84377599999993402</v>
      </c>
      <c r="BI45">
        <f>Monthly_kWh!EM22</f>
        <v>3.82361600000013</v>
      </c>
      <c r="BJ45">
        <f>Monthly_kWh!EN22</f>
        <v>2.4637440000001298</v>
      </c>
      <c r="BK45">
        <f>Monthly_kWh!EO22</f>
        <v>1.9248000000000001</v>
      </c>
      <c r="BL45">
        <f>Monthly_kWh!ER22</f>
        <v>3.1520250000000098</v>
      </c>
      <c r="BM45">
        <f>Monthly_kWh!BW22</f>
        <v>0</v>
      </c>
      <c r="BN45">
        <f>Monthly_kWh!DR22</f>
        <v>0</v>
      </c>
      <c r="BO45">
        <f>Monthly_kWh!CG22</f>
        <v>0</v>
      </c>
      <c r="BP45">
        <f>Monthly_kWh!CI22</f>
        <v>0</v>
      </c>
      <c r="BQ45">
        <f>Monthly_kWh!BV22</f>
        <v>0</v>
      </c>
      <c r="BR45">
        <f>Monthly_kWh!BO22</f>
        <v>0.450127</v>
      </c>
      <c r="BS45">
        <f>Monthly_kWh!CW22</f>
        <v>7.1979999999996394E-2</v>
      </c>
      <c r="BT45">
        <f>Monthly_kWh!DE22</f>
        <v>0</v>
      </c>
      <c r="BU45">
        <f>Monthly_kWh!DW22</f>
        <v>0</v>
      </c>
      <c r="BV45">
        <f>Monthly_kWh!CB22</f>
        <v>0</v>
      </c>
      <c r="BW45">
        <f>Monthly_kWh!CZ22</f>
        <v>2.4035000000000001E-2</v>
      </c>
      <c r="BX45">
        <f>Monthly_kWh!DG22</f>
        <v>2.53924999999997E-2</v>
      </c>
      <c r="BY45">
        <f>Monthly_kWh!BS22</f>
        <v>0</v>
      </c>
      <c r="BZ45">
        <f>Monthly_kWh!CH22</f>
        <v>1.7320000000000701E-3</v>
      </c>
      <c r="CA45">
        <f>Monthly_kWh!BR22</f>
        <v>0</v>
      </c>
      <c r="CB45">
        <f>Monthly_kWh!BP22</f>
        <v>0</v>
      </c>
      <c r="CC45">
        <f>Monthly_kWh!BU22</f>
        <v>0</v>
      </c>
      <c r="CD45">
        <f>Monthly_kWh!BX22</f>
        <v>0</v>
      </c>
      <c r="CE45">
        <f>Monthly_kWh!CV22</f>
        <v>1.8945875000000001E-2</v>
      </c>
      <c r="CF45">
        <f>Monthly_kWh!BT22</f>
        <v>0.355960000000003</v>
      </c>
      <c r="CG45">
        <f>Monthly_kWh!CA22</f>
        <v>0.38979999999999398</v>
      </c>
      <c r="CH45">
        <f>Monthly_kWh!CF22</f>
        <v>4.4525999999999399E-2</v>
      </c>
      <c r="CI45">
        <f>Monthly_kWh!BZ22</f>
        <v>0.83883199999999603</v>
      </c>
      <c r="CJ45">
        <f>Monthly_kWh!CK22</f>
        <v>0</v>
      </c>
      <c r="CK45">
        <f>Monthly_kWh!DT22</f>
        <v>0.39938374999999998</v>
      </c>
      <c r="CL45">
        <f>Monthly_kWh!EB22</f>
        <v>1.3388960000000101</v>
      </c>
      <c r="CM45">
        <f>Monthly_kWh!EC22</f>
        <v>0.68246400000000995</v>
      </c>
      <c r="CN45">
        <f>Monthly_kWh!CQ22</f>
        <v>0</v>
      </c>
      <c r="CO45">
        <f>Monthly_kWh!DF22</f>
        <v>0</v>
      </c>
      <c r="CP45">
        <f>Monthly_kWh!DJ22</f>
        <v>0</v>
      </c>
      <c r="CQ45">
        <f>Monthly_kWh!DP22</f>
        <v>3.4772499999999901E-2</v>
      </c>
      <c r="CR45">
        <f>Monthly_kWh!BQ22</f>
        <v>0</v>
      </c>
      <c r="CS45">
        <f>Monthly_kWh!BY22</f>
        <v>0</v>
      </c>
      <c r="CT45">
        <f>Monthly_kWh!DU22</f>
        <v>2.5047000000000701E-2</v>
      </c>
      <c r="CU45">
        <f>Monthly_kWh!DQ22</f>
        <v>0</v>
      </c>
      <c r="CV45">
        <f>Monthly_kWh!EA22</f>
        <v>0</v>
      </c>
      <c r="CW45">
        <f>Monthly_kWh!DO22</f>
        <v>0.77838400000001695</v>
      </c>
      <c r="CX45">
        <f>Monthly_kWh!DX22</f>
        <v>0.169428999999999</v>
      </c>
      <c r="CY45">
        <f>Monthly_kWh!DY22</f>
        <v>5.3683749999999799E-3</v>
      </c>
      <c r="CZ45">
        <f>Monthly_kWh!DZ22</f>
        <v>0.10922999999999999</v>
      </c>
      <c r="DA45">
        <f>Monthly_kWh!ED22</f>
        <v>3.59845000000001E-2</v>
      </c>
      <c r="DB45">
        <f>Monthly_kWh!DV22</f>
        <v>1.05154999999999E-2</v>
      </c>
      <c r="DC45">
        <f>Monthly_kWh!CT22</f>
        <v>0.21165599999999099</v>
      </c>
      <c r="DD45">
        <f>Monthly_kWh!DN22</f>
        <v>5.6243749999999003E-3</v>
      </c>
      <c r="DE45">
        <f>Monthly_kWh!AZ22</f>
        <v>0</v>
      </c>
      <c r="DF45">
        <f>Monthly_kWh!BD22</f>
        <v>4.2966503906250002E-3</v>
      </c>
      <c r="DG45">
        <f>Monthly_kWh!AV22</f>
        <v>4.3607999999999897E-2</v>
      </c>
      <c r="DH45">
        <f>Monthly_kWh!BG22</f>
        <v>2.5050000000000201E-2</v>
      </c>
      <c r="DI45">
        <f>Monthly_kWh!DK22</f>
        <v>6.4111999999997907E-2</v>
      </c>
      <c r="DJ45">
        <f>Monthly_kWh!DL22</f>
        <v>1.9184951171874999E-2</v>
      </c>
      <c r="DK45">
        <f>Monthly_kWh!AU22</f>
        <v>4.3796000000000397E-2</v>
      </c>
      <c r="DL45">
        <f>Monthly_kWh!DM22</f>
        <v>4.66300000000004E-2</v>
      </c>
      <c r="DM45">
        <f>Monthly_kWh!CC22</f>
        <v>0</v>
      </c>
      <c r="DN45">
        <f>Monthly_kWh!BH22</f>
        <v>6.9593999999998601E-2</v>
      </c>
      <c r="DO45">
        <f>Monthly_kWh!AK22</f>
        <v>0</v>
      </c>
      <c r="DP45">
        <f>Monthly_kWh!AT22</f>
        <v>0</v>
      </c>
      <c r="DQ45">
        <f>Monthly_kWh!AX22</f>
        <v>0</v>
      </c>
      <c r="DR45">
        <f>Monthly_kWh!BA22</f>
        <v>0</v>
      </c>
      <c r="DS45">
        <f>Monthly_kWh!BB22</f>
        <v>0</v>
      </c>
      <c r="DT45">
        <f>Monthly_kWh!BC22</f>
        <v>0</v>
      </c>
      <c r="DU45">
        <f>Monthly_kWh!BF22</f>
        <v>0</v>
      </c>
      <c r="DV45">
        <f>Monthly_kWh!BN22</f>
        <v>0</v>
      </c>
      <c r="DW45">
        <f>Monthly_kWh!CD22</f>
        <v>0</v>
      </c>
      <c r="DX45">
        <f>Monthly_kWh!CE22</f>
        <v>0</v>
      </c>
      <c r="DY45">
        <f>Monthly_kWh!CJ22</f>
        <v>0</v>
      </c>
      <c r="DZ45">
        <f>Monthly_kWh!CP22</f>
        <v>0</v>
      </c>
      <c r="EA45">
        <f>Monthly_kWh!CS22</f>
        <v>0</v>
      </c>
      <c r="EB45">
        <f>Monthly_kWh!CU22</f>
        <v>0</v>
      </c>
      <c r="EC45">
        <f>Monthly_kWh!EG22</f>
        <v>0</v>
      </c>
      <c r="ED45">
        <f>Monthly_kWh!EQ22</f>
        <v>0</v>
      </c>
    </row>
    <row r="46" spans="1:134" ht="14" x14ac:dyDescent="0.25">
      <c r="A46" s="315"/>
      <c r="B46" s="137">
        <v>45</v>
      </c>
      <c r="C46" s="139" t="s">
        <v>354</v>
      </c>
      <c r="D46" s="142">
        <f>DAILY_ENERGY!C143</f>
        <v>0</v>
      </c>
      <c r="E46" s="142">
        <f>DAILY_ENERGY!D143</f>
        <v>0</v>
      </c>
      <c r="F46" s="142">
        <f>DAILY_ENERGY!E143</f>
        <v>0</v>
      </c>
      <c r="G46" s="142"/>
      <c r="H46" s="142">
        <f>SHIFT_A!E143</f>
        <v>0</v>
      </c>
      <c r="I46" s="142">
        <f>SHIFT_B!E143</f>
        <v>0</v>
      </c>
      <c r="J46" s="142">
        <f>SHIFT_C!E143</f>
        <v>0</v>
      </c>
      <c r="K46" s="162">
        <f t="shared" si="0"/>
        <v>0</v>
      </c>
      <c r="L46" s="163">
        <f t="shared" si="1"/>
        <v>0</v>
      </c>
      <c r="N46" s="168">
        <v>17</v>
      </c>
      <c r="O46">
        <f>Monthly_kWh!AF23</f>
        <v>0</v>
      </c>
      <c r="P46">
        <f>Monthly_kWh!BJ23</f>
        <v>6.8100000000015403E-4</v>
      </c>
      <c r="Q46">
        <f>Monthly_kWh!BK23</f>
        <v>3.9931000000000202E-2</v>
      </c>
      <c r="R46">
        <f>Monthly_kWh!EP23</f>
        <v>0</v>
      </c>
      <c r="S46">
        <f>Monthly_kWh!EE23</f>
        <v>0.14276949999999999</v>
      </c>
      <c r="T46">
        <f>Monthly_kWh!DH23</f>
        <v>1.35509999999996E-2</v>
      </c>
      <c r="U46">
        <f>Monthly_kWh!CL23</f>
        <v>2.55340000000004E-2</v>
      </c>
      <c r="V46">
        <f>Monthly_kWh!BL23</f>
        <v>4.6000000001100702E-5</v>
      </c>
      <c r="W46">
        <f>Monthly_kWh!V23</f>
        <v>0.13299999999999901</v>
      </c>
      <c r="X46">
        <f>Monthly_kWh!AB23</f>
        <v>0.147399999999998</v>
      </c>
      <c r="Y46">
        <f>Monthly_kWh!AE23</f>
        <v>7.2787500000000394E-2</v>
      </c>
      <c r="Z46">
        <f>Monthly_kWh!AG23</f>
        <v>1.55347500000005E-2</v>
      </c>
      <c r="AA46">
        <f>Monthly_kWh!BE23</f>
        <v>0.27415600000000101</v>
      </c>
      <c r="AB46">
        <f>Monthly_kWh!AY23</f>
        <v>7.4260500000000298E-2</v>
      </c>
      <c r="AC46">
        <f>Monthly_kWh!CX23</f>
        <v>0.23164400000000299</v>
      </c>
      <c r="AD46">
        <f>Monthly_kWh!CY23</f>
        <v>8.5610000000000408E-3</v>
      </c>
      <c r="AE46">
        <f>Monthly_kWh!DC23</f>
        <v>0.176372000000001</v>
      </c>
      <c r="AF46">
        <f>Monthly_kWh!DD23</f>
        <v>2.6178375E-2</v>
      </c>
      <c r="AG46">
        <f>Monthly_kWh!W23</f>
        <v>6.2341000000000001E-2</v>
      </c>
      <c r="AH46">
        <f>Monthly_kWh!X23</f>
        <v>7.3733999999999994E-2</v>
      </c>
      <c r="AI46">
        <f>Monthly_kWh!Y23</f>
        <v>0</v>
      </c>
      <c r="AJ46">
        <f>Monthly_kWh!Z23</f>
        <v>4.8090999999999398E-2</v>
      </c>
      <c r="AK46">
        <f>Monthly_kWh!AA23</f>
        <v>0.12025000000000199</v>
      </c>
      <c r="AL46">
        <f>Monthly_kWh!AC23</f>
        <v>0.113626</v>
      </c>
      <c r="AM46">
        <f>Monthly_kWh!AD23</f>
        <v>5.5944499999999002E-2</v>
      </c>
      <c r="AN46">
        <f>Monthly_kWh!AI23</f>
        <v>0</v>
      </c>
      <c r="AO46">
        <f>Monthly_kWh!AJ23</f>
        <v>3.7284000000000497E-2</v>
      </c>
      <c r="AP46">
        <f>Monthly_kWh!AL23</f>
        <v>0.32647199999999499</v>
      </c>
      <c r="AQ46">
        <f>Monthly_kWh!AM23</f>
        <v>0.49152800000000202</v>
      </c>
      <c r="AR46">
        <f>Monthly_kWh!AN23</f>
        <v>0.399591999999998</v>
      </c>
      <c r="AS46">
        <f>Monthly_kWh!AO23</f>
        <v>0.151671999999998</v>
      </c>
      <c r="AT46">
        <f>Monthly_kWh!AP23</f>
        <v>9.3394000000000005E-2</v>
      </c>
      <c r="AU46">
        <f>Monthly_kWh!CN23</f>
        <v>6.24554999999987E-2</v>
      </c>
      <c r="AV46">
        <f>Monthly_kWh!CR23</f>
        <v>0.134245</v>
      </c>
      <c r="AW46">
        <f>Monthly_kWh!AQ23</f>
        <v>0.33851200000000098</v>
      </c>
      <c r="AX46">
        <f>Monthly_kWh!AS23</f>
        <v>7.2108499999999701E-2</v>
      </c>
      <c r="AY46">
        <f>Monthly_kWh!EH23</f>
        <v>0.50086399999997899</v>
      </c>
      <c r="AZ46">
        <f>Monthly_kWh!EJ23</f>
        <v>3.0015999999989201E-2</v>
      </c>
      <c r="BA46">
        <f>Monthly_kWh!EI23</f>
        <v>0.52179200000000503</v>
      </c>
      <c r="BB46">
        <f>Monthly_kWh!AW23</f>
        <v>2.14323200000001</v>
      </c>
      <c r="BC46">
        <f>Monthly_kWh!DS23</f>
        <v>1.38771200000002</v>
      </c>
      <c r="BD46">
        <f>Monthly_kWh!CO23</f>
        <v>0.57600399999999796</v>
      </c>
      <c r="BE46">
        <f>Monthly_kWh!DA23</f>
        <v>0.26070399999999699</v>
      </c>
      <c r="BF46">
        <f>Monthly_kWh!DB23</f>
        <v>0.108539</v>
      </c>
      <c r="BG46">
        <f>Monthly_kWh!EK23</f>
        <v>0</v>
      </c>
      <c r="BH46">
        <f>Monthly_kWh!EL23</f>
        <v>0.153471999999965</v>
      </c>
      <c r="BI46">
        <f>Monthly_kWh!EM23</f>
        <v>3.646976</v>
      </c>
      <c r="BJ46">
        <f>Monthly_kWh!EN23</f>
        <v>2.0039679999999902</v>
      </c>
      <c r="BK46">
        <f>Monthly_kWh!EO23</f>
        <v>0.56921599999998296</v>
      </c>
      <c r="BL46">
        <f>Monthly_kWh!ER23</f>
        <v>2.602814</v>
      </c>
      <c r="BM46">
        <f>Monthly_kWh!BW23</f>
        <v>0</v>
      </c>
      <c r="BN46">
        <f>Monthly_kWh!DR23</f>
        <v>0</v>
      </c>
      <c r="BO46">
        <f>Monthly_kWh!CG23</f>
        <v>0</v>
      </c>
      <c r="BP46">
        <f>Monthly_kWh!CI23</f>
        <v>0</v>
      </c>
      <c r="BQ46">
        <f>Monthly_kWh!BV23</f>
        <v>0</v>
      </c>
      <c r="BR46">
        <f>Monthly_kWh!BO23</f>
        <v>0.32558500000000001</v>
      </c>
      <c r="BS46">
        <f>Monthly_kWh!CW23</f>
        <v>5.8984000000002403E-2</v>
      </c>
      <c r="BT46">
        <f>Monthly_kWh!DE23</f>
        <v>0</v>
      </c>
      <c r="BU46">
        <f>Monthly_kWh!DW23</f>
        <v>0</v>
      </c>
      <c r="BV46">
        <f>Monthly_kWh!CB23</f>
        <v>0</v>
      </c>
      <c r="BW46">
        <f>Monthly_kWh!CZ23</f>
        <v>2.3661499999999801E-2</v>
      </c>
      <c r="BX46">
        <f>Monthly_kWh!DG23</f>
        <v>1.7934499999999999E-2</v>
      </c>
      <c r="BY46">
        <f>Monthly_kWh!BS23</f>
        <v>0</v>
      </c>
      <c r="BZ46">
        <f>Monthly_kWh!CH23</f>
        <v>9.4249999999984602E-4</v>
      </c>
      <c r="CA46">
        <f>Monthly_kWh!BR23</f>
        <v>0</v>
      </c>
      <c r="CB46">
        <f>Monthly_kWh!BP23</f>
        <v>0</v>
      </c>
      <c r="CC46">
        <f>Monthly_kWh!BU23</f>
        <v>0</v>
      </c>
      <c r="CD46">
        <f>Monthly_kWh!BX23</f>
        <v>0</v>
      </c>
      <c r="CE46">
        <f>Monthly_kWh!CV23</f>
        <v>1.53649999999999E-2</v>
      </c>
      <c r="CF46">
        <f>Monthly_kWh!BT23</f>
        <v>0.28723599999999999</v>
      </c>
      <c r="CG46">
        <f>Monthly_kWh!CA23</f>
        <v>0.41316799999999898</v>
      </c>
      <c r="CH46">
        <f>Monthly_kWh!CF23</f>
        <v>4.6196999999999398E-2</v>
      </c>
      <c r="CI46">
        <f>Monthly_kWh!BZ23</f>
        <v>1.02801600000001</v>
      </c>
      <c r="CJ46">
        <f>Monthly_kWh!CK23</f>
        <v>0</v>
      </c>
      <c r="CK46">
        <f>Monthly_kWh!DT23</f>
        <v>0.40938724999999998</v>
      </c>
      <c r="CL46">
        <f>Monthly_kWh!EB23</f>
        <v>1.384816</v>
      </c>
      <c r="CM46">
        <f>Monthly_kWh!EC23</f>
        <v>0.71782400000000701</v>
      </c>
      <c r="CN46">
        <f>Monthly_kWh!CQ23</f>
        <v>0</v>
      </c>
      <c r="CO46">
        <f>Monthly_kWh!DF23</f>
        <v>0</v>
      </c>
      <c r="CP46">
        <f>Monthly_kWh!DJ23</f>
        <v>0</v>
      </c>
      <c r="CQ46">
        <f>Monthly_kWh!DP23</f>
        <v>4.2369499999999498E-2</v>
      </c>
      <c r="CR46">
        <f>Monthly_kWh!BQ23</f>
        <v>0</v>
      </c>
      <c r="CS46">
        <f>Monthly_kWh!BY23</f>
        <v>0</v>
      </c>
      <c r="CT46">
        <f>Monthly_kWh!DU23</f>
        <v>1.0334999999999501E-2</v>
      </c>
      <c r="CU46">
        <f>Monthly_kWh!DQ23</f>
        <v>0</v>
      </c>
      <c r="CV46">
        <f>Monthly_kWh!EA23</f>
        <v>0</v>
      </c>
      <c r="CW46">
        <f>Monthly_kWh!DO23</f>
        <v>0.76019199999998899</v>
      </c>
      <c r="CX46">
        <f>Monthly_kWh!DX23</f>
        <v>0.14777599999999999</v>
      </c>
      <c r="CY46">
        <f>Monthly_kWh!DY23</f>
        <v>5.5185625000000503E-3</v>
      </c>
      <c r="CZ46">
        <f>Monthly_kWh!DZ23</f>
        <v>0.12078</v>
      </c>
      <c r="DA46">
        <f>Monthly_kWh!ED23</f>
        <v>2.5901999999999901E-2</v>
      </c>
      <c r="DB46">
        <f>Monthly_kWh!DV23</f>
        <v>8.0810000000002304E-3</v>
      </c>
      <c r="DC46">
        <f>Monthly_kWh!CT23</f>
        <v>0.20286400000000501</v>
      </c>
      <c r="DD46">
        <f>Monthly_kWh!DN23</f>
        <v>2.99618750000008E-3</v>
      </c>
      <c r="DE46">
        <f>Monthly_kWh!AZ23</f>
        <v>3.9999999996709301E-6</v>
      </c>
      <c r="DF46">
        <f>Monthly_kWh!BD23</f>
        <v>4.072111328125E-3</v>
      </c>
      <c r="DG46">
        <f>Monthly_kWh!AV23</f>
        <v>3.09064999999995E-2</v>
      </c>
      <c r="DH46">
        <f>Monthly_kWh!BG23</f>
        <v>2.7356999999998501E-2</v>
      </c>
      <c r="DI46">
        <f>Monthly_kWh!DK23</f>
        <v>6.4044000000002696E-2</v>
      </c>
      <c r="DJ46">
        <f>Monthly_kWh!DL23</f>
        <v>1.9294222656249999E-2</v>
      </c>
      <c r="DK46">
        <f>Monthly_kWh!AU23</f>
        <v>5.1112000000003398E-2</v>
      </c>
      <c r="DL46">
        <f>Monthly_kWh!DM23</f>
        <v>4.7620999999999497E-2</v>
      </c>
      <c r="DM46">
        <f>Monthly_kWh!CC23</f>
        <v>0</v>
      </c>
      <c r="DN46">
        <f>Monthly_kWh!BH23</f>
        <v>1.6082000000000801E-2</v>
      </c>
      <c r="DO46">
        <f>Monthly_kWh!AK23</f>
        <v>0</v>
      </c>
      <c r="DP46">
        <f>Monthly_kWh!AT23</f>
        <v>0</v>
      </c>
      <c r="DQ46">
        <f>Monthly_kWh!AX23</f>
        <v>0</v>
      </c>
      <c r="DR46">
        <f>Monthly_kWh!BA23</f>
        <v>0</v>
      </c>
      <c r="DS46">
        <f>Monthly_kWh!BB23</f>
        <v>0</v>
      </c>
      <c r="DT46">
        <f>Monthly_kWh!BC23</f>
        <v>0</v>
      </c>
      <c r="DU46">
        <f>Monthly_kWh!BF23</f>
        <v>0</v>
      </c>
      <c r="DV46">
        <f>Monthly_kWh!BN23</f>
        <v>0</v>
      </c>
      <c r="DW46">
        <f>Monthly_kWh!CD23</f>
        <v>0</v>
      </c>
      <c r="DX46">
        <f>Monthly_kWh!CE23</f>
        <v>0</v>
      </c>
      <c r="DY46">
        <f>Monthly_kWh!CJ23</f>
        <v>0</v>
      </c>
      <c r="DZ46">
        <f>Monthly_kWh!CP23</f>
        <v>0</v>
      </c>
      <c r="EA46">
        <f>Monthly_kWh!CS23</f>
        <v>0</v>
      </c>
      <c r="EB46">
        <f>Monthly_kWh!CU23</f>
        <v>0</v>
      </c>
      <c r="EC46">
        <f>Monthly_kWh!EG23</f>
        <v>0</v>
      </c>
      <c r="ED46">
        <f>Monthly_kWh!EQ23</f>
        <v>0</v>
      </c>
    </row>
    <row r="47" spans="1:134" ht="14" x14ac:dyDescent="0.25">
      <c r="A47" s="315"/>
      <c r="B47" s="137">
        <v>46</v>
      </c>
      <c r="C47" s="139" t="s">
        <v>355</v>
      </c>
      <c r="D47" s="142">
        <f>DAILY_ENERGY!C144</f>
        <v>1944.279808</v>
      </c>
      <c r="E47" s="142">
        <f>DAILY_ENERGY!D144</f>
        <v>1946.519552</v>
      </c>
      <c r="F47" s="142">
        <f>DAILY_ENERGY!E144</f>
        <v>2.2397439999999733</v>
      </c>
      <c r="G47" s="142"/>
      <c r="H47" s="142">
        <f>SHIFT_A!E144</f>
        <v>1.0263039999999819</v>
      </c>
      <c r="I47" s="142">
        <f>SHIFT_B!E144</f>
        <v>1.0145279999999275</v>
      </c>
      <c r="J47" s="142">
        <f>SHIFT_C!E144</f>
        <v>0.19891200000006393</v>
      </c>
      <c r="K47" s="162">
        <f t="shared" si="0"/>
        <v>2.2397439999999733</v>
      </c>
      <c r="L47" s="163">
        <f t="shared" si="1"/>
        <v>0</v>
      </c>
      <c r="N47" s="168">
        <v>18</v>
      </c>
      <c r="O47">
        <f>Monthly_kWh!AF24</f>
        <v>0</v>
      </c>
      <c r="P47">
        <f>Monthly_kWh!BJ24</f>
        <v>1.29400000000146E-3</v>
      </c>
      <c r="Q47">
        <f>Monthly_kWh!BK24</f>
        <v>4.27195000000005E-2</v>
      </c>
      <c r="R47">
        <f>Monthly_kWh!EP24</f>
        <v>0</v>
      </c>
      <c r="S47">
        <f>Monthly_kWh!EE24</f>
        <v>0.12898399999999999</v>
      </c>
      <c r="T47">
        <f>Monthly_kWh!DH24</f>
        <v>1.8975499999999802E-2</v>
      </c>
      <c r="U47">
        <f>Monthly_kWh!CL24</f>
        <v>3.2023999999999803E-2</v>
      </c>
      <c r="V47">
        <f>Monthly_kWh!BL24</f>
        <v>1.18000000000507E-4</v>
      </c>
      <c r="W47">
        <f>Monthly_kWh!V24</f>
        <v>0.13117599999999999</v>
      </c>
      <c r="X47">
        <f>Monthly_kWh!AB24</f>
        <v>0.15312200000000301</v>
      </c>
      <c r="Y47">
        <f>Monthly_kWh!AE24</f>
        <v>9.4548500000000105E-2</v>
      </c>
      <c r="Z47">
        <f>Monthly_kWh!AG24</f>
        <v>1.9448749999999598E-2</v>
      </c>
      <c r="AA47">
        <f>Monthly_kWh!BE24</f>
        <v>0.11007800000000099</v>
      </c>
      <c r="AB47">
        <f>Monthly_kWh!AY24</f>
        <v>7.1829000000000101E-2</v>
      </c>
      <c r="AC47">
        <f>Monthly_kWh!CX24</f>
        <v>0.24817199999999701</v>
      </c>
      <c r="AD47">
        <f>Monthly_kWh!CY24</f>
        <v>1.6127999999999899E-2</v>
      </c>
      <c r="AE47">
        <f>Monthly_kWh!DC24</f>
        <v>0.19518000000000099</v>
      </c>
      <c r="AF47">
        <f>Monthly_kWh!DD24</f>
        <v>2.9541624999999998E-2</v>
      </c>
      <c r="AG47">
        <f>Monthly_kWh!W24</f>
        <v>6.7544999999999106E-2</v>
      </c>
      <c r="AH47">
        <f>Monthly_kWh!X24</f>
        <v>7.4510000000000104E-2</v>
      </c>
      <c r="AI47">
        <f>Monthly_kWh!Y24</f>
        <v>0</v>
      </c>
      <c r="AJ47">
        <f>Monthly_kWh!Z24</f>
        <v>3.9811000000000298E-2</v>
      </c>
      <c r="AK47">
        <f>Monthly_kWh!AA24</f>
        <v>0.11455600000000001</v>
      </c>
      <c r="AL47">
        <f>Monthly_kWh!AC24</f>
        <v>0.12806200000000001</v>
      </c>
      <c r="AM47">
        <f>Monthly_kWh!AD24</f>
        <v>5.4118500000001298E-2</v>
      </c>
      <c r="AN47">
        <f>Monthly_kWh!AI24</f>
        <v>0</v>
      </c>
      <c r="AO47">
        <f>Monthly_kWh!AJ24</f>
        <v>3.1857999999999699E-2</v>
      </c>
      <c r="AP47">
        <f>Monthly_kWh!AL24</f>
        <v>0.33661600000000602</v>
      </c>
      <c r="AQ47">
        <f>Monthly_kWh!AM24</f>
        <v>0.50664799999999799</v>
      </c>
      <c r="AR47">
        <f>Monthly_kWh!AN24</f>
        <v>0.39314400000000699</v>
      </c>
      <c r="AS47">
        <f>Monthly_kWh!AO24</f>
        <v>0.154032000000001</v>
      </c>
      <c r="AT47">
        <f>Monthly_kWh!AP24</f>
        <v>8.9992000000002306E-2</v>
      </c>
      <c r="AU47">
        <f>Monthly_kWh!CN24</f>
        <v>5.92015000000004E-2</v>
      </c>
      <c r="AV47">
        <f>Monthly_kWh!CR24</f>
        <v>0.134354999999999</v>
      </c>
      <c r="AW47">
        <f>Monthly_kWh!AQ24</f>
        <v>0.337476000000002</v>
      </c>
      <c r="AX47">
        <f>Monthly_kWh!AS24</f>
        <v>6.3604999999999898E-2</v>
      </c>
      <c r="AY47">
        <f>Monthly_kWh!EH24</f>
        <v>0.45011199999999002</v>
      </c>
      <c r="AZ47">
        <f>Monthly_kWh!EJ24</f>
        <v>3.5423999999977702E-2</v>
      </c>
      <c r="BA47">
        <f>Monthly_kWh!EI24</f>
        <v>0.55167999999991901</v>
      </c>
      <c r="BB47">
        <f>Monthly_kWh!AW24</f>
        <v>2.3521279999999898</v>
      </c>
      <c r="BC47">
        <f>Monthly_kWh!DS24</f>
        <v>1.1987519999999601</v>
      </c>
      <c r="BD47">
        <f>Monthly_kWh!CO24</f>
        <v>0.54434799999999905</v>
      </c>
      <c r="BE47">
        <f>Monthly_kWh!DA24</f>
        <v>0.26278400000000302</v>
      </c>
      <c r="BF47">
        <f>Monthly_kWh!DB24</f>
        <v>0.118936999999999</v>
      </c>
      <c r="BG47">
        <f>Monthly_kWh!EK24</f>
        <v>0</v>
      </c>
      <c r="BH47">
        <f>Monthly_kWh!EL24</f>
        <v>2.9283840000000501</v>
      </c>
      <c r="BI47">
        <f>Monthly_kWh!EM24</f>
        <v>3.7555200000001601</v>
      </c>
      <c r="BJ47">
        <f>Monthly_kWh!EN24</f>
        <v>2.0933119999999699</v>
      </c>
      <c r="BK47">
        <f>Monthly_kWh!EO24</f>
        <v>0</v>
      </c>
      <c r="BL47">
        <f>Monthly_kWh!ER24</f>
        <v>2.92307099999999</v>
      </c>
      <c r="BM47">
        <f>Monthly_kWh!BW24</f>
        <v>0</v>
      </c>
      <c r="BN47">
        <f>Monthly_kWh!DR24</f>
        <v>0</v>
      </c>
      <c r="BO47">
        <f>Monthly_kWh!CG24</f>
        <v>0</v>
      </c>
      <c r="BP47">
        <f>Monthly_kWh!CI24</f>
        <v>0</v>
      </c>
      <c r="BQ47">
        <f>Monthly_kWh!BV24</f>
        <v>0</v>
      </c>
      <c r="BR47">
        <f>Monthly_kWh!BO24</f>
        <v>0.33549399999999902</v>
      </c>
      <c r="BS47">
        <f>Monthly_kWh!CW24</f>
        <v>5.9007999999998603E-2</v>
      </c>
      <c r="BT47">
        <f>Monthly_kWh!DE24</f>
        <v>0</v>
      </c>
      <c r="BU47">
        <f>Monthly_kWh!DW24</f>
        <v>0</v>
      </c>
      <c r="BV47">
        <f>Monthly_kWh!CB24</f>
        <v>0</v>
      </c>
      <c r="BW47">
        <f>Monthly_kWh!CZ24</f>
        <v>2.6196000000000101E-2</v>
      </c>
      <c r="BX47">
        <f>Monthly_kWh!DG24</f>
        <v>2.5514499999999898E-2</v>
      </c>
      <c r="BY47">
        <f>Monthly_kWh!BS24</f>
        <v>0</v>
      </c>
      <c r="BZ47">
        <f>Monthly_kWh!CH24</f>
        <v>7.2699999999992204E-4</v>
      </c>
      <c r="CA47">
        <f>Monthly_kWh!BR24</f>
        <v>0</v>
      </c>
      <c r="CB47">
        <f>Monthly_kWh!BP24</f>
        <v>0</v>
      </c>
      <c r="CC47">
        <f>Monthly_kWh!BU24</f>
        <v>0</v>
      </c>
      <c r="CD47">
        <f>Monthly_kWh!BX24</f>
        <v>0</v>
      </c>
      <c r="CE47">
        <f>Monthly_kWh!CV24</f>
        <v>1.5332999999999999E-2</v>
      </c>
      <c r="CF47">
        <f>Monthly_kWh!BT24</f>
        <v>0.35693999999999398</v>
      </c>
      <c r="CG47">
        <f>Monthly_kWh!CA24</f>
        <v>0.29574399999999901</v>
      </c>
      <c r="CH47">
        <f>Monthly_kWh!CF24</f>
        <v>4.8196000000000801E-2</v>
      </c>
      <c r="CI47">
        <f>Monthly_kWh!BZ24</f>
        <v>0.99328799999999295</v>
      </c>
      <c r="CJ47">
        <f>Monthly_kWh!CK24</f>
        <v>0</v>
      </c>
      <c r="CK47">
        <f>Monthly_kWh!DT24</f>
        <v>0.40270224999999998</v>
      </c>
      <c r="CL47">
        <f>Monthly_kWh!EB24</f>
        <v>1.3835519999999799</v>
      </c>
      <c r="CM47">
        <f>Monthly_kWh!EC24</f>
        <v>0.74382399999998905</v>
      </c>
      <c r="CN47">
        <f>Monthly_kWh!CQ24</f>
        <v>0</v>
      </c>
      <c r="CO47">
        <f>Monthly_kWh!DF24</f>
        <v>0</v>
      </c>
      <c r="CP47">
        <f>Monthly_kWh!DJ24</f>
        <v>0</v>
      </c>
      <c r="CQ47">
        <f>Monthly_kWh!DP24</f>
        <v>4.23430000000007E-2</v>
      </c>
      <c r="CR47">
        <f>Monthly_kWh!BQ24</f>
        <v>0</v>
      </c>
      <c r="CS47">
        <f>Monthly_kWh!BY24</f>
        <v>0</v>
      </c>
      <c r="CT47">
        <f>Monthly_kWh!DU24</f>
        <v>2.4927999999999201E-2</v>
      </c>
      <c r="CU47">
        <f>Monthly_kWh!DQ24</f>
        <v>0</v>
      </c>
      <c r="CV47">
        <f>Monthly_kWh!EA24</f>
        <v>0</v>
      </c>
      <c r="CW47">
        <f>Monthly_kWh!DO24</f>
        <v>0.81427199999998801</v>
      </c>
      <c r="CX47">
        <f>Monthly_kWh!DX24</f>
        <v>0.15115999999999899</v>
      </c>
      <c r="CY47">
        <f>Monthly_kWh!DY24</f>
        <v>5.7129999999999698E-3</v>
      </c>
      <c r="CZ47">
        <f>Monthly_kWh!DZ24</f>
        <v>0.111833999999998</v>
      </c>
      <c r="DA47">
        <f>Monthly_kWh!ED24</f>
        <v>3.7350500000000099E-2</v>
      </c>
      <c r="DB47">
        <f>Monthly_kWh!DV24</f>
        <v>1.1638499999999699E-2</v>
      </c>
      <c r="DC47">
        <f>Monthly_kWh!CT24</f>
        <v>0.20648799999999301</v>
      </c>
      <c r="DD47">
        <f>Monthly_kWh!DN24</f>
        <v>6.6325000000000401E-4</v>
      </c>
      <c r="DE47">
        <f>Monthly_kWh!AZ24</f>
        <v>0</v>
      </c>
      <c r="DF47">
        <f>Monthly_kWh!BD24</f>
        <v>3.8588203125000001E-3</v>
      </c>
      <c r="DG47">
        <f>Monthly_kWh!AV24</f>
        <v>2.2874500000000401E-2</v>
      </c>
      <c r="DH47">
        <f>Monthly_kWh!BG24</f>
        <v>1.9356000000000199E-2</v>
      </c>
      <c r="DI47">
        <f>Monthly_kWh!DK24</f>
        <v>6.40239999999999E-2</v>
      </c>
      <c r="DJ47">
        <f>Monthly_kWh!DL24</f>
        <v>1.924910546875E-2</v>
      </c>
      <c r="DK47">
        <f>Monthly_kWh!AU24</f>
        <v>5.27279999999948E-2</v>
      </c>
      <c r="DL47">
        <f>Monthly_kWh!DM24</f>
        <v>4.5500999999999799E-2</v>
      </c>
      <c r="DM47">
        <f>Monthly_kWh!CC24</f>
        <v>0</v>
      </c>
      <c r="DN47">
        <f>Monthly_kWh!BH24</f>
        <v>1.4872000000000401E-2</v>
      </c>
      <c r="DO47">
        <f>Monthly_kWh!AK24</f>
        <v>0</v>
      </c>
      <c r="DP47">
        <f>Monthly_kWh!AT24</f>
        <v>0</v>
      </c>
      <c r="DQ47">
        <f>Monthly_kWh!AX24</f>
        <v>0</v>
      </c>
      <c r="DR47">
        <f>Monthly_kWh!BA24</f>
        <v>0</v>
      </c>
      <c r="DS47">
        <f>Monthly_kWh!BB24</f>
        <v>0</v>
      </c>
      <c r="DT47">
        <f>Monthly_kWh!BC24</f>
        <v>0</v>
      </c>
      <c r="DU47">
        <f>Monthly_kWh!BF24</f>
        <v>0</v>
      </c>
      <c r="DV47">
        <f>Monthly_kWh!BN24</f>
        <v>0</v>
      </c>
      <c r="DW47">
        <f>Monthly_kWh!CD24</f>
        <v>0</v>
      </c>
      <c r="DX47">
        <f>Monthly_kWh!CE24</f>
        <v>0</v>
      </c>
      <c r="DY47">
        <f>Monthly_kWh!CJ24</f>
        <v>0</v>
      </c>
      <c r="DZ47">
        <f>Monthly_kWh!CP24</f>
        <v>0</v>
      </c>
      <c r="EA47">
        <f>Monthly_kWh!CS24</f>
        <v>0</v>
      </c>
      <c r="EB47">
        <f>Monthly_kWh!CU24</f>
        <v>0</v>
      </c>
      <c r="EC47">
        <f>Monthly_kWh!EG24</f>
        <v>0</v>
      </c>
      <c r="ED47">
        <f>Monthly_kWh!EQ24</f>
        <v>0</v>
      </c>
    </row>
    <row r="48" spans="1:134" ht="14" x14ac:dyDescent="0.25">
      <c r="A48" s="315"/>
      <c r="B48" s="137">
        <v>47</v>
      </c>
      <c r="C48" s="139" t="s">
        <v>356</v>
      </c>
      <c r="D48" s="142">
        <f>DAILY_ENERGY!C145</f>
        <v>2271.4350079999999</v>
      </c>
      <c r="E48" s="142">
        <f>DAILY_ENERGY!D145</f>
        <v>2274.9629439999999</v>
      </c>
      <c r="F48" s="142">
        <f>DAILY_ENERGY!E145</f>
        <v>3.5279359999999542</v>
      </c>
      <c r="G48" s="142"/>
      <c r="H48" s="142">
        <f>SHIFT_A!E145</f>
        <v>1.2623359999997774</v>
      </c>
      <c r="I48" s="142">
        <f>SHIFT_B!E145</f>
        <v>1.2369920000001002</v>
      </c>
      <c r="J48" s="142">
        <f>SHIFT_C!E145</f>
        <v>1.0286080000000766</v>
      </c>
      <c r="K48" s="162">
        <f t="shared" si="0"/>
        <v>3.5279359999999542</v>
      </c>
      <c r="L48" s="163">
        <f t="shared" si="1"/>
        <v>0</v>
      </c>
      <c r="N48" s="168">
        <v>19</v>
      </c>
      <c r="O48">
        <f>Monthly_kWh!AF25</f>
        <v>0</v>
      </c>
      <c r="P48">
        <f>Monthly_kWh!BJ25</f>
        <v>8.1399999999831596E-4</v>
      </c>
      <c r="Q48">
        <f>Monthly_kWh!BK25</f>
        <v>4.7997999999999798E-2</v>
      </c>
      <c r="R48">
        <f>Monthly_kWh!EP25</f>
        <v>0</v>
      </c>
      <c r="S48">
        <f>Monthly_kWh!EE25</f>
        <v>0.13111300000000001</v>
      </c>
      <c r="T48">
        <f>Monthly_kWh!DH25</f>
        <v>2.0627000000000201E-2</v>
      </c>
      <c r="U48">
        <f>Monthly_kWh!CL25</f>
        <v>3.0455999999997398E-2</v>
      </c>
      <c r="V48">
        <f>Monthly_kWh!BL25</f>
        <v>1.15999999998451E-4</v>
      </c>
      <c r="W48">
        <f>Monthly_kWh!V25</f>
        <v>0.127244000000001</v>
      </c>
      <c r="X48">
        <f>Monthly_kWh!AB25</f>
        <v>0.15618599999999799</v>
      </c>
      <c r="Y48">
        <f>Monthly_kWh!AE25</f>
        <v>0.104818499999999</v>
      </c>
      <c r="Z48">
        <f>Monthly_kWh!AG25</f>
        <v>2.8191999999999801E-2</v>
      </c>
      <c r="AA48">
        <f>Monthly_kWh!BE25</f>
        <v>0.109373999999999</v>
      </c>
      <c r="AB48">
        <f>Monthly_kWh!AY25</f>
        <v>7.0946000000000203E-2</v>
      </c>
      <c r="AC48">
        <f>Monthly_kWh!CX25</f>
        <v>0.25478400000000101</v>
      </c>
      <c r="AD48">
        <f>Monthly_kWh!CY25</f>
        <v>1.71349999999999E-2</v>
      </c>
      <c r="AE48">
        <f>Monthly_kWh!DC25</f>
        <v>0.19461999999999999</v>
      </c>
      <c r="AF48">
        <f>Monthly_kWh!DD25</f>
        <v>3.0201374999999898E-2</v>
      </c>
      <c r="AG48">
        <f>Monthly_kWh!W25</f>
        <v>6.7759999999999806E-2</v>
      </c>
      <c r="AH48">
        <f>Monthly_kWh!X25</f>
        <v>7.3724999999999596E-2</v>
      </c>
      <c r="AI48">
        <f>Monthly_kWh!Y25</f>
        <v>0</v>
      </c>
      <c r="AJ48">
        <f>Monthly_kWh!Z25</f>
        <v>4.2476999999999897E-2</v>
      </c>
      <c r="AK48">
        <f>Monthly_kWh!AA25</f>
        <v>0.115195999999997</v>
      </c>
      <c r="AL48">
        <f>Monthly_kWh!AC25</f>
        <v>0.13057200000000099</v>
      </c>
      <c r="AM48">
        <f>Monthly_kWh!AD25</f>
        <v>5.5172499999999403E-2</v>
      </c>
      <c r="AN48">
        <f>Monthly_kWh!AI25</f>
        <v>0</v>
      </c>
      <c r="AO48">
        <f>Monthly_kWh!AJ25</f>
        <v>4.2259999999999701E-2</v>
      </c>
      <c r="AP48">
        <f>Monthly_kWh!AL25</f>
        <v>0.34941599999999101</v>
      </c>
      <c r="AQ48">
        <f>Monthly_kWh!AM25</f>
        <v>0.49543200000000798</v>
      </c>
      <c r="AR48">
        <f>Monthly_kWh!AN25</f>
        <v>0.36880799999998698</v>
      </c>
      <c r="AS48">
        <f>Monthly_kWh!AO25</f>
        <v>0.15298800000000101</v>
      </c>
      <c r="AT48">
        <f>Monthly_kWh!AP25</f>
        <v>8.4291999999997799E-2</v>
      </c>
      <c r="AU48">
        <f>Monthly_kWh!CN25</f>
        <v>5.2236500000001101E-2</v>
      </c>
      <c r="AV48">
        <f>Monthly_kWh!CR25</f>
        <v>0.152561</v>
      </c>
      <c r="AW48">
        <f>Monthly_kWh!AQ25</f>
        <v>0.33250799999999697</v>
      </c>
      <c r="AX48">
        <f>Monthly_kWh!AS25</f>
        <v>6.7828500000000097E-2</v>
      </c>
      <c r="AY48">
        <f>Monthly_kWh!EH25</f>
        <v>0.48755199999993698</v>
      </c>
      <c r="AZ48">
        <f>Monthly_kWh!EJ25</f>
        <v>4.0896000000031997E-2</v>
      </c>
      <c r="BA48">
        <f>Monthly_kWh!EI25</f>
        <v>0.60576000000003205</v>
      </c>
      <c r="BB48">
        <f>Monthly_kWh!AW25</f>
        <v>2.33542399999999</v>
      </c>
      <c r="BC48">
        <f>Monthly_kWh!DS25</f>
        <v>1.20336000000003</v>
      </c>
      <c r="BD48">
        <f>Monthly_kWh!CO25</f>
        <v>0.74184000000001005</v>
      </c>
      <c r="BE48">
        <f>Monthly_kWh!DA25</f>
        <v>0.26312000000000102</v>
      </c>
      <c r="BF48">
        <f>Monthly_kWh!DB25</f>
        <v>0.10104100000000001</v>
      </c>
      <c r="BG48">
        <f>Monthly_kWh!EK25</f>
        <v>0</v>
      </c>
      <c r="BH48">
        <f>Monthly_kWh!EL25</f>
        <v>2.6693119999999899</v>
      </c>
      <c r="BI48">
        <f>Monthly_kWh!EM25</f>
        <v>3.8878719999997902</v>
      </c>
      <c r="BJ48">
        <f>Monthly_kWh!EN25</f>
        <v>3.04665599999998</v>
      </c>
      <c r="BK48">
        <f>Monthly_kWh!EO25</f>
        <v>0</v>
      </c>
      <c r="BL48">
        <f>Monthly_kWh!ER25</f>
        <v>2.3261349999999901</v>
      </c>
      <c r="BM48">
        <f>Monthly_kWh!BW25</f>
        <v>0</v>
      </c>
      <c r="BN48">
        <f>Monthly_kWh!DR25</f>
        <v>0</v>
      </c>
      <c r="BO48">
        <f>Monthly_kWh!CG25</f>
        <v>0</v>
      </c>
      <c r="BP48">
        <f>Monthly_kWh!CI25</f>
        <v>0</v>
      </c>
      <c r="BQ48">
        <f>Monthly_kWh!BV25</f>
        <v>0</v>
      </c>
      <c r="BR48">
        <f>Monthly_kWh!BO25</f>
        <v>0.43158200000000102</v>
      </c>
      <c r="BS48">
        <f>Monthly_kWh!CW25</f>
        <v>7.2692000000003504E-2</v>
      </c>
      <c r="BT48">
        <f>Monthly_kWh!DE25</f>
        <v>0</v>
      </c>
      <c r="BU48">
        <f>Monthly_kWh!DW25</f>
        <v>0</v>
      </c>
      <c r="BV48">
        <f>Monthly_kWh!CB25</f>
        <v>0</v>
      </c>
      <c r="BW48">
        <f>Monthly_kWh!CZ25</f>
        <v>2.5476499999999899E-2</v>
      </c>
      <c r="BX48">
        <f>Monthly_kWh!DG25</f>
        <v>2.3154000000000799E-2</v>
      </c>
      <c r="BY48">
        <f>Monthly_kWh!BS25</f>
        <v>0</v>
      </c>
      <c r="BZ48">
        <f>Monthly_kWh!CH25</f>
        <v>1.47524999999993E-3</v>
      </c>
      <c r="CA48">
        <f>Monthly_kWh!BR25</f>
        <v>0</v>
      </c>
      <c r="CB48">
        <f>Monthly_kWh!BP25</f>
        <v>0</v>
      </c>
      <c r="CC48">
        <f>Monthly_kWh!BU25</f>
        <v>0</v>
      </c>
      <c r="CD48">
        <f>Monthly_kWh!BX25</f>
        <v>0</v>
      </c>
      <c r="CE48">
        <f>Monthly_kWh!CV25</f>
        <v>1.4379625000000101E-2</v>
      </c>
      <c r="CF48">
        <f>Monthly_kWh!BT25</f>
        <v>0.14988399999999999</v>
      </c>
      <c r="CG48">
        <f>Monthly_kWh!CA25</f>
        <v>0.41221600000000103</v>
      </c>
      <c r="CH48">
        <f>Monthly_kWh!CF25</f>
        <v>3.6592000000000603E-2</v>
      </c>
      <c r="CI48">
        <f>Monthly_kWh!BZ25</f>
        <v>1.06221600000001</v>
      </c>
      <c r="CJ48">
        <f>Monthly_kWh!CK25</f>
        <v>0</v>
      </c>
      <c r="CK48">
        <f>Monthly_kWh!DT25</f>
        <v>0.40055974999999999</v>
      </c>
      <c r="CL48">
        <f>Monthly_kWh!EB25</f>
        <v>1.3575839999999999</v>
      </c>
      <c r="CM48">
        <f>Monthly_kWh!EC25</f>
        <v>0.76009600000000399</v>
      </c>
      <c r="CN48">
        <f>Monthly_kWh!CQ25</f>
        <v>0</v>
      </c>
      <c r="CO48">
        <f>Monthly_kWh!DF25</f>
        <v>0</v>
      </c>
      <c r="CP48">
        <f>Monthly_kWh!DJ25</f>
        <v>0</v>
      </c>
      <c r="CQ48">
        <f>Monthly_kWh!DP25</f>
        <v>4.2721999999999503E-2</v>
      </c>
      <c r="CR48">
        <f>Monthly_kWh!BQ25</f>
        <v>0</v>
      </c>
      <c r="CS48">
        <f>Monthly_kWh!BY25</f>
        <v>0</v>
      </c>
      <c r="CT48">
        <f>Monthly_kWh!DU25</f>
        <v>9.6560000000014395E-3</v>
      </c>
      <c r="CU48">
        <f>Monthly_kWh!DQ25</f>
        <v>0</v>
      </c>
      <c r="CV48">
        <f>Monthly_kWh!EA25</f>
        <v>0</v>
      </c>
      <c r="CW48">
        <f>Monthly_kWh!DO25</f>
        <v>0.76785600000002296</v>
      </c>
      <c r="CX48">
        <f>Monthly_kWh!DX25</f>
        <v>0.15582600000000099</v>
      </c>
      <c r="CY48">
        <f>Monthly_kWh!DY25</f>
        <v>6.3714375000000203E-3</v>
      </c>
      <c r="CZ48">
        <f>Monthly_kWh!DZ25</f>
        <v>0.12548200000000201</v>
      </c>
      <c r="DA48">
        <f>Monthly_kWh!ED25</f>
        <v>2.8305249999999799E-2</v>
      </c>
      <c r="DB48">
        <f>Monthly_kWh!DV25</f>
        <v>1.06030000000001E-2</v>
      </c>
      <c r="DC48">
        <f>Monthly_kWh!CT25</f>
        <v>0.23356000000001101</v>
      </c>
      <c r="DD48">
        <f>Monthly_kWh!DN25</f>
        <v>1.3318749999990901E-4</v>
      </c>
      <c r="DE48">
        <f>Monthly_kWh!AZ25</f>
        <v>4.0000000005591102E-6</v>
      </c>
      <c r="DF48">
        <f>Monthly_kWh!BD25</f>
        <v>4.5448750000000003E-3</v>
      </c>
      <c r="DG48">
        <f>Monthly_kWh!AV25</f>
        <v>4.5250499999999902E-2</v>
      </c>
      <c r="DH48">
        <f>Monthly_kWh!BG25</f>
        <v>1.7993999999999798E-2</v>
      </c>
      <c r="DI48">
        <f>Monthly_kWh!DK25</f>
        <v>6.3427999999998305E-2</v>
      </c>
      <c r="DJ48">
        <f>Monthly_kWh!DL25</f>
        <v>1.9213355468749999E-2</v>
      </c>
      <c r="DK48">
        <f>Monthly_kWh!AU25</f>
        <v>5.0708000000000197E-2</v>
      </c>
      <c r="DL48">
        <f>Monthly_kWh!DM25</f>
        <v>4.4200000000000003E-2</v>
      </c>
      <c r="DM48">
        <f>Monthly_kWh!CC25</f>
        <v>0</v>
      </c>
      <c r="DN48">
        <f>Monthly_kWh!BH25</f>
        <v>8.8940000000015101E-3</v>
      </c>
      <c r="DO48">
        <f>Monthly_kWh!AK25</f>
        <v>0</v>
      </c>
      <c r="DP48">
        <f>Monthly_kWh!AT25</f>
        <v>0</v>
      </c>
      <c r="DQ48">
        <f>Monthly_kWh!AX25</f>
        <v>0</v>
      </c>
      <c r="DR48">
        <f>Monthly_kWh!BA25</f>
        <v>0</v>
      </c>
      <c r="DS48">
        <f>Monthly_kWh!BB25</f>
        <v>0</v>
      </c>
      <c r="DT48">
        <f>Monthly_kWh!BC25</f>
        <v>0</v>
      </c>
      <c r="DU48">
        <f>Monthly_kWh!BF25</f>
        <v>0</v>
      </c>
      <c r="DV48">
        <f>Monthly_kWh!BN25</f>
        <v>0</v>
      </c>
      <c r="DW48">
        <f>Monthly_kWh!CD25</f>
        <v>0</v>
      </c>
      <c r="DX48">
        <f>Monthly_kWh!CE25</f>
        <v>0</v>
      </c>
      <c r="DY48">
        <f>Monthly_kWh!CJ25</f>
        <v>0</v>
      </c>
      <c r="DZ48">
        <f>Monthly_kWh!CP25</f>
        <v>0</v>
      </c>
      <c r="EA48">
        <f>Monthly_kWh!CS25</f>
        <v>0</v>
      </c>
      <c r="EB48">
        <f>Monthly_kWh!CU25</f>
        <v>0</v>
      </c>
      <c r="EC48">
        <f>Monthly_kWh!EG25</f>
        <v>0</v>
      </c>
      <c r="ED48">
        <f>Monthly_kWh!EQ25</f>
        <v>0</v>
      </c>
    </row>
    <row r="49" spans="1:134" ht="14" x14ac:dyDescent="0.25">
      <c r="A49" s="315"/>
      <c r="B49" s="137">
        <v>48</v>
      </c>
      <c r="C49" s="139" t="s">
        <v>357</v>
      </c>
      <c r="D49" s="142">
        <f>DAILY_ENERGY!C146</f>
        <v>2549.9335679999999</v>
      </c>
      <c r="E49" s="142">
        <f>DAILY_ENERGY!D146</f>
        <v>2550.2538239999999</v>
      </c>
      <c r="F49" s="142">
        <f>DAILY_ENERGY!E146</f>
        <v>0.32025599999997212</v>
      </c>
      <c r="G49" s="142"/>
      <c r="H49" s="142">
        <f>SHIFT_A!E146</f>
        <v>0.32025599999997212</v>
      </c>
      <c r="I49" s="142">
        <f>SHIFT_B!E146</f>
        <v>0</v>
      </c>
      <c r="J49" s="142">
        <f>SHIFT_C!E146</f>
        <v>0</v>
      </c>
      <c r="K49" s="162">
        <f t="shared" si="0"/>
        <v>0.32025599999997212</v>
      </c>
      <c r="L49" s="163">
        <f t="shared" si="1"/>
        <v>0</v>
      </c>
      <c r="N49" s="168">
        <v>20</v>
      </c>
      <c r="O49">
        <f>Monthly_kWh!AF26</f>
        <v>0</v>
      </c>
      <c r="P49">
        <f>Monthly_kWh!BJ26</f>
        <v>2.410000000026E-4</v>
      </c>
      <c r="Q49">
        <f>Monthly_kWh!BK26</f>
        <v>4.8474999999999803E-2</v>
      </c>
      <c r="R49">
        <f>Monthly_kWh!EP26</f>
        <v>0</v>
      </c>
      <c r="S49">
        <f>Monthly_kWh!EE26</f>
        <v>0.145554499999999</v>
      </c>
      <c r="T49">
        <f>Monthly_kWh!DH26</f>
        <v>1.9334500000000299E-2</v>
      </c>
      <c r="U49">
        <f>Monthly_kWh!CL26</f>
        <v>2.5498000000002501E-2</v>
      </c>
      <c r="V49">
        <f>Monthly_kWh!BL26</f>
        <v>7.5999999999964998E-5</v>
      </c>
      <c r="W49">
        <f>Monthly_kWh!V26</f>
        <v>0.12828599999999901</v>
      </c>
      <c r="X49">
        <f>Monthly_kWh!AB26</f>
        <v>0.15868599999999899</v>
      </c>
      <c r="Y49">
        <f>Monthly_kWh!AE26</f>
        <v>0.10800950000000099</v>
      </c>
      <c r="Z49">
        <f>Monthly_kWh!AG26</f>
        <v>2.8590750000000199E-2</v>
      </c>
      <c r="AA49">
        <f>Monthly_kWh!BE26</f>
        <v>0.18453800000000001</v>
      </c>
      <c r="AB49">
        <f>Monthly_kWh!AY26</f>
        <v>7.2725499999999804E-2</v>
      </c>
      <c r="AC49">
        <f>Monthly_kWh!CX26</f>
        <v>0.252331999999996</v>
      </c>
      <c r="AD49">
        <f>Monthly_kWh!CY26</f>
        <v>1.7936000000000198E-2</v>
      </c>
      <c r="AE49">
        <f>Monthly_kWh!DC26</f>
        <v>0.20217600000000099</v>
      </c>
      <c r="AF49">
        <f>Monthly_kWh!DD26</f>
        <v>2.9901750000000098E-2</v>
      </c>
      <c r="AG49">
        <f>Monthly_kWh!W26</f>
        <v>6.6423000000000301E-2</v>
      </c>
      <c r="AH49">
        <f>Monthly_kWh!X26</f>
        <v>7.0518999999999096E-2</v>
      </c>
      <c r="AI49">
        <f>Monthly_kWh!Y26</f>
        <v>0</v>
      </c>
      <c r="AJ49">
        <f>Monthly_kWh!Z26</f>
        <v>5.0310999999998898E-2</v>
      </c>
      <c r="AK49">
        <f>Monthly_kWh!AA26</f>
        <v>0.114176</v>
      </c>
      <c r="AL49">
        <f>Monthly_kWh!AC26</f>
        <v>0.13552</v>
      </c>
      <c r="AM49">
        <f>Monthly_kWh!AD26</f>
        <v>5.7117500000000397E-2</v>
      </c>
      <c r="AN49">
        <f>Monthly_kWh!AI26</f>
        <v>0</v>
      </c>
      <c r="AO49">
        <f>Monthly_kWh!AJ26</f>
        <v>4.0122500000000699E-2</v>
      </c>
      <c r="AP49">
        <f>Monthly_kWh!AL26</f>
        <v>0.34532000000000102</v>
      </c>
      <c r="AQ49">
        <f>Monthly_kWh!AM26</f>
        <v>0.49417599999999601</v>
      </c>
      <c r="AR49">
        <f>Monthly_kWh!AN26</f>
        <v>0.38223200000000201</v>
      </c>
      <c r="AS49">
        <f>Monthly_kWh!AO26</f>
        <v>0.14355600000000401</v>
      </c>
      <c r="AT49">
        <f>Monthly_kWh!AP26</f>
        <v>8.2118000000001204E-2</v>
      </c>
      <c r="AU49">
        <f>Monthly_kWh!CN26</f>
        <v>4.3811999999999102E-2</v>
      </c>
      <c r="AV49">
        <f>Monthly_kWh!CR26</f>
        <v>0.16875899999999999</v>
      </c>
      <c r="AW49">
        <f>Monthly_kWh!AQ26</f>
        <v>0.330040000000004</v>
      </c>
      <c r="AX49">
        <f>Monthly_kWh!AS26</f>
        <v>6.6307000000000102E-2</v>
      </c>
      <c r="AY49">
        <f>Monthly_kWh!EH26</f>
        <v>0.45568000000002901</v>
      </c>
      <c r="AZ49">
        <f>Monthly_kWh!EJ26</f>
        <v>4.2559999999980398E-2</v>
      </c>
      <c r="BA49">
        <f>Monthly_kWh!EI26</f>
        <v>0.60595200000000204</v>
      </c>
      <c r="BB49">
        <f>Monthly_kWh!AW26</f>
        <v>2.2375680000000102</v>
      </c>
      <c r="BC49">
        <f>Monthly_kWh!DS26</f>
        <v>1.19225599999999</v>
      </c>
      <c r="BD49">
        <f>Monthly_kWh!CO26</f>
        <v>0.77859199999998896</v>
      </c>
      <c r="BE49">
        <f>Monthly_kWh!DA26</f>
        <v>0.26340400000000103</v>
      </c>
      <c r="BF49">
        <f>Monthly_kWh!DB26</f>
        <v>9.7249999999998907E-2</v>
      </c>
      <c r="BG49">
        <f>Monthly_kWh!EK26</f>
        <v>0</v>
      </c>
      <c r="BH49">
        <f>Monthly_kWh!EL26</f>
        <v>3.0828799999999301</v>
      </c>
      <c r="BI49">
        <f>Monthly_kWh!EM26</f>
        <v>3.7736960000002</v>
      </c>
      <c r="BJ49">
        <f>Monthly_kWh!EN26</f>
        <v>2.3897600000000199</v>
      </c>
      <c r="BK49">
        <f>Monthly_kWh!EO26</f>
        <v>0</v>
      </c>
      <c r="BL49">
        <f>Monthly_kWh!ER26</f>
        <v>2.7298450000000098</v>
      </c>
      <c r="BM49">
        <f>Monthly_kWh!BW26</f>
        <v>0</v>
      </c>
      <c r="BN49">
        <f>Monthly_kWh!DR26</f>
        <v>0</v>
      </c>
      <c r="BO49">
        <f>Monthly_kWh!CG26</f>
        <v>0</v>
      </c>
      <c r="BP49">
        <f>Monthly_kWh!CI26</f>
        <v>0</v>
      </c>
      <c r="BQ49">
        <f>Monthly_kWh!BV26</f>
        <v>0</v>
      </c>
      <c r="BR49">
        <f>Monthly_kWh!BO26</f>
        <v>0.31106600000000001</v>
      </c>
      <c r="BS49">
        <f>Monthly_kWh!CW26</f>
        <v>3.5631999999999699E-2</v>
      </c>
      <c r="BT49">
        <f>Monthly_kWh!DE26</f>
        <v>0</v>
      </c>
      <c r="BU49">
        <f>Monthly_kWh!DW26</f>
        <v>0</v>
      </c>
      <c r="BV49">
        <f>Monthly_kWh!CB26</f>
        <v>0</v>
      </c>
      <c r="BW49">
        <f>Monthly_kWh!CZ26</f>
        <v>2.3507250000000202E-2</v>
      </c>
      <c r="BX49">
        <f>Monthly_kWh!DG26</f>
        <v>1.8533999999999801E-2</v>
      </c>
      <c r="BY49">
        <f>Monthly_kWh!BS26</f>
        <v>0</v>
      </c>
      <c r="BZ49">
        <f>Monthly_kWh!CH26</f>
        <v>3.3787499999999898E-3</v>
      </c>
      <c r="CA49">
        <f>Monthly_kWh!BR26</f>
        <v>0</v>
      </c>
      <c r="CB49">
        <f>Monthly_kWh!BP26</f>
        <v>0</v>
      </c>
      <c r="CC49">
        <f>Monthly_kWh!BU26</f>
        <v>0</v>
      </c>
      <c r="CD49">
        <f>Monthly_kWh!BX26</f>
        <v>0</v>
      </c>
      <c r="CE49">
        <f>Monthly_kWh!CV26</f>
        <v>1.6005874999999802E-2</v>
      </c>
      <c r="CF49">
        <f>Monthly_kWh!BT26</f>
        <v>0.29223600000000299</v>
      </c>
      <c r="CG49">
        <f>Monthly_kWh!CA26</f>
        <v>0.424064000000001</v>
      </c>
      <c r="CH49">
        <f>Monthly_kWh!CF26</f>
        <v>3.1438999999998898E-2</v>
      </c>
      <c r="CI49">
        <f>Monthly_kWh!BZ26</f>
        <v>0.92738400000000398</v>
      </c>
      <c r="CJ49">
        <f>Monthly_kWh!CK26</f>
        <v>0</v>
      </c>
      <c r="CK49">
        <f>Monthly_kWh!DT26</f>
        <v>0.39059624999999998</v>
      </c>
      <c r="CL49">
        <f>Monthly_kWh!EB26</f>
        <v>1.39544000000001</v>
      </c>
      <c r="CM49">
        <f>Monthly_kWh!EC26</f>
        <v>0.646096</v>
      </c>
      <c r="CN49">
        <f>Monthly_kWh!CQ26</f>
        <v>0</v>
      </c>
      <c r="CO49">
        <f>Monthly_kWh!DF26</f>
        <v>0</v>
      </c>
      <c r="CP49">
        <f>Monthly_kWh!DJ26</f>
        <v>0</v>
      </c>
      <c r="CQ49">
        <f>Monthly_kWh!DP26</f>
        <v>4.6886999999999901E-2</v>
      </c>
      <c r="CR49">
        <f>Monthly_kWh!BQ26</f>
        <v>0</v>
      </c>
      <c r="CS49">
        <f>Monthly_kWh!BY26</f>
        <v>0</v>
      </c>
      <c r="CT49">
        <f>Monthly_kWh!DU26</f>
        <v>2.47979999999988E-2</v>
      </c>
      <c r="CU49">
        <f>Monthly_kWh!DQ26</f>
        <v>0</v>
      </c>
      <c r="CV49">
        <f>Monthly_kWh!EA26</f>
        <v>0</v>
      </c>
      <c r="CW49">
        <f>Monthly_kWh!DO26</f>
        <v>0.76321600000000001</v>
      </c>
      <c r="CX49">
        <f>Monthly_kWh!DX26</f>
        <v>0.15105199999999999</v>
      </c>
      <c r="CY49">
        <f>Monthly_kWh!DY26</f>
        <v>5.1013749999999601E-3</v>
      </c>
      <c r="CZ49">
        <f>Monthly_kWh!DZ26</f>
        <v>0.12742999999999999</v>
      </c>
      <c r="DA49">
        <f>Monthly_kWh!ED26</f>
        <v>3.3379750000000402E-2</v>
      </c>
      <c r="DB49">
        <f>Monthly_kWh!DV26</f>
        <v>7.97250000000016E-3</v>
      </c>
      <c r="DC49">
        <f>Monthly_kWh!CT26</f>
        <v>0.20032799999999901</v>
      </c>
      <c r="DD49">
        <f>Monthly_kWh!DN26</f>
        <v>3.0015000000001E-3</v>
      </c>
      <c r="DE49">
        <f>Monthly_kWh!AZ26</f>
        <v>3.5000000000451299E-6</v>
      </c>
      <c r="DF49">
        <f>Monthly_kWh!BD26</f>
        <v>5.28083203125E-3</v>
      </c>
      <c r="DG49">
        <f>Monthly_kWh!AV26</f>
        <v>2.1952500000000302E-2</v>
      </c>
      <c r="DH49">
        <f>Monthly_kWh!BG26</f>
        <v>1.8864999999999899E-2</v>
      </c>
      <c r="DI49">
        <f>Monthly_kWh!DK26</f>
        <v>6.4726000000000297E-2</v>
      </c>
      <c r="DJ49">
        <f>Monthly_kWh!DL26</f>
        <v>1.9281984374999998E-2</v>
      </c>
      <c r="DK49">
        <f>Monthly_kWh!AU26</f>
        <v>5.1648000000000097E-2</v>
      </c>
      <c r="DL49">
        <f>Monthly_kWh!DM26</f>
        <v>4.4349999999999702E-2</v>
      </c>
      <c r="DM49">
        <f>Monthly_kWh!CC26</f>
        <v>0</v>
      </c>
      <c r="DN49">
        <f>Monthly_kWh!BH26</f>
        <v>1.6017999999998998E-2</v>
      </c>
      <c r="DO49">
        <f>Monthly_kWh!AK26</f>
        <v>0</v>
      </c>
      <c r="DP49">
        <f>Monthly_kWh!AT26</f>
        <v>0</v>
      </c>
      <c r="DQ49">
        <f>Monthly_kWh!AX26</f>
        <v>0</v>
      </c>
      <c r="DR49">
        <f>Monthly_kWh!BA26</f>
        <v>0</v>
      </c>
      <c r="DS49">
        <f>Monthly_kWh!BB26</f>
        <v>0</v>
      </c>
      <c r="DT49">
        <f>Monthly_kWh!BC26</f>
        <v>0</v>
      </c>
      <c r="DU49">
        <f>Monthly_kWh!BF26</f>
        <v>0</v>
      </c>
      <c r="DV49">
        <f>Monthly_kWh!BN26</f>
        <v>0</v>
      </c>
      <c r="DW49">
        <f>Monthly_kWh!CD26</f>
        <v>0</v>
      </c>
      <c r="DX49">
        <f>Monthly_kWh!CE26</f>
        <v>0</v>
      </c>
      <c r="DY49">
        <f>Monthly_kWh!CJ26</f>
        <v>0</v>
      </c>
      <c r="DZ49">
        <f>Monthly_kWh!CP26</f>
        <v>0</v>
      </c>
      <c r="EA49">
        <f>Monthly_kWh!CS26</f>
        <v>0</v>
      </c>
      <c r="EB49">
        <f>Monthly_kWh!CU26</f>
        <v>0</v>
      </c>
      <c r="EC49">
        <f>Monthly_kWh!EG26</f>
        <v>0</v>
      </c>
      <c r="ED49">
        <f>Monthly_kWh!EQ26</f>
        <v>0</v>
      </c>
    </row>
    <row r="50" spans="1:134" ht="14" x14ac:dyDescent="0.25">
      <c r="A50" s="315"/>
      <c r="B50" s="137">
        <v>49</v>
      </c>
      <c r="C50" s="139" t="s">
        <v>358</v>
      </c>
      <c r="D50" s="142">
        <f>DAILY_ENERGY!C147</f>
        <v>889.52780799999994</v>
      </c>
      <c r="E50" s="142">
        <f>DAILY_ENERGY!D147</f>
        <v>889.54598399999998</v>
      </c>
      <c r="F50" s="142">
        <f>DAILY_ENERGY!E147</f>
        <v>1.8176000000039494E-2</v>
      </c>
      <c r="G50" s="142"/>
      <c r="H50" s="142">
        <f>SHIFT_A!E147</f>
        <v>5.9519999999793072E-3</v>
      </c>
      <c r="I50" s="142">
        <f>SHIFT_B!E147</f>
        <v>6.144000000062988E-3</v>
      </c>
      <c r="J50" s="142">
        <f>SHIFT_C!E147</f>
        <v>6.0799999999971988E-3</v>
      </c>
      <c r="K50" s="162">
        <f t="shared" si="0"/>
        <v>1.8176000000039494E-2</v>
      </c>
      <c r="L50" s="163">
        <f t="shared" si="1"/>
        <v>0</v>
      </c>
      <c r="N50" s="168">
        <v>21</v>
      </c>
      <c r="O50">
        <f>Monthly_kWh!AF27</f>
        <v>0</v>
      </c>
      <c r="P50">
        <f>Monthly_kWh!BJ27</f>
        <v>5.2279999999989002E-3</v>
      </c>
      <c r="Q50">
        <f>Monthly_kWh!BK27</f>
        <v>5.0519999999999697E-2</v>
      </c>
      <c r="R50">
        <f>Monthly_kWh!EP27</f>
        <v>0</v>
      </c>
      <c r="S50">
        <f>Monthly_kWh!EE27</f>
        <v>0.123073000000001</v>
      </c>
      <c r="T50">
        <f>Monthly_kWh!DH27</f>
        <v>1.8437999999999701E-2</v>
      </c>
      <c r="U50">
        <f>Monthly_kWh!CL27</f>
        <v>2.50859999999982E-2</v>
      </c>
      <c r="V50">
        <f>Monthly_kWh!BL27</f>
        <v>1.0600000000238199E-4</v>
      </c>
      <c r="W50">
        <f>Monthly_kWh!V27</f>
        <v>0.128187999999998</v>
      </c>
      <c r="X50">
        <f>Monthly_kWh!AB27</f>
        <v>0.15742200000000001</v>
      </c>
      <c r="Y50">
        <f>Monthly_kWh!AE27</f>
        <v>0.103019499999999</v>
      </c>
      <c r="Z50">
        <f>Monthly_kWh!AG27</f>
        <v>2.5075250000000399E-2</v>
      </c>
      <c r="AA50">
        <f>Monthly_kWh!BE27</f>
        <v>0.107931999999998</v>
      </c>
      <c r="AB50">
        <f>Monthly_kWh!AY27</f>
        <v>7.8899500000000303E-2</v>
      </c>
      <c r="AC50">
        <f>Monthly_kWh!CX27</f>
        <v>0.25654000000000099</v>
      </c>
      <c r="AD50">
        <f>Monthly_kWh!CY27</f>
        <v>1.4224999999999899E-2</v>
      </c>
      <c r="AE50">
        <f>Monthly_kWh!DC27</f>
        <v>0.158723999999999</v>
      </c>
      <c r="AF50">
        <f>Monthly_kWh!DD27</f>
        <v>3.0518375E-2</v>
      </c>
      <c r="AG50">
        <f>Monthly_kWh!W27</f>
        <v>4.3881000000000697E-2</v>
      </c>
      <c r="AH50">
        <f>Monthly_kWh!X27</f>
        <v>5.2592000000000597E-2</v>
      </c>
      <c r="AI50">
        <f>Monthly_kWh!Y27</f>
        <v>0</v>
      </c>
      <c r="AJ50">
        <f>Monthly_kWh!Z27</f>
        <v>4.4507000000001198E-2</v>
      </c>
      <c r="AK50">
        <f>Monthly_kWh!AA27</f>
        <v>0.106976</v>
      </c>
      <c r="AL50">
        <f>Monthly_kWh!AC27</f>
        <v>0.14053399999999899</v>
      </c>
      <c r="AM50">
        <f>Monthly_kWh!AD27</f>
        <v>5.6384999999998797E-2</v>
      </c>
      <c r="AN50">
        <f>Monthly_kWh!AI27</f>
        <v>0</v>
      </c>
      <c r="AO50">
        <f>Monthly_kWh!AJ27</f>
        <v>3.63259999999999E-2</v>
      </c>
      <c r="AP50">
        <f>Monthly_kWh!AL27</f>
        <v>0.32552000000001202</v>
      </c>
      <c r="AQ50">
        <f>Monthly_kWh!AM27</f>
        <v>0.49016799999999699</v>
      </c>
      <c r="AR50">
        <f>Monthly_kWh!AN27</f>
        <v>0.37048000000000098</v>
      </c>
      <c r="AS50">
        <f>Monthly_kWh!AO27</f>
        <v>0.13850000000000101</v>
      </c>
      <c r="AT50">
        <f>Monthly_kWh!AP27</f>
        <v>8.2892000000001104E-2</v>
      </c>
      <c r="AU50">
        <f>Monthly_kWh!CN27</f>
        <v>5.4479999999999897E-2</v>
      </c>
      <c r="AV50">
        <f>Monthly_kWh!CR27</f>
        <v>0.15970500000000101</v>
      </c>
      <c r="AW50">
        <f>Monthly_kWh!AQ27</f>
        <v>0.32731199999999899</v>
      </c>
      <c r="AX50">
        <f>Monthly_kWh!AS27</f>
        <v>6.1994999999999599E-2</v>
      </c>
      <c r="AY50">
        <f>Monthly_kWh!EH27</f>
        <v>0.47680000000002598</v>
      </c>
      <c r="AZ50">
        <f>Monthly_kWh!EJ27</f>
        <v>4.7647999999980997E-2</v>
      </c>
      <c r="BA50">
        <f>Monthly_kWh!EI27</f>
        <v>0.71072000000003799</v>
      </c>
      <c r="BB50">
        <f>Monthly_kWh!AW27</f>
        <v>1.9776640000000001</v>
      </c>
      <c r="BC50">
        <f>Monthly_kWh!DS27</f>
        <v>1.19625600000001</v>
      </c>
      <c r="BD50">
        <f>Monthly_kWh!CO27</f>
        <v>0.90344799999999703</v>
      </c>
      <c r="BE50">
        <f>Monthly_kWh!DA27</f>
        <v>0.264764</v>
      </c>
      <c r="BF50">
        <f>Monthly_kWh!DB27</f>
        <v>0.103965000000001</v>
      </c>
      <c r="BG50">
        <f>Monthly_kWh!EK27</f>
        <v>0</v>
      </c>
      <c r="BH50">
        <f>Monthly_kWh!EL27</f>
        <v>3.3992960000000498</v>
      </c>
      <c r="BI50">
        <f>Monthly_kWh!EM27</f>
        <v>4.0826879999999601</v>
      </c>
      <c r="BJ50">
        <f>Monthly_kWh!EN27</f>
        <v>2.6851839999999401</v>
      </c>
      <c r="BK50">
        <f>Monthly_kWh!EO27</f>
        <v>0</v>
      </c>
      <c r="BL50">
        <f>Monthly_kWh!ER27</f>
        <v>3.1342679999999898</v>
      </c>
      <c r="BM50">
        <f>Monthly_kWh!BW27</f>
        <v>0</v>
      </c>
      <c r="BN50">
        <f>Monthly_kWh!DR27</f>
        <v>0</v>
      </c>
      <c r="BO50">
        <f>Monthly_kWh!CG27</f>
        <v>0</v>
      </c>
      <c r="BP50">
        <f>Monthly_kWh!CI27</f>
        <v>0</v>
      </c>
      <c r="BQ50">
        <f>Monthly_kWh!BV27</f>
        <v>0</v>
      </c>
      <c r="BR50">
        <f>Monthly_kWh!BO27</f>
        <v>0.46596300000000002</v>
      </c>
      <c r="BS50">
        <f>Monthly_kWh!CW27</f>
        <v>6.38080000000016E-2</v>
      </c>
      <c r="BT50">
        <f>Monthly_kWh!DE27</f>
        <v>0</v>
      </c>
      <c r="BU50">
        <f>Monthly_kWh!DW27</f>
        <v>0</v>
      </c>
      <c r="BV50">
        <f>Monthly_kWh!CB27</f>
        <v>0</v>
      </c>
      <c r="BW50">
        <f>Monthly_kWh!CZ27</f>
        <v>1.66664999999999E-2</v>
      </c>
      <c r="BX50">
        <f>Monthly_kWh!DG27</f>
        <v>1.6698499999999498E-2</v>
      </c>
      <c r="BY50">
        <f>Monthly_kWh!BS27</f>
        <v>0</v>
      </c>
      <c r="BZ50">
        <f>Monthly_kWh!CH27</f>
        <v>1.09699999999999E-2</v>
      </c>
      <c r="CA50">
        <f>Monthly_kWh!BR27</f>
        <v>0</v>
      </c>
      <c r="CB50">
        <f>Monthly_kWh!BP27</f>
        <v>0</v>
      </c>
      <c r="CC50">
        <f>Monthly_kWh!BU27</f>
        <v>0</v>
      </c>
      <c r="CD50">
        <f>Monthly_kWh!BX27</f>
        <v>0</v>
      </c>
      <c r="CE50">
        <f>Monthly_kWh!CV27</f>
        <v>1.5555875E-2</v>
      </c>
      <c r="CF50">
        <f>Monthly_kWh!BT27</f>
        <v>0.269156000000002</v>
      </c>
      <c r="CG50">
        <f>Monthly_kWh!CA27</f>
        <v>0</v>
      </c>
      <c r="CH50">
        <f>Monthly_kWh!CF27</f>
        <v>2.5963000000000801E-2</v>
      </c>
      <c r="CI50">
        <f>Monthly_kWh!BZ27</f>
        <v>0.88936799999999006</v>
      </c>
      <c r="CJ50">
        <f>Monthly_kWh!CK27</f>
        <v>0</v>
      </c>
      <c r="CK50">
        <f>Monthly_kWh!DT27</f>
        <v>0.38904700000000098</v>
      </c>
      <c r="CL50">
        <f>Monthly_kWh!EB27</f>
        <v>1.2055039999999899</v>
      </c>
      <c r="CM50">
        <f>Monthly_kWh!EC27</f>
        <v>0.65239999999999998</v>
      </c>
      <c r="CN50">
        <f>Monthly_kWh!CQ27</f>
        <v>0</v>
      </c>
      <c r="CO50">
        <f>Monthly_kWh!DF27</f>
        <v>0</v>
      </c>
      <c r="CP50">
        <f>Monthly_kWh!DJ27</f>
        <v>0</v>
      </c>
      <c r="CQ50">
        <f>Monthly_kWh!DP27</f>
        <v>4.3632999999999797E-2</v>
      </c>
      <c r="CR50">
        <f>Monthly_kWh!BQ27</f>
        <v>0</v>
      </c>
      <c r="CS50">
        <f>Monthly_kWh!BY27</f>
        <v>0</v>
      </c>
      <c r="CT50">
        <f>Monthly_kWh!DU27</f>
        <v>2.1107000000000702E-2</v>
      </c>
      <c r="CU50">
        <f>Monthly_kWh!DQ27</f>
        <v>0</v>
      </c>
      <c r="CV50">
        <f>Monthly_kWh!EA27</f>
        <v>0</v>
      </c>
      <c r="CW50">
        <f>Monthly_kWh!DO27</f>
        <v>0.70052799999999105</v>
      </c>
      <c r="CX50">
        <f>Monthly_kWh!DX27</f>
        <v>0.14796599999999999</v>
      </c>
      <c r="CY50">
        <f>Monthly_kWh!DY27</f>
        <v>5.3361874999999798E-3</v>
      </c>
      <c r="CZ50">
        <f>Monthly_kWh!DZ27</f>
        <v>0.12789600000000001</v>
      </c>
      <c r="DA50">
        <f>Monthly_kWh!ED27</f>
        <v>2.3554749999999701E-2</v>
      </c>
      <c r="DB50">
        <f>Monthly_kWh!DV27</f>
        <v>1.0968000000000099E-2</v>
      </c>
      <c r="DC50">
        <f>Monthly_kWh!CT27</f>
        <v>0.123719999999992</v>
      </c>
      <c r="DD50">
        <f>Monthly_kWh!DN27</f>
        <v>9.3006249999994005E-4</v>
      </c>
      <c r="DE50">
        <f>Monthly_kWh!AZ27</f>
        <v>0</v>
      </c>
      <c r="DF50">
        <f>Monthly_kWh!BD27</f>
        <v>3.6601914062499999E-3</v>
      </c>
      <c r="DG50">
        <f>Monthly_kWh!AV27</f>
        <v>4.2079499999999798E-2</v>
      </c>
      <c r="DH50">
        <f>Monthly_kWh!BG27</f>
        <v>1.4751000000000399E-2</v>
      </c>
      <c r="DI50">
        <f>Monthly_kWh!DK27</f>
        <v>6.4440000000001205E-2</v>
      </c>
      <c r="DJ50">
        <f>Monthly_kWh!DL27</f>
        <v>1.8456906249999998E-2</v>
      </c>
      <c r="DK50">
        <f>Monthly_kWh!AU27</f>
        <v>5.0396000000006297E-2</v>
      </c>
      <c r="DL50">
        <f>Monthly_kWh!DM27</f>
        <v>3.9404000000001098E-2</v>
      </c>
      <c r="DM50">
        <f>Monthly_kWh!CC27</f>
        <v>0</v>
      </c>
      <c r="DN50">
        <f>Monthly_kWh!BH27</f>
        <v>4.15279999999996E-2</v>
      </c>
      <c r="DO50">
        <f>Monthly_kWh!AK27</f>
        <v>0</v>
      </c>
      <c r="DP50">
        <f>Monthly_kWh!AT27</f>
        <v>0</v>
      </c>
      <c r="DQ50">
        <f>Monthly_kWh!AX27</f>
        <v>0</v>
      </c>
      <c r="DR50">
        <f>Monthly_kWh!BA27</f>
        <v>0</v>
      </c>
      <c r="DS50">
        <f>Monthly_kWh!BB27</f>
        <v>0</v>
      </c>
      <c r="DT50">
        <f>Monthly_kWh!BC27</f>
        <v>0</v>
      </c>
      <c r="DU50">
        <f>Monthly_kWh!BF27</f>
        <v>0</v>
      </c>
      <c r="DV50">
        <f>Monthly_kWh!BN27</f>
        <v>0</v>
      </c>
      <c r="DW50">
        <f>Monthly_kWh!CD27</f>
        <v>0</v>
      </c>
      <c r="DX50">
        <f>Monthly_kWh!CE27</f>
        <v>0</v>
      </c>
      <c r="DY50">
        <f>Monthly_kWh!CJ27</f>
        <v>0</v>
      </c>
      <c r="DZ50">
        <f>Monthly_kWh!CP27</f>
        <v>0</v>
      </c>
      <c r="EA50">
        <f>Monthly_kWh!CS27</f>
        <v>0</v>
      </c>
      <c r="EB50">
        <f>Monthly_kWh!CU27</f>
        <v>0</v>
      </c>
      <c r="EC50">
        <f>Monthly_kWh!EG27</f>
        <v>0</v>
      </c>
      <c r="ED50">
        <f>Monthly_kWh!EQ27</f>
        <v>0</v>
      </c>
    </row>
    <row r="51" spans="1:134" ht="14.15" customHeight="1" x14ac:dyDescent="0.25">
      <c r="A51" s="315"/>
      <c r="B51" s="137">
        <v>50</v>
      </c>
      <c r="C51" s="138" t="s">
        <v>653</v>
      </c>
      <c r="D51" s="142">
        <f>DAILY_ENERGY!C150</f>
        <v>106.679644</v>
      </c>
      <c r="E51" s="142">
        <f>DAILY_ENERGY!D150</f>
        <v>109.22755900000001</v>
      </c>
      <c r="F51" s="142">
        <f>DAILY_ENERGY!E150</f>
        <v>2.5479150000000175</v>
      </c>
      <c r="G51" s="142"/>
      <c r="H51" s="142">
        <f>SHIFT_A!E150</f>
        <v>0.90588499999999783</v>
      </c>
      <c r="I51" s="142">
        <f>SHIFT_B!E150</f>
        <v>0.8566330000000022</v>
      </c>
      <c r="J51" s="142">
        <f>SHIFT_C!E150</f>
        <v>0.78539700000001744</v>
      </c>
      <c r="K51" s="162">
        <f t="shared" si="0"/>
        <v>2.5479150000000175</v>
      </c>
      <c r="L51" s="163">
        <f t="shared" si="1"/>
        <v>0</v>
      </c>
      <c r="N51" s="168">
        <v>22</v>
      </c>
      <c r="O51">
        <f>Monthly_kWh!AF28</f>
        <v>0</v>
      </c>
      <c r="P51">
        <f>Monthly_kWh!BJ28</f>
        <v>4.0999999999868897E-4</v>
      </c>
      <c r="Q51">
        <f>Monthly_kWh!BK28</f>
        <v>5.2031500000000001E-2</v>
      </c>
      <c r="R51">
        <f>Monthly_kWh!EP28</f>
        <v>0</v>
      </c>
      <c r="S51">
        <f>Monthly_kWh!EE28</f>
        <v>0.174872</v>
      </c>
      <c r="T51">
        <f>Monthly_kWh!DH28</f>
        <v>1.5763500000000302E-2</v>
      </c>
      <c r="U51">
        <f>Monthly_kWh!CL28</f>
        <v>5.6362000000000002E-2</v>
      </c>
      <c r="V51">
        <f>Monthly_kWh!BL28</f>
        <v>1.9999999985031999E-6</v>
      </c>
      <c r="W51">
        <f>Monthly_kWh!V28</f>
        <v>0.121660000000002</v>
      </c>
      <c r="X51">
        <f>Monthly_kWh!AB28</f>
        <v>0.15915000000000001</v>
      </c>
      <c r="Y51">
        <f>Monthly_kWh!AE28</f>
        <v>7.0960000000000398E-2</v>
      </c>
      <c r="Z51">
        <f>Monthly_kWh!AG28</f>
        <v>2.2137499999999501E-2</v>
      </c>
      <c r="AA51">
        <f>Monthly_kWh!BE28</f>
        <v>0.107520000000001</v>
      </c>
      <c r="AB51">
        <f>Monthly_kWh!AY28</f>
        <v>9.0575499999999906E-2</v>
      </c>
      <c r="AC51">
        <f>Monthly_kWh!CX28</f>
        <v>0.18645600000000001</v>
      </c>
      <c r="AD51">
        <f>Monthly_kWh!CY28</f>
        <v>8.7079999999999397E-3</v>
      </c>
      <c r="AE51">
        <f>Monthly_kWh!DC28</f>
        <v>0.149639999999998</v>
      </c>
      <c r="AF51">
        <f>Monthly_kWh!DD28</f>
        <v>2.2032375E-2</v>
      </c>
      <c r="AG51">
        <f>Monthly_kWh!W28</f>
        <v>2.1474999999998801E-2</v>
      </c>
      <c r="AH51">
        <f>Monthly_kWh!X28</f>
        <v>4.3775999999999399E-2</v>
      </c>
      <c r="AI51">
        <f>Monthly_kWh!Y28</f>
        <v>0</v>
      </c>
      <c r="AJ51">
        <f>Monthly_kWh!Z28</f>
        <v>4.28429999999995E-2</v>
      </c>
      <c r="AK51">
        <f>Monthly_kWh!AA28</f>
        <v>7.6052000000000702E-2</v>
      </c>
      <c r="AL51">
        <f>Monthly_kWh!AC28</f>
        <v>0.12590400000000199</v>
      </c>
      <c r="AM51">
        <f>Monthly_kWh!AD28</f>
        <v>4.6646500000001402E-2</v>
      </c>
      <c r="AN51">
        <f>Monthly_kWh!AI28</f>
        <v>0</v>
      </c>
      <c r="AO51">
        <f>Monthly_kWh!AJ28</f>
        <v>2.8413500000000098E-2</v>
      </c>
      <c r="AP51">
        <f>Monthly_kWh!AL28</f>
        <v>0.238007999999994</v>
      </c>
      <c r="AQ51">
        <f>Monthly_kWh!AM28</f>
        <v>0.353136000000006</v>
      </c>
      <c r="AR51">
        <f>Monthly_kWh!AN28</f>
        <v>0.21396800000000801</v>
      </c>
      <c r="AS51">
        <f>Monthly_kWh!AO28</f>
        <v>0.11547199999999699</v>
      </c>
      <c r="AT51">
        <f>Monthly_kWh!AP28</f>
        <v>7.74359999999987E-2</v>
      </c>
      <c r="AU51">
        <f>Monthly_kWh!CN28</f>
        <v>1.91630000000007E-2</v>
      </c>
      <c r="AV51">
        <f>Monthly_kWh!CR28</f>
        <v>6.8455000000000196E-2</v>
      </c>
      <c r="AW51">
        <f>Monthly_kWh!AQ28</f>
        <v>0.154364000000001</v>
      </c>
      <c r="AX51">
        <f>Monthly_kWh!AS28</f>
        <v>5.7473000000000801E-2</v>
      </c>
      <c r="AY51">
        <f>Monthly_kWh!EH28</f>
        <v>6.8352000000004395E-2</v>
      </c>
      <c r="AZ51">
        <f>Monthly_kWh!EJ28</f>
        <v>2.0352000000002601E-2</v>
      </c>
      <c r="BA51">
        <f>Monthly_kWh!EI28</f>
        <v>0.528831999999966</v>
      </c>
      <c r="BB51">
        <f>Monthly_kWh!AW28</f>
        <v>0.41868800000008799</v>
      </c>
      <c r="BC51">
        <f>Monthly_kWh!DS28</f>
        <v>0.39667200000002401</v>
      </c>
      <c r="BD51">
        <f>Monthly_kWh!CO28</f>
        <v>0.39013600000001197</v>
      </c>
      <c r="BE51">
        <f>Monthly_kWh!DA28</f>
        <v>0.110975999999994</v>
      </c>
      <c r="BF51">
        <f>Monthly_kWh!DB28</f>
        <v>5.25460000000013E-2</v>
      </c>
      <c r="BG51">
        <f>Monthly_kWh!EK28</f>
        <v>0</v>
      </c>
      <c r="BH51">
        <f>Monthly_kWh!EL28</f>
        <v>1.36499200000003</v>
      </c>
      <c r="BI51">
        <f>Monthly_kWh!EM28</f>
        <v>1.6803839999997801</v>
      </c>
      <c r="BJ51">
        <f>Monthly_kWh!EN28</f>
        <v>0.42547200000035401</v>
      </c>
      <c r="BK51">
        <f>Monthly_kWh!EO28</f>
        <v>0</v>
      </c>
      <c r="BL51">
        <f>Monthly_kWh!ER28</f>
        <v>1.068403</v>
      </c>
      <c r="BM51">
        <f>Monthly_kWh!BW28</f>
        <v>0</v>
      </c>
      <c r="BN51">
        <f>Monthly_kWh!DR28</f>
        <v>0</v>
      </c>
      <c r="BO51">
        <f>Monthly_kWh!CG28</f>
        <v>0</v>
      </c>
      <c r="BP51">
        <f>Monthly_kWh!CI28</f>
        <v>0</v>
      </c>
      <c r="BQ51">
        <f>Monthly_kWh!BV28</f>
        <v>0</v>
      </c>
      <c r="BR51">
        <f>Monthly_kWh!BO28</f>
        <v>9.0206999999999496E-2</v>
      </c>
      <c r="BS51">
        <f>Monthly_kWh!CW28</f>
        <v>3.0319999999974799E-3</v>
      </c>
      <c r="BT51">
        <f>Monthly_kWh!DE28</f>
        <v>0</v>
      </c>
      <c r="BU51">
        <f>Monthly_kWh!DW28</f>
        <v>0</v>
      </c>
      <c r="BV51">
        <f>Monthly_kWh!CB28</f>
        <v>0</v>
      </c>
      <c r="BW51">
        <f>Monthly_kWh!CZ28</f>
        <v>1.21465000000001E-2</v>
      </c>
      <c r="BX51">
        <f>Monthly_kWh!DG28</f>
        <v>2.4055000000000599E-3</v>
      </c>
      <c r="BY51">
        <f>Monthly_kWh!BS28</f>
        <v>0</v>
      </c>
      <c r="BZ51">
        <f>Monthly_kWh!CH28</f>
        <v>3.7025000000001602E-4</v>
      </c>
      <c r="CA51">
        <f>Monthly_kWh!BR28</f>
        <v>0</v>
      </c>
      <c r="CB51">
        <f>Monthly_kWh!BP28</f>
        <v>0</v>
      </c>
      <c r="CC51">
        <f>Monthly_kWh!BU28</f>
        <v>0</v>
      </c>
      <c r="CD51">
        <f>Monthly_kWh!BX28</f>
        <v>0</v>
      </c>
      <c r="CE51">
        <f>Monthly_kWh!CV28</f>
        <v>6.9687499999999698E-3</v>
      </c>
      <c r="CF51">
        <f>Monthly_kWh!BT28</f>
        <v>3.0955999999996198E-2</v>
      </c>
      <c r="CG51">
        <f>Monthly_kWh!CA28</f>
        <v>2.535671875E-2</v>
      </c>
      <c r="CH51">
        <f>Monthly_kWh!CF28</f>
        <v>1.35659999999991E-2</v>
      </c>
      <c r="CI51">
        <f>Monthly_kWh!BZ28</f>
        <v>0.217032000000003</v>
      </c>
      <c r="CJ51">
        <f>Monthly_kWh!CK28</f>
        <v>0</v>
      </c>
      <c r="CK51">
        <f>Monthly_kWh!DT28</f>
        <v>0.112596999999999</v>
      </c>
      <c r="CL51">
        <f>Monthly_kWh!EB28</f>
        <v>0.18937600000001001</v>
      </c>
      <c r="CM51">
        <f>Monthly_kWh!EC28</f>
        <v>0.17086399999999499</v>
      </c>
      <c r="CN51">
        <f>Monthly_kWh!CQ28</f>
        <v>0</v>
      </c>
      <c r="CO51">
        <f>Monthly_kWh!DF28</f>
        <v>0</v>
      </c>
      <c r="CP51">
        <f>Monthly_kWh!DJ28</f>
        <v>0</v>
      </c>
      <c r="CQ51">
        <f>Monthly_kWh!DP28</f>
        <v>1.8116E-2</v>
      </c>
      <c r="CR51">
        <f>Monthly_kWh!BQ28</f>
        <v>0</v>
      </c>
      <c r="CS51">
        <f>Monthly_kWh!BY28</f>
        <v>0</v>
      </c>
      <c r="CT51">
        <f>Monthly_kWh!DU28</f>
        <v>1.6000000000460101E-5</v>
      </c>
      <c r="CU51">
        <f>Monthly_kWh!DQ28</f>
        <v>0</v>
      </c>
      <c r="CV51">
        <f>Monthly_kWh!EA28</f>
        <v>0</v>
      </c>
      <c r="CW51">
        <f>Monthly_kWh!DO28</f>
        <v>0</v>
      </c>
      <c r="CX51">
        <f>Monthly_kWh!DX28</f>
        <v>3.2257999999998802E-2</v>
      </c>
      <c r="CY51">
        <f>Monthly_kWh!DY28</f>
        <v>6.4456250000000104E-3</v>
      </c>
      <c r="CZ51">
        <f>Monthly_kWh!DZ28</f>
        <v>7.7783999999997605E-2</v>
      </c>
      <c r="DA51">
        <f>Monthly_kWh!ED28</f>
        <v>2.8277500000002398E-3</v>
      </c>
      <c r="DB51">
        <f>Monthly_kWh!DV28</f>
        <v>1.07267499999999E-2</v>
      </c>
      <c r="DC51">
        <f>Monthly_kWh!CT28</f>
        <v>8.1007999999997096E-2</v>
      </c>
      <c r="DD51">
        <f>Monthly_kWh!DN28</f>
        <v>0</v>
      </c>
      <c r="DE51">
        <f>Monthly_kWh!AZ28</f>
        <v>4.5000000001849099E-6</v>
      </c>
      <c r="DF51">
        <f>Monthly_kWh!BD28</f>
        <v>2.9660664062500001E-3</v>
      </c>
      <c r="DG51">
        <f>Monthly_kWh!AV28</f>
        <v>1.1069500000000501E-2</v>
      </c>
      <c r="DH51">
        <f>Monthly_kWh!BG28</f>
        <v>1.1024000000000801E-2</v>
      </c>
      <c r="DI51">
        <f>Monthly_kWh!DK28</f>
        <v>4.5043999999997197E-2</v>
      </c>
      <c r="DJ51">
        <f>Monthly_kWh!DL28</f>
        <v>9.0389765625000108E-3</v>
      </c>
      <c r="DK51">
        <f>Monthly_kWh!AU28</f>
        <v>4.5715999999998799E-2</v>
      </c>
      <c r="DL51">
        <f>Monthly_kWh!DM28</f>
        <v>0</v>
      </c>
      <c r="DM51">
        <f>Monthly_kWh!CC28</f>
        <v>0</v>
      </c>
      <c r="DN51">
        <f>Monthly_kWh!BH28</f>
        <v>1.8719999999987601E-3</v>
      </c>
      <c r="DO51">
        <f>Monthly_kWh!AK28</f>
        <v>0</v>
      </c>
      <c r="DP51">
        <f>Monthly_kWh!AT28</f>
        <v>0</v>
      </c>
      <c r="DQ51">
        <f>Monthly_kWh!AX28</f>
        <v>0</v>
      </c>
      <c r="DR51">
        <f>Monthly_kWh!BA28</f>
        <v>0</v>
      </c>
      <c r="DS51">
        <f>Monthly_kWh!BB28</f>
        <v>0</v>
      </c>
      <c r="DT51">
        <f>Monthly_kWh!BC28</f>
        <v>0</v>
      </c>
      <c r="DU51">
        <f>Monthly_kWh!BF28</f>
        <v>0</v>
      </c>
      <c r="DV51">
        <f>Monthly_kWh!BN28</f>
        <v>0</v>
      </c>
      <c r="DW51">
        <f>Monthly_kWh!CD28</f>
        <v>0</v>
      </c>
      <c r="DX51">
        <f>Monthly_kWh!CE28</f>
        <v>0</v>
      </c>
      <c r="DY51">
        <f>Monthly_kWh!CJ28</f>
        <v>0</v>
      </c>
      <c r="DZ51">
        <f>Monthly_kWh!CP28</f>
        <v>0</v>
      </c>
      <c r="EA51">
        <f>Monthly_kWh!CS28</f>
        <v>0</v>
      </c>
      <c r="EB51">
        <f>Monthly_kWh!CU28</f>
        <v>0</v>
      </c>
      <c r="EC51">
        <f>Monthly_kWh!EG28</f>
        <v>0</v>
      </c>
      <c r="ED51">
        <f>Monthly_kWh!EQ28</f>
        <v>0</v>
      </c>
    </row>
    <row r="52" spans="1:134" ht="14" x14ac:dyDescent="0.25">
      <c r="A52" s="324" t="s">
        <v>457</v>
      </c>
      <c r="B52" s="137">
        <v>51</v>
      </c>
      <c r="C52" s="141" t="s">
        <v>288</v>
      </c>
      <c r="D52" s="134">
        <f>DAILY_ENERGY!C77</f>
        <v>0</v>
      </c>
      <c r="E52" s="134">
        <f>DAILY_ENERGY!D77</f>
        <v>0</v>
      </c>
      <c r="F52" s="134">
        <f>DAILY_ENERGY!E77</f>
        <v>0</v>
      </c>
      <c r="G52" s="134"/>
      <c r="H52" s="134">
        <f>SHIFT_A!E77</f>
        <v>0</v>
      </c>
      <c r="I52" s="134">
        <f>SHIFT_B!E77</f>
        <v>0</v>
      </c>
      <c r="J52" s="134">
        <f>SHIFT_C!E77</f>
        <v>0</v>
      </c>
      <c r="K52" s="162">
        <f t="shared" si="0"/>
        <v>0</v>
      </c>
      <c r="L52" s="163">
        <f t="shared" si="1"/>
        <v>0</v>
      </c>
      <c r="N52" s="168">
        <v>23</v>
      </c>
      <c r="O52">
        <f>Monthly_kWh!AF29</f>
        <v>0</v>
      </c>
      <c r="P52">
        <f>Monthly_kWh!BJ29</f>
        <v>2.2000000001298799E-5</v>
      </c>
      <c r="Q52">
        <f>Monthly_kWh!BK29</f>
        <v>4.4575500000000497E-2</v>
      </c>
      <c r="R52">
        <f>Monthly_kWh!EP29</f>
        <v>0</v>
      </c>
      <c r="S52">
        <f>Monthly_kWh!EE29</f>
        <v>0.17117499999999999</v>
      </c>
      <c r="T52">
        <f>Monthly_kWh!DH29</f>
        <v>2.28999999999999E-2</v>
      </c>
      <c r="U52">
        <f>Monthly_kWh!CL29</f>
        <v>6.18780000000001E-2</v>
      </c>
      <c r="V52">
        <f>Monthly_kWh!BL29</f>
        <v>1.9999999985031999E-6</v>
      </c>
      <c r="W52">
        <f>Monthly_kWh!V29</f>
        <v>0.119865999999998</v>
      </c>
      <c r="X52">
        <f>Monthly_kWh!AB29</f>
        <v>0.154004</v>
      </c>
      <c r="Y52">
        <f>Monthly_kWh!AE29</f>
        <v>0.10222050000000001</v>
      </c>
      <c r="Z52">
        <f>Monthly_kWh!AG29</f>
        <v>1.38337499999999E-2</v>
      </c>
      <c r="AA52">
        <f>Monthly_kWh!BE29</f>
        <v>0.109031999999999</v>
      </c>
      <c r="AB52">
        <f>Monthly_kWh!AY29</f>
        <v>8.7621500000000005E-2</v>
      </c>
      <c r="AC52">
        <f>Monthly_kWh!CX29</f>
        <v>0.24016800000000399</v>
      </c>
      <c r="AD52">
        <f>Monthly_kWh!CY29</f>
        <v>1.1157000000000101E-2</v>
      </c>
      <c r="AE52">
        <f>Monthly_kWh!DC29</f>
        <v>0.17859599999999901</v>
      </c>
      <c r="AF52">
        <f>Monthly_kWh!DD29</f>
        <v>2.77492500000001E-2</v>
      </c>
      <c r="AG52">
        <f>Monthly_kWh!W29</f>
        <v>5.6527000000000903E-2</v>
      </c>
      <c r="AH52">
        <f>Monthly_kWh!X29</f>
        <v>6.2624000000001304E-2</v>
      </c>
      <c r="AI52">
        <f>Monthly_kWh!Y29</f>
        <v>0</v>
      </c>
      <c r="AJ52">
        <f>Monthly_kWh!Z29</f>
        <v>4.8434000000000303E-2</v>
      </c>
      <c r="AK52">
        <f>Monthly_kWh!AA29</f>
        <v>8.2750000000000795E-2</v>
      </c>
      <c r="AL52">
        <f>Monthly_kWh!AC29</f>
        <v>0.101793999999998</v>
      </c>
      <c r="AM52">
        <f>Monthly_kWh!AD29</f>
        <v>5.0421999999999301E-2</v>
      </c>
      <c r="AN52">
        <f>Monthly_kWh!AI29</f>
        <v>0</v>
      </c>
      <c r="AO52">
        <f>Monthly_kWh!AJ29</f>
        <v>2.1936999999999401E-2</v>
      </c>
      <c r="AP52">
        <f>Monthly_kWh!AL29</f>
        <v>0.27178399999999697</v>
      </c>
      <c r="AQ52">
        <f>Monthly_kWh!AM29</f>
        <v>0.31713599999999098</v>
      </c>
      <c r="AR52">
        <f>Monthly_kWh!AN29</f>
        <v>0.252159999999989</v>
      </c>
      <c r="AS52">
        <f>Monthly_kWh!AO29</f>
        <v>0.14507199999999901</v>
      </c>
      <c r="AT52">
        <f>Monthly_kWh!AP29</f>
        <v>8.5343999999999198E-2</v>
      </c>
      <c r="AU52">
        <f>Monthly_kWh!CN29</f>
        <v>4.2650999999999301E-2</v>
      </c>
      <c r="AV52">
        <f>Monthly_kWh!CR29</f>
        <v>0.13397099999999901</v>
      </c>
      <c r="AW52">
        <f>Monthly_kWh!AQ29</f>
        <v>0.17977599999999699</v>
      </c>
      <c r="AX52">
        <f>Monthly_kWh!AS29</f>
        <v>3.9448999999999401E-2</v>
      </c>
      <c r="AY52">
        <f>Monthly_kWh!EH29</f>
        <v>0.39462400000002201</v>
      </c>
      <c r="AZ52">
        <f>Monthly_kWh!EJ29</f>
        <v>5.6192000000009998E-2</v>
      </c>
      <c r="BA52">
        <f>Monthly_kWh!EI29</f>
        <v>0.67308800000000701</v>
      </c>
      <c r="BB52">
        <f>Monthly_kWh!AW29</f>
        <v>0.23507199999994599</v>
      </c>
      <c r="BC52">
        <f>Monthly_kWh!DS29</f>
        <v>0.65033599999998204</v>
      </c>
      <c r="BD52">
        <f>Monthly_kWh!CO29</f>
        <v>0.48620799999999098</v>
      </c>
      <c r="BE52">
        <f>Monthly_kWh!DA29</f>
        <v>0.26122400000000601</v>
      </c>
      <c r="BF52">
        <f>Monthly_kWh!DB29</f>
        <v>9.0641999999999001E-2</v>
      </c>
      <c r="BG52">
        <f>Monthly_kWh!EK29</f>
        <v>0</v>
      </c>
      <c r="BH52">
        <f>Monthly_kWh!EL29</f>
        <v>0.52902399999993599</v>
      </c>
      <c r="BI52">
        <f>Monthly_kWh!EM29</f>
        <v>2.40921600000001</v>
      </c>
      <c r="BJ52">
        <f>Monthly_kWh!EN29</f>
        <v>2.0144639999998599</v>
      </c>
      <c r="BK52">
        <f>Monthly_kWh!EO29</f>
        <v>0</v>
      </c>
      <c r="BL52">
        <f>Monthly_kWh!ER29</f>
        <v>2.1467180000000101</v>
      </c>
      <c r="BM52">
        <f>Monthly_kWh!BW29</f>
        <v>0</v>
      </c>
      <c r="BN52">
        <f>Monthly_kWh!DR29</f>
        <v>0</v>
      </c>
      <c r="BO52">
        <f>Monthly_kWh!CG29</f>
        <v>0</v>
      </c>
      <c r="BP52">
        <f>Monthly_kWh!CI29</f>
        <v>0</v>
      </c>
      <c r="BQ52">
        <f>Monthly_kWh!BV29</f>
        <v>0</v>
      </c>
      <c r="BR52">
        <f>Monthly_kWh!BO29</f>
        <v>0.35777199999999898</v>
      </c>
      <c r="BS52">
        <f>Monthly_kWh!CW29</f>
        <v>3.7528000000001803E-2</v>
      </c>
      <c r="BT52">
        <f>Monthly_kWh!DE29</f>
        <v>0</v>
      </c>
      <c r="BU52">
        <f>Monthly_kWh!DW29</f>
        <v>0</v>
      </c>
      <c r="BV52">
        <f>Monthly_kWh!CB29</f>
        <v>0</v>
      </c>
      <c r="BW52">
        <f>Monthly_kWh!CZ29</f>
        <v>2.69537499999997E-2</v>
      </c>
      <c r="BX52">
        <f>Monthly_kWh!DG29</f>
        <v>3.46679999999999E-2</v>
      </c>
      <c r="BY52">
        <f>Monthly_kWh!BS29</f>
        <v>0</v>
      </c>
      <c r="BZ52">
        <f>Monthly_kWh!CH29</f>
        <v>1.21750000000365E-4</v>
      </c>
      <c r="CA52">
        <f>Monthly_kWh!BR29</f>
        <v>0</v>
      </c>
      <c r="CB52">
        <f>Monthly_kWh!BP29</f>
        <v>0</v>
      </c>
      <c r="CC52">
        <f>Monthly_kWh!BU29</f>
        <v>0</v>
      </c>
      <c r="CD52">
        <f>Monthly_kWh!BX29</f>
        <v>0</v>
      </c>
      <c r="CE52">
        <f>Monthly_kWh!CV29</f>
        <v>6.6482500000000196E-3</v>
      </c>
      <c r="CF52">
        <f>Monthly_kWh!BT29</f>
        <v>1.3848000000003E-2</v>
      </c>
      <c r="CG52">
        <f>Monthly_kWh!CA29</f>
        <v>7.4675000000000201E-3</v>
      </c>
      <c r="CH52">
        <f>Monthly_kWh!CF29</f>
        <v>2.43870000000008E-2</v>
      </c>
      <c r="CI52">
        <f>Monthly_kWh!BZ29</f>
        <v>0.18918399999999699</v>
      </c>
      <c r="CJ52">
        <f>Monthly_kWh!CK29</f>
        <v>0</v>
      </c>
      <c r="CK52">
        <f>Monthly_kWh!DT29</f>
        <v>9.4263500000000305E-2</v>
      </c>
      <c r="CL52">
        <f>Monthly_kWh!EB29</f>
        <v>0.12686400000001199</v>
      </c>
      <c r="CM52">
        <f>Monthly_kWh!EC29</f>
        <v>0.15179200000000001</v>
      </c>
      <c r="CN52">
        <f>Monthly_kWh!CQ29</f>
        <v>0</v>
      </c>
      <c r="CO52">
        <f>Monthly_kWh!DF29</f>
        <v>0</v>
      </c>
      <c r="CP52">
        <f>Monthly_kWh!DJ29</f>
        <v>0</v>
      </c>
      <c r="CQ52">
        <f>Monthly_kWh!DP29</f>
        <v>3.0235000000001101E-2</v>
      </c>
      <c r="CR52">
        <f>Monthly_kWh!BQ29</f>
        <v>0</v>
      </c>
      <c r="CS52">
        <f>Monthly_kWh!BY29</f>
        <v>0</v>
      </c>
      <c r="CT52">
        <f>Monthly_kWh!DU29</f>
        <v>0</v>
      </c>
      <c r="CU52">
        <f>Monthly_kWh!DQ29</f>
        <v>0</v>
      </c>
      <c r="CV52">
        <f>Monthly_kWh!EA29</f>
        <v>0</v>
      </c>
      <c r="CW52">
        <f>Monthly_kWh!DO29</f>
        <v>0</v>
      </c>
      <c r="CX52">
        <f>Monthly_kWh!DX29</f>
        <v>3.1379000000001198E-2</v>
      </c>
      <c r="CY52">
        <f>Monthly_kWh!DY29</f>
        <v>5.0769999999999999E-3</v>
      </c>
      <c r="CZ52">
        <f>Monthly_kWh!DZ29</f>
        <v>5.4434000000000503E-2</v>
      </c>
      <c r="DA52">
        <f>Monthly_kWh!ED29</f>
        <v>2.8354999999997701E-3</v>
      </c>
      <c r="DB52">
        <f>Monthly_kWh!DV29</f>
        <v>7.7175000000000403E-3</v>
      </c>
      <c r="DC52">
        <f>Monthly_kWh!CT29</f>
        <v>0.11068800000001</v>
      </c>
      <c r="DD52">
        <f>Monthly_kWh!DN29</f>
        <v>2.4966874999999798E-3</v>
      </c>
      <c r="DE52">
        <f>Monthly_kWh!AZ29</f>
        <v>4.9999999962579999E-7</v>
      </c>
      <c r="DF52">
        <f>Monthly_kWh!BD29</f>
        <v>3.6555234375000001E-3</v>
      </c>
      <c r="DG52">
        <f>Monthly_kWh!AV29</f>
        <v>2.76869999999994E-2</v>
      </c>
      <c r="DH52">
        <f>Monthly_kWh!BG29</f>
        <v>1.5772999999999399E-2</v>
      </c>
      <c r="DI52">
        <f>Monthly_kWh!DK29</f>
        <v>6.6014000000002696E-2</v>
      </c>
      <c r="DJ52">
        <f>Monthly_kWh!DL29</f>
        <v>1.92337421875E-2</v>
      </c>
      <c r="DK52">
        <f>Monthly_kWh!AU29</f>
        <v>4.7803999999999298E-2</v>
      </c>
      <c r="DL52">
        <f>Monthly_kWh!DM29</f>
        <v>0</v>
      </c>
      <c r="DM52">
        <f>Monthly_kWh!CC29</f>
        <v>0</v>
      </c>
      <c r="DN52">
        <f>Monthly_kWh!BH29</f>
        <v>1.6515999999999299E-2</v>
      </c>
      <c r="DO52">
        <f>Monthly_kWh!AK29</f>
        <v>0</v>
      </c>
      <c r="DP52">
        <f>Monthly_kWh!AT29</f>
        <v>0</v>
      </c>
      <c r="DQ52">
        <f>Monthly_kWh!AX29</f>
        <v>0</v>
      </c>
      <c r="DR52">
        <f>Monthly_kWh!BA29</f>
        <v>0</v>
      </c>
      <c r="DS52">
        <f>Monthly_kWh!BB29</f>
        <v>0</v>
      </c>
      <c r="DT52">
        <f>Monthly_kWh!BC29</f>
        <v>0</v>
      </c>
      <c r="DU52">
        <f>Monthly_kWh!BF29</f>
        <v>0</v>
      </c>
      <c r="DV52">
        <f>Monthly_kWh!BN29</f>
        <v>0</v>
      </c>
      <c r="DW52">
        <f>Monthly_kWh!CD29</f>
        <v>0</v>
      </c>
      <c r="DX52">
        <f>Monthly_kWh!CE29</f>
        <v>0</v>
      </c>
      <c r="DY52">
        <f>Monthly_kWh!CJ29</f>
        <v>0</v>
      </c>
      <c r="DZ52">
        <f>Monthly_kWh!CP29</f>
        <v>0</v>
      </c>
      <c r="EA52">
        <f>Monthly_kWh!CS29</f>
        <v>0</v>
      </c>
      <c r="EB52">
        <f>Monthly_kWh!CU29</f>
        <v>0</v>
      </c>
      <c r="EC52">
        <f>Monthly_kWh!EG29</f>
        <v>0</v>
      </c>
      <c r="ED52">
        <f>Monthly_kWh!EQ29</f>
        <v>0</v>
      </c>
    </row>
    <row r="53" spans="1:134" ht="14" x14ac:dyDescent="0.25">
      <c r="A53" s="325"/>
      <c r="B53" s="137">
        <v>52</v>
      </c>
      <c r="C53" s="141" t="s">
        <v>335</v>
      </c>
      <c r="D53" s="134">
        <f>DAILY_ENERGY!C124</f>
        <v>0</v>
      </c>
      <c r="E53" s="134">
        <f>DAILY_ENERGY!D124</f>
        <v>0</v>
      </c>
      <c r="F53" s="134">
        <f>DAILY_ENERGY!E124</f>
        <v>0</v>
      </c>
      <c r="G53" s="134"/>
      <c r="H53" s="134">
        <f>SHIFT_A!E124</f>
        <v>0</v>
      </c>
      <c r="I53" s="134">
        <f>SHIFT_B!E124</f>
        <v>0</v>
      </c>
      <c r="J53" s="134">
        <f>SHIFT_C!E124</f>
        <v>0</v>
      </c>
      <c r="K53" s="162">
        <f t="shared" si="0"/>
        <v>0</v>
      </c>
      <c r="L53" s="163">
        <f t="shared" si="1"/>
        <v>0</v>
      </c>
      <c r="N53" s="168">
        <v>24</v>
      </c>
      <c r="O53">
        <f>Monthly_kWh!AF30</f>
        <v>0</v>
      </c>
      <c r="P53">
        <f>Monthly_kWh!BJ30</f>
        <v>2.1000000000270799E-5</v>
      </c>
      <c r="Q53">
        <f>Monthly_kWh!BK30</f>
        <v>4.2965499999999303E-2</v>
      </c>
      <c r="R53">
        <f>Monthly_kWh!EP30</f>
        <v>0</v>
      </c>
      <c r="S53">
        <f>Monthly_kWh!EE30</f>
        <v>0.16343849999999999</v>
      </c>
      <c r="T53">
        <f>Monthly_kWh!DH30</f>
        <v>1.7030499999999699E-2</v>
      </c>
      <c r="U53">
        <f>Monthly_kWh!CL30</f>
        <v>5.2838000000001301E-2</v>
      </c>
      <c r="V53">
        <f>Monthly_kWh!BL30</f>
        <v>8.0000000011182203E-6</v>
      </c>
      <c r="W53">
        <f>Monthly_kWh!V30</f>
        <v>0.11932000000000199</v>
      </c>
      <c r="X53">
        <f>Monthly_kWh!AB30</f>
        <v>0.15767400000000001</v>
      </c>
      <c r="Y53">
        <f>Monthly_kWh!AE30</f>
        <v>8.9507499999999907E-2</v>
      </c>
      <c r="Z53">
        <f>Monthly_kWh!AG30</f>
        <v>2.5456500000000701E-2</v>
      </c>
      <c r="AA53">
        <f>Monthly_kWh!BE30</f>
        <v>0.20676800000000001</v>
      </c>
      <c r="AB53">
        <f>Monthly_kWh!AY30</f>
        <v>8.6980499999999197E-2</v>
      </c>
      <c r="AC53">
        <f>Monthly_kWh!CX30</f>
        <v>2.56279999999975E-2</v>
      </c>
      <c r="AD53">
        <f>Monthly_kWh!CY30</f>
        <v>1.2675999999999899E-2</v>
      </c>
      <c r="AE53">
        <f>Monthly_kWh!DC30</f>
        <v>0</v>
      </c>
      <c r="AF53">
        <f>Monthly_kWh!DD30</f>
        <v>2.9668375E-2</v>
      </c>
      <c r="AG53">
        <f>Monthly_kWh!W30</f>
        <v>8.2982999999998697E-2</v>
      </c>
      <c r="AH53">
        <f>Monthly_kWh!X30</f>
        <v>6.8942999999999102E-2</v>
      </c>
      <c r="AI53">
        <f>Monthly_kWh!Y30</f>
        <v>0</v>
      </c>
      <c r="AJ53">
        <f>Monthly_kWh!Z30</f>
        <v>4.9740999999999098E-2</v>
      </c>
      <c r="AK53">
        <f>Monthly_kWh!AA30</f>
        <v>8.3507999999998403E-2</v>
      </c>
      <c r="AL53">
        <f>Monthly_kWh!AC30</f>
        <v>0.104062000000003</v>
      </c>
      <c r="AM53">
        <f>Monthly_kWh!AD30</f>
        <v>5.1097000000000399E-2</v>
      </c>
      <c r="AN53">
        <f>Monthly_kWh!AI30</f>
        <v>0</v>
      </c>
      <c r="AO53">
        <f>Monthly_kWh!AJ30</f>
        <v>2.1335000000000499E-2</v>
      </c>
      <c r="AP53">
        <f>Monthly_kWh!AL30</f>
        <v>0.26733600000000002</v>
      </c>
      <c r="AQ53">
        <f>Monthly_kWh!AM30</f>
        <v>0.27024000000000098</v>
      </c>
      <c r="AR53">
        <f>Monthly_kWh!AN30</f>
        <v>0.22002400000000899</v>
      </c>
      <c r="AS53">
        <f>Monthly_kWh!AO30</f>
        <v>0.160524000000002</v>
      </c>
      <c r="AT53">
        <f>Monthly_kWh!AP30</f>
        <v>8.2066000000001096E-2</v>
      </c>
      <c r="AU53">
        <f>Monthly_kWh!CN30</f>
        <v>4.7919999999999498E-2</v>
      </c>
      <c r="AV53">
        <f>Monthly_kWh!CR30</f>
        <v>9.5190999999999804E-2</v>
      </c>
      <c r="AW53">
        <f>Monthly_kWh!AQ30</f>
        <v>0.18998799999999999</v>
      </c>
      <c r="AX53">
        <f>Monthly_kWh!AS30</f>
        <v>5.3220500000000101E-2</v>
      </c>
      <c r="AY53">
        <f>Monthly_kWh!EH30</f>
        <v>0.381439999999998</v>
      </c>
      <c r="AZ53">
        <f>Monthly_kWh!EJ30</f>
        <v>3.5840000000007401E-2</v>
      </c>
      <c r="BA53">
        <f>Monthly_kWh!EI30</f>
        <v>0.65638400000000297</v>
      </c>
      <c r="BB53">
        <f>Monthly_kWh!AW30</f>
        <v>0.57465600000000505</v>
      </c>
      <c r="BC53">
        <f>Monthly_kWh!DS30</f>
        <v>0.34707199999996902</v>
      </c>
      <c r="BD53">
        <f>Monthly_kWh!CO30</f>
        <v>0.52442400000000999</v>
      </c>
      <c r="BE53">
        <f>Monthly_kWh!DA30</f>
        <v>0.14159999999999701</v>
      </c>
      <c r="BF53">
        <f>Monthly_kWh!DB30</f>
        <v>7.5765999999999806E-2</v>
      </c>
      <c r="BG53">
        <f>Monthly_kWh!EK30</f>
        <v>0</v>
      </c>
      <c r="BH53">
        <f>Monthly_kWh!EL30</f>
        <v>0</v>
      </c>
      <c r="BI53">
        <f>Monthly_kWh!EM30</f>
        <v>2.18675200000007</v>
      </c>
      <c r="BJ53">
        <f>Monthly_kWh!EN30</f>
        <v>1.9253760000001401</v>
      </c>
      <c r="BK53">
        <f>Monthly_kWh!EO30</f>
        <v>0</v>
      </c>
      <c r="BL53">
        <f>Monthly_kWh!ER30</f>
        <v>1.68862</v>
      </c>
      <c r="BM53">
        <f>Monthly_kWh!BW30</f>
        <v>0</v>
      </c>
      <c r="BN53">
        <f>Monthly_kWh!DR30</f>
        <v>0</v>
      </c>
      <c r="BO53">
        <f>Monthly_kWh!CG30</f>
        <v>0</v>
      </c>
      <c r="BP53">
        <f>Monthly_kWh!CI30</f>
        <v>0</v>
      </c>
      <c r="BQ53">
        <f>Monthly_kWh!BV30</f>
        <v>0</v>
      </c>
      <c r="BR53">
        <f>Monthly_kWh!BO30</f>
        <v>0.37310300000000002</v>
      </c>
      <c r="BS53">
        <f>Monthly_kWh!CW30</f>
        <v>4.9471999999994402E-2</v>
      </c>
      <c r="BT53">
        <f>Monthly_kWh!DE30</f>
        <v>0</v>
      </c>
      <c r="BU53">
        <f>Monthly_kWh!DW30</f>
        <v>0</v>
      </c>
      <c r="BV53">
        <f>Monthly_kWh!CB30</f>
        <v>0</v>
      </c>
      <c r="BW53">
        <f>Monthly_kWh!CZ30</f>
        <v>1.9733250000000299E-2</v>
      </c>
      <c r="BX53">
        <f>Monthly_kWh!DG30</f>
        <v>2.5332000000000601E-2</v>
      </c>
      <c r="BY53">
        <f>Monthly_kWh!BS30</f>
        <v>0</v>
      </c>
      <c r="BZ53">
        <f>Monthly_kWh!CH30</f>
        <v>0</v>
      </c>
      <c r="CA53">
        <f>Monthly_kWh!BR30</f>
        <v>0</v>
      </c>
      <c r="CB53">
        <f>Monthly_kWh!BP30</f>
        <v>0</v>
      </c>
      <c r="CC53">
        <f>Monthly_kWh!BU30</f>
        <v>0</v>
      </c>
      <c r="CD53">
        <f>Monthly_kWh!BX30</f>
        <v>0</v>
      </c>
      <c r="CE53">
        <f>Monthly_kWh!CV30</f>
        <v>7.6526249999999702E-3</v>
      </c>
      <c r="CF53">
        <f>Monthly_kWh!BT30</f>
        <v>1.38239999999996E-2</v>
      </c>
      <c r="CG53">
        <f>Monthly_kWh!CA30</f>
        <v>4.6282500000000004E-3</v>
      </c>
      <c r="CH53">
        <f>Monthly_kWh!CF30</f>
        <v>2.3842999999999399E-2</v>
      </c>
      <c r="CI53">
        <f>Monthly_kWh!BZ30</f>
        <v>0.12912800000000901</v>
      </c>
      <c r="CJ53">
        <f>Monthly_kWh!CK30</f>
        <v>0</v>
      </c>
      <c r="CK53">
        <f>Monthly_kWh!DT30</f>
        <v>7.82445000000003E-2</v>
      </c>
      <c r="CL53">
        <f>Monthly_kWh!EB30</f>
        <v>0.15766399999998301</v>
      </c>
      <c r="CM53">
        <f>Monthly_kWh!EC30</f>
        <v>0.146240000000006</v>
      </c>
      <c r="CN53">
        <f>Monthly_kWh!CQ30</f>
        <v>0</v>
      </c>
      <c r="CO53">
        <f>Monthly_kWh!DF30</f>
        <v>0</v>
      </c>
      <c r="CP53">
        <f>Monthly_kWh!DJ30</f>
        <v>0</v>
      </c>
      <c r="CQ53">
        <f>Monthly_kWh!DP30</f>
        <v>3.10790000000001E-2</v>
      </c>
      <c r="CR53">
        <f>Monthly_kWh!BQ30</f>
        <v>0</v>
      </c>
      <c r="CS53">
        <f>Monthly_kWh!BY30</f>
        <v>0</v>
      </c>
      <c r="CT53">
        <f>Monthly_kWh!DU30</f>
        <v>0</v>
      </c>
      <c r="CU53">
        <f>Monthly_kWh!DQ30</f>
        <v>0</v>
      </c>
      <c r="CV53">
        <f>Monthly_kWh!EA30</f>
        <v>0</v>
      </c>
      <c r="CW53">
        <f>Monthly_kWh!DO30</f>
        <v>1.5104000000008E-2</v>
      </c>
      <c r="CX53">
        <f>Monthly_kWh!DX30</f>
        <v>3.4642999999999098E-2</v>
      </c>
      <c r="CY53">
        <f>Monthly_kWh!DY30</f>
        <v>5.2244375000000103E-3</v>
      </c>
      <c r="CZ53">
        <f>Monthly_kWh!DZ30</f>
        <v>6.3240000000000393E-2</v>
      </c>
      <c r="DA53">
        <f>Monthly_kWh!ED30</f>
        <v>2.3705000000000501E-3</v>
      </c>
      <c r="DB53">
        <f>Monthly_kWh!DV30</f>
        <v>8.8307500000000001E-3</v>
      </c>
      <c r="DC53">
        <f>Monthly_kWh!CT30</f>
        <v>1.5199999999992999E-3</v>
      </c>
      <c r="DD53">
        <f>Monthly_kWh!DN30</f>
        <v>3.4947499999999901E-3</v>
      </c>
      <c r="DE53">
        <f>Monthly_kWh!AZ30</f>
        <v>3.0000000004193301E-6</v>
      </c>
      <c r="DF53">
        <f>Monthly_kWh!BD30</f>
        <v>2.4336328124999998E-3</v>
      </c>
      <c r="DG53">
        <f>Monthly_kWh!AV30</f>
        <v>1.9380500000000501E-2</v>
      </c>
      <c r="DH53">
        <f>Monthly_kWh!BG30</f>
        <v>1.36490000000009E-2</v>
      </c>
      <c r="DI53">
        <f>Monthly_kWh!DK30</f>
        <v>3.6372000000000099E-2</v>
      </c>
      <c r="DJ53">
        <f>Monthly_kWh!DL30</f>
        <v>1.3969171875E-2</v>
      </c>
      <c r="DK53">
        <f>Monthly_kWh!AU30</f>
        <v>4.7755999999999701E-2</v>
      </c>
      <c r="DL53">
        <f>Monthly_kWh!DM30</f>
        <v>0</v>
      </c>
      <c r="DM53">
        <f>Monthly_kWh!CC30</f>
        <v>0</v>
      </c>
      <c r="DN53">
        <f>Monthly_kWh!BH30</f>
        <v>0</v>
      </c>
      <c r="DO53">
        <f>Monthly_kWh!AK30</f>
        <v>0</v>
      </c>
      <c r="DP53">
        <f>Monthly_kWh!AT30</f>
        <v>0</v>
      </c>
      <c r="DQ53">
        <f>Monthly_kWh!AX30</f>
        <v>0</v>
      </c>
      <c r="DR53">
        <f>Monthly_kWh!BA30</f>
        <v>0</v>
      </c>
      <c r="DS53">
        <f>Monthly_kWh!BB30</f>
        <v>0</v>
      </c>
      <c r="DT53">
        <f>Monthly_kWh!BC30</f>
        <v>0</v>
      </c>
      <c r="DU53">
        <f>Monthly_kWh!BF30</f>
        <v>0</v>
      </c>
      <c r="DV53">
        <f>Monthly_kWh!BN30</f>
        <v>0</v>
      </c>
      <c r="DW53">
        <f>Monthly_kWh!CD30</f>
        <v>0</v>
      </c>
      <c r="DX53">
        <f>Monthly_kWh!CE30</f>
        <v>0</v>
      </c>
      <c r="DY53">
        <f>Monthly_kWh!CJ30</f>
        <v>0</v>
      </c>
      <c r="DZ53">
        <f>Monthly_kWh!CP30</f>
        <v>0</v>
      </c>
      <c r="EA53">
        <f>Monthly_kWh!CS30</f>
        <v>0</v>
      </c>
      <c r="EB53">
        <f>Monthly_kWh!CU30</f>
        <v>0</v>
      </c>
      <c r="EC53">
        <f>Monthly_kWh!EG30</f>
        <v>0</v>
      </c>
      <c r="ED53">
        <f>Monthly_kWh!EQ30</f>
        <v>0</v>
      </c>
    </row>
    <row r="54" spans="1:134" ht="14" x14ac:dyDescent="0.25">
      <c r="A54" s="325"/>
      <c r="B54" s="137">
        <v>53</v>
      </c>
      <c r="C54" s="141" t="s">
        <v>298</v>
      </c>
      <c r="D54" s="134">
        <f>DAILY_ENERGY!C87</f>
        <v>0</v>
      </c>
      <c r="E54" s="134">
        <f>DAILY_ENERGY!D87</f>
        <v>0</v>
      </c>
      <c r="F54" s="134">
        <f>DAILY_ENERGY!E87</f>
        <v>0</v>
      </c>
      <c r="G54" s="134"/>
      <c r="H54" s="134">
        <f>SHIFT_A!E87</f>
        <v>0</v>
      </c>
      <c r="I54" s="134">
        <f>SHIFT_B!E87</f>
        <v>0</v>
      </c>
      <c r="J54" s="134">
        <f>SHIFT_C!E87</f>
        <v>0</v>
      </c>
      <c r="K54" s="162">
        <f t="shared" si="0"/>
        <v>0</v>
      </c>
      <c r="L54" s="163">
        <f t="shared" si="1"/>
        <v>0</v>
      </c>
      <c r="N54" s="168">
        <v>25</v>
      </c>
      <c r="O54">
        <f>Monthly_kWh!AF31</f>
        <v>0</v>
      </c>
      <c r="P54">
        <f>Monthly_kWh!BJ31</f>
        <v>1.10099999999846E-3</v>
      </c>
      <c r="Q54">
        <f>Monthly_kWh!BK31</f>
        <v>4.9492500000000397E-2</v>
      </c>
      <c r="R54">
        <f>Monthly_kWh!EP31</f>
        <v>0</v>
      </c>
      <c r="S54">
        <f>Monthly_kWh!EE31</f>
        <v>0.17596899999999999</v>
      </c>
      <c r="T54">
        <f>Monthly_kWh!DH31</f>
        <v>2.54530000000006E-2</v>
      </c>
      <c r="U54">
        <f>Monthly_kWh!CL31</f>
        <v>5.22220000000004E-2</v>
      </c>
      <c r="V54">
        <f>Monthly_kWh!BL31</f>
        <v>1.59999999986837E-5</v>
      </c>
      <c r="W54">
        <f>Monthly_kWh!V31</f>
        <v>0.120013999999998</v>
      </c>
      <c r="X54">
        <f>Monthly_kWh!AB31</f>
        <v>0.15270199999999801</v>
      </c>
      <c r="Y54">
        <f>Monthly_kWh!AE31</f>
        <v>7.56330000000007E-2</v>
      </c>
      <c r="Z54">
        <f>Monthly_kWh!AG31</f>
        <v>2.02070000000001E-2</v>
      </c>
      <c r="AA54">
        <f>Monthly_kWh!BE31</f>
        <v>0.10643999999999899</v>
      </c>
      <c r="AB54">
        <f>Monthly_kWh!AY31</f>
        <v>7.5026000000000301E-2</v>
      </c>
      <c r="AC54">
        <f>Monthly_kWh!CX31</f>
        <v>0</v>
      </c>
      <c r="AD54">
        <f>Monthly_kWh!CY31</f>
        <v>1.1479E-2</v>
      </c>
      <c r="AE54">
        <f>Monthly_kWh!DC31</f>
        <v>0.19870559374999999</v>
      </c>
      <c r="AF54">
        <f>Monthly_kWh!DD31</f>
        <v>2.9147875E-2</v>
      </c>
      <c r="AG54">
        <f>Monthly_kWh!W31</f>
        <v>7.1822000000000899E-2</v>
      </c>
      <c r="AH54">
        <f>Monthly_kWh!X31</f>
        <v>7.1894999999999598E-2</v>
      </c>
      <c r="AI54">
        <f>Monthly_kWh!Y31</f>
        <v>0</v>
      </c>
      <c r="AJ54">
        <f>Monthly_kWh!Z31</f>
        <v>4.6197000000001202E-2</v>
      </c>
      <c r="AK54">
        <f>Monthly_kWh!AA31</f>
        <v>8.2892000000001104E-2</v>
      </c>
      <c r="AL54">
        <f>Monthly_kWh!AC31</f>
        <v>9.5848000000000197E-2</v>
      </c>
      <c r="AM54">
        <f>Monthly_kWh!AD31</f>
        <v>4.9605999999998901E-2</v>
      </c>
      <c r="AN54">
        <f>Monthly_kWh!AI31</f>
        <v>0</v>
      </c>
      <c r="AO54">
        <f>Monthly_kWh!AJ31</f>
        <v>2.46279999999999E-2</v>
      </c>
      <c r="AP54">
        <f>Monthly_kWh!AL31</f>
        <v>0.26542400000000999</v>
      </c>
      <c r="AQ54">
        <f>Monthly_kWh!AM31</f>
        <v>0.27188000000001</v>
      </c>
      <c r="AR54">
        <f>Monthly_kWh!AN31</f>
        <v>0.227080000000001</v>
      </c>
      <c r="AS54">
        <f>Monthly_kWh!AO31</f>
        <v>0.15024400000000099</v>
      </c>
      <c r="AT54">
        <f>Monthly_kWh!AP31</f>
        <v>8.2405999999998897E-2</v>
      </c>
      <c r="AU54">
        <f>Monthly_kWh!CN31</f>
        <v>4.6971000000000998E-2</v>
      </c>
      <c r="AV54">
        <f>Monthly_kWh!CR31</f>
        <v>0.14863299999999999</v>
      </c>
      <c r="AW54">
        <f>Monthly_kWh!AQ31</f>
        <v>0.197099999999999</v>
      </c>
      <c r="AX54">
        <f>Monthly_kWh!AS31</f>
        <v>4.7861000000000202E-2</v>
      </c>
      <c r="AY54">
        <f>Monthly_kWh!EH31</f>
        <v>0.46591999999998301</v>
      </c>
      <c r="AZ54">
        <f>Monthly_kWh!EJ31</f>
        <v>2.64960000000087E-2</v>
      </c>
      <c r="BA54">
        <f>Monthly_kWh!EI31</f>
        <v>0.585791999999969</v>
      </c>
      <c r="BB54">
        <f>Monthly_kWh!AW31</f>
        <v>0.36934399999995499</v>
      </c>
      <c r="BC54">
        <f>Monthly_kWh!DS31</f>
        <v>0.48476800000003101</v>
      </c>
      <c r="BD54">
        <f>Monthly_kWh!CO31</f>
        <v>0.37993599999998701</v>
      </c>
      <c r="BE54">
        <f>Monthly_kWh!DA31</f>
        <v>0.195860000000003</v>
      </c>
      <c r="BF54">
        <f>Monthly_kWh!DB31</f>
        <v>8.1701000000000704E-2</v>
      </c>
      <c r="BG54">
        <f>Monthly_kWh!EK31</f>
        <v>0</v>
      </c>
      <c r="BH54">
        <f>Monthly_kWh!EL31</f>
        <v>0.83302400000002297</v>
      </c>
      <c r="BI54">
        <f>Monthly_kWh!EM31</f>
        <v>1.602304</v>
      </c>
      <c r="BJ54">
        <f>Monthly_kWh!EN31</f>
        <v>1.50783999999976</v>
      </c>
      <c r="BK54">
        <f>Monthly_kWh!EO31</f>
        <v>0.20761600000003</v>
      </c>
      <c r="BL54">
        <f>Monthly_kWh!ER31</f>
        <v>2.4142979999999898</v>
      </c>
      <c r="BM54">
        <f>Monthly_kWh!BW31</f>
        <v>0</v>
      </c>
      <c r="BN54">
        <f>Monthly_kWh!DR31</f>
        <v>0</v>
      </c>
      <c r="BO54">
        <f>Monthly_kWh!CG31</f>
        <v>0</v>
      </c>
      <c r="BP54">
        <f>Monthly_kWh!CI31</f>
        <v>0</v>
      </c>
      <c r="BQ54">
        <f>Monthly_kWh!BV31</f>
        <v>0</v>
      </c>
      <c r="BR54">
        <f>Monthly_kWh!BO31</f>
        <v>0.183868</v>
      </c>
      <c r="BS54">
        <f>Monthly_kWh!CW31</f>
        <v>1.59480000000016E-2</v>
      </c>
      <c r="BT54">
        <f>Monthly_kWh!DE31</f>
        <v>0</v>
      </c>
      <c r="BU54">
        <f>Monthly_kWh!DW31</f>
        <v>0</v>
      </c>
      <c r="BV54">
        <f>Monthly_kWh!CB31</f>
        <v>0</v>
      </c>
      <c r="BW54">
        <f>Monthly_kWh!CZ31</f>
        <v>2.0223249999999901E-2</v>
      </c>
      <c r="BX54">
        <f>Monthly_kWh!DG31</f>
        <v>1.5475999999999599E-2</v>
      </c>
      <c r="BY54">
        <f>Monthly_kWh!BS31</f>
        <v>0</v>
      </c>
      <c r="BZ54">
        <f>Monthly_kWh!CH31</f>
        <v>6.9997499999998603E-3</v>
      </c>
      <c r="CA54">
        <f>Monthly_kWh!BR31</f>
        <v>0</v>
      </c>
      <c r="CB54">
        <f>Monthly_kWh!BP31</f>
        <v>0</v>
      </c>
      <c r="CC54">
        <f>Monthly_kWh!BU31</f>
        <v>0</v>
      </c>
      <c r="CD54">
        <f>Monthly_kWh!BX31</f>
        <v>0</v>
      </c>
      <c r="CE54">
        <f>Monthly_kWh!CV31</f>
        <v>9.3242500000001397E-3</v>
      </c>
      <c r="CF54">
        <f>Monthly_kWh!BT31</f>
        <v>1.37919999999951E-2</v>
      </c>
      <c r="CG54">
        <f>Monthly_kWh!CA31</f>
        <v>3.60053124999998E-3</v>
      </c>
      <c r="CH54">
        <f>Monthly_kWh!CF31</f>
        <v>2.12579999999996E-2</v>
      </c>
      <c r="CI54">
        <f>Monthly_kWh!BZ31</f>
        <v>8.1615999999996802E-2</v>
      </c>
      <c r="CJ54">
        <f>Monthly_kWh!CK31</f>
        <v>0</v>
      </c>
      <c r="CK54">
        <f>Monthly_kWh!DT31</f>
        <v>5.8125999999999699E-2</v>
      </c>
      <c r="CL54">
        <f>Monthly_kWh!EB31</f>
        <v>0.22488000000001299</v>
      </c>
      <c r="CM54">
        <f>Monthly_kWh!EC31</f>
        <v>0.137951999999984</v>
      </c>
      <c r="CN54">
        <f>Monthly_kWh!CQ31</f>
        <v>0</v>
      </c>
      <c r="CO54">
        <f>Monthly_kWh!DF31</f>
        <v>0</v>
      </c>
      <c r="CP54">
        <f>Monthly_kWh!DJ31</f>
        <v>0</v>
      </c>
      <c r="CQ54">
        <f>Monthly_kWh!DP31</f>
        <v>2.63604999999991E-2</v>
      </c>
      <c r="CR54">
        <f>Monthly_kWh!BQ31</f>
        <v>0</v>
      </c>
      <c r="CS54">
        <f>Monthly_kWh!BY31</f>
        <v>6.8399999999990701E-4</v>
      </c>
      <c r="CT54">
        <f>Monthly_kWh!DU31</f>
        <v>0</v>
      </c>
      <c r="CU54">
        <f>Monthly_kWh!DQ31</f>
        <v>0</v>
      </c>
      <c r="CV54">
        <f>Monthly_kWh!EA31</f>
        <v>0</v>
      </c>
      <c r="CW54">
        <f>Monthly_kWh!DO31</f>
        <v>1.7616000000003899E-2</v>
      </c>
      <c r="CX54">
        <f>Monthly_kWh!DX31</f>
        <v>2.05199999999994E-2</v>
      </c>
      <c r="CY54">
        <f>Monthly_kWh!DY31</f>
        <v>8.89218749999998E-3</v>
      </c>
      <c r="CZ54">
        <f>Monthly_kWh!DZ31</f>
        <v>5.2217999999999903E-2</v>
      </c>
      <c r="DA54">
        <f>Monthly_kWh!ED31</f>
        <v>2.1682499999999801E-3</v>
      </c>
      <c r="DB54">
        <f>Monthly_kWh!DV31</f>
        <v>8.3975000000000594E-3</v>
      </c>
      <c r="DC54">
        <f>Monthly_kWh!CT31</f>
        <v>1.53600000000154E-3</v>
      </c>
      <c r="DD54">
        <f>Monthly_kWh!DN31</f>
        <v>0</v>
      </c>
      <c r="DE54">
        <f>Monthly_kWh!AZ31</f>
        <v>7.4999999997160697E-6</v>
      </c>
      <c r="DF54">
        <f>Monthly_kWh!BD31</f>
        <v>4.1728671875000097E-3</v>
      </c>
      <c r="DG54">
        <f>Monthly_kWh!AV31</f>
        <v>3.7498999999999498E-2</v>
      </c>
      <c r="DH54">
        <f>Monthly_kWh!BG31</f>
        <v>2.55459999999985E-2</v>
      </c>
      <c r="DI54">
        <f>Monthly_kWh!DK31</f>
        <v>5.0065999999997501E-2</v>
      </c>
      <c r="DJ54">
        <f>Monthly_kWh!DL31</f>
        <v>1.6479187499999999E-2</v>
      </c>
      <c r="DK54">
        <f>Monthly_kWh!AU31</f>
        <v>5.0392000000002199E-2</v>
      </c>
      <c r="DL54">
        <f>Monthly_kWh!DM31</f>
        <v>0</v>
      </c>
      <c r="DM54">
        <f>Monthly_kWh!CC31</f>
        <v>0</v>
      </c>
      <c r="DN54">
        <f>Monthly_kWh!BH31</f>
        <v>2.6260000000028999E-3</v>
      </c>
      <c r="DO54">
        <f>Monthly_kWh!AK31</f>
        <v>0</v>
      </c>
      <c r="DP54">
        <f>Monthly_kWh!AT31</f>
        <v>0</v>
      </c>
      <c r="DQ54">
        <f>Monthly_kWh!AX31</f>
        <v>0</v>
      </c>
      <c r="DR54">
        <f>Monthly_kWh!BA31</f>
        <v>0</v>
      </c>
      <c r="DS54">
        <f>Monthly_kWh!BB31</f>
        <v>0</v>
      </c>
      <c r="DT54">
        <f>Monthly_kWh!BC31</f>
        <v>0</v>
      </c>
      <c r="DU54">
        <f>Monthly_kWh!BF31</f>
        <v>0</v>
      </c>
      <c r="DV54">
        <f>Monthly_kWh!BN31</f>
        <v>0</v>
      </c>
      <c r="DW54">
        <f>Monthly_kWh!CD31</f>
        <v>0</v>
      </c>
      <c r="DX54">
        <f>Monthly_kWh!CE31</f>
        <v>0</v>
      </c>
      <c r="DY54">
        <f>Monthly_kWh!CJ31</f>
        <v>0</v>
      </c>
      <c r="DZ54">
        <f>Monthly_kWh!CP31</f>
        <v>0</v>
      </c>
      <c r="EA54">
        <f>Monthly_kWh!CS31</f>
        <v>0</v>
      </c>
      <c r="EB54">
        <f>Monthly_kWh!CU31</f>
        <v>0</v>
      </c>
      <c r="EC54">
        <f>Monthly_kWh!EG31</f>
        <v>0</v>
      </c>
      <c r="ED54">
        <f>Monthly_kWh!EQ31</f>
        <v>0</v>
      </c>
    </row>
    <row r="55" spans="1:134" ht="14" x14ac:dyDescent="0.25">
      <c r="A55" s="325"/>
      <c r="B55" s="137">
        <v>54</v>
      </c>
      <c r="C55" s="141" t="s">
        <v>300</v>
      </c>
      <c r="D55" s="134">
        <f>DAILY_ENERGY!C89</f>
        <v>0</v>
      </c>
      <c r="E55" s="134">
        <f>DAILY_ENERGY!D89</f>
        <v>0</v>
      </c>
      <c r="F55" s="134">
        <f>DAILY_ENERGY!E89</f>
        <v>0</v>
      </c>
      <c r="G55" s="134"/>
      <c r="H55" s="134">
        <f>SHIFT_A!E89</f>
        <v>0</v>
      </c>
      <c r="I55" s="134">
        <f>SHIFT_B!E89</f>
        <v>0</v>
      </c>
      <c r="J55" s="134">
        <f>SHIFT_C!E89</f>
        <v>0</v>
      </c>
      <c r="K55" s="162">
        <f t="shared" si="0"/>
        <v>0</v>
      </c>
      <c r="L55" s="163">
        <f t="shared" si="1"/>
        <v>0</v>
      </c>
      <c r="N55" s="168">
        <v>26</v>
      </c>
      <c r="O55">
        <f>Monthly_kWh!AF32</f>
        <v>0</v>
      </c>
      <c r="P55">
        <f>Monthly_kWh!BJ32</f>
        <v>1.3920000000027201E-3</v>
      </c>
      <c r="Q55">
        <f>Monthly_kWh!BK32</f>
        <v>0.144176</v>
      </c>
      <c r="R55">
        <f>Monthly_kWh!EP32</f>
        <v>0</v>
      </c>
      <c r="S55">
        <f>Monthly_kWh!EE32</f>
        <v>0.168488</v>
      </c>
      <c r="T55">
        <f>Monthly_kWh!DH32</f>
        <v>2.2596999999999302E-2</v>
      </c>
      <c r="U55">
        <f>Monthly_kWh!CL32</f>
        <v>6.1485999999998597E-2</v>
      </c>
      <c r="V55">
        <f>Monthly_kWh!BL32</f>
        <v>3.0000000002416999E-5</v>
      </c>
      <c r="W55">
        <f>Monthly_kWh!V32</f>
        <v>0.123458000000003</v>
      </c>
      <c r="X55">
        <f>Monthly_kWh!AB32</f>
        <v>0.16044600000000001</v>
      </c>
      <c r="Y55">
        <f>Monthly_kWh!AE32</f>
        <v>9.7221499999999905E-2</v>
      </c>
      <c r="Z55">
        <f>Monthly_kWh!AG32</f>
        <v>1.3999999999999299E-2</v>
      </c>
      <c r="AA55">
        <f>Monthly_kWh!BE32</f>
        <v>0.107198</v>
      </c>
      <c r="AB55">
        <f>Monthly_kWh!AY32</f>
        <v>0.10040399999999999</v>
      </c>
      <c r="AC55">
        <f>Monthly_kWh!CX32</f>
        <v>0</v>
      </c>
      <c r="AD55">
        <f>Monthly_kWh!CY32</f>
        <v>1.21470000000001E-2</v>
      </c>
      <c r="AE55">
        <f>Monthly_kWh!DC32</f>
        <v>0.20243165625000001</v>
      </c>
      <c r="AF55">
        <f>Monthly_kWh!DD32</f>
        <v>3.0959875000000001E-2</v>
      </c>
      <c r="AG55">
        <f>Monthly_kWh!W32</f>
        <v>6.9661000000000001E-2</v>
      </c>
      <c r="AH55">
        <f>Monthly_kWh!X32</f>
        <v>7.1218000000000004E-2</v>
      </c>
      <c r="AI55">
        <f>Monthly_kWh!Y32</f>
        <v>0</v>
      </c>
      <c r="AJ55">
        <f>Monthly_kWh!Z32</f>
        <v>4.14909999999988E-2</v>
      </c>
      <c r="AK55">
        <f>Monthly_kWh!AA32</f>
        <v>8.4610000000001406E-2</v>
      </c>
      <c r="AL55">
        <f>Monthly_kWh!AC32</f>
        <v>0.113427999999999</v>
      </c>
      <c r="AM55">
        <f>Monthly_kWh!AD32</f>
        <v>4.9974999999999901E-2</v>
      </c>
      <c r="AN55">
        <f>Monthly_kWh!AI32</f>
        <v>0</v>
      </c>
      <c r="AO55">
        <f>Monthly_kWh!AJ32</f>
        <v>2.6339000000000098E-2</v>
      </c>
      <c r="AP55">
        <f>Monthly_kWh!AL32</f>
        <v>0.260815999999991</v>
      </c>
      <c r="AQ55">
        <f>Monthly_kWh!AM32</f>
        <v>0.30524799999999203</v>
      </c>
      <c r="AR55">
        <f>Monthly_kWh!AN32</f>
        <v>0.26461599999999003</v>
      </c>
      <c r="AS55">
        <f>Monthly_kWh!AO32</f>
        <v>0.15703599999999801</v>
      </c>
      <c r="AT55">
        <f>Monthly_kWh!AP32</f>
        <v>7.3852000000002194E-2</v>
      </c>
      <c r="AU55">
        <f>Monthly_kWh!CN32</f>
        <v>4.5460000000000299E-2</v>
      </c>
      <c r="AV55">
        <f>Monthly_kWh!CR32</f>
        <v>0.18001600000000001</v>
      </c>
      <c r="AW55">
        <f>Monthly_kWh!AQ32</f>
        <v>0.228572</v>
      </c>
      <c r="AX55">
        <f>Monthly_kWh!AS32</f>
        <v>5.2216999999999701E-2</v>
      </c>
      <c r="AY55">
        <f>Monthly_kWh!EH32</f>
        <v>0.50515199999995297</v>
      </c>
      <c r="AZ55">
        <f>Monthly_kWh!EJ32</f>
        <v>5.1040000000000398E-2</v>
      </c>
      <c r="BA55">
        <f>Monthly_kWh!EI32</f>
        <v>0.68435199999998997</v>
      </c>
      <c r="BB55">
        <f>Monthly_kWh!AW32</f>
        <v>0.85017600000003302</v>
      </c>
      <c r="BC55">
        <f>Monthly_kWh!DS32</f>
        <v>6.8832000000043095E-2</v>
      </c>
      <c r="BD55">
        <f>Monthly_kWh!CO32</f>
        <v>0.452608000000012</v>
      </c>
      <c r="BE55">
        <f>Monthly_kWh!DA32</f>
        <v>0.26712399999999498</v>
      </c>
      <c r="BF55">
        <f>Monthly_kWh!DB32</f>
        <v>9.2381999999998896E-2</v>
      </c>
      <c r="BG55">
        <f>Monthly_kWh!EK32</f>
        <v>0</v>
      </c>
      <c r="BH55">
        <f>Monthly_kWh!EL32</f>
        <v>1.82015999999999</v>
      </c>
      <c r="BI55">
        <f>Monthly_kWh!EM32</f>
        <v>1.81196799999998</v>
      </c>
      <c r="BJ55">
        <f>Monthly_kWh!EN32</f>
        <v>1.52985600000011</v>
      </c>
      <c r="BK55">
        <f>Monthly_kWh!EO32</f>
        <v>1.7600000000015801E-2</v>
      </c>
      <c r="BL55">
        <f>Monthly_kWh!ER32</f>
        <v>2.4479570000000201</v>
      </c>
      <c r="BM55">
        <f>Monthly_kWh!BW32</f>
        <v>0</v>
      </c>
      <c r="BN55">
        <f>Monthly_kWh!DR32</f>
        <v>0</v>
      </c>
      <c r="BO55">
        <f>Monthly_kWh!CG32</f>
        <v>0</v>
      </c>
      <c r="BP55">
        <f>Monthly_kWh!CI32</f>
        <v>0</v>
      </c>
      <c r="BQ55">
        <f>Monthly_kWh!BV32</f>
        <v>0</v>
      </c>
      <c r="BR55">
        <f>Monthly_kWh!BO32</f>
        <v>0.62342200000000003</v>
      </c>
      <c r="BS55">
        <f>Monthly_kWh!CW32</f>
        <v>7.1632000000001E-2</v>
      </c>
      <c r="BT55">
        <f>Monthly_kWh!DE32</f>
        <v>0</v>
      </c>
      <c r="BU55">
        <f>Monthly_kWh!DW32</f>
        <v>0</v>
      </c>
      <c r="BV55">
        <f>Monthly_kWh!CB32</f>
        <v>0</v>
      </c>
      <c r="BW55">
        <f>Monthly_kWh!CZ32</f>
        <v>2.6470250000000001E-2</v>
      </c>
      <c r="BX55">
        <f>Monthly_kWh!DG32</f>
        <v>1.9598000000000199E-2</v>
      </c>
      <c r="BY55">
        <f>Monthly_kWh!BS32</f>
        <v>0</v>
      </c>
      <c r="BZ55">
        <f>Monthly_kWh!CH32</f>
        <v>3.1922500000001199E-3</v>
      </c>
      <c r="CA55">
        <f>Monthly_kWh!BR32</f>
        <v>0</v>
      </c>
      <c r="CB55">
        <f>Monthly_kWh!BP32</f>
        <v>0</v>
      </c>
      <c r="CC55">
        <f>Monthly_kWh!BU32</f>
        <v>0</v>
      </c>
      <c r="CD55">
        <f>Monthly_kWh!BX32</f>
        <v>0</v>
      </c>
      <c r="CE55">
        <f>Monthly_kWh!CV32</f>
        <v>9.0326249999999105E-3</v>
      </c>
      <c r="CF55">
        <f>Monthly_kWh!BT32</f>
        <v>1.3608000000004899E-2</v>
      </c>
      <c r="CG55">
        <f>Monthly_kWh!CA32</f>
        <v>2.9932499999999998E-3</v>
      </c>
      <c r="CH55">
        <f>Monthly_kWh!CF32</f>
        <v>1.5772000000000098E-2</v>
      </c>
      <c r="CI55">
        <f>Monthly_kWh!BZ32</f>
        <v>0.10400799999999299</v>
      </c>
      <c r="CJ55">
        <f>Monthly_kWh!CK32</f>
        <v>0</v>
      </c>
      <c r="CK55">
        <f>Monthly_kWh!DT32</f>
        <v>3.9335500000000002E-2</v>
      </c>
      <c r="CL55">
        <f>Monthly_kWh!EB32</f>
        <v>0.32086399999999998</v>
      </c>
      <c r="CM55">
        <f>Monthly_kWh!EC32</f>
        <v>0.103184000000027</v>
      </c>
      <c r="CN55">
        <f>Monthly_kWh!CQ32</f>
        <v>0</v>
      </c>
      <c r="CO55">
        <f>Monthly_kWh!DF32</f>
        <v>0</v>
      </c>
      <c r="CP55">
        <f>Monthly_kWh!DJ32</f>
        <v>0</v>
      </c>
      <c r="CQ55">
        <f>Monthly_kWh!DP32</f>
        <v>2.4722999999999801E-2</v>
      </c>
      <c r="CR55">
        <f>Monthly_kWh!BQ32</f>
        <v>0</v>
      </c>
      <c r="CS55">
        <f>Monthly_kWh!BY32</f>
        <v>0</v>
      </c>
      <c r="CT55">
        <f>Monthly_kWh!DU32</f>
        <v>0</v>
      </c>
      <c r="CU55">
        <f>Monthly_kWh!DQ32</f>
        <v>0</v>
      </c>
      <c r="CV55">
        <f>Monthly_kWh!EA32</f>
        <v>0</v>
      </c>
      <c r="CW55">
        <f>Monthly_kWh!DO32</f>
        <v>3.3359999999987601E-2</v>
      </c>
      <c r="CX55">
        <f>Monthly_kWh!DX32</f>
        <v>8.9964000000000197E-2</v>
      </c>
      <c r="CY55">
        <f>Monthly_kWh!DY32</f>
        <v>7.7534375000000199E-3</v>
      </c>
      <c r="CZ55">
        <f>Monthly_kWh!DZ32</f>
        <v>2.8715999999999301E-2</v>
      </c>
      <c r="DA55">
        <f>Monthly_kWh!ED32</f>
        <v>2.1552499999999402E-3</v>
      </c>
      <c r="DB55">
        <f>Monthly_kWh!DV32</f>
        <v>7.0217499999998302E-3</v>
      </c>
      <c r="DC55">
        <f>Monthly_kWh!CT32</f>
        <v>1.54399999999555E-3</v>
      </c>
      <c r="DD55">
        <f>Monthly_kWh!DN32</f>
        <v>8.6812500000088596E-5</v>
      </c>
      <c r="DE55">
        <f>Monthly_kWh!AZ32</f>
        <v>6.49999999957629E-6</v>
      </c>
      <c r="DF55">
        <f>Monthly_kWh!BD32</f>
        <v>3.18669140625E-3</v>
      </c>
      <c r="DG55">
        <f>Monthly_kWh!AV32</f>
        <v>1.6747500000000099E-2</v>
      </c>
      <c r="DH55">
        <f>Monthly_kWh!BG32</f>
        <v>2.0154000000001601E-2</v>
      </c>
      <c r="DI55">
        <f>Monthly_kWh!DK32</f>
        <v>4.7874000000000201E-2</v>
      </c>
      <c r="DJ55">
        <f>Monthly_kWh!DL32</f>
        <v>1.594171875E-2</v>
      </c>
      <c r="DK55">
        <f>Monthly_kWh!AU32</f>
        <v>5.2939999999999501E-2</v>
      </c>
      <c r="DL55">
        <f>Monthly_kWh!DM32</f>
        <v>0</v>
      </c>
      <c r="DM55">
        <f>Monthly_kWh!CC32</f>
        <v>0</v>
      </c>
      <c r="DN55">
        <f>Monthly_kWh!BH32</f>
        <v>1.7839999999999599E-2</v>
      </c>
      <c r="DO55">
        <f>Monthly_kWh!AK32</f>
        <v>0</v>
      </c>
      <c r="DP55">
        <f>Monthly_kWh!AT32</f>
        <v>0</v>
      </c>
      <c r="DQ55">
        <f>Monthly_kWh!AX32</f>
        <v>0</v>
      </c>
      <c r="DR55">
        <f>Monthly_kWh!BA32</f>
        <v>0</v>
      </c>
      <c r="DS55">
        <f>Monthly_kWh!BB32</f>
        <v>0</v>
      </c>
      <c r="DT55">
        <f>Monthly_kWh!BC32</f>
        <v>0</v>
      </c>
      <c r="DU55">
        <f>Monthly_kWh!BF32</f>
        <v>0</v>
      </c>
      <c r="DV55">
        <f>Monthly_kWh!BN32</f>
        <v>0</v>
      </c>
      <c r="DW55">
        <f>Monthly_kWh!CD32</f>
        <v>0</v>
      </c>
      <c r="DX55">
        <f>Monthly_kWh!CE32</f>
        <v>0</v>
      </c>
      <c r="DY55">
        <f>Monthly_kWh!CJ32</f>
        <v>0</v>
      </c>
      <c r="DZ55">
        <f>Monthly_kWh!CP32</f>
        <v>0</v>
      </c>
      <c r="EA55">
        <f>Monthly_kWh!CS32</f>
        <v>0</v>
      </c>
      <c r="EB55">
        <f>Monthly_kWh!CU32</f>
        <v>0</v>
      </c>
      <c r="EC55">
        <f>Monthly_kWh!EG32</f>
        <v>0</v>
      </c>
      <c r="ED55">
        <f>Monthly_kWh!EQ32</f>
        <v>0</v>
      </c>
    </row>
    <row r="56" spans="1:134" ht="14" x14ac:dyDescent="0.25">
      <c r="A56" s="325"/>
      <c r="B56" s="137">
        <v>55</v>
      </c>
      <c r="C56" s="141" t="s">
        <v>287</v>
      </c>
      <c r="D56" s="134">
        <f>DAILY_ENERGY!C76</f>
        <v>0</v>
      </c>
      <c r="E56" s="134">
        <f>DAILY_ENERGY!D76</f>
        <v>0</v>
      </c>
      <c r="F56" s="134">
        <f>DAILY_ENERGY!E76</f>
        <v>0</v>
      </c>
      <c r="G56" s="134"/>
      <c r="H56" s="134">
        <f>SHIFT_A!E76</f>
        <v>0</v>
      </c>
      <c r="I56" s="134">
        <f>SHIFT_B!E76</f>
        <v>0</v>
      </c>
      <c r="J56" s="134">
        <f>SHIFT_C!E76</f>
        <v>0</v>
      </c>
      <c r="K56" s="162">
        <f t="shared" si="0"/>
        <v>0</v>
      </c>
      <c r="L56" s="163">
        <f t="shared" si="1"/>
        <v>0</v>
      </c>
      <c r="N56" s="168">
        <v>27</v>
      </c>
      <c r="O56">
        <f>Monthly_kWh!AF33</f>
        <v>0</v>
      </c>
      <c r="P56">
        <f>Monthly_kWh!BJ33</f>
        <v>4.8199999999809501E-4</v>
      </c>
      <c r="Q56">
        <f>Monthly_kWh!BK33</f>
        <v>5.4815000000000502E-2</v>
      </c>
      <c r="R56">
        <f>Monthly_kWh!EP33</f>
        <v>0</v>
      </c>
      <c r="S56">
        <f>Monthly_kWh!EE33</f>
        <v>0.16965350000000001</v>
      </c>
      <c r="T56">
        <f>Monthly_kWh!DH33</f>
        <v>1.5701000000000898E-2</v>
      </c>
      <c r="U56">
        <f>Monthly_kWh!CL33</f>
        <v>6.0570000000001997E-2</v>
      </c>
      <c r="V56">
        <f>Monthly_kWh!BL33</f>
        <v>1.9999999985031999E-6</v>
      </c>
      <c r="W56">
        <f>Monthly_kWh!V33</f>
        <v>0.124848</v>
      </c>
      <c r="X56">
        <f>Monthly_kWh!AB33</f>
        <v>0.16362000000000201</v>
      </c>
      <c r="Y56">
        <f>Monthly_kWh!AE33</f>
        <v>0.106563</v>
      </c>
      <c r="Z56">
        <f>Monthly_kWh!AG33</f>
        <v>1.1153500000000699E-2</v>
      </c>
      <c r="AA56">
        <f>Monthly_kWh!BE33</f>
        <v>0.10624600000000201</v>
      </c>
      <c r="AB56">
        <f>Monthly_kWh!AY33</f>
        <v>7.69339999999996E-2</v>
      </c>
      <c r="AC56">
        <f>Monthly_kWh!CX33</f>
        <v>0</v>
      </c>
      <c r="AD56">
        <f>Monthly_kWh!CY33</f>
        <v>1.01139999999997E-2</v>
      </c>
      <c r="AE56">
        <f>Monthly_kWh!DC33</f>
        <v>0.20915881250000001</v>
      </c>
      <c r="AF56">
        <f>Monthly_kWh!DD33</f>
        <v>3.2119250000000002E-2</v>
      </c>
      <c r="AG56">
        <f>Monthly_kWh!W33</f>
        <v>6.10199999999992E-2</v>
      </c>
      <c r="AH56">
        <f>Monthly_kWh!X33</f>
        <v>6.9279000000001603E-2</v>
      </c>
      <c r="AI56">
        <f>Monthly_kWh!Y33</f>
        <v>0</v>
      </c>
      <c r="AJ56">
        <f>Monthly_kWh!Z33</f>
        <v>4.6765999999999898E-2</v>
      </c>
      <c r="AK56">
        <f>Monthly_kWh!AA33</f>
        <v>8.4527999999998799E-2</v>
      </c>
      <c r="AL56">
        <f>Monthly_kWh!AC33</f>
        <v>0.11712599999999899</v>
      </c>
      <c r="AM56">
        <f>Monthly_kWh!AD33</f>
        <v>4.9555000000001598E-2</v>
      </c>
      <c r="AN56">
        <f>Monthly_kWh!AI33</f>
        <v>0</v>
      </c>
      <c r="AO56">
        <f>Monthly_kWh!AJ33</f>
        <v>2.53164999999997E-2</v>
      </c>
      <c r="AP56">
        <f>Monthly_kWh!AL33</f>
        <v>0.27491199999999999</v>
      </c>
      <c r="AQ56">
        <f>Monthly_kWh!AM33</f>
        <v>0.32178400000000801</v>
      </c>
      <c r="AR56">
        <f>Monthly_kWh!AN33</f>
        <v>0.24484800000000501</v>
      </c>
      <c r="AS56">
        <f>Monthly_kWh!AO33</f>
        <v>0.15088399999999799</v>
      </c>
      <c r="AT56">
        <f>Monthly_kWh!AP33</f>
        <v>7.0927999999998506E-2</v>
      </c>
      <c r="AU56">
        <f>Monthly_kWh!CN33</f>
        <v>3.6225999999999203E-2</v>
      </c>
      <c r="AV56">
        <f>Monthly_kWh!CR33</f>
        <v>7.0183000000000106E-2</v>
      </c>
      <c r="AW56">
        <f>Monthly_kWh!AQ33</f>
        <v>0.216256000000001</v>
      </c>
      <c r="AX56">
        <f>Monthly_kWh!AS33</f>
        <v>5.3837500000000198E-2</v>
      </c>
      <c r="AY56">
        <f>Monthly_kWh!EH33</f>
        <v>0.43776000000002602</v>
      </c>
      <c r="AZ56">
        <f>Monthly_kWh!EJ33</f>
        <v>4.0863999999999102E-2</v>
      </c>
      <c r="BA56">
        <f>Monthly_kWh!EI33</f>
        <v>0.70278400000006502</v>
      </c>
      <c r="BB56">
        <f>Monthly_kWh!AW33</f>
        <v>0.42047999999999802</v>
      </c>
      <c r="BC56">
        <f>Monthly_kWh!DS33</f>
        <v>0.396928000000003</v>
      </c>
      <c r="BD56">
        <f>Monthly_kWh!CO33</f>
        <v>0.54161599999999099</v>
      </c>
      <c r="BE56">
        <f>Monthly_kWh!DA33</f>
        <v>0.186980000000005</v>
      </c>
      <c r="BF56">
        <f>Monthly_kWh!DB33</f>
        <v>9.2285000000000394E-2</v>
      </c>
      <c r="BG56">
        <f>Monthly_kWh!EK33</f>
        <v>0</v>
      </c>
      <c r="BH56">
        <f>Monthly_kWh!EL33</f>
        <v>1.52742400000011</v>
      </c>
      <c r="BI56">
        <f>Monthly_kWh!EM33</f>
        <v>2.3308799999999801</v>
      </c>
      <c r="BJ56">
        <f>Monthly_kWh!EN33</f>
        <v>0.98918400000002304</v>
      </c>
      <c r="BK56">
        <f>Monthly_kWh!EO33</f>
        <v>1.8176000000039501E-2</v>
      </c>
      <c r="BL56">
        <f>Monthly_kWh!ER33</f>
        <v>2.4627349999999799</v>
      </c>
      <c r="BM56">
        <f>Monthly_kWh!BW33</f>
        <v>0</v>
      </c>
      <c r="BN56">
        <f>Monthly_kWh!DR33</f>
        <v>0</v>
      </c>
      <c r="BO56">
        <f>Monthly_kWh!CG33</f>
        <v>0</v>
      </c>
      <c r="BP56">
        <f>Monthly_kWh!CI33</f>
        <v>0</v>
      </c>
      <c r="BQ56">
        <f>Monthly_kWh!BV33</f>
        <v>0</v>
      </c>
      <c r="BR56">
        <f>Monthly_kWh!BO33</f>
        <v>0.53675799999999896</v>
      </c>
      <c r="BS56">
        <f>Monthly_kWh!CW33</f>
        <v>6.6620000000000304E-2</v>
      </c>
      <c r="BT56">
        <f>Monthly_kWh!DE33</f>
        <v>0</v>
      </c>
      <c r="BU56">
        <f>Monthly_kWh!DW33</f>
        <v>0</v>
      </c>
      <c r="BV56">
        <f>Monthly_kWh!CB33</f>
        <v>0</v>
      </c>
      <c r="BW56">
        <f>Monthly_kWh!CZ33</f>
        <v>2.1594749999999802E-2</v>
      </c>
      <c r="BX56">
        <f>Monthly_kWh!DG33</f>
        <v>1.17429999999992E-2</v>
      </c>
      <c r="BY56">
        <f>Monthly_kWh!BS33</f>
        <v>0</v>
      </c>
      <c r="BZ56">
        <f>Monthly_kWh!CH33</f>
        <v>1.7872499999999701E-2</v>
      </c>
      <c r="CA56">
        <f>Monthly_kWh!BR33</f>
        <v>0</v>
      </c>
      <c r="CB56">
        <f>Monthly_kWh!BP33</f>
        <v>0</v>
      </c>
      <c r="CC56">
        <f>Monthly_kWh!BU33</f>
        <v>0</v>
      </c>
      <c r="CD56">
        <f>Monthly_kWh!BX33</f>
        <v>0</v>
      </c>
      <c r="CE56">
        <f>Monthly_kWh!CV33</f>
        <v>6.2981250000000398E-3</v>
      </c>
      <c r="CF56">
        <f>Monthly_kWh!BT33</f>
        <v>2.9727999999998599E-2</v>
      </c>
      <c r="CG56">
        <f>Monthly_kWh!CA33</f>
        <v>1.7621968750000001E-2</v>
      </c>
      <c r="CH56">
        <f>Monthly_kWh!CF33</f>
        <v>2.14630000000007E-2</v>
      </c>
      <c r="CI56">
        <f>Monthly_kWh!BZ33</f>
        <v>0.110647999999998</v>
      </c>
      <c r="CJ56">
        <f>Monthly_kWh!CK33</f>
        <v>0</v>
      </c>
      <c r="CK56">
        <f>Monthly_kWh!DT33</f>
        <v>1.5913000000000298E-2</v>
      </c>
      <c r="CL56">
        <f>Monthly_kWh!EB33</f>
        <v>0.32128000000000201</v>
      </c>
      <c r="CM56">
        <f>Monthly_kWh!EC33</f>
        <v>6.4815999999979099E-2</v>
      </c>
      <c r="CN56">
        <f>Monthly_kWh!CQ33</f>
        <v>0</v>
      </c>
      <c r="CO56">
        <f>Monthly_kWh!DF33</f>
        <v>0</v>
      </c>
      <c r="CP56">
        <f>Monthly_kWh!DJ33</f>
        <v>0</v>
      </c>
      <c r="CQ56">
        <f>Monthly_kWh!DP33</f>
        <v>2.5892499999999399E-2</v>
      </c>
      <c r="CR56">
        <f>Monthly_kWh!BQ33</f>
        <v>0</v>
      </c>
      <c r="CS56">
        <f>Monthly_kWh!BY33</f>
        <v>0</v>
      </c>
      <c r="CT56">
        <f>Monthly_kWh!DU33</f>
        <v>0</v>
      </c>
      <c r="CU56">
        <f>Monthly_kWh!DQ33</f>
        <v>0</v>
      </c>
      <c r="CV56">
        <f>Monthly_kWh!EA33</f>
        <v>0</v>
      </c>
      <c r="CW56">
        <f>Monthly_kWh!DO33</f>
        <v>2.9456000000010401E-2</v>
      </c>
      <c r="CX56">
        <f>Monthly_kWh!DX33</f>
        <v>5.8355000000000601E-2</v>
      </c>
      <c r="CY56">
        <f>Monthly_kWh!DY33</f>
        <v>7.4914999999999799E-3</v>
      </c>
      <c r="CZ56">
        <f>Monthly_kWh!DZ33</f>
        <v>2.73720000000033E-2</v>
      </c>
      <c r="DA56">
        <f>Monthly_kWh!ED33</f>
        <v>2.1500000000003201E-3</v>
      </c>
      <c r="DB56">
        <f>Monthly_kWh!DV33</f>
        <v>7.9607500000000702E-3</v>
      </c>
      <c r="DC56">
        <f>Monthly_kWh!CT33</f>
        <v>1.4719999999925899E-3</v>
      </c>
      <c r="DD56">
        <f>Monthly_kWh!DN33</f>
        <v>2.6249999999994301E-4</v>
      </c>
      <c r="DE56">
        <f>Monthly_kWh!AZ33</f>
        <v>8.0000000002300504E-6</v>
      </c>
      <c r="DF56">
        <f>Monthly_kWh!BD33</f>
        <v>4.7611171875000004E-3</v>
      </c>
      <c r="DG56">
        <f>Monthly_kWh!AV33</f>
        <v>3.0702500000000299E-2</v>
      </c>
      <c r="DH56">
        <f>Monthly_kWh!BG33</f>
        <v>1.25669999999989E-2</v>
      </c>
      <c r="DI56">
        <f>Monthly_kWh!DK33</f>
        <v>3.0528000000000301E-2</v>
      </c>
      <c r="DJ56">
        <f>Monthly_kWh!DL33</f>
        <v>1.17324375E-2</v>
      </c>
      <c r="DK56">
        <f>Monthly_kWh!AU33</f>
        <v>5.1220000000000702E-2</v>
      </c>
      <c r="DL56">
        <f>Monthly_kWh!DM33</f>
        <v>0</v>
      </c>
      <c r="DM56">
        <f>Monthly_kWh!CC33</f>
        <v>0</v>
      </c>
      <c r="DN56">
        <f>Monthly_kWh!BH33</f>
        <v>1.1941999999997699E-2</v>
      </c>
      <c r="DO56">
        <f>Monthly_kWh!AK33</f>
        <v>0</v>
      </c>
      <c r="DP56">
        <f>Monthly_kWh!AT33</f>
        <v>0</v>
      </c>
      <c r="DQ56">
        <f>Monthly_kWh!AX33</f>
        <v>0</v>
      </c>
      <c r="DR56">
        <f>Monthly_kWh!BA33</f>
        <v>0</v>
      </c>
      <c r="DS56">
        <f>Monthly_kWh!BB33</f>
        <v>0</v>
      </c>
      <c r="DT56">
        <f>Monthly_kWh!BC33</f>
        <v>0</v>
      </c>
      <c r="DU56">
        <f>Monthly_kWh!BF33</f>
        <v>0</v>
      </c>
      <c r="DV56">
        <f>Monthly_kWh!BN33</f>
        <v>0</v>
      </c>
      <c r="DW56">
        <f>Monthly_kWh!CD33</f>
        <v>0</v>
      </c>
      <c r="DX56">
        <f>Monthly_kWh!CE33</f>
        <v>0</v>
      </c>
      <c r="DY56">
        <f>Monthly_kWh!CJ33</f>
        <v>0</v>
      </c>
      <c r="DZ56">
        <f>Monthly_kWh!CP33</f>
        <v>0</v>
      </c>
      <c r="EA56">
        <f>Monthly_kWh!CS33</f>
        <v>0</v>
      </c>
      <c r="EB56">
        <f>Monthly_kWh!CU33</f>
        <v>0</v>
      </c>
      <c r="EC56">
        <f>Monthly_kWh!EG33</f>
        <v>0</v>
      </c>
      <c r="ED56">
        <f>Monthly_kWh!EQ33</f>
        <v>0</v>
      </c>
    </row>
    <row r="57" spans="1:134" ht="14.15" customHeight="1" x14ac:dyDescent="0.25">
      <c r="A57" s="325"/>
      <c r="B57" s="137">
        <v>56</v>
      </c>
      <c r="C57" s="141" t="s">
        <v>280</v>
      </c>
      <c r="D57" s="134">
        <f>DAILY_ENERGY!C69</f>
        <v>16.588630999999999</v>
      </c>
      <c r="E57" s="134">
        <f>DAILY_ENERGY!D69</f>
        <v>17.056632</v>
      </c>
      <c r="F57" s="134">
        <f>DAILY_ENERGY!E69</f>
        <v>0.468001000000001</v>
      </c>
      <c r="G57" s="134"/>
      <c r="H57" s="134">
        <f>SHIFT_A!E69</f>
        <v>0.37089900000000142</v>
      </c>
      <c r="I57" s="134">
        <f>SHIFT_B!E69</f>
        <v>1.2821999999999889E-2</v>
      </c>
      <c r="J57" s="134">
        <f>SHIFT_C!E69</f>
        <v>8.4279999999999688E-2</v>
      </c>
      <c r="K57" s="162">
        <f t="shared" si="0"/>
        <v>0.468001000000001</v>
      </c>
      <c r="L57" s="163">
        <f t="shared" si="1"/>
        <v>0</v>
      </c>
      <c r="N57" s="168">
        <v>28</v>
      </c>
      <c r="O57">
        <f>Monthly_kWh!AF34</f>
        <v>0</v>
      </c>
      <c r="P57">
        <f>Monthly_kWh!BJ34</f>
        <v>7.0109999999985496E-3</v>
      </c>
      <c r="Q57">
        <f>Monthly_kWh!BK34</f>
        <v>5.1642999999999398E-2</v>
      </c>
      <c r="R57">
        <f>Monthly_kWh!EP34</f>
        <v>0</v>
      </c>
      <c r="S57">
        <f>Monthly_kWh!EE34</f>
        <v>0.15159600000000001</v>
      </c>
      <c r="T57">
        <f>Monthly_kWh!DH34</f>
        <v>1.7564499999999799E-2</v>
      </c>
      <c r="U57">
        <f>Monthly_kWh!CL34</f>
        <v>6.3009999999998498E-2</v>
      </c>
      <c r="V57">
        <f>Monthly_kWh!BL34</f>
        <v>8.0000000011182203E-6</v>
      </c>
      <c r="W57">
        <f>Monthly_kWh!V34</f>
        <v>0.12512799999999699</v>
      </c>
      <c r="X57">
        <f>Monthly_kWh!AB34</f>
        <v>0.152864000000001</v>
      </c>
      <c r="Y57">
        <f>Monthly_kWh!AE34</f>
        <v>7.7986000000000097E-2</v>
      </c>
      <c r="Z57">
        <f>Monthly_kWh!AG34</f>
        <v>1.47034999999995E-2</v>
      </c>
      <c r="AA57">
        <f>Monthly_kWh!BE34</f>
        <v>0.1099</v>
      </c>
      <c r="AB57">
        <f>Monthly_kWh!AY34</f>
        <v>7.1182499999999899E-2</v>
      </c>
      <c r="AC57">
        <f>Monthly_kWh!CX34</f>
        <v>5.7183999999999499E-2</v>
      </c>
      <c r="AD57">
        <f>Monthly_kWh!CY34</f>
        <v>1.1993000000000399E-2</v>
      </c>
      <c r="AE57">
        <f>Monthly_kWh!DC34</f>
        <v>0.2019470625</v>
      </c>
      <c r="AF57">
        <f>Monthly_kWh!DD34</f>
        <v>3.0800999999999901E-2</v>
      </c>
      <c r="AG57">
        <f>Monthly_kWh!W34</f>
        <v>4.0218000000001197E-2</v>
      </c>
      <c r="AH57">
        <f>Monthly_kWh!X34</f>
        <v>5.5277999999999501E-2</v>
      </c>
      <c r="AI57">
        <f>Monthly_kWh!Y34</f>
        <v>0</v>
      </c>
      <c r="AJ57">
        <f>Monthly_kWh!Z34</f>
        <v>4.1545000000001102E-2</v>
      </c>
      <c r="AK57">
        <f>Monthly_kWh!AA34</f>
        <v>8.4406000000001299E-2</v>
      </c>
      <c r="AL57">
        <f>Monthly_kWh!AC34</f>
        <v>0.10269399999999999</v>
      </c>
      <c r="AM57">
        <f>Monthly_kWh!AD34</f>
        <v>5.1852999999999497E-2</v>
      </c>
      <c r="AN57">
        <f>Monthly_kWh!AI34</f>
        <v>0</v>
      </c>
      <c r="AO57">
        <f>Monthly_kWh!AJ34</f>
        <v>2.5526000000000201E-2</v>
      </c>
      <c r="AP57">
        <f>Monthly_kWh!AL34</f>
        <v>0</v>
      </c>
      <c r="AQ57">
        <f>Monthly_kWh!AM34</f>
        <v>0.23685599999998899</v>
      </c>
      <c r="AR57">
        <f>Monthly_kWh!AN34</f>
        <v>0.23648</v>
      </c>
      <c r="AS57">
        <f>Monthly_kWh!AO34</f>
        <v>0.15777200000000099</v>
      </c>
      <c r="AT57">
        <f>Monthly_kWh!AP34</f>
        <v>5.95740000000013E-2</v>
      </c>
      <c r="AU57">
        <f>Monthly_kWh!CN34</f>
        <v>3.6319000000000698E-2</v>
      </c>
      <c r="AV57">
        <f>Monthly_kWh!CR34</f>
        <v>8.3216999999999403E-2</v>
      </c>
      <c r="AW57">
        <f>Monthly_kWh!AQ34</f>
        <v>0.21374399999999799</v>
      </c>
      <c r="AX57">
        <f>Monthly_kWh!AS34</f>
        <v>4.1229000000000397E-2</v>
      </c>
      <c r="AY57">
        <f>Monthly_kWh!EH34</f>
        <v>0.473728000000051</v>
      </c>
      <c r="AZ57">
        <f>Monthly_kWh!EJ34</f>
        <v>2.8575999999986799E-2</v>
      </c>
      <c r="BA57">
        <f>Monthly_kWh!EI34</f>
        <v>0.59142399999996098</v>
      </c>
      <c r="BB57">
        <f>Monthly_kWh!AW34</f>
        <v>0.52652799999998501</v>
      </c>
      <c r="BC57">
        <f>Monthly_kWh!DS34</f>
        <v>0.53382399999998098</v>
      </c>
      <c r="BD57">
        <f>Monthly_kWh!CO34</f>
        <v>0.492063999999999</v>
      </c>
      <c r="BE57">
        <f>Monthly_kWh!DA34</f>
        <v>0.276584</v>
      </c>
      <c r="BF57">
        <f>Monthly_kWh!DB34</f>
        <v>8.9970000000000994E-2</v>
      </c>
      <c r="BG57">
        <f>Monthly_kWh!EK34</f>
        <v>0</v>
      </c>
      <c r="BH57">
        <f>Monthly_kWh!EL34</f>
        <v>1.17939200000001</v>
      </c>
      <c r="BI57">
        <f>Monthly_kWh!EM34</f>
        <v>1.63225599999987</v>
      </c>
      <c r="BJ57">
        <f>Monthly_kWh!EN34</f>
        <v>1.93100800000002</v>
      </c>
      <c r="BK57">
        <f>Monthly_kWh!EO34</f>
        <v>1.82399999999916E-2</v>
      </c>
      <c r="BL57">
        <f>Monthly_kWh!ER34</f>
        <v>2.2272150000000202</v>
      </c>
      <c r="BM57">
        <f>Monthly_kWh!BW34</f>
        <v>0</v>
      </c>
      <c r="BN57">
        <f>Monthly_kWh!DR34</f>
        <v>0</v>
      </c>
      <c r="BO57">
        <f>Monthly_kWh!CG34</f>
        <v>0</v>
      </c>
      <c r="BP57">
        <f>Monthly_kWh!CI34</f>
        <v>0</v>
      </c>
      <c r="BQ57">
        <f>Monthly_kWh!BV34</f>
        <v>0</v>
      </c>
      <c r="BR57">
        <f>Monthly_kWh!BO34</f>
        <v>0.448469000000003</v>
      </c>
      <c r="BS57">
        <f>Monthly_kWh!CW34</f>
        <v>6.1551999999998899E-2</v>
      </c>
      <c r="BT57">
        <f>Monthly_kWh!DE34</f>
        <v>0</v>
      </c>
      <c r="BU57">
        <f>Monthly_kWh!DW34</f>
        <v>0</v>
      </c>
      <c r="BV57">
        <f>Monthly_kWh!CB34</f>
        <v>0</v>
      </c>
      <c r="BW57">
        <f>Monthly_kWh!CZ34</f>
        <v>2.0666000000000299E-2</v>
      </c>
      <c r="BX57">
        <f>Monthly_kWh!DG34</f>
        <v>1.4742E-2</v>
      </c>
      <c r="BY57">
        <f>Monthly_kWh!BS34</f>
        <v>0</v>
      </c>
      <c r="BZ57">
        <f>Monthly_kWh!CH34</f>
        <v>1.6700500000000201E-2</v>
      </c>
      <c r="CA57">
        <f>Monthly_kWh!BR34</f>
        <v>0</v>
      </c>
      <c r="CB57">
        <f>Monthly_kWh!BP34</f>
        <v>0</v>
      </c>
      <c r="CC57">
        <f>Monthly_kWh!BU34</f>
        <v>0</v>
      </c>
      <c r="CD57">
        <f>Monthly_kWh!BX34</f>
        <v>0</v>
      </c>
      <c r="CE57">
        <f>Monthly_kWh!CV34</f>
        <v>5.55687499999991E-3</v>
      </c>
      <c r="CF57">
        <f>Monthly_kWh!BT34</f>
        <v>1.38079999999974E-2</v>
      </c>
      <c r="CG57">
        <f>Monthly_kWh!CA34</f>
        <v>4.5084687499999899E-3</v>
      </c>
      <c r="CH57">
        <f>Monthly_kWh!CF34</f>
        <v>1.6586999999999501E-2</v>
      </c>
      <c r="CI57">
        <f>Monthly_kWh!BZ34</f>
        <v>0.16920000000000401</v>
      </c>
      <c r="CJ57">
        <f>Monthly_kWh!CK34</f>
        <v>0</v>
      </c>
      <c r="CK57">
        <f>Monthly_kWh!DT34</f>
        <v>0.1072495</v>
      </c>
      <c r="CL57">
        <f>Monthly_kWh!EB34</f>
        <v>0.42495999999999901</v>
      </c>
      <c r="CM57">
        <f>Monthly_kWh!EC34</f>
        <v>6.2048000000004301E-2</v>
      </c>
      <c r="CN57">
        <f>Monthly_kWh!CQ34</f>
        <v>0</v>
      </c>
      <c r="CO57">
        <f>Monthly_kWh!DF34</f>
        <v>0</v>
      </c>
      <c r="CP57">
        <f>Monthly_kWh!DJ34</f>
        <v>0</v>
      </c>
      <c r="CQ57">
        <f>Monthly_kWh!DP34</f>
        <v>2.42184999999999E-2</v>
      </c>
      <c r="CR57">
        <f>Monthly_kWh!BQ34</f>
        <v>0</v>
      </c>
      <c r="CS57">
        <f>Monthly_kWh!BY34</f>
        <v>0</v>
      </c>
      <c r="CT57">
        <f>Monthly_kWh!DU34</f>
        <v>0</v>
      </c>
      <c r="CU57">
        <f>Monthly_kWh!DQ34</f>
        <v>0</v>
      </c>
      <c r="CV57">
        <f>Monthly_kWh!EA34</f>
        <v>0</v>
      </c>
      <c r="CW57">
        <f>Monthly_kWh!DO34</f>
        <v>3.5663999999996997E-2</v>
      </c>
      <c r="CX57">
        <f>Monthly_kWh!DX34</f>
        <v>4.0411000000000599E-2</v>
      </c>
      <c r="CY57">
        <f>Monthly_kWh!DY34</f>
        <v>5.0769999999999999E-3</v>
      </c>
      <c r="CZ57">
        <f>Monthly_kWh!DZ34</f>
        <v>3.1727999999997501E-2</v>
      </c>
      <c r="DA57">
        <f>Monthly_kWh!ED34</f>
        <v>2.1534999999999198E-3</v>
      </c>
      <c r="DB57">
        <f>Monthly_kWh!DV34</f>
        <v>7.0037499999999796E-3</v>
      </c>
      <c r="DC57">
        <f>Monthly_kWh!CT34</f>
        <v>1.44000000000233E-3</v>
      </c>
      <c r="DD57">
        <f>Monthly_kWh!DN34</f>
        <v>6.4874999999964294E-5</v>
      </c>
      <c r="DE57">
        <f>Monthly_kWh!AZ34</f>
        <v>0</v>
      </c>
      <c r="DF57">
        <f>Monthly_kWh!BD34</f>
        <v>2.3387187500000001E-3</v>
      </c>
      <c r="DG57">
        <f>Monthly_kWh!AV34</f>
        <v>1.6827499999999801E-2</v>
      </c>
      <c r="DH57">
        <f>Monthly_kWh!BG34</f>
        <v>1.19600000000002E-2</v>
      </c>
      <c r="DI57">
        <f>Monthly_kWh!DK34</f>
        <v>4.83960000000003E-2</v>
      </c>
      <c r="DJ57">
        <f>Monthly_kWh!DL34</f>
        <v>1.5602343750000001E-2</v>
      </c>
      <c r="DK57">
        <f>Monthly_kWh!AU34</f>
        <v>4.8835999999994301E-2</v>
      </c>
      <c r="DL57">
        <f>Monthly_kWh!DM34</f>
        <v>0</v>
      </c>
      <c r="DM57">
        <f>Monthly_kWh!CC34</f>
        <v>0</v>
      </c>
      <c r="DN57">
        <f>Monthly_kWh!BH34</f>
        <v>6.5280000000029802E-3</v>
      </c>
      <c r="DO57">
        <f>Monthly_kWh!AK34</f>
        <v>0</v>
      </c>
      <c r="DP57">
        <f>Monthly_kWh!AT34</f>
        <v>0</v>
      </c>
      <c r="DQ57">
        <f>Monthly_kWh!AX34</f>
        <v>0</v>
      </c>
      <c r="DR57">
        <f>Monthly_kWh!BA34</f>
        <v>0</v>
      </c>
      <c r="DS57">
        <f>Monthly_kWh!BB34</f>
        <v>0</v>
      </c>
      <c r="DT57">
        <f>Monthly_kWh!BC34</f>
        <v>0</v>
      </c>
      <c r="DU57">
        <f>Monthly_kWh!BF34</f>
        <v>0</v>
      </c>
      <c r="DV57">
        <f>Monthly_kWh!BN34</f>
        <v>0</v>
      </c>
      <c r="DW57">
        <f>Monthly_kWh!CD34</f>
        <v>0</v>
      </c>
      <c r="DX57">
        <f>Monthly_kWh!CE34</f>
        <v>0</v>
      </c>
      <c r="DY57">
        <f>Monthly_kWh!CJ34</f>
        <v>0</v>
      </c>
      <c r="DZ57">
        <f>Monthly_kWh!CP34</f>
        <v>0</v>
      </c>
      <c r="EA57">
        <f>Monthly_kWh!CS34</f>
        <v>0</v>
      </c>
      <c r="EB57">
        <f>Monthly_kWh!CU34</f>
        <v>0</v>
      </c>
      <c r="EC57">
        <f>Monthly_kWh!EG34</f>
        <v>0</v>
      </c>
      <c r="ED57">
        <f>Monthly_kWh!EQ34</f>
        <v>0</v>
      </c>
    </row>
    <row r="58" spans="1:134" ht="14" x14ac:dyDescent="0.25">
      <c r="A58" s="325"/>
      <c r="B58" s="137">
        <v>57</v>
      </c>
      <c r="C58" s="141" t="s">
        <v>314</v>
      </c>
      <c r="D58" s="134">
        <f>DAILY_ENERGY!C103</f>
        <v>38.263860000000001</v>
      </c>
      <c r="E58" s="134">
        <f>DAILY_ENERGY!D103</f>
        <v>38.321387999999999</v>
      </c>
      <c r="F58" s="134">
        <f>DAILY_ENERGY!E103</f>
        <v>5.7527999999997803E-2</v>
      </c>
      <c r="G58" s="134"/>
      <c r="H58" s="134">
        <f>SHIFT_A!E103</f>
        <v>4.9872000000000583E-2</v>
      </c>
      <c r="I58" s="134">
        <f>SHIFT_B!E103</f>
        <v>0</v>
      </c>
      <c r="J58" s="134">
        <f>SHIFT_C!E103</f>
        <v>7.6559999999972206E-3</v>
      </c>
      <c r="K58" s="162">
        <f t="shared" si="0"/>
        <v>5.7527999999997803E-2</v>
      </c>
      <c r="L58" s="163">
        <f t="shared" si="1"/>
        <v>0</v>
      </c>
      <c r="N58" s="168">
        <v>29</v>
      </c>
      <c r="O58">
        <f>Monthly_kWh!AF35</f>
        <v>0</v>
      </c>
      <c r="P58">
        <f>Monthly_kWh!BJ35</f>
        <v>3.7140000000022199E-3</v>
      </c>
      <c r="Q58">
        <f>Monthly_kWh!BK35</f>
        <v>4.7652000000000298E-2</v>
      </c>
      <c r="R58">
        <f>Monthly_kWh!EP35</f>
        <v>0</v>
      </c>
      <c r="S58">
        <f>Monthly_kWh!EE35</f>
        <v>0.15363750000000001</v>
      </c>
      <c r="T58">
        <f>Monthly_kWh!DH35</f>
        <v>1.8200999999999499E-2</v>
      </c>
      <c r="U58">
        <f>Monthly_kWh!CL35</f>
        <v>4.8144000000000603E-2</v>
      </c>
      <c r="V58">
        <f>Monthly_kWh!BL35</f>
        <v>1.4000000000180501E-5</v>
      </c>
      <c r="W58">
        <f>Monthly_kWh!V35</f>
        <v>0.125222000000001</v>
      </c>
      <c r="X58">
        <f>Monthly_kWh!AB35</f>
        <v>0.14879199999999701</v>
      </c>
      <c r="Y58">
        <f>Monthly_kWh!AE35</f>
        <v>4.8238500000000101E-2</v>
      </c>
      <c r="Z58">
        <f>Monthly_kWh!AG35</f>
        <v>1.6003000000000399E-2</v>
      </c>
      <c r="AA58">
        <f>Monthly_kWh!BE35</f>
        <v>0.110495999999998</v>
      </c>
      <c r="AB58">
        <f>Monthly_kWh!AY35</f>
        <v>6.3289000000000206E-2</v>
      </c>
      <c r="AC58">
        <f>Monthly_kWh!CX35</f>
        <v>1.05679999999992E-2</v>
      </c>
      <c r="AD58">
        <f>Monthly_kWh!CY35</f>
        <v>7.8269999999998098E-3</v>
      </c>
      <c r="AE58">
        <f>Monthly_kWh!DC35</f>
        <v>0.18636287500000001</v>
      </c>
      <c r="AF58">
        <f>Monthly_kWh!DD35</f>
        <v>2.9943500000000099E-2</v>
      </c>
      <c r="AG58">
        <f>Monthly_kWh!W35</f>
        <v>3.2275000000000303E-2</v>
      </c>
      <c r="AH58">
        <f>Monthly_kWh!X35</f>
        <v>5.7312999999998802E-2</v>
      </c>
      <c r="AI58">
        <f>Monthly_kWh!Y35</f>
        <v>0</v>
      </c>
      <c r="AJ58">
        <f>Monthly_kWh!Z35</f>
        <v>4.5861000000000401E-2</v>
      </c>
      <c r="AK58">
        <f>Monthly_kWh!AA35</f>
        <v>8.2755999999999802E-2</v>
      </c>
      <c r="AL58">
        <f>Monthly_kWh!AC35</f>
        <v>8.6881999999999196E-2</v>
      </c>
      <c r="AM58">
        <f>Monthly_kWh!AD35</f>
        <v>4.9065000000000601E-2</v>
      </c>
      <c r="AN58">
        <f>Monthly_kWh!AI35</f>
        <v>0</v>
      </c>
      <c r="AO58">
        <f>Monthly_kWh!AJ35</f>
        <v>2.0679999999999601E-2</v>
      </c>
      <c r="AP58">
        <f>Monthly_kWh!AL35</f>
        <v>0.12641240625</v>
      </c>
      <c r="AQ58">
        <f>Monthly_kWh!AM35</f>
        <v>0.22023200000001</v>
      </c>
      <c r="AR58">
        <f>Monthly_kWh!AN35</f>
        <v>0.22582400000000299</v>
      </c>
      <c r="AS58">
        <f>Monthly_kWh!AO35</f>
        <v>0.145760000000003</v>
      </c>
      <c r="AT58">
        <f>Monthly_kWh!AP35</f>
        <v>7.2637999999997802E-2</v>
      </c>
      <c r="AU58">
        <f>Monthly_kWh!CN35</f>
        <v>5.4755000000000102E-2</v>
      </c>
      <c r="AV58">
        <f>Monthly_kWh!CR35</f>
        <v>6.9696000000000397E-2</v>
      </c>
      <c r="AW58">
        <f>Monthly_kWh!AQ35</f>
        <v>0.14836000000000399</v>
      </c>
      <c r="AX58">
        <f>Monthly_kWh!AS35</f>
        <v>2.2024999999999299E-2</v>
      </c>
      <c r="AY58">
        <f>Monthly_kWh!EH35</f>
        <v>0.40127999999992903</v>
      </c>
      <c r="AZ58">
        <f>Monthly_kWh!EJ35</f>
        <v>1.3056000000006E-2</v>
      </c>
      <c r="BA58">
        <f>Monthly_kWh!EI35</f>
        <v>0.53664000000003398</v>
      </c>
      <c r="BB58">
        <f>Monthly_kWh!AW35</f>
        <v>0.57055999999999996</v>
      </c>
      <c r="BC58">
        <f>Monthly_kWh!DS35</f>
        <v>0.44463999999999299</v>
      </c>
      <c r="BD58">
        <f>Monthly_kWh!CO35</f>
        <v>0.254328000000001</v>
      </c>
      <c r="BE58">
        <f>Monthly_kWh!DA35</f>
        <v>0.27639999999999498</v>
      </c>
      <c r="BF58">
        <f>Monthly_kWh!DB35</f>
        <v>7.0159000000000304E-2</v>
      </c>
      <c r="BG58">
        <f>Monthly_kWh!EK35</f>
        <v>0</v>
      </c>
      <c r="BH58">
        <f>Monthly_kWh!EL35</f>
        <v>1.6748800000000299</v>
      </c>
      <c r="BI58">
        <f>Monthly_kWh!EM35</f>
        <v>0.35763200000019402</v>
      </c>
      <c r="BJ58">
        <f>Monthly_kWh!EN35</f>
        <v>2.2622719999999399</v>
      </c>
      <c r="BK58">
        <f>Monthly_kWh!EO35</f>
        <v>1.8303999999943699E-2</v>
      </c>
      <c r="BL58">
        <f>Monthly_kWh!ER35</f>
        <v>1.72502499999999</v>
      </c>
      <c r="BM58">
        <f>Monthly_kWh!BW35</f>
        <v>0</v>
      </c>
      <c r="BN58">
        <f>Monthly_kWh!DR35</f>
        <v>0</v>
      </c>
      <c r="BO58">
        <f>Monthly_kWh!CG35</f>
        <v>0</v>
      </c>
      <c r="BP58">
        <f>Monthly_kWh!CI35</f>
        <v>0</v>
      </c>
      <c r="BQ58">
        <f>Monthly_kWh!BV35</f>
        <v>0</v>
      </c>
      <c r="BR58">
        <f>Monthly_kWh!BO35</f>
        <v>0.13413999999999901</v>
      </c>
      <c r="BS58">
        <f>Monthly_kWh!CW35</f>
        <v>1.1160000000003801E-2</v>
      </c>
      <c r="BT58">
        <f>Monthly_kWh!DE35</f>
        <v>0</v>
      </c>
      <c r="BU58">
        <f>Monthly_kWh!DW35</f>
        <v>0</v>
      </c>
      <c r="BV58">
        <f>Monthly_kWh!CB35</f>
        <v>0</v>
      </c>
      <c r="BW58">
        <f>Monthly_kWh!CZ35</f>
        <v>2.2699999999999901E-2</v>
      </c>
      <c r="BX58">
        <f>Monthly_kWh!DG35</f>
        <v>8.08600000000048E-3</v>
      </c>
      <c r="BY58">
        <f>Monthly_kWh!BS35</f>
        <v>0</v>
      </c>
      <c r="BZ58">
        <f>Monthly_kWh!CH35</f>
        <v>1.71289999999997E-2</v>
      </c>
      <c r="CA58">
        <f>Monthly_kWh!BR35</f>
        <v>0</v>
      </c>
      <c r="CB58">
        <f>Monthly_kWh!BP35</f>
        <v>0</v>
      </c>
      <c r="CC58">
        <f>Monthly_kWh!BU35</f>
        <v>0</v>
      </c>
      <c r="CD58">
        <f>Monthly_kWh!BX35</f>
        <v>0</v>
      </c>
      <c r="CE58">
        <f>Monthly_kWh!CV35</f>
        <v>4.1079999999999997E-3</v>
      </c>
      <c r="CF58">
        <f>Monthly_kWh!BT35</f>
        <v>6.2367999999999299E-2</v>
      </c>
      <c r="CG58">
        <f>Monthly_kWh!CA35</f>
        <v>9.2491218750000007E-2</v>
      </c>
      <c r="CH58">
        <f>Monthly_kWh!CF35</f>
        <v>1.6951999999999901E-2</v>
      </c>
      <c r="CI58">
        <f>Monthly_kWh!BZ35</f>
        <v>0.103960000000001</v>
      </c>
      <c r="CJ58">
        <f>Monthly_kWh!CK35</f>
        <v>0</v>
      </c>
      <c r="CK58">
        <f>Monthly_kWh!DT35</f>
        <v>0.15764649999999999</v>
      </c>
      <c r="CL58">
        <f>Monthly_kWh!EB35</f>
        <v>0.46846399999998301</v>
      </c>
      <c r="CM58">
        <f>Monthly_kWh!EC35</f>
        <v>0.16654400000001601</v>
      </c>
      <c r="CN58">
        <f>Monthly_kWh!CQ35</f>
        <v>0</v>
      </c>
      <c r="CO58">
        <f>Monthly_kWh!DF35</f>
        <v>0</v>
      </c>
      <c r="CP58">
        <f>Monthly_kWh!DJ35</f>
        <v>0</v>
      </c>
      <c r="CQ58">
        <f>Monthly_kWh!DP35</f>
        <v>3.4503000000000797E-2</v>
      </c>
      <c r="CR58">
        <f>Monthly_kWh!BQ35</f>
        <v>0</v>
      </c>
      <c r="CS58">
        <f>Monthly_kWh!BY35</f>
        <v>0</v>
      </c>
      <c r="CT58">
        <f>Monthly_kWh!DU35</f>
        <v>1.37999999999749E-4</v>
      </c>
      <c r="CU58">
        <f>Monthly_kWh!DQ35</f>
        <v>0</v>
      </c>
      <c r="CV58">
        <f>Monthly_kWh!EA35</f>
        <v>0</v>
      </c>
      <c r="CW58">
        <f>Monthly_kWh!DO35</f>
        <v>7.1200000000004607E-2</v>
      </c>
      <c r="CX58">
        <f>Monthly_kWh!DX35</f>
        <v>6.3436999999998606E-2</v>
      </c>
      <c r="CY58">
        <f>Monthly_kWh!DY35</f>
        <v>5.1478750000000196E-3</v>
      </c>
      <c r="CZ58">
        <f>Monthly_kWh!DZ35</f>
        <v>3.8496000000002098E-2</v>
      </c>
      <c r="DA58">
        <f>Monthly_kWh!ED35</f>
        <v>4.9669999999997199E-3</v>
      </c>
      <c r="DB58">
        <f>Monthly_kWh!DV35</f>
        <v>7.0514999999997698E-3</v>
      </c>
      <c r="DC58">
        <f>Monthly_kWh!CT35</f>
        <v>8.6768000000006396E-2</v>
      </c>
      <c r="DD58">
        <f>Monthly_kWh!DN35</f>
        <v>0</v>
      </c>
      <c r="DE58">
        <f>Monthly_kWh!AZ35</f>
        <v>0</v>
      </c>
      <c r="DF58">
        <f>Monthly_kWh!BD35</f>
        <v>2.7124765625000098E-3</v>
      </c>
      <c r="DG58">
        <f>Monthly_kWh!AV35</f>
        <v>5.31650000000017E-3</v>
      </c>
      <c r="DH58">
        <f>Monthly_kWh!BG35</f>
        <v>1.24110000000002E-2</v>
      </c>
      <c r="DI58">
        <f>Monthly_kWh!DK35</f>
        <v>4.1727999999999099E-2</v>
      </c>
      <c r="DJ58">
        <f>Monthly_kWh!DL35</f>
        <v>8.2443281250000108E-3</v>
      </c>
      <c r="DK58">
        <f>Monthly_kWh!AU35</f>
        <v>5.0184000000001602E-2</v>
      </c>
      <c r="DL58">
        <f>Monthly_kWh!DM35</f>
        <v>1.6627999999999001E-2</v>
      </c>
      <c r="DM58">
        <f>Monthly_kWh!CC35</f>
        <v>0</v>
      </c>
      <c r="DN58">
        <f>Monthly_kWh!BH35</f>
        <v>0</v>
      </c>
      <c r="DO58">
        <f>Monthly_kWh!AK35</f>
        <v>0</v>
      </c>
      <c r="DP58">
        <f>Monthly_kWh!AT35</f>
        <v>0</v>
      </c>
      <c r="DQ58">
        <f>Monthly_kWh!AX35</f>
        <v>0</v>
      </c>
      <c r="DR58">
        <f>Monthly_kWh!BA35</f>
        <v>0</v>
      </c>
      <c r="DS58">
        <f>Monthly_kWh!BB35</f>
        <v>0</v>
      </c>
      <c r="DT58">
        <f>Monthly_kWh!BC35</f>
        <v>0</v>
      </c>
      <c r="DU58">
        <f>Monthly_kWh!BF35</f>
        <v>0</v>
      </c>
      <c r="DV58">
        <f>Monthly_kWh!BN35</f>
        <v>0</v>
      </c>
      <c r="DW58">
        <f>Monthly_kWh!CD35</f>
        <v>0</v>
      </c>
      <c r="DX58">
        <f>Monthly_kWh!CE35</f>
        <v>0</v>
      </c>
      <c r="DY58">
        <f>Monthly_kWh!CJ35</f>
        <v>0</v>
      </c>
      <c r="DZ58">
        <f>Monthly_kWh!CP35</f>
        <v>0</v>
      </c>
      <c r="EA58">
        <f>Monthly_kWh!CS35</f>
        <v>0</v>
      </c>
      <c r="EB58">
        <f>Monthly_kWh!CU35</f>
        <v>0</v>
      </c>
      <c r="EC58">
        <f>Monthly_kWh!EG35</f>
        <v>0</v>
      </c>
      <c r="ED58">
        <f>Monthly_kWh!EQ35</f>
        <v>0</v>
      </c>
    </row>
    <row r="59" spans="1:134" ht="14" x14ac:dyDescent="0.25">
      <c r="A59" s="325"/>
      <c r="B59" s="137">
        <v>58</v>
      </c>
      <c r="C59" s="141" t="s">
        <v>322</v>
      </c>
      <c r="D59" s="134">
        <f>DAILY_ENERGY!C111</f>
        <v>0</v>
      </c>
      <c r="E59" s="134">
        <f>DAILY_ENERGY!D111</f>
        <v>0</v>
      </c>
      <c r="F59" s="134">
        <f>DAILY_ENERGY!E111</f>
        <v>0</v>
      </c>
      <c r="G59" s="134"/>
      <c r="H59" s="134">
        <f>SHIFT_A!E111</f>
        <v>0</v>
      </c>
      <c r="I59" s="134">
        <f>SHIFT_B!E111</f>
        <v>0</v>
      </c>
      <c r="J59" s="134">
        <f>SHIFT_C!E111</f>
        <v>0</v>
      </c>
      <c r="K59" s="162">
        <f t="shared" si="0"/>
        <v>0</v>
      </c>
      <c r="L59" s="163">
        <f t="shared" si="1"/>
        <v>0</v>
      </c>
      <c r="N59" s="168">
        <v>30</v>
      </c>
      <c r="O59">
        <f>Monthly_kWh!AF36</f>
        <v>0</v>
      </c>
      <c r="P59">
        <f>Monthly_kWh!BJ36</f>
        <v>5.4899999999946702E-4</v>
      </c>
      <c r="Q59">
        <f>Monthly_kWh!BK36</f>
        <v>7.69789999999997E-2</v>
      </c>
      <c r="R59">
        <f>Monthly_kWh!EP36</f>
        <v>0</v>
      </c>
      <c r="S59">
        <f>Monthly_kWh!EE36</f>
        <v>0.141236999999999</v>
      </c>
      <c r="T59">
        <f>Monthly_kWh!DH36</f>
        <v>2.0362500000000099E-2</v>
      </c>
      <c r="U59">
        <f>Monthly_kWh!CL36</f>
        <v>2.9333999999998601E-2</v>
      </c>
      <c r="V59">
        <f>Monthly_kWh!BL36</f>
        <v>0</v>
      </c>
      <c r="W59">
        <f>Monthly_kWh!V36</f>
        <v>0.13547799999999899</v>
      </c>
      <c r="X59">
        <f>Monthly_kWh!AB36</f>
        <v>0.14916600000000099</v>
      </c>
      <c r="Y59">
        <f>Monthly_kWh!AE36</f>
        <v>5.8658499999999898E-2</v>
      </c>
      <c r="Z59">
        <f>Monthly_kWh!AG36</f>
        <v>5.85974999999994E-2</v>
      </c>
      <c r="AA59">
        <f>Monthly_kWh!BE36</f>
        <v>0.11817800000000001</v>
      </c>
      <c r="AB59">
        <f>Monthly_kWh!AY36</f>
        <v>6.9487000000000507E-2</v>
      </c>
      <c r="AC59">
        <f>Monthly_kWh!CX36</f>
        <v>0</v>
      </c>
      <c r="AD59">
        <f>Monthly_kWh!CY36</f>
        <v>1.56889999999998E-2</v>
      </c>
      <c r="AE59">
        <f>Monthly_kWh!DC36</f>
        <v>0.15673124999999999</v>
      </c>
      <c r="AF59">
        <f>Monthly_kWh!DD36</f>
        <v>2.9228749999999901E-2</v>
      </c>
      <c r="AG59">
        <f>Monthly_kWh!W36</f>
        <v>7.38889999999994E-2</v>
      </c>
      <c r="AH59">
        <f>Monthly_kWh!X36</f>
        <v>7.5354000000000795E-2</v>
      </c>
      <c r="AI59">
        <f>Monthly_kWh!Y36</f>
        <v>0</v>
      </c>
      <c r="AJ59">
        <f>Monthly_kWh!Z36</f>
        <v>4.9440999999999798E-2</v>
      </c>
      <c r="AK59">
        <f>Monthly_kWh!AA36</f>
        <v>0.121195999999998</v>
      </c>
      <c r="AL59">
        <f>Monthly_kWh!AC36</f>
        <v>8.8036000000002404E-2</v>
      </c>
      <c r="AM59">
        <f>Monthly_kWh!AD36</f>
        <v>5.5997999999998903E-2</v>
      </c>
      <c r="AN59">
        <f>Monthly_kWh!AI36</f>
        <v>0</v>
      </c>
      <c r="AO59">
        <f>Monthly_kWh!AJ36</f>
        <v>3.7499499999999998E-2</v>
      </c>
      <c r="AP59">
        <f>Monthly_kWh!AL36</f>
        <v>0.30880389062500002</v>
      </c>
      <c r="AQ59">
        <f>Monthly_kWh!AM36</f>
        <v>0.48814399999999097</v>
      </c>
      <c r="AR59">
        <f>Monthly_kWh!AN36</f>
        <v>0.37556800000000101</v>
      </c>
      <c r="AS59">
        <f>Monthly_kWh!AO36</f>
        <v>0.154975999999998</v>
      </c>
      <c r="AT59">
        <f>Monthly_kWh!AP36</f>
        <v>8.1192000000001499E-2</v>
      </c>
      <c r="AU59">
        <f>Monthly_kWh!CN36</f>
        <v>5.4914000000000102E-2</v>
      </c>
      <c r="AV59">
        <f>Monthly_kWh!CR36</f>
        <v>0.15560499999999999</v>
      </c>
      <c r="AW59">
        <f>Monthly_kWh!AQ36</f>
        <v>0.32695999999999997</v>
      </c>
      <c r="AX59">
        <f>Monthly_kWh!AS36</f>
        <v>5.2274999999999801E-2</v>
      </c>
      <c r="AY59">
        <f>Monthly_kWh!EH36</f>
        <v>0.469567999999981</v>
      </c>
      <c r="AZ59">
        <f>Monthly_kWh!EJ36</f>
        <v>6.2751999999988997E-2</v>
      </c>
      <c r="BA59">
        <f>Monthly_kWh!EI36</f>
        <v>0.53068799999994098</v>
      </c>
      <c r="BB59">
        <f>Monthly_kWh!AW36</f>
        <v>1.25363200000004</v>
      </c>
      <c r="BC59">
        <f>Monthly_kWh!DS36</f>
        <v>1.7356159999999901</v>
      </c>
      <c r="BD59">
        <f>Monthly_kWh!CO36</f>
        <v>0.59552800000000194</v>
      </c>
      <c r="BE59">
        <f>Monthly_kWh!DA36</f>
        <v>0.277808</v>
      </c>
      <c r="BF59">
        <f>Monthly_kWh!DB36</f>
        <v>0.115437</v>
      </c>
      <c r="BG59">
        <f>Monthly_kWh!EK36</f>
        <v>0</v>
      </c>
      <c r="BH59">
        <f>Monthly_kWh!EL36</f>
        <v>2.2397439999999702</v>
      </c>
      <c r="BI59">
        <f>Monthly_kWh!EM36</f>
        <v>3.5279359999999498</v>
      </c>
      <c r="BJ59">
        <f>Monthly_kWh!EN36</f>
        <v>0.32025599999997201</v>
      </c>
      <c r="BK59">
        <f>Monthly_kWh!EO36</f>
        <v>1.8176000000039501E-2</v>
      </c>
      <c r="BL59">
        <f>Monthly_kWh!ER36</f>
        <v>2.5479150000000201</v>
      </c>
      <c r="BM59">
        <f>Monthly_kWh!BW36</f>
        <v>0</v>
      </c>
      <c r="BN59">
        <f>Monthly_kWh!DR36</f>
        <v>0</v>
      </c>
      <c r="BO59">
        <f>Monthly_kWh!CG36</f>
        <v>0</v>
      </c>
      <c r="BP59">
        <f>Monthly_kWh!CI36</f>
        <v>0</v>
      </c>
      <c r="BQ59">
        <f>Monthly_kWh!BV36</f>
        <v>0</v>
      </c>
      <c r="BR59">
        <f>Monthly_kWh!BO36</f>
        <v>0.468001000000001</v>
      </c>
      <c r="BS59">
        <f>Monthly_kWh!CW36</f>
        <v>5.7527999999997803E-2</v>
      </c>
      <c r="BT59">
        <f>Monthly_kWh!DE36</f>
        <v>0</v>
      </c>
      <c r="BU59">
        <f>Monthly_kWh!DW36</f>
        <v>0</v>
      </c>
      <c r="BV59">
        <f>Monthly_kWh!CB36</f>
        <v>0</v>
      </c>
      <c r="BW59">
        <f>Monthly_kWh!CZ36</f>
        <v>2.59212500000001E-2</v>
      </c>
      <c r="BX59">
        <f>Monthly_kWh!DG36</f>
        <v>1.6968999999999599E-2</v>
      </c>
      <c r="BY59">
        <f>Monthly_kWh!BS36</f>
        <v>0</v>
      </c>
      <c r="BZ59">
        <f>Monthly_kWh!CH36</f>
        <v>1.7451250000000099E-2</v>
      </c>
      <c r="CA59">
        <f>Monthly_kWh!BR36</f>
        <v>0</v>
      </c>
      <c r="CB59">
        <f>Monthly_kWh!BP36</f>
        <v>0</v>
      </c>
      <c r="CC59">
        <f>Monthly_kWh!BU36</f>
        <v>0</v>
      </c>
      <c r="CD59">
        <f>Monthly_kWh!BX36</f>
        <v>0</v>
      </c>
      <c r="CE59">
        <f>Monthly_kWh!CV36</f>
        <v>1.45891250000001E-2</v>
      </c>
      <c r="CF59">
        <f>Monthly_kWh!BT36</f>
        <v>0.245116000000003</v>
      </c>
      <c r="CG59">
        <f>Monthly_kWh!CA36</f>
        <v>0.35895778125</v>
      </c>
      <c r="CH59">
        <f>Monthly_kWh!CF36</f>
        <v>2.3589000000001199E-2</v>
      </c>
      <c r="CI59">
        <f>Monthly_kWh!BZ36</f>
        <v>1.01662400000001</v>
      </c>
      <c r="CJ59">
        <f>Monthly_kWh!CK36</f>
        <v>0</v>
      </c>
      <c r="CK59">
        <f>Monthly_kWh!DT36</f>
        <v>0.380655999999999</v>
      </c>
      <c r="CL59">
        <f>Monthly_kWh!EB36</f>
        <v>1.316576</v>
      </c>
      <c r="CM59">
        <f>Monthly_kWh!EC36</f>
        <v>0.73635199999998202</v>
      </c>
      <c r="CN59">
        <f>Monthly_kWh!CQ36</f>
        <v>0</v>
      </c>
      <c r="CO59">
        <f>Monthly_kWh!DF36</f>
        <v>0</v>
      </c>
      <c r="CP59">
        <f>Monthly_kWh!DJ36</f>
        <v>0</v>
      </c>
      <c r="CQ59">
        <f>Monthly_kWh!DP36</f>
        <v>4.37135000000008E-2</v>
      </c>
      <c r="CR59">
        <f>Monthly_kWh!BQ36</f>
        <v>0</v>
      </c>
      <c r="CS59">
        <f>Monthly_kWh!BY36</f>
        <v>0</v>
      </c>
      <c r="CT59">
        <f>Monthly_kWh!DU36</f>
        <v>4.8899999999996201E-4</v>
      </c>
      <c r="CU59">
        <f>Monthly_kWh!DQ36</f>
        <v>0</v>
      </c>
      <c r="CV59">
        <f>Monthly_kWh!EA36</f>
        <v>0</v>
      </c>
      <c r="CW59">
        <f>Monthly_kWh!DO36</f>
        <v>0.15043199999999499</v>
      </c>
      <c r="CX59">
        <f>Monthly_kWh!DX36</f>
        <v>8.6495000000001099E-2</v>
      </c>
      <c r="CY59">
        <f>Monthly_kWh!DY36</f>
        <v>6.7022500000000198E-3</v>
      </c>
      <c r="CZ59">
        <f>Monthly_kWh!DZ36</f>
        <v>0.10381599999999799</v>
      </c>
      <c r="DA59">
        <f>Monthly_kWh!ED36</f>
        <v>4.27280000000003E-2</v>
      </c>
      <c r="DB59">
        <f>Monthly_kWh!DV36</f>
        <v>1.119125E-2</v>
      </c>
      <c r="DC59">
        <f>Monthly_kWh!CT36</f>
        <v>0.19814399999999899</v>
      </c>
      <c r="DD59">
        <f>Monthly_kWh!DN36</f>
        <v>3.2075000000009201E-4</v>
      </c>
      <c r="DE59">
        <f>Monthly_kWh!AZ36</f>
        <v>3.5000000000451299E-6</v>
      </c>
      <c r="DF59">
        <f>Monthly_kWh!BD36</f>
        <v>3.4266953124999899E-3</v>
      </c>
      <c r="DG59">
        <f>Monthly_kWh!AV36</f>
        <v>3.4777499999999698E-2</v>
      </c>
      <c r="DH59">
        <f>Monthly_kWh!BG36</f>
        <v>1.5959999999999801E-2</v>
      </c>
      <c r="DI59">
        <f>Monthly_kWh!DK36</f>
        <v>6.6878000000002699E-2</v>
      </c>
      <c r="DJ59">
        <f>Monthly_kWh!DL36</f>
        <v>1.9309468749999999E-2</v>
      </c>
      <c r="DK59">
        <f>Monthly_kWh!AU36</f>
        <v>6.2300000000000501E-2</v>
      </c>
      <c r="DL59">
        <f>Monthly_kWh!DM36</f>
        <v>3.4016000000001198E-2</v>
      </c>
      <c r="DM59">
        <f>Monthly_kWh!CC36</f>
        <v>0</v>
      </c>
      <c r="DN59">
        <f>Monthly_kWh!BH36</f>
        <v>7.5979999999979996E-3</v>
      </c>
      <c r="DO59">
        <f>Monthly_kWh!AK36</f>
        <v>0</v>
      </c>
      <c r="DP59">
        <f>Monthly_kWh!AT36</f>
        <v>0</v>
      </c>
      <c r="DQ59">
        <f>Monthly_kWh!AX36</f>
        <v>0</v>
      </c>
      <c r="DR59">
        <f>Monthly_kWh!BA36</f>
        <v>0</v>
      </c>
      <c r="DS59">
        <f>Monthly_kWh!BB36</f>
        <v>0</v>
      </c>
      <c r="DT59">
        <f>Monthly_kWh!BC36</f>
        <v>0</v>
      </c>
      <c r="DU59">
        <f>Monthly_kWh!BF36</f>
        <v>0</v>
      </c>
      <c r="DV59">
        <f>Monthly_kWh!BN36</f>
        <v>0</v>
      </c>
      <c r="DW59">
        <f>Monthly_kWh!CD36</f>
        <v>0</v>
      </c>
      <c r="DX59">
        <f>Monthly_kWh!CE36</f>
        <v>0</v>
      </c>
      <c r="DY59">
        <f>Monthly_kWh!CJ36</f>
        <v>0</v>
      </c>
      <c r="DZ59">
        <f>Monthly_kWh!CP36</f>
        <v>0</v>
      </c>
      <c r="EA59">
        <f>Monthly_kWh!CS36</f>
        <v>0</v>
      </c>
      <c r="EB59">
        <f>Monthly_kWh!CU36</f>
        <v>0</v>
      </c>
      <c r="EC59">
        <f>Monthly_kWh!EG36</f>
        <v>0</v>
      </c>
      <c r="ED59">
        <f>Monthly_kWh!EQ36</f>
        <v>0</v>
      </c>
    </row>
    <row r="60" spans="1:134" ht="14" x14ac:dyDescent="0.25">
      <c r="A60" s="325"/>
      <c r="B60" s="137">
        <v>59</v>
      </c>
      <c r="C60" s="141" t="s">
        <v>340</v>
      </c>
      <c r="D60" s="134">
        <f>DAILY_ENERGY!C129</f>
        <v>0</v>
      </c>
      <c r="E60" s="134">
        <f>DAILY_ENERGY!D129</f>
        <v>0</v>
      </c>
      <c r="F60" s="134">
        <f>DAILY_ENERGY!E129</f>
        <v>0</v>
      </c>
      <c r="G60" s="134"/>
      <c r="H60" s="134">
        <f>SHIFT_A!E129</f>
        <v>0</v>
      </c>
      <c r="I60" s="134">
        <f>SHIFT_B!E129</f>
        <v>0</v>
      </c>
      <c r="J60" s="134">
        <f>SHIFT_C!E129</f>
        <v>0</v>
      </c>
      <c r="K60" s="162">
        <f t="shared" si="0"/>
        <v>0</v>
      </c>
      <c r="L60" s="163">
        <f t="shared" si="1"/>
        <v>0</v>
      </c>
      <c r="N60" s="168">
        <v>31</v>
      </c>
      <c r="O60">
        <f>Monthly_kWh!AF37</f>
        <v>0</v>
      </c>
      <c r="P60">
        <f>Monthly_kWh!BJ37</f>
        <v>0</v>
      </c>
      <c r="Q60">
        <f>Monthly_kWh!BK37</f>
        <v>0</v>
      </c>
      <c r="R60">
        <f>Monthly_kWh!EP37</f>
        <v>0</v>
      </c>
      <c r="S60">
        <f>Monthly_kWh!EE37</f>
        <v>0</v>
      </c>
      <c r="T60">
        <f>Monthly_kWh!DH37</f>
        <v>0</v>
      </c>
      <c r="U60">
        <f>Monthly_kWh!CL37</f>
        <v>0</v>
      </c>
      <c r="V60">
        <f>Monthly_kWh!BL37</f>
        <v>0</v>
      </c>
      <c r="W60">
        <f>Monthly_kWh!V37</f>
        <v>0</v>
      </c>
      <c r="X60">
        <f>Monthly_kWh!AB37</f>
        <v>0</v>
      </c>
      <c r="Y60">
        <f>Monthly_kWh!AE37</f>
        <v>0</v>
      </c>
      <c r="Z60">
        <f>Monthly_kWh!AG37</f>
        <v>0</v>
      </c>
      <c r="AA60">
        <f>Monthly_kWh!BE37</f>
        <v>0</v>
      </c>
      <c r="AB60">
        <f>Monthly_kWh!AY37</f>
        <v>0</v>
      </c>
      <c r="AC60">
        <f>Monthly_kWh!CX37</f>
        <v>0</v>
      </c>
      <c r="AD60">
        <f>Monthly_kWh!CY37</f>
        <v>0</v>
      </c>
      <c r="AE60">
        <f>Monthly_kWh!DC37</f>
        <v>0</v>
      </c>
      <c r="AF60">
        <f>Monthly_kWh!DD37</f>
        <v>0</v>
      </c>
      <c r="AG60">
        <f>Monthly_kWh!W37</f>
        <v>0</v>
      </c>
      <c r="AH60">
        <f>Monthly_kWh!X37</f>
        <v>0</v>
      </c>
      <c r="AI60">
        <f>Monthly_kWh!Y37</f>
        <v>0</v>
      </c>
      <c r="AJ60">
        <f>Monthly_kWh!Z37</f>
        <v>0</v>
      </c>
      <c r="AK60">
        <f>Monthly_kWh!AA37</f>
        <v>0</v>
      </c>
      <c r="AL60">
        <f>Monthly_kWh!AC37</f>
        <v>0</v>
      </c>
      <c r="AM60">
        <f>Monthly_kWh!AD37</f>
        <v>0</v>
      </c>
      <c r="AN60">
        <f>Monthly_kWh!AI37</f>
        <v>0</v>
      </c>
      <c r="AO60">
        <f>Monthly_kWh!AJ37</f>
        <v>0</v>
      </c>
      <c r="AP60">
        <f>Monthly_kWh!AL37</f>
        <v>0</v>
      </c>
      <c r="AQ60">
        <f>Monthly_kWh!AM37</f>
        <v>0</v>
      </c>
      <c r="AR60">
        <f>Monthly_kWh!AN37</f>
        <v>0</v>
      </c>
      <c r="AS60">
        <f>Monthly_kWh!AO37</f>
        <v>0</v>
      </c>
      <c r="AT60">
        <f>Monthly_kWh!AP37</f>
        <v>0</v>
      </c>
      <c r="AU60">
        <f>Monthly_kWh!CN37</f>
        <v>0</v>
      </c>
      <c r="AV60">
        <f>Monthly_kWh!CR37</f>
        <v>0</v>
      </c>
      <c r="AW60">
        <f>Monthly_kWh!AQ37</f>
        <v>0</v>
      </c>
      <c r="AX60">
        <f>Monthly_kWh!AS37</f>
        <v>0</v>
      </c>
      <c r="AY60">
        <f>Monthly_kWh!EH37</f>
        <v>0</v>
      </c>
      <c r="AZ60">
        <f>Monthly_kWh!EJ37</f>
        <v>0</v>
      </c>
      <c r="BA60">
        <f>Monthly_kWh!EI37</f>
        <v>0</v>
      </c>
      <c r="BB60">
        <f>Monthly_kWh!AW37</f>
        <v>0</v>
      </c>
      <c r="BC60">
        <f>Monthly_kWh!DS37</f>
        <v>0</v>
      </c>
      <c r="BD60">
        <f>Monthly_kWh!CO37</f>
        <v>0</v>
      </c>
      <c r="BE60">
        <f>Monthly_kWh!DA37</f>
        <v>0</v>
      </c>
      <c r="BF60">
        <f>Monthly_kWh!DB37</f>
        <v>0</v>
      </c>
      <c r="BG60">
        <f>Monthly_kWh!EK37</f>
        <v>0</v>
      </c>
      <c r="BH60">
        <f>Monthly_kWh!EL37</f>
        <v>0</v>
      </c>
      <c r="BI60">
        <f>Monthly_kWh!EM37</f>
        <v>0</v>
      </c>
      <c r="BJ60">
        <f>Monthly_kWh!EN37</f>
        <v>0</v>
      </c>
      <c r="BK60">
        <f>Monthly_kWh!EO37</f>
        <v>0</v>
      </c>
      <c r="BL60">
        <f>Monthly_kWh!ER37</f>
        <v>0</v>
      </c>
      <c r="BM60">
        <f>Monthly_kWh!BW37</f>
        <v>0</v>
      </c>
      <c r="BN60">
        <f>Monthly_kWh!DR37</f>
        <v>0</v>
      </c>
      <c r="BO60">
        <f>Monthly_kWh!CG37</f>
        <v>0</v>
      </c>
      <c r="BP60">
        <f>Monthly_kWh!CI37</f>
        <v>0</v>
      </c>
      <c r="BQ60">
        <f>Monthly_kWh!BV37</f>
        <v>0</v>
      </c>
      <c r="BR60">
        <f>Monthly_kWh!BO37</f>
        <v>0</v>
      </c>
      <c r="BS60">
        <f>Monthly_kWh!CW37</f>
        <v>0</v>
      </c>
      <c r="BT60">
        <f>Monthly_kWh!DE37</f>
        <v>0</v>
      </c>
      <c r="BU60">
        <f>Monthly_kWh!DW37</f>
        <v>0</v>
      </c>
      <c r="BV60">
        <f>Monthly_kWh!CB37</f>
        <v>0</v>
      </c>
      <c r="BW60">
        <f>Monthly_kWh!CZ37</f>
        <v>0</v>
      </c>
      <c r="BX60">
        <f>Monthly_kWh!DG37</f>
        <v>0</v>
      </c>
      <c r="BY60">
        <f>Monthly_kWh!BS37</f>
        <v>0</v>
      </c>
      <c r="BZ60">
        <f>Monthly_kWh!CH37</f>
        <v>0</v>
      </c>
      <c r="CA60">
        <f>Monthly_kWh!BR37</f>
        <v>0</v>
      </c>
      <c r="CB60">
        <f>Monthly_kWh!BP37</f>
        <v>0</v>
      </c>
      <c r="CC60">
        <f>Monthly_kWh!BU37</f>
        <v>0</v>
      </c>
      <c r="CD60">
        <f>Monthly_kWh!BX37</f>
        <v>0</v>
      </c>
      <c r="CE60">
        <f>Monthly_kWh!CV37</f>
        <v>0</v>
      </c>
      <c r="CF60">
        <f>Monthly_kWh!BT37</f>
        <v>0</v>
      </c>
      <c r="CG60">
        <f>Monthly_kWh!CA37</f>
        <v>0</v>
      </c>
      <c r="CH60">
        <f>Monthly_kWh!CF37</f>
        <v>0</v>
      </c>
      <c r="CI60">
        <f>Monthly_kWh!BZ37</f>
        <v>0</v>
      </c>
      <c r="CJ60">
        <f>Monthly_kWh!CK37</f>
        <v>0</v>
      </c>
      <c r="CK60">
        <f>Monthly_kWh!DT37</f>
        <v>0</v>
      </c>
      <c r="CL60">
        <f>Monthly_kWh!EB37</f>
        <v>0</v>
      </c>
      <c r="CM60">
        <f>Monthly_kWh!EC37</f>
        <v>0</v>
      </c>
      <c r="CN60">
        <f>Monthly_kWh!CQ37</f>
        <v>0</v>
      </c>
      <c r="CO60">
        <f>Monthly_kWh!DF37</f>
        <v>0</v>
      </c>
      <c r="CP60">
        <f>Monthly_kWh!DJ37</f>
        <v>0</v>
      </c>
      <c r="CQ60">
        <f>Monthly_kWh!DP37</f>
        <v>0</v>
      </c>
      <c r="CR60">
        <f>Monthly_kWh!BQ37</f>
        <v>0</v>
      </c>
      <c r="CS60">
        <f>Monthly_kWh!BY37</f>
        <v>0</v>
      </c>
      <c r="CT60">
        <f>Monthly_kWh!DU37</f>
        <v>0</v>
      </c>
      <c r="CU60">
        <f>Monthly_kWh!DQ37</f>
        <v>0</v>
      </c>
      <c r="CV60">
        <f>Monthly_kWh!EA37</f>
        <v>0</v>
      </c>
      <c r="CW60">
        <f>Monthly_kWh!DO37</f>
        <v>0</v>
      </c>
      <c r="CX60">
        <f>Monthly_kWh!DX37</f>
        <v>0</v>
      </c>
      <c r="CY60">
        <f>Monthly_kWh!DY37</f>
        <v>0</v>
      </c>
      <c r="CZ60">
        <f>Monthly_kWh!DZ37</f>
        <v>0</v>
      </c>
      <c r="DA60">
        <f>Monthly_kWh!ED37</f>
        <v>0</v>
      </c>
      <c r="DB60">
        <f>Monthly_kWh!DV37</f>
        <v>0</v>
      </c>
      <c r="DC60">
        <f>Monthly_kWh!CT37</f>
        <v>0</v>
      </c>
      <c r="DD60">
        <f>Monthly_kWh!DN37</f>
        <v>0</v>
      </c>
      <c r="DE60">
        <f>Monthly_kWh!AZ37</f>
        <v>0</v>
      </c>
      <c r="DF60">
        <f>Monthly_kWh!BD37</f>
        <v>0</v>
      </c>
      <c r="DG60">
        <f>Monthly_kWh!AV37</f>
        <v>0</v>
      </c>
      <c r="DH60">
        <f>Monthly_kWh!BG37</f>
        <v>0</v>
      </c>
      <c r="DI60">
        <f>Monthly_kWh!DK37</f>
        <v>0</v>
      </c>
      <c r="DJ60">
        <f>Monthly_kWh!DL37</f>
        <v>0</v>
      </c>
      <c r="DK60">
        <f>Monthly_kWh!AU37</f>
        <v>0</v>
      </c>
      <c r="DL60">
        <f>Monthly_kWh!DM37</f>
        <v>0</v>
      </c>
      <c r="DM60">
        <f>Monthly_kWh!CC37</f>
        <v>0</v>
      </c>
      <c r="DN60">
        <f>Monthly_kWh!BH37</f>
        <v>0</v>
      </c>
      <c r="DO60">
        <f>Monthly_kWh!AK37</f>
        <v>0</v>
      </c>
      <c r="DP60">
        <f>Monthly_kWh!AT37</f>
        <v>0</v>
      </c>
      <c r="DQ60">
        <f>Monthly_kWh!AX37</f>
        <v>0</v>
      </c>
      <c r="DR60">
        <f>Monthly_kWh!BA37</f>
        <v>0</v>
      </c>
      <c r="DS60">
        <f>Monthly_kWh!BB37</f>
        <v>0</v>
      </c>
      <c r="DT60">
        <f>Monthly_kWh!BC37</f>
        <v>0</v>
      </c>
      <c r="DU60">
        <f>Monthly_kWh!BF37</f>
        <v>0</v>
      </c>
      <c r="DV60">
        <f>Monthly_kWh!BN37</f>
        <v>0</v>
      </c>
      <c r="DW60">
        <f>Monthly_kWh!CD37</f>
        <v>0</v>
      </c>
      <c r="DX60">
        <f>Monthly_kWh!CE37</f>
        <v>0</v>
      </c>
      <c r="DY60">
        <f>Monthly_kWh!CJ37</f>
        <v>0</v>
      </c>
      <c r="DZ60">
        <f>Monthly_kWh!CP37</f>
        <v>0</v>
      </c>
      <c r="EA60">
        <f>Monthly_kWh!CS37</f>
        <v>0</v>
      </c>
      <c r="EB60">
        <f>Monthly_kWh!CU37</f>
        <v>0</v>
      </c>
      <c r="EC60">
        <f>Monthly_kWh!EG37</f>
        <v>0</v>
      </c>
      <c r="ED60">
        <f>Monthly_kWh!EQ37</f>
        <v>0</v>
      </c>
    </row>
    <row r="61" spans="1:134" ht="14.15" customHeight="1" x14ac:dyDescent="0.25">
      <c r="A61" s="325"/>
      <c r="B61" s="137">
        <v>60</v>
      </c>
      <c r="C61" s="141" t="s">
        <v>293</v>
      </c>
      <c r="D61" s="134">
        <f>DAILY_ENERGY!C82</f>
        <v>0</v>
      </c>
      <c r="E61" s="134">
        <f>DAILY_ENERGY!D82</f>
        <v>0</v>
      </c>
      <c r="F61" s="134">
        <f>DAILY_ENERGY!E82</f>
        <v>0</v>
      </c>
      <c r="G61" s="134"/>
      <c r="H61" s="134">
        <f>SHIFT_A!E82</f>
        <v>0</v>
      </c>
      <c r="I61" s="134">
        <f>SHIFT_B!E82</f>
        <v>0</v>
      </c>
      <c r="J61" s="134">
        <f>SHIFT_C!E82</f>
        <v>0</v>
      </c>
      <c r="K61" s="162">
        <f t="shared" si="0"/>
        <v>0</v>
      </c>
      <c r="L61" s="163">
        <f t="shared" si="1"/>
        <v>0</v>
      </c>
      <c r="N61" t="s">
        <v>726</v>
      </c>
    </row>
    <row r="62" spans="1:134" ht="14" x14ac:dyDescent="0.25">
      <c r="A62" s="325"/>
      <c r="B62" s="137">
        <v>61</v>
      </c>
      <c r="C62" s="141" t="s">
        <v>317</v>
      </c>
      <c r="D62" s="134">
        <f>DAILY_ENERGY!C106</f>
        <v>3.1493549999999999</v>
      </c>
      <c r="E62" s="134">
        <f>DAILY_ENERGY!D106</f>
        <v>3.17527625</v>
      </c>
      <c r="F62" s="134">
        <f>DAILY_ENERGY!E106</f>
        <v>2.5921250000000118E-2</v>
      </c>
      <c r="G62" s="134"/>
      <c r="H62" s="134">
        <f>SHIFT_A!E106</f>
        <v>1.4373500000000039E-2</v>
      </c>
      <c r="I62" s="134">
        <f>SHIFT_B!E106</f>
        <v>3.9467499999998878E-3</v>
      </c>
      <c r="J62" s="134">
        <f>SHIFT_C!E106</f>
        <v>7.6010000000001909E-3</v>
      </c>
      <c r="K62" s="162">
        <f t="shared" si="0"/>
        <v>2.5921250000000118E-2</v>
      </c>
      <c r="L62" s="163">
        <f t="shared" si="1"/>
        <v>0</v>
      </c>
      <c r="N62" s="203">
        <v>1</v>
      </c>
      <c r="O62">
        <f>This_Year_KWH!AF7</f>
        <v>0</v>
      </c>
      <c r="P62">
        <f>This_Year_KWH!BJ7</f>
        <v>0</v>
      </c>
      <c r="Q62">
        <f>This_Year_KWH!BK7</f>
        <v>0</v>
      </c>
      <c r="R62">
        <f>This_Year_KWH!EP7</f>
        <v>0</v>
      </c>
      <c r="S62">
        <f>This_Year_KWH!EE7</f>
        <v>0</v>
      </c>
      <c r="T62">
        <f>This_Year_KWH!DH7</f>
        <v>0</v>
      </c>
      <c r="U62">
        <f>This_Year_KWH!CL7</f>
        <v>0</v>
      </c>
      <c r="V62">
        <f>This_Year_KWH!BL7</f>
        <v>0</v>
      </c>
      <c r="W62">
        <f>This_Year_KWH!V7</f>
        <v>0</v>
      </c>
      <c r="X62">
        <f>This_Year_KWH!AB7</f>
        <v>0</v>
      </c>
      <c r="Y62">
        <f>This_Year_KWH!AE7</f>
        <v>0</v>
      </c>
      <c r="Z62">
        <f>This_Year_KWH!AG7</f>
        <v>0</v>
      </c>
      <c r="AA62">
        <f>This_Year_KWH!BE7</f>
        <v>0</v>
      </c>
      <c r="AB62">
        <f>This_Year_KWH!AY7</f>
        <v>0</v>
      </c>
      <c r="AC62">
        <f>This_Year_KWH!CX7</f>
        <v>0</v>
      </c>
      <c r="AD62">
        <f>This_Year_KWH!CY7</f>
        <v>0</v>
      </c>
      <c r="AE62">
        <f>This_Year_KWH!DC7</f>
        <v>0</v>
      </c>
      <c r="AF62">
        <f>This_Year_KWH!DD7</f>
        <v>0</v>
      </c>
      <c r="AG62">
        <f>This_Year_KWH!W7</f>
        <v>0</v>
      </c>
      <c r="AH62">
        <f>This_Year_KWH!X7</f>
        <v>0</v>
      </c>
      <c r="AI62">
        <f>This_Year_KWH!Y7</f>
        <v>0</v>
      </c>
      <c r="AJ62">
        <f>This_Year_KWH!Z7</f>
        <v>0</v>
      </c>
      <c r="AK62">
        <f>This_Year_KWH!AA7</f>
        <v>0</v>
      </c>
      <c r="AL62">
        <f>This_Year_KWH!AC7</f>
        <v>0</v>
      </c>
      <c r="AM62">
        <f>This_Year_KWH!AD7</f>
        <v>0</v>
      </c>
      <c r="AN62">
        <f>This_Year_KWH!AI7</f>
        <v>0</v>
      </c>
      <c r="AO62">
        <f>This_Year_KWH!AJ7</f>
        <v>0</v>
      </c>
      <c r="AP62">
        <f>This_Year_KWH!AL7</f>
        <v>0</v>
      </c>
      <c r="AQ62">
        <f>This_Year_KWH!AM7</f>
        <v>0</v>
      </c>
      <c r="AR62">
        <f>This_Year_KWH!AN7</f>
        <v>0</v>
      </c>
      <c r="AS62">
        <f>This_Year_KWH!AO7</f>
        <v>0</v>
      </c>
      <c r="AT62">
        <f>This_Year_KWH!AP7</f>
        <v>0</v>
      </c>
      <c r="AU62">
        <f>This_Year_KWH!CN7</f>
        <v>0</v>
      </c>
      <c r="AV62">
        <f>This_Year_KWH!CR7</f>
        <v>0</v>
      </c>
      <c r="AW62">
        <f>This_Year_KWH!AQ7</f>
        <v>0</v>
      </c>
      <c r="AX62">
        <f>This_Year_KWH!AS7</f>
        <v>0</v>
      </c>
      <c r="AY62">
        <f>This_Year_KWH!EH7</f>
        <v>0</v>
      </c>
      <c r="AZ62">
        <f>This_Year_KWH!EJ7</f>
        <v>0</v>
      </c>
      <c r="BA62">
        <f>This_Year_KWH!EI7</f>
        <v>0</v>
      </c>
      <c r="BB62">
        <f>This_Year_KWH!AW7</f>
        <v>0</v>
      </c>
      <c r="BC62">
        <f>This_Year_KWH!DS7</f>
        <v>0</v>
      </c>
      <c r="BD62">
        <f>This_Year_KWH!CO7</f>
        <v>0</v>
      </c>
      <c r="BE62">
        <f>This_Year_KWH!DA7</f>
        <v>0</v>
      </c>
      <c r="BF62">
        <f>This_Year_KWH!DB7</f>
        <v>0</v>
      </c>
      <c r="BG62">
        <f>This_Year_KWH!EK7</f>
        <v>0</v>
      </c>
      <c r="BH62">
        <f>This_Year_KWH!EL7</f>
        <v>0</v>
      </c>
      <c r="BI62">
        <f>This_Year_KWH!EM7</f>
        <v>0</v>
      </c>
      <c r="BJ62">
        <f>This_Year_KWH!EN7</f>
        <v>0</v>
      </c>
      <c r="BK62">
        <f>This_Year_KWH!EO7</f>
        <v>0</v>
      </c>
      <c r="BL62">
        <f>This_Year_KWH!ER7</f>
        <v>0</v>
      </c>
      <c r="BM62">
        <f>This_Year_KWH!BW7</f>
        <v>0</v>
      </c>
      <c r="BN62">
        <f>This_Year_KWH!DR7</f>
        <v>0</v>
      </c>
      <c r="BO62">
        <f>This_Year_KWH!CG7</f>
        <v>0</v>
      </c>
      <c r="BP62">
        <f>This_Year_KWH!CI7</f>
        <v>0</v>
      </c>
      <c r="BQ62">
        <f>This_Year_KWH!BV7</f>
        <v>0</v>
      </c>
      <c r="BR62">
        <f>This_Year_KWH!BO7</f>
        <v>0</v>
      </c>
      <c r="BS62">
        <f>This_Year_KWH!CW7</f>
        <v>0</v>
      </c>
      <c r="BT62">
        <f>This_Year_KWH!DE7</f>
        <v>0</v>
      </c>
      <c r="BU62">
        <f>This_Year_KWH!DW7</f>
        <v>0</v>
      </c>
      <c r="BV62">
        <f>This_Year_KWH!CB7</f>
        <v>0</v>
      </c>
      <c r="BW62">
        <f>This_Year_KWH!CZ7</f>
        <v>0</v>
      </c>
      <c r="BX62">
        <f>This_Year_KWH!DG7</f>
        <v>0</v>
      </c>
      <c r="BY62">
        <f>This_Year_KWH!BS7</f>
        <v>0</v>
      </c>
      <c r="BZ62">
        <f>This_Year_KWH!CH7</f>
        <v>0</v>
      </c>
      <c r="CA62">
        <f>This_Year_KWH!BR7</f>
        <v>0</v>
      </c>
      <c r="CB62">
        <f>This_Year_KWH!BP7</f>
        <v>0</v>
      </c>
      <c r="CC62">
        <f>This_Year_KWH!BU7</f>
        <v>0</v>
      </c>
      <c r="CD62">
        <f>This_Year_KWH!BX7</f>
        <v>0</v>
      </c>
      <c r="CE62">
        <f>This_Year_KWH!CV7</f>
        <v>0</v>
      </c>
      <c r="CF62">
        <f>This_Year_KWH!BT7</f>
        <v>0</v>
      </c>
      <c r="CG62">
        <f>This_Year_KWH!CA7</f>
        <v>0</v>
      </c>
      <c r="CH62">
        <f>This_Year_KWH!CF7</f>
        <v>0</v>
      </c>
      <c r="CI62">
        <f>This_Year_KWH!BZ7</f>
        <v>0</v>
      </c>
      <c r="CJ62">
        <f>This_Year_KWH!CK7</f>
        <v>0</v>
      </c>
      <c r="CK62">
        <f>This_Year_KWH!DT7</f>
        <v>0</v>
      </c>
      <c r="CL62">
        <f>This_Year_KWH!EB7</f>
        <v>0</v>
      </c>
      <c r="CM62">
        <f>This_Year_KWH!EC7</f>
        <v>0</v>
      </c>
      <c r="CN62">
        <f>This_Year_KWH!CQ7</f>
        <v>0</v>
      </c>
      <c r="CO62">
        <f>This_Year_KWH!DF7</f>
        <v>0</v>
      </c>
      <c r="CP62">
        <f>This_Year_KWH!DJ7</f>
        <v>0</v>
      </c>
      <c r="CQ62">
        <f>This_Year_KWH!DP7</f>
        <v>0</v>
      </c>
      <c r="CR62">
        <f>This_Year_KWH!BQ7</f>
        <v>0</v>
      </c>
      <c r="CS62">
        <f>This_Year_KWH!BY7</f>
        <v>0</v>
      </c>
      <c r="CT62">
        <f>This_Year_KWH!DU7</f>
        <v>0</v>
      </c>
      <c r="CU62">
        <f>This_Year_KWH!DQ7</f>
        <v>0</v>
      </c>
      <c r="CV62">
        <f>This_Year_KWH!EA7</f>
        <v>0</v>
      </c>
      <c r="CW62">
        <f>This_Year_KWH!DO7</f>
        <v>0</v>
      </c>
      <c r="CX62">
        <f>This_Year_KWH!DX7</f>
        <v>0</v>
      </c>
      <c r="CY62">
        <f>This_Year_KWH!DY7</f>
        <v>0</v>
      </c>
      <c r="CZ62">
        <f>This_Year_KWH!DZ7</f>
        <v>0</v>
      </c>
      <c r="DA62">
        <f>This_Year_KWH!ED7</f>
        <v>0</v>
      </c>
      <c r="DB62">
        <f>This_Year_KWH!DV7</f>
        <v>0</v>
      </c>
      <c r="DC62">
        <f>This_Year_KWH!CT7</f>
        <v>0</v>
      </c>
      <c r="DD62">
        <f>This_Year_KWH!DN7</f>
        <v>0</v>
      </c>
      <c r="DE62">
        <f>This_Year_KWH!AZ7</f>
        <v>0</v>
      </c>
      <c r="DF62">
        <f>This_Year_KWH!BD7</f>
        <v>0</v>
      </c>
      <c r="DG62">
        <f>This_Year_KWH!AV7</f>
        <v>0</v>
      </c>
      <c r="DH62">
        <f>This_Year_KWH!BG7</f>
        <v>0</v>
      </c>
      <c r="DI62">
        <f>This_Year_KWH!DK7</f>
        <v>0</v>
      </c>
      <c r="DJ62">
        <f>This_Year_KWH!DL7</f>
        <v>0</v>
      </c>
      <c r="DK62">
        <f>This_Year_KWH!AU7</f>
        <v>0</v>
      </c>
      <c r="DL62">
        <f>This_Year_KWH!DM7</f>
        <v>0</v>
      </c>
      <c r="DM62">
        <f>This_Year_KWH!CC7</f>
        <v>0</v>
      </c>
      <c r="DN62">
        <f>This_Year_KWH!BH7</f>
        <v>0</v>
      </c>
      <c r="DO62">
        <f>This_Year_KWH!AK7</f>
        <v>0</v>
      </c>
      <c r="DP62">
        <f>This_Year_KWH!AT7</f>
        <v>0</v>
      </c>
      <c r="DQ62">
        <f>This_Year_KWH!AX7</f>
        <v>0</v>
      </c>
      <c r="DR62">
        <f>This_Year_KWH!BA7</f>
        <v>0</v>
      </c>
      <c r="DS62">
        <f>This_Year_KWH!BB7</f>
        <v>0</v>
      </c>
      <c r="DT62">
        <f>This_Year_KWH!BC7</f>
        <v>0</v>
      </c>
      <c r="DU62">
        <f>This_Year_KWH!BF7</f>
        <v>0</v>
      </c>
      <c r="DV62">
        <f>This_Year_KWH!BN7</f>
        <v>0</v>
      </c>
      <c r="DW62">
        <f>This_Year_KWH!CD7</f>
        <v>0</v>
      </c>
      <c r="DX62">
        <f>This_Year_KWH!CE7</f>
        <v>0</v>
      </c>
      <c r="DY62">
        <f>This_Year_KWH!CJ7</f>
        <v>0</v>
      </c>
      <c r="DZ62">
        <f>This_Year_KWH!CP7</f>
        <v>0</v>
      </c>
      <c r="EA62">
        <f>This_Year_KWH!CS7</f>
        <v>0</v>
      </c>
      <c r="EB62">
        <f>This_Year_KWH!CU7</f>
        <v>0</v>
      </c>
      <c r="EC62">
        <f>This_Year_KWH!EG7</f>
        <v>0</v>
      </c>
      <c r="ED62">
        <f>This_Year_KWH!EQ7</f>
        <v>0</v>
      </c>
    </row>
    <row r="63" spans="1:134" ht="14" x14ac:dyDescent="0.25">
      <c r="A63" s="326"/>
      <c r="B63" s="137">
        <v>62</v>
      </c>
      <c r="C63" s="141" t="s">
        <v>324</v>
      </c>
      <c r="D63" s="134">
        <f>DAILY_ENERGY!C113</f>
        <v>8.1426634999999994</v>
      </c>
      <c r="E63" s="134">
        <f>DAILY_ENERGY!D113</f>
        <v>8.159632499999999</v>
      </c>
      <c r="F63" s="134">
        <f>DAILY_ENERGY!E113</f>
        <v>1.6968999999999568E-2</v>
      </c>
      <c r="G63" s="134"/>
      <c r="H63" s="134">
        <f>SHIFT_A!E113</f>
        <v>1.5356999999999843E-2</v>
      </c>
      <c r="I63" s="134">
        <f>SHIFT_B!E113</f>
        <v>0</v>
      </c>
      <c r="J63" s="134">
        <f>SHIFT_C!E113</f>
        <v>1.6119999999997248E-3</v>
      </c>
      <c r="K63" s="162">
        <f t="shared" si="0"/>
        <v>1.6968999999999568E-2</v>
      </c>
      <c r="L63" s="163">
        <f t="shared" si="1"/>
        <v>0</v>
      </c>
      <c r="N63" s="203">
        <v>2</v>
      </c>
      <c r="O63">
        <f>This_Year_KWH!AF8</f>
        <v>0</v>
      </c>
      <c r="P63">
        <f>This_Year_KWH!BJ8</f>
        <v>0</v>
      </c>
      <c r="Q63">
        <f>This_Year_KWH!BK8</f>
        <v>0</v>
      </c>
      <c r="R63">
        <f>This_Year_KWH!EP8</f>
        <v>0</v>
      </c>
      <c r="S63">
        <f>This_Year_KWH!EE8</f>
        <v>0</v>
      </c>
      <c r="T63">
        <f>This_Year_KWH!DH8</f>
        <v>0</v>
      </c>
      <c r="U63">
        <f>This_Year_KWH!CL8</f>
        <v>0</v>
      </c>
      <c r="V63">
        <f>This_Year_KWH!BL8</f>
        <v>0</v>
      </c>
      <c r="W63">
        <f>This_Year_KWH!V8</f>
        <v>0</v>
      </c>
      <c r="X63">
        <f>This_Year_KWH!AB8</f>
        <v>0</v>
      </c>
      <c r="Y63">
        <f>This_Year_KWH!AE8</f>
        <v>0</v>
      </c>
      <c r="Z63">
        <f>This_Year_KWH!AG8</f>
        <v>0</v>
      </c>
      <c r="AA63">
        <f>This_Year_KWH!BE8</f>
        <v>0</v>
      </c>
      <c r="AB63">
        <f>This_Year_KWH!AY8</f>
        <v>0</v>
      </c>
      <c r="AC63">
        <f>This_Year_KWH!CX8</f>
        <v>0</v>
      </c>
      <c r="AD63">
        <f>This_Year_KWH!CY8</f>
        <v>0</v>
      </c>
      <c r="AE63">
        <f>This_Year_KWH!DC8</f>
        <v>0</v>
      </c>
      <c r="AF63">
        <f>This_Year_KWH!DD8</f>
        <v>0</v>
      </c>
      <c r="AG63">
        <f>This_Year_KWH!W8</f>
        <v>0</v>
      </c>
      <c r="AH63">
        <f>This_Year_KWH!X8</f>
        <v>0</v>
      </c>
      <c r="AI63">
        <f>This_Year_KWH!Y8</f>
        <v>0</v>
      </c>
      <c r="AJ63">
        <f>This_Year_KWH!Z8</f>
        <v>0</v>
      </c>
      <c r="AK63">
        <f>This_Year_KWH!AA8</f>
        <v>0</v>
      </c>
      <c r="AL63">
        <f>This_Year_KWH!AC8</f>
        <v>0</v>
      </c>
      <c r="AM63">
        <f>This_Year_KWH!AD8</f>
        <v>0</v>
      </c>
      <c r="AN63">
        <f>This_Year_KWH!AI8</f>
        <v>0</v>
      </c>
      <c r="AO63">
        <f>This_Year_KWH!AJ8</f>
        <v>0</v>
      </c>
      <c r="AP63">
        <f>This_Year_KWH!AL8</f>
        <v>0</v>
      </c>
      <c r="AQ63">
        <f>This_Year_KWH!AM8</f>
        <v>0</v>
      </c>
      <c r="AR63">
        <f>This_Year_KWH!AN8</f>
        <v>0</v>
      </c>
      <c r="AS63">
        <f>This_Year_KWH!AO8</f>
        <v>0</v>
      </c>
      <c r="AT63">
        <f>This_Year_KWH!AP8</f>
        <v>0</v>
      </c>
      <c r="AU63">
        <f>This_Year_KWH!CN8</f>
        <v>0</v>
      </c>
      <c r="AV63">
        <f>This_Year_KWH!CR8</f>
        <v>0</v>
      </c>
      <c r="AW63">
        <f>This_Year_KWH!AQ8</f>
        <v>0</v>
      </c>
      <c r="AX63">
        <f>This_Year_KWH!AS8</f>
        <v>0</v>
      </c>
      <c r="AY63">
        <f>This_Year_KWH!EH8</f>
        <v>0</v>
      </c>
      <c r="AZ63">
        <f>This_Year_KWH!EJ8</f>
        <v>0</v>
      </c>
      <c r="BA63">
        <f>This_Year_KWH!EI8</f>
        <v>0</v>
      </c>
      <c r="BB63">
        <f>This_Year_KWH!AW8</f>
        <v>0</v>
      </c>
      <c r="BC63">
        <f>This_Year_KWH!DS8</f>
        <v>0</v>
      </c>
      <c r="BD63">
        <f>This_Year_KWH!CO8</f>
        <v>0</v>
      </c>
      <c r="BE63">
        <f>This_Year_KWH!DA8</f>
        <v>0</v>
      </c>
      <c r="BF63">
        <f>This_Year_KWH!DB8</f>
        <v>0</v>
      </c>
      <c r="BG63">
        <f>This_Year_KWH!EK8</f>
        <v>0</v>
      </c>
      <c r="BH63">
        <f>This_Year_KWH!EL8</f>
        <v>0</v>
      </c>
      <c r="BI63">
        <f>This_Year_KWH!EM8</f>
        <v>0</v>
      </c>
      <c r="BJ63">
        <f>This_Year_KWH!EN8</f>
        <v>0</v>
      </c>
      <c r="BK63">
        <f>This_Year_KWH!EO8</f>
        <v>0</v>
      </c>
      <c r="BL63">
        <f>This_Year_KWH!ER8</f>
        <v>0</v>
      </c>
      <c r="BM63">
        <f>This_Year_KWH!BW8</f>
        <v>0</v>
      </c>
      <c r="BN63">
        <f>This_Year_KWH!DR8</f>
        <v>0</v>
      </c>
      <c r="BO63">
        <f>This_Year_KWH!CG8</f>
        <v>0</v>
      </c>
      <c r="BP63">
        <f>This_Year_KWH!CI8</f>
        <v>0</v>
      </c>
      <c r="BQ63">
        <f>This_Year_KWH!BV8</f>
        <v>0</v>
      </c>
      <c r="BR63">
        <f>This_Year_KWH!BO8</f>
        <v>0</v>
      </c>
      <c r="BS63">
        <f>This_Year_KWH!CW8</f>
        <v>0</v>
      </c>
      <c r="BT63">
        <f>This_Year_KWH!DE8</f>
        <v>0</v>
      </c>
      <c r="BU63">
        <f>This_Year_KWH!DW8</f>
        <v>0</v>
      </c>
      <c r="BV63">
        <f>This_Year_KWH!CB8</f>
        <v>0</v>
      </c>
      <c r="BW63">
        <f>This_Year_KWH!CZ8</f>
        <v>0</v>
      </c>
      <c r="BX63">
        <f>This_Year_KWH!DG8</f>
        <v>0</v>
      </c>
      <c r="BY63">
        <f>This_Year_KWH!BS8</f>
        <v>0</v>
      </c>
      <c r="BZ63">
        <f>This_Year_KWH!CH8</f>
        <v>0</v>
      </c>
      <c r="CA63">
        <f>This_Year_KWH!BR8</f>
        <v>0</v>
      </c>
      <c r="CB63">
        <f>This_Year_KWH!BP8</f>
        <v>0</v>
      </c>
      <c r="CC63">
        <f>This_Year_KWH!BU8</f>
        <v>0</v>
      </c>
      <c r="CD63">
        <f>This_Year_KWH!BX8</f>
        <v>0</v>
      </c>
      <c r="CE63">
        <f>This_Year_KWH!CV8</f>
        <v>0</v>
      </c>
      <c r="CF63">
        <f>This_Year_KWH!BT8</f>
        <v>0</v>
      </c>
      <c r="CG63">
        <f>This_Year_KWH!CA8</f>
        <v>0</v>
      </c>
      <c r="CH63">
        <f>This_Year_KWH!CF8</f>
        <v>0</v>
      </c>
      <c r="CI63">
        <f>This_Year_KWH!BZ8</f>
        <v>0</v>
      </c>
      <c r="CJ63">
        <f>This_Year_KWH!CK8</f>
        <v>0</v>
      </c>
      <c r="CK63">
        <f>This_Year_KWH!DT8</f>
        <v>0</v>
      </c>
      <c r="CL63">
        <f>This_Year_KWH!EB8</f>
        <v>0</v>
      </c>
      <c r="CM63">
        <f>This_Year_KWH!EC8</f>
        <v>0</v>
      </c>
      <c r="CN63">
        <f>This_Year_KWH!CQ8</f>
        <v>0</v>
      </c>
      <c r="CO63">
        <f>This_Year_KWH!DF8</f>
        <v>0</v>
      </c>
      <c r="CP63">
        <f>This_Year_KWH!DJ8</f>
        <v>0</v>
      </c>
      <c r="CQ63">
        <f>This_Year_KWH!DP8</f>
        <v>0</v>
      </c>
      <c r="CR63">
        <f>This_Year_KWH!BQ8</f>
        <v>0</v>
      </c>
      <c r="CS63">
        <f>This_Year_KWH!BY8</f>
        <v>0</v>
      </c>
      <c r="CT63">
        <f>This_Year_KWH!DU8</f>
        <v>0</v>
      </c>
      <c r="CU63">
        <f>This_Year_KWH!DQ8</f>
        <v>0</v>
      </c>
      <c r="CV63">
        <f>This_Year_KWH!EA8</f>
        <v>0</v>
      </c>
      <c r="CW63">
        <f>This_Year_KWH!DO8</f>
        <v>0</v>
      </c>
      <c r="CX63">
        <f>This_Year_KWH!DX8</f>
        <v>0</v>
      </c>
      <c r="CY63">
        <f>This_Year_KWH!DY8</f>
        <v>0</v>
      </c>
      <c r="CZ63">
        <f>This_Year_KWH!DZ8</f>
        <v>0</v>
      </c>
      <c r="DA63">
        <f>This_Year_KWH!ED8</f>
        <v>0</v>
      </c>
      <c r="DB63">
        <f>This_Year_KWH!DV8</f>
        <v>0</v>
      </c>
      <c r="DC63">
        <f>This_Year_KWH!CT8</f>
        <v>0</v>
      </c>
      <c r="DD63">
        <f>This_Year_KWH!DN8</f>
        <v>0</v>
      </c>
      <c r="DE63">
        <f>This_Year_KWH!AZ8</f>
        <v>0</v>
      </c>
      <c r="DF63">
        <f>This_Year_KWH!BD8</f>
        <v>0</v>
      </c>
      <c r="DG63">
        <f>This_Year_KWH!AV8</f>
        <v>0</v>
      </c>
      <c r="DH63">
        <f>This_Year_KWH!BG8</f>
        <v>0</v>
      </c>
      <c r="DI63">
        <f>This_Year_KWH!DK8</f>
        <v>0</v>
      </c>
      <c r="DJ63">
        <f>This_Year_KWH!DL8</f>
        <v>0</v>
      </c>
      <c r="DK63">
        <f>This_Year_KWH!AU8</f>
        <v>0</v>
      </c>
      <c r="DL63">
        <f>This_Year_KWH!DM8</f>
        <v>0</v>
      </c>
      <c r="DM63">
        <f>This_Year_KWH!CC8</f>
        <v>0</v>
      </c>
      <c r="DN63">
        <f>This_Year_KWH!BH8</f>
        <v>0</v>
      </c>
      <c r="DO63">
        <f>This_Year_KWH!AK8</f>
        <v>0</v>
      </c>
      <c r="DP63">
        <f>This_Year_KWH!AT8</f>
        <v>0</v>
      </c>
      <c r="DQ63">
        <f>This_Year_KWH!AX8</f>
        <v>0</v>
      </c>
      <c r="DR63">
        <f>This_Year_KWH!BA8</f>
        <v>0</v>
      </c>
      <c r="DS63">
        <f>This_Year_KWH!BB8</f>
        <v>0</v>
      </c>
      <c r="DT63">
        <f>This_Year_KWH!BC8</f>
        <v>0</v>
      </c>
      <c r="DU63">
        <f>This_Year_KWH!BF8</f>
        <v>0</v>
      </c>
      <c r="DV63">
        <f>This_Year_KWH!BN8</f>
        <v>0</v>
      </c>
      <c r="DW63">
        <f>This_Year_KWH!CD8</f>
        <v>0</v>
      </c>
      <c r="DX63">
        <f>This_Year_KWH!CE8</f>
        <v>0</v>
      </c>
      <c r="DY63">
        <f>This_Year_KWH!CJ8</f>
        <v>0</v>
      </c>
      <c r="DZ63">
        <f>This_Year_KWH!CP8</f>
        <v>0</v>
      </c>
      <c r="EA63">
        <f>This_Year_KWH!CS8</f>
        <v>0</v>
      </c>
      <c r="EB63">
        <f>This_Year_KWH!CU8</f>
        <v>0</v>
      </c>
      <c r="EC63">
        <f>This_Year_KWH!EG8</f>
        <v>0</v>
      </c>
      <c r="ED63">
        <f>This_Year_KWH!EQ8</f>
        <v>0</v>
      </c>
    </row>
    <row r="64" spans="1:134" ht="14" x14ac:dyDescent="0.25">
      <c r="A64" s="327" t="s">
        <v>236</v>
      </c>
      <c r="B64" s="137">
        <v>63</v>
      </c>
      <c r="C64" s="139" t="s">
        <v>284</v>
      </c>
      <c r="D64" s="142">
        <f>DAILY_ENERGY!C73</f>
        <v>0</v>
      </c>
      <c r="E64" s="142">
        <f>DAILY_ENERGY!D73</f>
        <v>0</v>
      </c>
      <c r="F64" s="142">
        <f>DAILY_ENERGY!E73</f>
        <v>0</v>
      </c>
      <c r="G64" s="142"/>
      <c r="H64" s="142">
        <f>SHIFT_A!E73</f>
        <v>0</v>
      </c>
      <c r="I64" s="142">
        <f>SHIFT_B!E73</f>
        <v>0</v>
      </c>
      <c r="J64" s="142">
        <f>SHIFT_C!E73</f>
        <v>0</v>
      </c>
      <c r="K64" s="162">
        <f t="shared" si="0"/>
        <v>0</v>
      </c>
      <c r="L64" s="163">
        <f t="shared" si="1"/>
        <v>0</v>
      </c>
      <c r="N64" s="203">
        <v>3</v>
      </c>
      <c r="O64">
        <f>This_Year_KWH!AF9</f>
        <v>0</v>
      </c>
      <c r="P64">
        <f>This_Year_KWH!BJ9</f>
        <v>0</v>
      </c>
      <c r="Q64">
        <f>This_Year_KWH!BK9</f>
        <v>0</v>
      </c>
      <c r="R64">
        <f>This_Year_KWH!EP9</f>
        <v>0</v>
      </c>
      <c r="S64">
        <f>This_Year_KWH!EE9</f>
        <v>0</v>
      </c>
      <c r="T64">
        <f>This_Year_KWH!DH9</f>
        <v>0</v>
      </c>
      <c r="U64">
        <f>This_Year_KWH!CL9</f>
        <v>0</v>
      </c>
      <c r="V64">
        <f>This_Year_KWH!BL9</f>
        <v>0</v>
      </c>
      <c r="W64">
        <f>This_Year_KWH!V9</f>
        <v>0</v>
      </c>
      <c r="X64">
        <f>This_Year_KWH!AB9</f>
        <v>0</v>
      </c>
      <c r="Y64">
        <f>This_Year_KWH!AE9</f>
        <v>0</v>
      </c>
      <c r="Z64">
        <f>This_Year_KWH!AG9</f>
        <v>0</v>
      </c>
      <c r="AA64">
        <f>This_Year_KWH!BE9</f>
        <v>0</v>
      </c>
      <c r="AB64">
        <f>This_Year_KWH!AY9</f>
        <v>0</v>
      </c>
      <c r="AC64">
        <f>This_Year_KWH!CX9</f>
        <v>0</v>
      </c>
      <c r="AD64">
        <f>This_Year_KWH!CY9</f>
        <v>0</v>
      </c>
      <c r="AE64">
        <f>This_Year_KWH!DC9</f>
        <v>0</v>
      </c>
      <c r="AF64">
        <f>This_Year_KWH!DD9</f>
        <v>0</v>
      </c>
      <c r="AG64">
        <f>This_Year_KWH!W9</f>
        <v>0</v>
      </c>
      <c r="AH64">
        <f>This_Year_KWH!X9</f>
        <v>0</v>
      </c>
      <c r="AI64">
        <f>This_Year_KWH!Y9</f>
        <v>0</v>
      </c>
      <c r="AJ64">
        <f>This_Year_KWH!Z9</f>
        <v>0</v>
      </c>
      <c r="AK64">
        <f>This_Year_KWH!AA9</f>
        <v>0</v>
      </c>
      <c r="AL64">
        <f>This_Year_KWH!AC9</f>
        <v>0</v>
      </c>
      <c r="AM64">
        <f>This_Year_KWH!AD9</f>
        <v>0</v>
      </c>
      <c r="AN64">
        <f>This_Year_KWH!AI9</f>
        <v>0</v>
      </c>
      <c r="AO64">
        <f>This_Year_KWH!AJ9</f>
        <v>0</v>
      </c>
      <c r="AP64">
        <f>This_Year_KWH!AL9</f>
        <v>0</v>
      </c>
      <c r="AQ64">
        <f>This_Year_KWH!AM9</f>
        <v>0</v>
      </c>
      <c r="AR64">
        <f>This_Year_KWH!AN9</f>
        <v>0</v>
      </c>
      <c r="AS64">
        <f>This_Year_KWH!AO9</f>
        <v>0</v>
      </c>
      <c r="AT64">
        <f>This_Year_KWH!AP9</f>
        <v>0</v>
      </c>
      <c r="AU64">
        <f>This_Year_KWH!CN9</f>
        <v>0</v>
      </c>
      <c r="AV64">
        <f>This_Year_KWH!CR9</f>
        <v>0</v>
      </c>
      <c r="AW64">
        <f>This_Year_KWH!AQ9</f>
        <v>0</v>
      </c>
      <c r="AX64">
        <f>This_Year_KWH!AS9</f>
        <v>0</v>
      </c>
      <c r="AY64">
        <f>This_Year_KWH!EH9</f>
        <v>0</v>
      </c>
      <c r="AZ64">
        <f>This_Year_KWH!EJ9</f>
        <v>0</v>
      </c>
      <c r="BA64">
        <f>This_Year_KWH!EI9</f>
        <v>0</v>
      </c>
      <c r="BB64">
        <f>This_Year_KWH!AW9</f>
        <v>0</v>
      </c>
      <c r="BC64">
        <f>This_Year_KWH!DS9</f>
        <v>0</v>
      </c>
      <c r="BD64">
        <f>This_Year_KWH!CO9</f>
        <v>0</v>
      </c>
      <c r="BE64">
        <f>This_Year_KWH!DA9</f>
        <v>0</v>
      </c>
      <c r="BF64">
        <f>This_Year_KWH!DB9</f>
        <v>0</v>
      </c>
      <c r="BG64">
        <f>This_Year_KWH!EK9</f>
        <v>0</v>
      </c>
      <c r="BH64">
        <f>This_Year_KWH!EL9</f>
        <v>0</v>
      </c>
      <c r="BI64">
        <f>This_Year_KWH!EM9</f>
        <v>0</v>
      </c>
      <c r="BJ64">
        <f>This_Year_KWH!EN9</f>
        <v>0</v>
      </c>
      <c r="BK64">
        <f>This_Year_KWH!EO9</f>
        <v>0</v>
      </c>
      <c r="BL64">
        <f>This_Year_KWH!ER9</f>
        <v>0</v>
      </c>
      <c r="BM64">
        <f>This_Year_KWH!BW9</f>
        <v>0</v>
      </c>
      <c r="BN64">
        <f>This_Year_KWH!DR9</f>
        <v>0</v>
      </c>
      <c r="BO64">
        <f>This_Year_KWH!CG9</f>
        <v>0</v>
      </c>
      <c r="BP64">
        <f>This_Year_KWH!CI9</f>
        <v>0</v>
      </c>
      <c r="BQ64">
        <f>This_Year_KWH!BV9</f>
        <v>0</v>
      </c>
      <c r="BR64">
        <f>This_Year_KWH!BO9</f>
        <v>0</v>
      </c>
      <c r="BS64">
        <f>This_Year_KWH!CW9</f>
        <v>0</v>
      </c>
      <c r="BT64">
        <f>This_Year_KWH!DE9</f>
        <v>0</v>
      </c>
      <c r="BU64">
        <f>This_Year_KWH!DW9</f>
        <v>0</v>
      </c>
      <c r="BV64">
        <f>This_Year_KWH!CB9</f>
        <v>0</v>
      </c>
      <c r="BW64">
        <f>This_Year_KWH!CZ9</f>
        <v>0</v>
      </c>
      <c r="BX64">
        <f>This_Year_KWH!DG9</f>
        <v>0</v>
      </c>
      <c r="BY64">
        <f>This_Year_KWH!BS9</f>
        <v>0</v>
      </c>
      <c r="BZ64">
        <f>This_Year_KWH!CH9</f>
        <v>0</v>
      </c>
      <c r="CA64">
        <f>This_Year_KWH!BR9</f>
        <v>0</v>
      </c>
      <c r="CB64">
        <f>This_Year_KWH!BP9</f>
        <v>0</v>
      </c>
      <c r="CC64">
        <f>This_Year_KWH!BU9</f>
        <v>0</v>
      </c>
      <c r="CD64">
        <f>This_Year_KWH!BX9</f>
        <v>0</v>
      </c>
      <c r="CE64">
        <f>This_Year_KWH!CV9</f>
        <v>0</v>
      </c>
      <c r="CF64">
        <f>This_Year_KWH!BT9</f>
        <v>0</v>
      </c>
      <c r="CG64">
        <f>This_Year_KWH!CA9</f>
        <v>0</v>
      </c>
      <c r="CH64">
        <f>This_Year_KWH!CF9</f>
        <v>0</v>
      </c>
      <c r="CI64">
        <f>This_Year_KWH!BZ9</f>
        <v>0</v>
      </c>
      <c r="CJ64">
        <f>This_Year_KWH!CK9</f>
        <v>0</v>
      </c>
      <c r="CK64">
        <f>This_Year_KWH!DT9</f>
        <v>0</v>
      </c>
      <c r="CL64">
        <f>This_Year_KWH!EB9</f>
        <v>0</v>
      </c>
      <c r="CM64">
        <f>This_Year_KWH!EC9</f>
        <v>0</v>
      </c>
      <c r="CN64">
        <f>This_Year_KWH!CQ9</f>
        <v>0</v>
      </c>
      <c r="CO64">
        <f>This_Year_KWH!DF9</f>
        <v>0</v>
      </c>
      <c r="CP64">
        <f>This_Year_KWH!DJ9</f>
        <v>0</v>
      </c>
      <c r="CQ64">
        <f>This_Year_KWH!DP9</f>
        <v>0</v>
      </c>
      <c r="CR64">
        <f>This_Year_KWH!BQ9</f>
        <v>0</v>
      </c>
      <c r="CS64">
        <f>This_Year_KWH!BY9</f>
        <v>0</v>
      </c>
      <c r="CT64">
        <f>This_Year_KWH!DU9</f>
        <v>0</v>
      </c>
      <c r="CU64">
        <f>This_Year_KWH!DQ9</f>
        <v>0</v>
      </c>
      <c r="CV64">
        <f>This_Year_KWH!EA9</f>
        <v>0</v>
      </c>
      <c r="CW64">
        <f>This_Year_KWH!DO9</f>
        <v>0</v>
      </c>
      <c r="CX64">
        <f>This_Year_KWH!DX9</f>
        <v>0</v>
      </c>
      <c r="CY64">
        <f>This_Year_KWH!DY9</f>
        <v>0</v>
      </c>
      <c r="CZ64">
        <f>This_Year_KWH!DZ9</f>
        <v>0</v>
      </c>
      <c r="DA64">
        <f>This_Year_KWH!ED9</f>
        <v>0</v>
      </c>
      <c r="DB64">
        <f>This_Year_KWH!DV9</f>
        <v>0</v>
      </c>
      <c r="DC64">
        <f>This_Year_KWH!CT9</f>
        <v>0</v>
      </c>
      <c r="DD64">
        <f>This_Year_KWH!DN9</f>
        <v>0</v>
      </c>
      <c r="DE64">
        <f>This_Year_KWH!AZ9</f>
        <v>0</v>
      </c>
      <c r="DF64">
        <f>This_Year_KWH!BD9</f>
        <v>0</v>
      </c>
      <c r="DG64">
        <f>This_Year_KWH!AV9</f>
        <v>0</v>
      </c>
      <c r="DH64">
        <f>This_Year_KWH!BG9</f>
        <v>0</v>
      </c>
      <c r="DI64">
        <f>This_Year_KWH!DK9</f>
        <v>0</v>
      </c>
      <c r="DJ64">
        <f>This_Year_KWH!DL9</f>
        <v>0</v>
      </c>
      <c r="DK64">
        <f>This_Year_KWH!AU9</f>
        <v>0</v>
      </c>
      <c r="DL64">
        <f>This_Year_KWH!DM9</f>
        <v>0</v>
      </c>
      <c r="DM64">
        <f>This_Year_KWH!CC9</f>
        <v>0</v>
      </c>
      <c r="DN64">
        <f>This_Year_KWH!BH9</f>
        <v>0</v>
      </c>
      <c r="DO64">
        <f>This_Year_KWH!AK9</f>
        <v>0</v>
      </c>
      <c r="DP64">
        <f>This_Year_KWH!AT9</f>
        <v>0</v>
      </c>
      <c r="DQ64">
        <f>This_Year_KWH!AX9</f>
        <v>0</v>
      </c>
      <c r="DR64">
        <f>This_Year_KWH!BA9</f>
        <v>0</v>
      </c>
      <c r="DS64">
        <f>This_Year_KWH!BB9</f>
        <v>0</v>
      </c>
      <c r="DT64">
        <f>This_Year_KWH!BC9</f>
        <v>0</v>
      </c>
      <c r="DU64">
        <f>This_Year_KWH!BF9</f>
        <v>0</v>
      </c>
      <c r="DV64">
        <f>This_Year_KWH!BN9</f>
        <v>0</v>
      </c>
      <c r="DW64">
        <f>This_Year_KWH!CD9</f>
        <v>0</v>
      </c>
      <c r="DX64">
        <f>This_Year_KWH!CE9</f>
        <v>0</v>
      </c>
      <c r="DY64">
        <f>This_Year_KWH!CJ9</f>
        <v>0</v>
      </c>
      <c r="DZ64">
        <f>This_Year_KWH!CP9</f>
        <v>0</v>
      </c>
      <c r="EA64">
        <f>This_Year_KWH!CS9</f>
        <v>0</v>
      </c>
      <c r="EB64">
        <f>This_Year_KWH!CU9</f>
        <v>0</v>
      </c>
      <c r="EC64">
        <f>This_Year_KWH!EG9</f>
        <v>0</v>
      </c>
      <c r="ED64">
        <f>This_Year_KWH!EQ9</f>
        <v>0</v>
      </c>
    </row>
    <row r="65" spans="1:134" ht="14" x14ac:dyDescent="0.25">
      <c r="A65" s="328"/>
      <c r="B65" s="137">
        <v>64</v>
      </c>
      <c r="C65" s="139" t="s">
        <v>299</v>
      </c>
      <c r="D65" s="142">
        <f>DAILY_ENERGY!C88</f>
        <v>3.0774352499999997</v>
      </c>
      <c r="E65" s="142">
        <f>DAILY_ENERGY!D88</f>
        <v>3.0948864999999999</v>
      </c>
      <c r="F65" s="142">
        <f>DAILY_ENERGY!E88</f>
        <v>1.745125000000014E-2</v>
      </c>
      <c r="G65" s="142"/>
      <c r="H65" s="142">
        <f>SHIFT_A!E88</f>
        <v>5.0752499999999756E-3</v>
      </c>
      <c r="I65" s="142">
        <f>SHIFT_B!E88</f>
        <v>7.3055000000001868E-3</v>
      </c>
      <c r="J65" s="142">
        <f>SHIFT_C!E88</f>
        <v>5.0704999999999778E-3</v>
      </c>
      <c r="K65" s="162">
        <f t="shared" si="0"/>
        <v>1.745125000000014E-2</v>
      </c>
      <c r="L65" s="163">
        <f t="shared" si="1"/>
        <v>0</v>
      </c>
      <c r="N65" s="203">
        <v>4</v>
      </c>
      <c r="O65">
        <f>This_Year_KWH!AF10</f>
        <v>1.00399999999823E-3</v>
      </c>
      <c r="P65">
        <f>This_Year_KWH!BJ10</f>
        <v>2.0229999999991422E-3</v>
      </c>
      <c r="Q65">
        <f>This_Year_KWH!BK10</f>
        <v>1.6512365000000007</v>
      </c>
      <c r="R65">
        <f>This_Year_KWH!EP10</f>
        <v>1.1520000000018601E-3</v>
      </c>
      <c r="S65">
        <f>This_Year_KWH!EE10</f>
        <v>99.143725999999987</v>
      </c>
      <c r="T65">
        <f>This_Year_KWH!DH10</f>
        <v>14.275708</v>
      </c>
      <c r="U65">
        <f>This_Year_KWH!CL10</f>
        <v>45.612764000000048</v>
      </c>
      <c r="V65">
        <f>This_Year_KWH!BL10</f>
        <v>3.0290780000000117</v>
      </c>
      <c r="W65">
        <f>This_Year_KWH!V10</f>
        <v>3.3890160000000007</v>
      </c>
      <c r="X65">
        <f>This_Year_KWH!AB10</f>
        <v>4.3301670000000003</v>
      </c>
      <c r="Y65">
        <f>This_Year_KWH!AE10</f>
        <v>0.60595612499999962</v>
      </c>
      <c r="Z65">
        <f>This_Year_KWH!AG10</f>
        <v>0.25407100000000055</v>
      </c>
      <c r="AA65">
        <f>This_Year_KWH!BE10</f>
        <v>3.8277300000000012</v>
      </c>
      <c r="AB65">
        <f>This_Year_KWH!AY10</f>
        <v>1.490048375</v>
      </c>
      <c r="AC65">
        <f>This_Year_KWH!CX10</f>
        <v>7.0544179999999983</v>
      </c>
      <c r="AD65">
        <f>This_Year_KWH!CY10</f>
        <v>0.42009500000000005</v>
      </c>
      <c r="AE65">
        <f>This_Year_KWH!DC10</f>
        <v>0.93638399999999999</v>
      </c>
      <c r="AF65">
        <f>This_Year_KWH!DD10</f>
        <v>0.28743199999999808</v>
      </c>
      <c r="AG65">
        <f>This_Year_KWH!W10</f>
        <v>1.8280179999999999</v>
      </c>
      <c r="AH65">
        <f>This_Year_KWH!X10</f>
        <v>1.9593564999999988</v>
      </c>
      <c r="AI65">
        <f>This_Year_KWH!Y10</f>
        <v>0</v>
      </c>
      <c r="AJ65">
        <f>This_Year_KWH!Z10</f>
        <v>1.4087114999999995</v>
      </c>
      <c r="AK65">
        <f>This_Year_KWH!AA10</f>
        <v>3.1834019999999996</v>
      </c>
      <c r="AL65">
        <f>This_Year_KWH!AC10</f>
        <v>3.0314180000000004</v>
      </c>
      <c r="AM65">
        <f>This_Year_KWH!AD10</f>
        <v>1.3578745000000003</v>
      </c>
      <c r="AN65">
        <f>This_Year_KWH!AI10</f>
        <v>0</v>
      </c>
      <c r="AO65">
        <f>This_Year_KWH!AJ10</f>
        <v>0.828148</v>
      </c>
      <c r="AP65">
        <f>This_Year_KWH!AL10</f>
        <v>7.6579760000000041</v>
      </c>
      <c r="AQ65">
        <f>This_Year_KWH!AM10</f>
        <v>12.745708000000004</v>
      </c>
      <c r="AR65">
        <f>This_Year_KWH!AN10</f>
        <v>9.9763959999999976</v>
      </c>
      <c r="AS65">
        <f>This_Year_KWH!AO10</f>
        <v>4.4612220000000011</v>
      </c>
      <c r="AT65">
        <f>This_Year_KWH!AP10</f>
        <v>2.3062870000000006</v>
      </c>
      <c r="AU65">
        <f>This_Year_KWH!CN10</f>
        <v>1.0415810000000008</v>
      </c>
      <c r="AV65">
        <f>This_Year_KWH!CR10</f>
        <v>2.5618519999999996</v>
      </c>
      <c r="AW65">
        <f>This_Year_KWH!AQ10</f>
        <v>8.1011520000000026</v>
      </c>
      <c r="AX65">
        <f>This_Year_KWH!AS10</f>
        <v>0.9567777500000002</v>
      </c>
      <c r="AY65">
        <f>This_Year_KWH!EH10</f>
        <v>11.277055999999931</v>
      </c>
      <c r="AZ65">
        <f>This_Year_KWH!EJ10</f>
        <v>0.87139200000002814</v>
      </c>
      <c r="BA65">
        <f>This_Year_KWH!EI10</f>
        <v>11.359743999999937</v>
      </c>
      <c r="BB65">
        <f>This_Year_KWH!AW10</f>
        <v>52.881232000000111</v>
      </c>
      <c r="BC65">
        <f>This_Year_KWH!DS10</f>
        <v>37.010864000000005</v>
      </c>
      <c r="BD65">
        <f>This_Year_KWH!CO10</f>
        <v>12.394032000000003</v>
      </c>
      <c r="BE65">
        <f>This_Year_KWH!DA10</f>
        <v>8.0453600000000005</v>
      </c>
      <c r="BF65">
        <f>This_Year_KWH!DB10</f>
        <v>2.901076999999999</v>
      </c>
      <c r="BG65">
        <f>This_Year_KWH!EK10</f>
        <v>2.126079999999837</v>
      </c>
      <c r="BH65">
        <f>This_Year_KWH!EL10</f>
        <v>22.190208000000055</v>
      </c>
      <c r="BI65">
        <f>This_Year_KWH!EM10</f>
        <v>40.650751999999926</v>
      </c>
      <c r="BJ65">
        <f>This_Year_KWH!EN10</f>
        <v>29.051136000000358</v>
      </c>
      <c r="BK65">
        <f>This_Year_KWH!EO10</f>
        <v>20.733439999999934</v>
      </c>
      <c r="BL65">
        <f>This_Year_KWH!ER10</f>
        <v>0</v>
      </c>
      <c r="BM65">
        <f>This_Year_KWH!BW10</f>
        <v>0</v>
      </c>
      <c r="BN65">
        <f>This_Year_KWH!DR10</f>
        <v>0</v>
      </c>
      <c r="BO65">
        <f>This_Year_KWH!CG10</f>
        <v>0</v>
      </c>
      <c r="BP65">
        <f>This_Year_KWH!CI10</f>
        <v>0</v>
      </c>
      <c r="BQ65">
        <f>This_Year_KWH!BV10</f>
        <v>0</v>
      </c>
      <c r="BR65">
        <f>This_Year_KWH!BO10</f>
        <v>5.3897377669677908</v>
      </c>
      <c r="BS65">
        <f>This_Year_KWH!CW10</f>
        <v>0.89828799999999509</v>
      </c>
      <c r="BT65">
        <f>This_Year_KWH!DE10</f>
        <v>0</v>
      </c>
      <c r="BU65">
        <f>This_Year_KWH!DW10</f>
        <v>0</v>
      </c>
      <c r="BV65">
        <f>This_Year_KWH!CB10</f>
        <v>0</v>
      </c>
      <c r="BW65">
        <f>This_Year_KWH!CZ10</f>
        <v>0.46950050000000021</v>
      </c>
      <c r="BX65">
        <f>This_Year_KWH!DG10</f>
        <v>0.27150250000000026</v>
      </c>
      <c r="BY65">
        <f>This_Year_KWH!BS10</f>
        <v>0</v>
      </c>
      <c r="BZ65">
        <f>This_Year_KWH!CH10</f>
        <v>4.6161500000000077E-2</v>
      </c>
      <c r="CA65">
        <f>This_Year_KWH!BR10</f>
        <v>0.34157430419921869</v>
      </c>
      <c r="CB65">
        <f>This_Year_KWH!BP10</f>
        <v>0</v>
      </c>
      <c r="CC65">
        <f>This_Year_KWH!BU10</f>
        <v>0.84777018750000033</v>
      </c>
      <c r="CD65">
        <f>This_Year_KWH!BX10</f>
        <v>0.39852575939941376</v>
      </c>
      <c r="CE65">
        <f>This_Year_KWH!CV10</f>
        <v>0.36004425000000012</v>
      </c>
      <c r="CF65">
        <f>This_Year_KWH!BT10</f>
        <v>6.3992919999999982</v>
      </c>
      <c r="CG65">
        <f>This_Year_KWH!CA10</f>
        <v>6.9394080000000073</v>
      </c>
      <c r="CH65">
        <f>This_Year_KWH!CF10</f>
        <v>1.5052170000000002</v>
      </c>
      <c r="CI65">
        <f>This_Year_KWH!BZ10</f>
        <v>23.415671999999997</v>
      </c>
      <c r="CJ65">
        <f>This_Year_KWH!CK10</f>
        <v>0</v>
      </c>
      <c r="CK65">
        <f>This_Year_KWH!DT10</f>
        <v>10.314816000000004</v>
      </c>
      <c r="CL65">
        <f>This_Year_KWH!EB10</f>
        <v>33.595752000000026</v>
      </c>
      <c r="CM65">
        <f>This_Year_KWH!EC10</f>
        <v>15.955983999999969</v>
      </c>
      <c r="CN65">
        <f>This_Year_KWH!CQ10</f>
        <v>6.4687499999878134E-6</v>
      </c>
      <c r="CO65">
        <f>This_Year_KWH!DF10</f>
        <v>0</v>
      </c>
      <c r="CP65">
        <f>This_Year_KWH!DJ10</f>
        <v>0</v>
      </c>
      <c r="CQ65">
        <f>This_Year_KWH!DP10</f>
        <v>1.0488694999999995</v>
      </c>
      <c r="CR65">
        <f>This_Year_KWH!BQ10</f>
        <v>0</v>
      </c>
      <c r="CS65">
        <f>This_Year_KWH!BY10</f>
        <v>0</v>
      </c>
      <c r="CT65">
        <f>This_Year_KWH!DU10</f>
        <v>0.40217399999999959</v>
      </c>
      <c r="CU65">
        <f>This_Year_KWH!DQ10</f>
        <v>0</v>
      </c>
      <c r="CV65">
        <f>This_Year_KWH!EA10</f>
        <v>3.1067374999999942E-2</v>
      </c>
      <c r="CW65">
        <f>This_Year_KWH!DO10</f>
        <v>18.746936000000012</v>
      </c>
      <c r="CX65">
        <f>This_Year_KWH!DX10</f>
        <v>3.7087774921874956</v>
      </c>
      <c r="CY65">
        <f>This_Year_KWH!DY10</f>
        <v>0.32200551855468745</v>
      </c>
      <c r="CZ65">
        <f>This_Year_KWH!DZ10</f>
        <v>2.5247100000000051</v>
      </c>
      <c r="DA65">
        <f>This_Year_KWH!ED10</f>
        <v>1.1481171875</v>
      </c>
      <c r="DB65">
        <f>This_Year_KWH!DV10</f>
        <v>0.26131724999999972</v>
      </c>
      <c r="DC65">
        <f>This_Year_KWH!CT10</f>
        <v>4.7457799999999963</v>
      </c>
      <c r="DD65">
        <f>This_Year_KWH!DN10</f>
        <v>3.4285500000000121E-2</v>
      </c>
      <c r="DE65">
        <f>This_Year_KWH!AZ10</f>
        <v>1.0200000000052969E-4</v>
      </c>
      <c r="DF65">
        <f>This_Year_KWH!BD10</f>
        <v>0.10507837500000024</v>
      </c>
      <c r="DG65">
        <f>This_Year_KWH!AV10</f>
        <v>0.72786474999999995</v>
      </c>
      <c r="DH65">
        <f>This_Year_KWH!BG10</f>
        <v>0.59957199999999999</v>
      </c>
      <c r="DI65">
        <f>This_Year_KWH!DK10</f>
        <v>1.7985400000000016</v>
      </c>
      <c r="DJ65">
        <f>This_Year_KWH!DL10</f>
        <v>0.50742650000000067</v>
      </c>
      <c r="DK65">
        <f>This_Year_KWH!AU10</f>
        <v>1.1521020000000051</v>
      </c>
      <c r="DL65">
        <f>This_Year_KWH!DM10</f>
        <v>1.2156089999999991</v>
      </c>
      <c r="DM65">
        <f>This_Year_KWH!CC10</f>
        <v>0</v>
      </c>
      <c r="DN65">
        <f>This_Year_KWH!BH10</f>
        <v>0.62710599999999972</v>
      </c>
      <c r="DO65">
        <f>This_Year_KWH!AK10</f>
        <v>0</v>
      </c>
      <c r="DP65">
        <f>This_Year_KWH!AT10</f>
        <v>0</v>
      </c>
      <c r="DQ65">
        <f>This_Year_KWH!AX10</f>
        <v>0</v>
      </c>
      <c r="DR65">
        <f>This_Year_KWH!BA10</f>
        <v>0</v>
      </c>
      <c r="DS65">
        <f>This_Year_KWH!BB10</f>
        <v>0</v>
      </c>
      <c r="DT65">
        <f>This_Year_KWH!BC10</f>
        <v>0</v>
      </c>
      <c r="DU65">
        <f>This_Year_KWH!BF10</f>
        <v>0</v>
      </c>
      <c r="DV65">
        <f>This_Year_KWH!BN10</f>
        <v>0</v>
      </c>
      <c r="DW65">
        <f>This_Year_KWH!CD10</f>
        <v>0</v>
      </c>
      <c r="DX65">
        <f>This_Year_KWH!CE10</f>
        <v>0</v>
      </c>
      <c r="DY65">
        <f>This_Year_KWH!CJ10</f>
        <v>0</v>
      </c>
      <c r="DZ65">
        <f>This_Year_KWH!CP10</f>
        <v>0</v>
      </c>
      <c r="EA65">
        <f>This_Year_KWH!CS10</f>
        <v>0</v>
      </c>
      <c r="EB65">
        <f>This_Year_KWH!CU10</f>
        <v>0</v>
      </c>
      <c r="EC65">
        <f>This_Year_KWH!EG10</f>
        <v>0</v>
      </c>
      <c r="ED65">
        <f>This_Year_KWH!EQ10</f>
        <v>0</v>
      </c>
    </row>
    <row r="66" spans="1:134" ht="14" x14ac:dyDescent="0.25">
      <c r="A66" s="328"/>
      <c r="B66" s="137">
        <v>65</v>
      </c>
      <c r="C66" s="139" t="s">
        <v>283</v>
      </c>
      <c r="D66" s="142">
        <f>DAILY_ENERGY!C72</f>
        <v>0</v>
      </c>
      <c r="E66" s="142">
        <f>DAILY_ENERGY!D72</f>
        <v>0</v>
      </c>
      <c r="F66" s="142">
        <f>DAILY_ENERGY!E72</f>
        <v>0</v>
      </c>
      <c r="G66" s="142"/>
      <c r="H66" s="142">
        <f>SHIFT_A!E72</f>
        <v>0</v>
      </c>
      <c r="I66" s="142">
        <f>SHIFT_B!E72</f>
        <v>0</v>
      </c>
      <c r="J66" s="142">
        <f>SHIFT_C!E72</f>
        <v>0</v>
      </c>
      <c r="K66" s="162">
        <f t="shared" si="0"/>
        <v>0</v>
      </c>
      <c r="L66" s="163">
        <f t="shared" si="1"/>
        <v>0</v>
      </c>
      <c r="N66" s="203">
        <v>5</v>
      </c>
      <c r="O66">
        <f>This_Year_KWH!AF11</f>
        <v>0</v>
      </c>
      <c r="P66">
        <f>This_Year_KWH!BJ11</f>
        <v>4.9425000000002904E-2</v>
      </c>
      <c r="Q66">
        <f>This_Year_KWH!BK11</f>
        <v>1.4904174999999995</v>
      </c>
      <c r="R66">
        <f>This_Year_KWH!EP11</f>
        <v>0</v>
      </c>
      <c r="S66">
        <f>This_Year_KWH!EE11</f>
        <v>27.728119500000037</v>
      </c>
      <c r="T66">
        <f>This_Year_KWH!DH11</f>
        <v>6.5086820000000101</v>
      </c>
      <c r="U66">
        <f>This_Year_KWH!CL11</f>
        <v>33.07883200000002</v>
      </c>
      <c r="V66">
        <f>This_Year_KWH!BL11</f>
        <v>22.32307999999998</v>
      </c>
      <c r="W66">
        <f>This_Year_KWH!V11</f>
        <v>3.2724419999999994</v>
      </c>
      <c r="X66">
        <f>This_Year_KWH!AB11</f>
        <v>4.1729399999999988</v>
      </c>
      <c r="Y66">
        <f>This_Year_KWH!AE11</f>
        <v>1.9942447500000005</v>
      </c>
      <c r="Z66">
        <f>This_Year_KWH!AG11</f>
        <v>0.44267824999999983</v>
      </c>
      <c r="AA66">
        <f>This_Year_KWH!BE11</f>
        <v>4.3297499999999998</v>
      </c>
      <c r="AB66">
        <f>This_Year_KWH!AY11</f>
        <v>1.7909152499999998</v>
      </c>
      <c r="AC66">
        <f>This_Year_KWH!CX11</f>
        <v>7.2739399999999899</v>
      </c>
      <c r="AD66">
        <f>This_Year_KWH!CY11</f>
        <v>0.35280100000000025</v>
      </c>
      <c r="AE66">
        <f>This_Year_KWH!DC11</f>
        <v>1.0028000000000004</v>
      </c>
      <c r="AF66">
        <f>This_Year_KWH!DD11</f>
        <v>0.66055636523437522</v>
      </c>
      <c r="AG66">
        <f>This_Year_KWH!W11</f>
        <v>1.6116399999999977</v>
      </c>
      <c r="AH66">
        <f>This_Year_KWH!X11</f>
        <v>1.9054989999999989</v>
      </c>
      <c r="AI66">
        <f>This_Year_KWH!Y11</f>
        <v>0</v>
      </c>
      <c r="AJ66">
        <f>This_Year_KWH!Z11</f>
        <v>1.1823299999999983</v>
      </c>
      <c r="AK66">
        <f>This_Year_KWH!AA11</f>
        <v>2.9132459999999973</v>
      </c>
      <c r="AL66">
        <f>This_Year_KWH!AC11</f>
        <v>2.9601089999999988</v>
      </c>
      <c r="AM66">
        <f>This_Year_KWH!AD11</f>
        <v>1.2400674999999997</v>
      </c>
      <c r="AN66">
        <f>This_Year_KWH!AI11</f>
        <v>0</v>
      </c>
      <c r="AO66">
        <f>This_Year_KWH!AJ11</f>
        <v>0.78231474999999939</v>
      </c>
      <c r="AP66">
        <f>This_Year_KWH!AL11</f>
        <v>7.7194719999999961</v>
      </c>
      <c r="AQ66">
        <f>This_Year_KWH!AM11</f>
        <v>12.438808000000002</v>
      </c>
      <c r="AR66">
        <f>This_Year_KWH!AN11</f>
        <v>9.5780000000000118</v>
      </c>
      <c r="AS66">
        <f>This_Year_KWH!AO11</f>
        <v>3.6022979999999989</v>
      </c>
      <c r="AT66">
        <f>This_Year_KWH!AP11</f>
        <v>2.2242610000000003</v>
      </c>
      <c r="AU66">
        <f>This_Year_KWH!CN11</f>
        <v>1.141067500000001</v>
      </c>
      <c r="AV66">
        <f>This_Year_KWH!CR11</f>
        <v>3.1459859999999988</v>
      </c>
      <c r="AW66">
        <f>This_Year_KWH!AQ11</f>
        <v>7.9237080000000049</v>
      </c>
      <c r="AX66">
        <f>This_Year_KWH!AS11</f>
        <v>1.46198775</v>
      </c>
      <c r="AY66">
        <f>This_Year_KWH!EH11</f>
        <v>11.696383999999968</v>
      </c>
      <c r="AZ66">
        <f>This_Year_KWH!EJ11</f>
        <v>0.96947199999999611</v>
      </c>
      <c r="BA66">
        <f>This_Year_KWH!EI11</f>
        <v>17.724544000000147</v>
      </c>
      <c r="BB66">
        <f>This_Year_KWH!AW11</f>
        <v>46.182015999999976</v>
      </c>
      <c r="BC66">
        <f>This_Year_KWH!DS11</f>
        <v>40.287136000000054</v>
      </c>
      <c r="BD66">
        <f>This_Year_KWH!CO11</f>
        <v>17.440191999999996</v>
      </c>
      <c r="BE66">
        <f>This_Year_KWH!DA11</f>
        <v>8.1040440000000018</v>
      </c>
      <c r="BF66">
        <f>This_Year_KWH!DB11</f>
        <v>3.1526389999999989</v>
      </c>
      <c r="BG66">
        <f>This_Year_KWH!EK11</f>
        <v>0</v>
      </c>
      <c r="BH66">
        <f>This_Year_KWH!EL11</f>
        <v>56.4586240000001</v>
      </c>
      <c r="BI66">
        <f>This_Year_KWH!EM11</f>
        <v>72.42086399999971</v>
      </c>
      <c r="BJ66">
        <f>This_Year_KWH!EN11</f>
        <v>61.642240000000136</v>
      </c>
      <c r="BK66">
        <f>This_Year_KWH!EO11</f>
        <v>3.0912000000057522E-2</v>
      </c>
      <c r="BL66">
        <f>This_Year_KWH!ER11</f>
        <v>19.033065000000001</v>
      </c>
      <c r="BM66">
        <f>This_Year_KWH!BW11</f>
        <v>0</v>
      </c>
      <c r="BN66">
        <f>This_Year_KWH!DR11</f>
        <v>0</v>
      </c>
      <c r="BO66">
        <f>This_Year_KWH!CG11</f>
        <v>0</v>
      </c>
      <c r="BP66">
        <f>This_Year_KWH!CI11</f>
        <v>0</v>
      </c>
      <c r="BQ66">
        <f>This_Year_KWH!BV11</f>
        <v>0</v>
      </c>
      <c r="BR66">
        <f>This_Year_KWH!BO11</f>
        <v>5.5728817499999996</v>
      </c>
      <c r="BS66">
        <f>This_Year_KWH!CW11</f>
        <v>0.68563600000000224</v>
      </c>
      <c r="BT66">
        <f>This_Year_KWH!DE11</f>
        <v>0</v>
      </c>
      <c r="BU66">
        <f>This_Year_KWH!DW11</f>
        <v>0</v>
      </c>
      <c r="BV66">
        <f>This_Year_KWH!CB11</f>
        <v>0</v>
      </c>
      <c r="BW66">
        <f>This_Year_KWH!CZ11</f>
        <v>0.42758812499999999</v>
      </c>
      <c r="BX66">
        <f>This_Year_KWH!DG11</f>
        <v>0.26030649999999955</v>
      </c>
      <c r="BY66">
        <f>This_Year_KWH!BS11</f>
        <v>0</v>
      </c>
      <c r="BZ66">
        <f>This_Year_KWH!CH11</f>
        <v>0.26650149999999984</v>
      </c>
      <c r="CA66">
        <f>This_Year_KWH!BR11</f>
        <v>0.30379934374999995</v>
      </c>
      <c r="CB66">
        <f>This_Year_KWH!BP11</f>
        <v>0</v>
      </c>
      <c r="CC66">
        <f>This_Year_KWH!BU11</f>
        <v>0.31616799999999962</v>
      </c>
      <c r="CD66">
        <f>This_Year_KWH!BX11</f>
        <v>0.25929106249999978</v>
      </c>
      <c r="CE66">
        <f>This_Year_KWH!CV11</f>
        <v>0.39639068750000006</v>
      </c>
      <c r="CF66">
        <f>This_Year_KWH!BT11</f>
        <v>5.8206599999999984</v>
      </c>
      <c r="CG66">
        <f>This_Year_KWH!CA11</f>
        <v>6.7997519999999971</v>
      </c>
      <c r="CH66">
        <f>This_Year_KWH!CF11</f>
        <v>1.6225789999999982</v>
      </c>
      <c r="CI66">
        <f>This_Year_KWH!BZ11</f>
        <v>22.289011999999985</v>
      </c>
      <c r="CJ66">
        <f>This_Year_KWH!CK11</f>
        <v>0</v>
      </c>
      <c r="CK66">
        <f>This_Year_KWH!DT11</f>
        <v>9.7493759999999856</v>
      </c>
      <c r="CL66">
        <f>This_Year_KWH!EB11</f>
        <v>32.317087999999977</v>
      </c>
      <c r="CM66">
        <f>This_Year_KWH!EC11</f>
        <v>14.746240000000029</v>
      </c>
      <c r="CN66">
        <f>This_Year_KWH!CQ11</f>
        <v>3.9999999999484892E-6</v>
      </c>
      <c r="CO66">
        <f>This_Year_KWH!DF11</f>
        <v>0</v>
      </c>
      <c r="CP66">
        <f>This_Year_KWH!DJ11</f>
        <v>0</v>
      </c>
      <c r="CQ66">
        <f>This_Year_KWH!DP11</f>
        <v>0.94436300000000017</v>
      </c>
      <c r="CR66">
        <f>This_Year_KWH!BQ11</f>
        <v>0</v>
      </c>
      <c r="CS66">
        <f>This_Year_KWH!BY11</f>
        <v>1.3160000000000901E-3</v>
      </c>
      <c r="CT66">
        <f>This_Year_KWH!DU11</f>
        <v>0.40332900000000316</v>
      </c>
      <c r="CU66">
        <f>This_Year_KWH!DQ11</f>
        <v>0</v>
      </c>
      <c r="CV66">
        <f>This_Year_KWH!EA11</f>
        <v>3.8450000000000901E-3</v>
      </c>
      <c r="CW66">
        <f>This_Year_KWH!DO11</f>
        <v>18.394592000000021</v>
      </c>
      <c r="CX66">
        <f>This_Year_KWH!DX11</f>
        <v>4.9048988750000007</v>
      </c>
      <c r="CY66">
        <f>This_Year_KWH!DY11</f>
        <v>0.31918798437500001</v>
      </c>
      <c r="CZ66">
        <f>This_Year_KWH!DZ11</f>
        <v>2.2624959999999983</v>
      </c>
      <c r="DA66">
        <f>This_Year_KWH!ED11</f>
        <v>0.7955253750000002</v>
      </c>
      <c r="DB66">
        <f>This_Year_KWH!DV11</f>
        <v>0.21369899999999994</v>
      </c>
      <c r="DC66">
        <f>This_Year_KWH!CT11</f>
        <v>4.2288480000000011</v>
      </c>
      <c r="DD66">
        <f>This_Year_KWH!DN11</f>
        <v>4.4294687500000006E-2</v>
      </c>
      <c r="DE66">
        <f>This_Year_KWH!AZ11</f>
        <v>1.0499999999957763E-4</v>
      </c>
      <c r="DF66">
        <f>This_Year_KWH!BD11</f>
        <v>0.10776774999999984</v>
      </c>
      <c r="DG66">
        <f>This_Year_KWH!AV11</f>
        <v>0.87647350000000057</v>
      </c>
      <c r="DH66">
        <f>This_Year_KWH!BG11</f>
        <v>0.53252200000000016</v>
      </c>
      <c r="DI66">
        <f>This_Year_KWH!DK11</f>
        <v>1.7041020000000024</v>
      </c>
      <c r="DJ66">
        <f>This_Year_KWH!DL11</f>
        <v>0.48290099999999819</v>
      </c>
      <c r="DK66">
        <f>This_Year_KWH!AU11</f>
        <v>1.0537919999999943</v>
      </c>
      <c r="DL66">
        <f>This_Year_KWH!DM11</f>
        <v>1.1541920000000001</v>
      </c>
      <c r="DM66">
        <f>This_Year_KWH!CC11</f>
        <v>0</v>
      </c>
      <c r="DN66">
        <f>This_Year_KWH!BH11</f>
        <v>1.2742299999999993</v>
      </c>
      <c r="DO66">
        <f>This_Year_KWH!AK11</f>
        <v>0</v>
      </c>
      <c r="DP66">
        <f>This_Year_KWH!AT11</f>
        <v>0</v>
      </c>
      <c r="DQ66">
        <f>This_Year_KWH!AX11</f>
        <v>0</v>
      </c>
      <c r="DR66">
        <f>This_Year_KWH!BA11</f>
        <v>0</v>
      </c>
      <c r="DS66">
        <f>This_Year_KWH!BB11</f>
        <v>0</v>
      </c>
      <c r="DT66">
        <f>This_Year_KWH!BC11</f>
        <v>0</v>
      </c>
      <c r="DU66">
        <f>This_Year_KWH!BF11</f>
        <v>0</v>
      </c>
      <c r="DV66">
        <f>This_Year_KWH!BN11</f>
        <v>0</v>
      </c>
      <c r="DW66">
        <f>This_Year_KWH!CD11</f>
        <v>0</v>
      </c>
      <c r="DX66">
        <f>This_Year_KWH!CE11</f>
        <v>0</v>
      </c>
      <c r="DY66">
        <f>This_Year_KWH!CJ11</f>
        <v>0</v>
      </c>
      <c r="DZ66">
        <f>This_Year_KWH!CP11</f>
        <v>0</v>
      </c>
      <c r="EA66">
        <f>This_Year_KWH!CS11</f>
        <v>0</v>
      </c>
      <c r="EB66">
        <f>This_Year_KWH!CU11</f>
        <v>0</v>
      </c>
      <c r="EC66">
        <f>This_Year_KWH!EG11</f>
        <v>0</v>
      </c>
      <c r="ED66">
        <f>This_Year_KWH!EQ11</f>
        <v>0</v>
      </c>
    </row>
    <row r="67" spans="1:134" ht="14.15" customHeight="1" x14ac:dyDescent="0.25">
      <c r="A67" s="328"/>
      <c r="B67" s="137">
        <v>66</v>
      </c>
      <c r="C67" s="139" t="s">
        <v>281</v>
      </c>
      <c r="D67" s="142">
        <f>DAILY_ENERGY!C70</f>
        <v>0</v>
      </c>
      <c r="E67" s="142">
        <f>DAILY_ENERGY!D70</f>
        <v>0</v>
      </c>
      <c r="F67" s="142">
        <f>DAILY_ENERGY!E70</f>
        <v>0</v>
      </c>
      <c r="G67" s="142"/>
      <c r="H67" s="142">
        <f>SHIFT_A!E70</f>
        <v>0</v>
      </c>
      <c r="I67" s="142">
        <f>SHIFT_B!E70</f>
        <v>0</v>
      </c>
      <c r="J67" s="142">
        <f>SHIFT_C!E70</f>
        <v>0</v>
      </c>
      <c r="K67" s="162">
        <f t="shared" ref="K67:K121" si="2">SUM(H67:J67)</f>
        <v>0</v>
      </c>
      <c r="L67" s="163">
        <f t="shared" ref="L67:L121" si="3">F67-K67</f>
        <v>0</v>
      </c>
      <c r="N67" s="203">
        <v>6</v>
      </c>
      <c r="O67">
        <f>This_Year_KWH!AF12</f>
        <v>0</v>
      </c>
      <c r="P67">
        <f>This_Year_KWH!BJ12</f>
        <v>5.8973999999999187E-2</v>
      </c>
      <c r="Q67">
        <f>This_Year_KWH!BK12</f>
        <v>1.9954485000000002</v>
      </c>
      <c r="R67">
        <f>This_Year_KWH!EP12</f>
        <v>0</v>
      </c>
      <c r="S67">
        <f>This_Year_KWH!EE12</f>
        <v>3.3271264999999999</v>
      </c>
      <c r="T67">
        <f>This_Year_KWH!DH12</f>
        <v>0.41909800000000008</v>
      </c>
      <c r="U67">
        <f>This_Year_KWH!CL12</f>
        <v>2.1760660000000001</v>
      </c>
      <c r="V67">
        <f>This_Year_KWH!BL12</f>
        <v>2.3040000000023064E-3</v>
      </c>
      <c r="W67">
        <f>This_Year_KWH!V12</f>
        <v>3.7740539999999991</v>
      </c>
      <c r="X67">
        <f>This_Year_KWH!AB12</f>
        <v>4.7117499999999986</v>
      </c>
      <c r="Y67">
        <f>This_Year_KWH!AE12</f>
        <v>2.9231884999999984</v>
      </c>
      <c r="Z67">
        <f>This_Year_KWH!AG12</f>
        <v>0.53561274999999975</v>
      </c>
      <c r="AA67">
        <f>This_Year_KWH!BE12</f>
        <v>4.5285519999999968</v>
      </c>
      <c r="AB67">
        <f>This_Year_KWH!AY12</f>
        <v>2.3367729999999995</v>
      </c>
      <c r="AC67">
        <f>This_Year_KWH!CX12</f>
        <v>5.8000920000000011</v>
      </c>
      <c r="AD67">
        <f>This_Year_KWH!CY12</f>
        <v>0.43904499999999952</v>
      </c>
      <c r="AE67">
        <f>This_Year_KWH!DC12</f>
        <v>5.0983332499999934</v>
      </c>
      <c r="AF67">
        <f>This_Year_KWH!DD12</f>
        <v>0.83668543750000002</v>
      </c>
      <c r="AG67">
        <f>This_Year_KWH!W12</f>
        <v>1.6838770000000007</v>
      </c>
      <c r="AH67">
        <f>This_Year_KWH!X12</f>
        <v>1.9131800000000005</v>
      </c>
      <c r="AI67">
        <f>This_Year_KWH!Y12</f>
        <v>0</v>
      </c>
      <c r="AJ67">
        <f>This_Year_KWH!Z12</f>
        <v>1.3473400000000011</v>
      </c>
      <c r="AK67">
        <f>This_Year_KWH!AA12</f>
        <v>3.0588079999999986</v>
      </c>
      <c r="AL67">
        <f>This_Year_KWH!AC12</f>
        <v>3.5413060000000041</v>
      </c>
      <c r="AM67">
        <f>This_Year_KWH!AD12</f>
        <v>1.6591389999999997</v>
      </c>
      <c r="AN67">
        <f>This_Year_KWH!AI12</f>
        <v>0</v>
      </c>
      <c r="AO67">
        <f>This_Year_KWH!AJ12</f>
        <v>1.0602035000000003</v>
      </c>
      <c r="AP67">
        <f>This_Year_KWH!AL12</f>
        <v>8.6217362968749978</v>
      </c>
      <c r="AQ67">
        <f>This_Year_KWH!AM12</f>
        <v>12.536623999999987</v>
      </c>
      <c r="AR67">
        <f>This_Year_KWH!AN12</f>
        <v>10.019431999999997</v>
      </c>
      <c r="AS67">
        <f>This_Year_KWH!AO12</f>
        <v>4.0864899999999995</v>
      </c>
      <c r="AT67">
        <f>This_Year_KWH!AP12</f>
        <v>2.4404579999999996</v>
      </c>
      <c r="AU67">
        <f>This_Year_KWH!CN12</f>
        <v>1.3730510000000002</v>
      </c>
      <c r="AV67">
        <f>This_Year_KWH!CR12</f>
        <v>3.9197340000000005</v>
      </c>
      <c r="AW67">
        <f>This_Year_KWH!AQ12</f>
        <v>8.3326520000000048</v>
      </c>
      <c r="AX67">
        <f>This_Year_KWH!AS12</f>
        <v>1.7098859999999991</v>
      </c>
      <c r="AY67">
        <f>This_Year_KWH!EH12</f>
        <v>13.465407999999909</v>
      </c>
      <c r="AZ67">
        <f>This_Year_KWH!EJ12</f>
        <v>1.283456000000001</v>
      </c>
      <c r="BA67">
        <f>This_Year_KWH!EI12</f>
        <v>18.896384000000015</v>
      </c>
      <c r="BB67">
        <f>This_Year_KWH!AW12</f>
        <v>48.029248000000052</v>
      </c>
      <c r="BC67">
        <f>This_Year_KWH!DS12</f>
        <v>30.793696000000018</v>
      </c>
      <c r="BD67">
        <f>This_Year_KWH!CO12</f>
        <v>18.860447999999998</v>
      </c>
      <c r="BE67">
        <f>This_Year_KWH!DA12</f>
        <v>7.6017919999999988</v>
      </c>
      <c r="BF67">
        <f>This_Year_KWH!DB12</f>
        <v>3.1897739999999999</v>
      </c>
      <c r="BG67">
        <f>This_Year_KWH!EK12</f>
        <v>0</v>
      </c>
      <c r="BH67">
        <f>This_Year_KWH!EL12</f>
        <v>48.869375999999882</v>
      </c>
      <c r="BI67">
        <f>This_Year_KWH!EM12</f>
        <v>91.728128000000197</v>
      </c>
      <c r="BJ67">
        <f>This_Year_KWH!EN12</f>
        <v>56.579584000000075</v>
      </c>
      <c r="BK67">
        <f>This_Year_KWH!EO12</f>
        <v>18.202432000000034</v>
      </c>
      <c r="BL67">
        <f>This_Year_KWH!ER12</f>
        <v>72.327778000000023</v>
      </c>
      <c r="BM67">
        <f>This_Year_KWH!BW12</f>
        <v>0</v>
      </c>
      <c r="BN67">
        <f>This_Year_KWH!DR12</f>
        <v>0</v>
      </c>
      <c r="BO67">
        <f>This_Year_KWH!CG12</f>
        <v>0</v>
      </c>
      <c r="BP67">
        <f>This_Year_KWH!CI12</f>
        <v>0</v>
      </c>
      <c r="BQ67">
        <f>This_Year_KWH!BV12</f>
        <v>0</v>
      </c>
      <c r="BR67">
        <f>This_Year_KWH!BO12</f>
        <v>8.3317330000000016</v>
      </c>
      <c r="BS67">
        <f>This_Year_KWH!CW12</f>
        <v>1.0892920000000004</v>
      </c>
      <c r="BT67">
        <f>This_Year_KWH!DE12</f>
        <v>0</v>
      </c>
      <c r="BU67">
        <f>This_Year_KWH!DW12</f>
        <v>0</v>
      </c>
      <c r="BV67">
        <f>This_Year_KWH!CB12</f>
        <v>0</v>
      </c>
      <c r="BW67">
        <f>This_Year_KWH!CZ12</f>
        <v>0.59332200000000024</v>
      </c>
      <c r="BX67">
        <f>This_Year_KWH!DG12</f>
        <v>0.42970249999999938</v>
      </c>
      <c r="BY67">
        <f>This_Year_KWH!BS12</f>
        <v>0</v>
      </c>
      <c r="BZ67">
        <f>This_Year_KWH!CH12</f>
        <v>0.19730624999999979</v>
      </c>
      <c r="CA67">
        <f>This_Year_KWH!BR12</f>
        <v>0</v>
      </c>
      <c r="CB67">
        <f>This_Year_KWH!BP12</f>
        <v>0</v>
      </c>
      <c r="CC67">
        <f>This_Year_KWH!BU12</f>
        <v>0</v>
      </c>
      <c r="CD67">
        <f>This_Year_KWH!BX12</f>
        <v>0</v>
      </c>
      <c r="CE67">
        <f>This_Year_KWH!CV12</f>
        <v>0.41698787500000012</v>
      </c>
      <c r="CF67">
        <f>This_Year_KWH!BT12</f>
        <v>5.2186679999999992</v>
      </c>
      <c r="CG67">
        <f>This_Year_KWH!CA12</f>
        <v>6.7434576874999976</v>
      </c>
      <c r="CH67">
        <f>This_Year_KWH!CF12</f>
        <v>1.0956500000000009</v>
      </c>
      <c r="CI67">
        <f>This_Year_KWH!BZ12</f>
        <v>20.076736000000022</v>
      </c>
      <c r="CJ67">
        <f>This_Year_KWH!CK12</f>
        <v>0</v>
      </c>
      <c r="CK67">
        <f>This_Year_KWH!DT12</f>
        <v>8.1405212812500007</v>
      </c>
      <c r="CL67">
        <f>This_Year_KWH!EB12</f>
        <v>28.787967999999982</v>
      </c>
      <c r="CM67">
        <f>This_Year_KWH!EC12</f>
        <v>14.077200000000003</v>
      </c>
      <c r="CN67">
        <f>This_Year_KWH!CQ12</f>
        <v>0</v>
      </c>
      <c r="CO67">
        <f>This_Year_KWH!DF12</f>
        <v>0</v>
      </c>
      <c r="CP67">
        <f>This_Year_KWH!DJ12</f>
        <v>0</v>
      </c>
      <c r="CQ67">
        <f>This_Year_KWH!DP12</f>
        <v>1.0302495000000007</v>
      </c>
      <c r="CR67">
        <f>This_Year_KWH!BQ12</f>
        <v>0</v>
      </c>
      <c r="CS67">
        <f>This_Year_KWH!BY12</f>
        <v>6.8399999999990701E-4</v>
      </c>
      <c r="CT67">
        <f>This_Year_KWH!DU12</f>
        <v>0.33624500000000013</v>
      </c>
      <c r="CU67">
        <f>This_Year_KWH!DQ12</f>
        <v>0</v>
      </c>
      <c r="CV67">
        <f>This_Year_KWH!EA12</f>
        <v>0</v>
      </c>
      <c r="CW67">
        <f>This_Year_KWH!DO12</f>
        <v>15.749728000000006</v>
      </c>
      <c r="CX67">
        <f>This_Year_KWH!DX12</f>
        <v>4.1505515000000015</v>
      </c>
      <c r="CY67">
        <f>This_Year_KWH!DY12</f>
        <v>0.17340406250000004</v>
      </c>
      <c r="CZ67">
        <f>This_Year_KWH!DZ12</f>
        <v>2.6648439999999982</v>
      </c>
      <c r="DA67">
        <f>This_Year_KWH!ED12</f>
        <v>0.66179400000000022</v>
      </c>
      <c r="DB67">
        <f>This_Year_KWH!DV12</f>
        <v>0.26302624999999985</v>
      </c>
      <c r="DC67">
        <f>This_Year_KWH!CT12</f>
        <v>3.9594960000000015</v>
      </c>
      <c r="DD67">
        <f>This_Year_KWH!DN12</f>
        <v>3.6614624999999998E-2</v>
      </c>
      <c r="DE67">
        <f>This_Year_KWH!AZ12</f>
        <v>1.2849999999975381E-4</v>
      </c>
      <c r="DF67">
        <f>This_Year_KWH!BD12</f>
        <v>0.1036623920288087</v>
      </c>
      <c r="DG67">
        <f>This_Year_KWH!AV12</f>
        <v>0.86065800000000003</v>
      </c>
      <c r="DH67">
        <f>This_Year_KWH!BG12</f>
        <v>0.47568799999999983</v>
      </c>
      <c r="DI67">
        <f>This_Year_KWH!DK12</f>
        <v>1.7865940000000011</v>
      </c>
      <c r="DJ67">
        <f>This_Year_KWH!DL12</f>
        <v>0.49615290039062454</v>
      </c>
      <c r="DK67">
        <f>This_Year_KWH!AU12</f>
        <v>1.4000920000000008</v>
      </c>
      <c r="DL67">
        <f>This_Year_KWH!DM12</f>
        <v>0.95942900000000009</v>
      </c>
      <c r="DM67">
        <f>This_Year_KWH!CC12</f>
        <v>0</v>
      </c>
      <c r="DN67">
        <f>This_Year_KWH!BH12</f>
        <v>0.54119400000000084</v>
      </c>
      <c r="DO67">
        <f>This_Year_KWH!AK12</f>
        <v>0</v>
      </c>
      <c r="DP67">
        <f>This_Year_KWH!AT12</f>
        <v>0</v>
      </c>
      <c r="DQ67">
        <f>This_Year_KWH!AX12</f>
        <v>0</v>
      </c>
      <c r="DR67">
        <f>This_Year_KWH!BA12</f>
        <v>0</v>
      </c>
      <c r="DS67">
        <f>This_Year_KWH!BB12</f>
        <v>0</v>
      </c>
      <c r="DT67">
        <f>This_Year_KWH!BC12</f>
        <v>0</v>
      </c>
      <c r="DU67">
        <f>This_Year_KWH!BF12</f>
        <v>0</v>
      </c>
      <c r="DV67">
        <f>This_Year_KWH!BN12</f>
        <v>0</v>
      </c>
      <c r="DW67">
        <f>This_Year_KWH!CD12</f>
        <v>0</v>
      </c>
      <c r="DX67">
        <f>This_Year_KWH!CE12</f>
        <v>0</v>
      </c>
      <c r="DY67">
        <f>This_Year_KWH!CJ12</f>
        <v>0</v>
      </c>
      <c r="DZ67">
        <f>This_Year_KWH!CP12</f>
        <v>0</v>
      </c>
      <c r="EA67">
        <f>This_Year_KWH!CS12</f>
        <v>0</v>
      </c>
      <c r="EB67">
        <f>This_Year_KWH!CU12</f>
        <v>0</v>
      </c>
      <c r="EC67">
        <f>This_Year_KWH!EG12</f>
        <v>0</v>
      </c>
      <c r="ED67">
        <f>This_Year_KWH!EQ12</f>
        <v>0</v>
      </c>
    </row>
    <row r="68" spans="1:134" ht="14" x14ac:dyDescent="0.25">
      <c r="A68" s="328"/>
      <c r="B68" s="137">
        <v>67</v>
      </c>
      <c r="C68" s="139" t="s">
        <v>286</v>
      </c>
      <c r="D68" s="142">
        <f>DAILY_ENERGY!C75</f>
        <v>0</v>
      </c>
      <c r="E68" s="142">
        <f>DAILY_ENERGY!D75</f>
        <v>0</v>
      </c>
      <c r="F68" s="142">
        <f>DAILY_ENERGY!E75</f>
        <v>0</v>
      </c>
      <c r="G68" s="142"/>
      <c r="H68" s="142">
        <f>SHIFT_A!E75</f>
        <v>0</v>
      </c>
      <c r="I68" s="142">
        <f>SHIFT_B!E75</f>
        <v>0</v>
      </c>
      <c r="J68" s="142">
        <f>SHIFT_C!E75</f>
        <v>0</v>
      </c>
      <c r="K68" s="162">
        <f t="shared" si="2"/>
        <v>0</v>
      </c>
      <c r="L68" s="163">
        <f t="shared" si="3"/>
        <v>0</v>
      </c>
      <c r="N68" s="203">
        <v>7</v>
      </c>
      <c r="O68">
        <f>This_Year_KWH!AF13</f>
        <v>0</v>
      </c>
      <c r="P68">
        <f>This_Year_KWH!BJ13</f>
        <v>0</v>
      </c>
      <c r="Q68">
        <f>This_Year_KWH!BK13</f>
        <v>0</v>
      </c>
      <c r="R68">
        <f>This_Year_KWH!EP13</f>
        <v>0</v>
      </c>
      <c r="S68">
        <f>This_Year_KWH!EE13</f>
        <v>0</v>
      </c>
      <c r="T68">
        <f>This_Year_KWH!DH13</f>
        <v>0</v>
      </c>
      <c r="U68">
        <f>This_Year_KWH!CL13</f>
        <v>0</v>
      </c>
      <c r="V68">
        <f>This_Year_KWH!BL13</f>
        <v>0</v>
      </c>
      <c r="W68">
        <f>This_Year_KWH!V13</f>
        <v>0</v>
      </c>
      <c r="X68">
        <f>This_Year_KWH!AB13</f>
        <v>0</v>
      </c>
      <c r="Y68">
        <f>This_Year_KWH!AE13</f>
        <v>0</v>
      </c>
      <c r="Z68">
        <f>This_Year_KWH!AG13</f>
        <v>0</v>
      </c>
      <c r="AA68">
        <f>This_Year_KWH!BE13</f>
        <v>0</v>
      </c>
      <c r="AB68">
        <f>This_Year_KWH!AY13</f>
        <v>0</v>
      </c>
      <c r="AC68">
        <f>This_Year_KWH!CX13</f>
        <v>0</v>
      </c>
      <c r="AD68">
        <f>This_Year_KWH!CY13</f>
        <v>0</v>
      </c>
      <c r="AE68">
        <f>This_Year_KWH!DC13</f>
        <v>0</v>
      </c>
      <c r="AF68">
        <f>This_Year_KWH!DD13</f>
        <v>0</v>
      </c>
      <c r="AG68">
        <f>This_Year_KWH!W13</f>
        <v>0</v>
      </c>
      <c r="AH68">
        <f>This_Year_KWH!X13</f>
        <v>0</v>
      </c>
      <c r="AI68">
        <f>This_Year_KWH!Y13</f>
        <v>0</v>
      </c>
      <c r="AJ68">
        <f>This_Year_KWH!Z13</f>
        <v>0</v>
      </c>
      <c r="AK68">
        <f>This_Year_KWH!AA13</f>
        <v>0</v>
      </c>
      <c r="AL68">
        <f>This_Year_KWH!AC13</f>
        <v>0</v>
      </c>
      <c r="AM68">
        <f>This_Year_KWH!AD13</f>
        <v>0</v>
      </c>
      <c r="AN68">
        <f>This_Year_KWH!AI13</f>
        <v>0</v>
      </c>
      <c r="AO68">
        <f>This_Year_KWH!AJ13</f>
        <v>0</v>
      </c>
      <c r="AP68">
        <f>This_Year_KWH!AL13</f>
        <v>0</v>
      </c>
      <c r="AQ68">
        <f>This_Year_KWH!AM13</f>
        <v>0</v>
      </c>
      <c r="AR68">
        <f>This_Year_KWH!AN13</f>
        <v>0</v>
      </c>
      <c r="AS68">
        <f>This_Year_KWH!AO13</f>
        <v>0</v>
      </c>
      <c r="AT68">
        <f>This_Year_KWH!AP13</f>
        <v>0</v>
      </c>
      <c r="AU68">
        <f>This_Year_KWH!CN13</f>
        <v>0</v>
      </c>
      <c r="AV68">
        <f>This_Year_KWH!CR13</f>
        <v>0</v>
      </c>
      <c r="AW68">
        <f>This_Year_KWH!AQ13</f>
        <v>0</v>
      </c>
      <c r="AX68">
        <f>This_Year_KWH!AS13</f>
        <v>0</v>
      </c>
      <c r="AY68">
        <f>This_Year_KWH!EH13</f>
        <v>0</v>
      </c>
      <c r="AZ68">
        <f>This_Year_KWH!EJ13</f>
        <v>0</v>
      </c>
      <c r="BA68">
        <f>This_Year_KWH!EI13</f>
        <v>0</v>
      </c>
      <c r="BB68">
        <f>This_Year_KWH!AW13</f>
        <v>0</v>
      </c>
      <c r="BC68">
        <f>This_Year_KWH!DS13</f>
        <v>0</v>
      </c>
      <c r="BD68">
        <f>This_Year_KWH!CO13</f>
        <v>0</v>
      </c>
      <c r="BE68">
        <f>This_Year_KWH!DA13</f>
        <v>0</v>
      </c>
      <c r="BF68">
        <f>This_Year_KWH!DB13</f>
        <v>0</v>
      </c>
      <c r="BG68">
        <f>This_Year_KWH!EK13</f>
        <v>0</v>
      </c>
      <c r="BH68">
        <f>This_Year_KWH!EL13</f>
        <v>0</v>
      </c>
      <c r="BI68">
        <f>This_Year_KWH!EM13</f>
        <v>0</v>
      </c>
      <c r="BJ68">
        <f>This_Year_KWH!EN13</f>
        <v>0</v>
      </c>
      <c r="BK68">
        <f>This_Year_KWH!EO13</f>
        <v>0</v>
      </c>
      <c r="BL68">
        <f>This_Year_KWH!ER13</f>
        <v>0</v>
      </c>
      <c r="BM68">
        <f>This_Year_KWH!BW13</f>
        <v>0</v>
      </c>
      <c r="BN68">
        <f>This_Year_KWH!DR13</f>
        <v>0</v>
      </c>
      <c r="BO68">
        <f>This_Year_KWH!CG13</f>
        <v>0</v>
      </c>
      <c r="BP68">
        <f>This_Year_KWH!CI13</f>
        <v>0</v>
      </c>
      <c r="BQ68">
        <f>This_Year_KWH!BV13</f>
        <v>0</v>
      </c>
      <c r="BR68">
        <f>This_Year_KWH!BO13</f>
        <v>0</v>
      </c>
      <c r="BS68">
        <f>This_Year_KWH!CW13</f>
        <v>0</v>
      </c>
      <c r="BT68">
        <f>This_Year_KWH!DE13</f>
        <v>0</v>
      </c>
      <c r="BU68">
        <f>This_Year_KWH!DW13</f>
        <v>0</v>
      </c>
      <c r="BV68">
        <f>This_Year_KWH!CB13</f>
        <v>0</v>
      </c>
      <c r="BW68">
        <f>This_Year_KWH!CZ13</f>
        <v>0</v>
      </c>
      <c r="BX68">
        <f>This_Year_KWH!DG13</f>
        <v>0</v>
      </c>
      <c r="BY68">
        <f>This_Year_KWH!BS13</f>
        <v>0</v>
      </c>
      <c r="BZ68">
        <f>This_Year_KWH!CH13</f>
        <v>0</v>
      </c>
      <c r="CA68">
        <f>This_Year_KWH!BR13</f>
        <v>0</v>
      </c>
      <c r="CB68">
        <f>This_Year_KWH!BP13</f>
        <v>0</v>
      </c>
      <c r="CC68">
        <f>This_Year_KWH!BU13</f>
        <v>0</v>
      </c>
      <c r="CD68">
        <f>This_Year_KWH!BX13</f>
        <v>0</v>
      </c>
      <c r="CE68">
        <f>This_Year_KWH!CV13</f>
        <v>0</v>
      </c>
      <c r="CF68">
        <f>This_Year_KWH!BT13</f>
        <v>0</v>
      </c>
      <c r="CG68">
        <f>This_Year_KWH!CA13</f>
        <v>0</v>
      </c>
      <c r="CH68">
        <f>This_Year_KWH!CF13</f>
        <v>0</v>
      </c>
      <c r="CI68">
        <f>This_Year_KWH!BZ13</f>
        <v>0</v>
      </c>
      <c r="CJ68">
        <f>This_Year_KWH!CK13</f>
        <v>0</v>
      </c>
      <c r="CK68">
        <f>This_Year_KWH!DT13</f>
        <v>0</v>
      </c>
      <c r="CL68">
        <f>This_Year_KWH!EB13</f>
        <v>0</v>
      </c>
      <c r="CM68">
        <f>This_Year_KWH!EC13</f>
        <v>0</v>
      </c>
      <c r="CN68">
        <f>This_Year_KWH!CQ13</f>
        <v>0</v>
      </c>
      <c r="CO68">
        <f>This_Year_KWH!DF13</f>
        <v>0</v>
      </c>
      <c r="CP68">
        <f>This_Year_KWH!DJ13</f>
        <v>0</v>
      </c>
      <c r="CQ68">
        <f>This_Year_KWH!DP13</f>
        <v>0</v>
      </c>
      <c r="CR68">
        <f>This_Year_KWH!BQ13</f>
        <v>0</v>
      </c>
      <c r="CS68">
        <f>This_Year_KWH!BY13</f>
        <v>0</v>
      </c>
      <c r="CT68">
        <f>This_Year_KWH!DU13</f>
        <v>0</v>
      </c>
      <c r="CU68">
        <f>This_Year_KWH!DQ13</f>
        <v>0</v>
      </c>
      <c r="CV68">
        <f>This_Year_KWH!EA13</f>
        <v>0</v>
      </c>
      <c r="CW68">
        <f>This_Year_KWH!DO13</f>
        <v>0</v>
      </c>
      <c r="CX68">
        <f>This_Year_KWH!DX13</f>
        <v>0</v>
      </c>
      <c r="CY68">
        <f>This_Year_KWH!DY13</f>
        <v>0</v>
      </c>
      <c r="CZ68">
        <f>This_Year_KWH!DZ13</f>
        <v>0</v>
      </c>
      <c r="DA68">
        <f>This_Year_KWH!ED13</f>
        <v>0</v>
      </c>
      <c r="DB68">
        <f>This_Year_KWH!DV13</f>
        <v>0</v>
      </c>
      <c r="DC68">
        <f>This_Year_KWH!CT13</f>
        <v>0</v>
      </c>
      <c r="DD68">
        <f>This_Year_KWH!DN13</f>
        <v>0</v>
      </c>
      <c r="DE68">
        <f>This_Year_KWH!AZ13</f>
        <v>0</v>
      </c>
      <c r="DF68">
        <f>This_Year_KWH!BD13</f>
        <v>0</v>
      </c>
      <c r="DG68">
        <f>This_Year_KWH!AV13</f>
        <v>0</v>
      </c>
      <c r="DH68">
        <f>This_Year_KWH!BG13</f>
        <v>0</v>
      </c>
      <c r="DI68">
        <f>This_Year_KWH!DK13</f>
        <v>0</v>
      </c>
      <c r="DJ68">
        <f>This_Year_KWH!DL13</f>
        <v>0</v>
      </c>
      <c r="DK68">
        <f>This_Year_KWH!AU13</f>
        <v>0</v>
      </c>
      <c r="DL68">
        <f>This_Year_KWH!DM13</f>
        <v>0</v>
      </c>
      <c r="DM68">
        <f>This_Year_KWH!CC13</f>
        <v>0</v>
      </c>
      <c r="DN68">
        <f>This_Year_KWH!BH13</f>
        <v>0</v>
      </c>
      <c r="DO68">
        <f>This_Year_KWH!AK13</f>
        <v>0</v>
      </c>
      <c r="DP68">
        <f>This_Year_KWH!AT13</f>
        <v>0</v>
      </c>
      <c r="DQ68">
        <f>This_Year_KWH!AX13</f>
        <v>0</v>
      </c>
      <c r="DR68">
        <f>This_Year_KWH!BA13</f>
        <v>0</v>
      </c>
      <c r="DS68">
        <f>This_Year_KWH!BB13</f>
        <v>0</v>
      </c>
      <c r="DT68">
        <f>This_Year_KWH!BC13</f>
        <v>0</v>
      </c>
      <c r="DU68">
        <f>This_Year_KWH!BF13</f>
        <v>0</v>
      </c>
      <c r="DV68">
        <f>This_Year_KWH!BN13</f>
        <v>0</v>
      </c>
      <c r="DW68">
        <f>This_Year_KWH!CD13</f>
        <v>0</v>
      </c>
      <c r="DX68">
        <f>This_Year_KWH!CE13</f>
        <v>0</v>
      </c>
      <c r="DY68">
        <f>This_Year_KWH!CJ13</f>
        <v>0</v>
      </c>
      <c r="DZ68">
        <f>This_Year_KWH!CP13</f>
        <v>0</v>
      </c>
      <c r="EA68">
        <f>This_Year_KWH!CS13</f>
        <v>0</v>
      </c>
      <c r="EB68">
        <f>This_Year_KWH!CU13</f>
        <v>0</v>
      </c>
      <c r="EC68">
        <f>This_Year_KWH!EG13</f>
        <v>0</v>
      </c>
      <c r="ED68">
        <f>This_Year_KWH!EQ13</f>
        <v>0</v>
      </c>
    </row>
    <row r="69" spans="1:134" ht="14" x14ac:dyDescent="0.25">
      <c r="A69" s="328"/>
      <c r="B69" s="137">
        <v>68</v>
      </c>
      <c r="C69" s="139" t="s">
        <v>289</v>
      </c>
      <c r="D69" s="142">
        <f>DAILY_ENERGY!C78</f>
        <v>0</v>
      </c>
      <c r="E69" s="142">
        <f>DAILY_ENERGY!D78</f>
        <v>0</v>
      </c>
      <c r="F69" s="142">
        <f>DAILY_ENERGY!E78</f>
        <v>0</v>
      </c>
      <c r="G69" s="142"/>
      <c r="H69" s="142">
        <f>SHIFT_A!E78</f>
        <v>0</v>
      </c>
      <c r="I69" s="142">
        <f>SHIFT_B!E78</f>
        <v>0</v>
      </c>
      <c r="J69" s="142">
        <f>SHIFT_C!E78</f>
        <v>0</v>
      </c>
      <c r="K69" s="162">
        <f t="shared" si="2"/>
        <v>0</v>
      </c>
      <c r="L69" s="163">
        <f t="shared" si="3"/>
        <v>0</v>
      </c>
      <c r="N69" s="203">
        <v>8</v>
      </c>
      <c r="O69">
        <f>This_Year_KWH!AF14</f>
        <v>0</v>
      </c>
      <c r="P69">
        <f>This_Year_KWH!BJ14</f>
        <v>0</v>
      </c>
      <c r="Q69">
        <f>This_Year_KWH!BK14</f>
        <v>0</v>
      </c>
      <c r="R69">
        <f>This_Year_KWH!EP14</f>
        <v>0</v>
      </c>
      <c r="S69">
        <f>This_Year_KWH!EE14</f>
        <v>0</v>
      </c>
      <c r="T69">
        <f>This_Year_KWH!DH14</f>
        <v>0</v>
      </c>
      <c r="U69">
        <f>This_Year_KWH!CL14</f>
        <v>0</v>
      </c>
      <c r="V69">
        <f>This_Year_KWH!BL14</f>
        <v>0</v>
      </c>
      <c r="W69">
        <f>This_Year_KWH!V14</f>
        <v>0</v>
      </c>
      <c r="X69">
        <f>This_Year_KWH!AB14</f>
        <v>0</v>
      </c>
      <c r="Y69">
        <f>This_Year_KWH!AE14</f>
        <v>0</v>
      </c>
      <c r="Z69">
        <f>This_Year_KWH!AG14</f>
        <v>0</v>
      </c>
      <c r="AA69">
        <f>This_Year_KWH!BE14</f>
        <v>0</v>
      </c>
      <c r="AB69">
        <f>This_Year_KWH!AY14</f>
        <v>0</v>
      </c>
      <c r="AC69">
        <f>This_Year_KWH!CX14</f>
        <v>0</v>
      </c>
      <c r="AD69">
        <f>This_Year_KWH!CY14</f>
        <v>0</v>
      </c>
      <c r="AE69">
        <f>This_Year_KWH!DC14</f>
        <v>0</v>
      </c>
      <c r="AF69">
        <f>This_Year_KWH!DD14</f>
        <v>0</v>
      </c>
      <c r="AG69">
        <f>This_Year_KWH!W14</f>
        <v>0</v>
      </c>
      <c r="AH69">
        <f>This_Year_KWH!X14</f>
        <v>0</v>
      </c>
      <c r="AI69">
        <f>This_Year_KWH!Y14</f>
        <v>0</v>
      </c>
      <c r="AJ69">
        <f>This_Year_KWH!Z14</f>
        <v>0</v>
      </c>
      <c r="AK69">
        <f>This_Year_KWH!AA14</f>
        <v>0</v>
      </c>
      <c r="AL69">
        <f>This_Year_KWH!AC14</f>
        <v>0</v>
      </c>
      <c r="AM69">
        <f>This_Year_KWH!AD14</f>
        <v>0</v>
      </c>
      <c r="AN69">
        <f>This_Year_KWH!AI14</f>
        <v>0</v>
      </c>
      <c r="AO69">
        <f>This_Year_KWH!AJ14</f>
        <v>0</v>
      </c>
      <c r="AP69">
        <f>This_Year_KWH!AL14</f>
        <v>0</v>
      </c>
      <c r="AQ69">
        <f>This_Year_KWH!AM14</f>
        <v>0</v>
      </c>
      <c r="AR69">
        <f>This_Year_KWH!AN14</f>
        <v>0</v>
      </c>
      <c r="AS69">
        <f>This_Year_KWH!AO14</f>
        <v>0</v>
      </c>
      <c r="AT69">
        <f>This_Year_KWH!AP14</f>
        <v>0</v>
      </c>
      <c r="AU69">
        <f>This_Year_KWH!CN14</f>
        <v>0</v>
      </c>
      <c r="AV69">
        <f>This_Year_KWH!CR14</f>
        <v>0</v>
      </c>
      <c r="AW69">
        <f>This_Year_KWH!AQ14</f>
        <v>0</v>
      </c>
      <c r="AX69">
        <f>This_Year_KWH!AS14</f>
        <v>0</v>
      </c>
      <c r="AY69">
        <f>This_Year_KWH!EH14</f>
        <v>0</v>
      </c>
      <c r="AZ69">
        <f>This_Year_KWH!EJ14</f>
        <v>0</v>
      </c>
      <c r="BA69">
        <f>This_Year_KWH!EI14</f>
        <v>0</v>
      </c>
      <c r="BB69">
        <f>This_Year_KWH!AW14</f>
        <v>0</v>
      </c>
      <c r="BC69">
        <f>This_Year_KWH!DS14</f>
        <v>0</v>
      </c>
      <c r="BD69">
        <f>This_Year_KWH!CO14</f>
        <v>0</v>
      </c>
      <c r="BE69">
        <f>This_Year_KWH!DA14</f>
        <v>0</v>
      </c>
      <c r="BF69">
        <f>This_Year_KWH!DB14</f>
        <v>0</v>
      </c>
      <c r="BG69">
        <f>This_Year_KWH!EK14</f>
        <v>0</v>
      </c>
      <c r="BH69">
        <f>This_Year_KWH!EL14</f>
        <v>0</v>
      </c>
      <c r="BI69">
        <f>This_Year_KWH!EM14</f>
        <v>0</v>
      </c>
      <c r="BJ69">
        <f>This_Year_KWH!EN14</f>
        <v>0</v>
      </c>
      <c r="BK69">
        <f>This_Year_KWH!EO14</f>
        <v>0</v>
      </c>
      <c r="BL69">
        <f>This_Year_KWH!ER14</f>
        <v>0</v>
      </c>
      <c r="BM69">
        <f>This_Year_KWH!BW14</f>
        <v>0</v>
      </c>
      <c r="BN69">
        <f>This_Year_KWH!DR14</f>
        <v>0</v>
      </c>
      <c r="BO69">
        <f>This_Year_KWH!CG14</f>
        <v>0</v>
      </c>
      <c r="BP69">
        <f>This_Year_KWH!CI14</f>
        <v>0</v>
      </c>
      <c r="BQ69">
        <f>This_Year_KWH!BV14</f>
        <v>0</v>
      </c>
      <c r="BR69">
        <f>This_Year_KWH!BO14</f>
        <v>0</v>
      </c>
      <c r="BS69">
        <f>This_Year_KWH!CW14</f>
        <v>0</v>
      </c>
      <c r="BT69">
        <f>This_Year_KWH!DE14</f>
        <v>0</v>
      </c>
      <c r="BU69">
        <f>This_Year_KWH!DW14</f>
        <v>0</v>
      </c>
      <c r="BV69">
        <f>This_Year_KWH!CB14</f>
        <v>0</v>
      </c>
      <c r="BW69">
        <f>This_Year_KWH!CZ14</f>
        <v>0</v>
      </c>
      <c r="BX69">
        <f>This_Year_KWH!DG14</f>
        <v>0</v>
      </c>
      <c r="BY69">
        <f>This_Year_KWH!BS14</f>
        <v>0</v>
      </c>
      <c r="BZ69">
        <f>This_Year_KWH!CH14</f>
        <v>0</v>
      </c>
      <c r="CA69">
        <f>This_Year_KWH!BR14</f>
        <v>0</v>
      </c>
      <c r="CB69">
        <f>This_Year_KWH!BP14</f>
        <v>0</v>
      </c>
      <c r="CC69">
        <f>This_Year_KWH!BU14</f>
        <v>0</v>
      </c>
      <c r="CD69">
        <f>This_Year_KWH!BX14</f>
        <v>0</v>
      </c>
      <c r="CE69">
        <f>This_Year_KWH!CV14</f>
        <v>0</v>
      </c>
      <c r="CF69">
        <f>This_Year_KWH!BT14</f>
        <v>0</v>
      </c>
      <c r="CG69">
        <f>This_Year_KWH!CA14</f>
        <v>0</v>
      </c>
      <c r="CH69">
        <f>This_Year_KWH!CF14</f>
        <v>0</v>
      </c>
      <c r="CI69">
        <f>This_Year_KWH!BZ14</f>
        <v>0</v>
      </c>
      <c r="CJ69">
        <f>This_Year_KWH!CK14</f>
        <v>0</v>
      </c>
      <c r="CK69">
        <f>This_Year_KWH!DT14</f>
        <v>0</v>
      </c>
      <c r="CL69">
        <f>This_Year_KWH!EB14</f>
        <v>0</v>
      </c>
      <c r="CM69">
        <f>This_Year_KWH!EC14</f>
        <v>0</v>
      </c>
      <c r="CN69">
        <f>This_Year_KWH!CQ14</f>
        <v>0</v>
      </c>
      <c r="CO69">
        <f>This_Year_KWH!DF14</f>
        <v>0</v>
      </c>
      <c r="CP69">
        <f>This_Year_KWH!DJ14</f>
        <v>0</v>
      </c>
      <c r="CQ69">
        <f>This_Year_KWH!DP14</f>
        <v>0</v>
      </c>
      <c r="CR69">
        <f>This_Year_KWH!BQ14</f>
        <v>0</v>
      </c>
      <c r="CS69">
        <f>This_Year_KWH!BY14</f>
        <v>0</v>
      </c>
      <c r="CT69">
        <f>This_Year_KWH!DU14</f>
        <v>0</v>
      </c>
      <c r="CU69">
        <f>This_Year_KWH!DQ14</f>
        <v>0</v>
      </c>
      <c r="CV69">
        <f>This_Year_KWH!EA14</f>
        <v>0</v>
      </c>
      <c r="CW69">
        <f>This_Year_KWH!DO14</f>
        <v>0</v>
      </c>
      <c r="CX69">
        <f>This_Year_KWH!DX14</f>
        <v>0</v>
      </c>
      <c r="CY69">
        <f>This_Year_KWH!DY14</f>
        <v>0</v>
      </c>
      <c r="CZ69">
        <f>This_Year_KWH!DZ14</f>
        <v>0</v>
      </c>
      <c r="DA69">
        <f>This_Year_KWH!ED14</f>
        <v>0</v>
      </c>
      <c r="DB69">
        <f>This_Year_KWH!DV14</f>
        <v>0</v>
      </c>
      <c r="DC69">
        <f>This_Year_KWH!CT14</f>
        <v>0</v>
      </c>
      <c r="DD69">
        <f>This_Year_KWH!DN14</f>
        <v>0</v>
      </c>
      <c r="DE69">
        <f>This_Year_KWH!AZ14</f>
        <v>0</v>
      </c>
      <c r="DF69">
        <f>This_Year_KWH!BD14</f>
        <v>0</v>
      </c>
      <c r="DG69">
        <f>This_Year_KWH!AV14</f>
        <v>0</v>
      </c>
      <c r="DH69">
        <f>This_Year_KWH!BG14</f>
        <v>0</v>
      </c>
      <c r="DI69">
        <f>This_Year_KWH!DK14</f>
        <v>0</v>
      </c>
      <c r="DJ69">
        <f>This_Year_KWH!DL14</f>
        <v>0</v>
      </c>
      <c r="DK69">
        <f>This_Year_KWH!AU14</f>
        <v>0</v>
      </c>
      <c r="DL69">
        <f>This_Year_KWH!DM14</f>
        <v>0</v>
      </c>
      <c r="DM69">
        <f>This_Year_KWH!CC14</f>
        <v>0</v>
      </c>
      <c r="DN69">
        <f>This_Year_KWH!BH14</f>
        <v>0</v>
      </c>
      <c r="DO69">
        <f>This_Year_KWH!AK14</f>
        <v>0</v>
      </c>
      <c r="DP69">
        <f>This_Year_KWH!AT14</f>
        <v>0</v>
      </c>
      <c r="DQ69">
        <f>This_Year_KWH!AX14</f>
        <v>0</v>
      </c>
      <c r="DR69">
        <f>This_Year_KWH!BA14</f>
        <v>0</v>
      </c>
      <c r="DS69">
        <f>This_Year_KWH!BB14</f>
        <v>0</v>
      </c>
      <c r="DT69">
        <f>This_Year_KWH!BC14</f>
        <v>0</v>
      </c>
      <c r="DU69">
        <f>This_Year_KWH!BF14</f>
        <v>0</v>
      </c>
      <c r="DV69">
        <f>This_Year_KWH!BN14</f>
        <v>0</v>
      </c>
      <c r="DW69">
        <f>This_Year_KWH!CD14</f>
        <v>0</v>
      </c>
      <c r="DX69">
        <f>This_Year_KWH!CE14</f>
        <v>0</v>
      </c>
      <c r="DY69">
        <f>This_Year_KWH!CJ14</f>
        <v>0</v>
      </c>
      <c r="DZ69">
        <f>This_Year_KWH!CP14</f>
        <v>0</v>
      </c>
      <c r="EA69">
        <f>This_Year_KWH!CS14</f>
        <v>0</v>
      </c>
      <c r="EB69">
        <f>This_Year_KWH!CU14</f>
        <v>0</v>
      </c>
      <c r="EC69">
        <f>This_Year_KWH!EG14</f>
        <v>0</v>
      </c>
      <c r="ED69">
        <f>This_Year_KWH!EQ14</f>
        <v>0</v>
      </c>
    </row>
    <row r="70" spans="1:134" ht="14" x14ac:dyDescent="0.25">
      <c r="A70" s="329"/>
      <c r="B70" s="137">
        <v>69</v>
      </c>
      <c r="C70" s="139" t="s">
        <v>313</v>
      </c>
      <c r="D70" s="142">
        <f>DAILY_ENERGY!C102</f>
        <v>1.7479486249999998</v>
      </c>
      <c r="E70" s="142">
        <f>DAILY_ENERGY!D102</f>
        <v>1.7625377499999999</v>
      </c>
      <c r="F70" s="142">
        <f>DAILY_ENERGY!E102</f>
        <v>1.4589125000000092E-2</v>
      </c>
      <c r="G70" s="142"/>
      <c r="H70" s="142">
        <f>SHIFT_A!E102</f>
        <v>6.8297500000000788E-3</v>
      </c>
      <c r="I70" s="142">
        <f>SHIFT_B!E102</f>
        <v>6.9483750000001177E-3</v>
      </c>
      <c r="J70" s="142">
        <f>SHIFT_C!E102</f>
        <v>8.1099999999989514E-4</v>
      </c>
      <c r="K70" s="162">
        <f t="shared" si="2"/>
        <v>1.4589125000000092E-2</v>
      </c>
      <c r="L70" s="163">
        <f t="shared" si="3"/>
        <v>0</v>
      </c>
      <c r="N70" s="203">
        <v>9</v>
      </c>
      <c r="O70">
        <f>This_Year_KWH!AF15</f>
        <v>0</v>
      </c>
      <c r="P70">
        <f>This_Year_KWH!BJ15</f>
        <v>0</v>
      </c>
      <c r="Q70">
        <f>This_Year_KWH!BK15</f>
        <v>0</v>
      </c>
      <c r="R70">
        <f>This_Year_KWH!EP15</f>
        <v>0</v>
      </c>
      <c r="S70">
        <f>This_Year_KWH!EE15</f>
        <v>0</v>
      </c>
      <c r="T70">
        <f>This_Year_KWH!DH15</f>
        <v>0</v>
      </c>
      <c r="U70">
        <f>This_Year_KWH!CL15</f>
        <v>0</v>
      </c>
      <c r="V70">
        <f>This_Year_KWH!BL15</f>
        <v>0</v>
      </c>
      <c r="W70">
        <f>This_Year_KWH!V15</f>
        <v>0</v>
      </c>
      <c r="X70">
        <f>This_Year_KWH!AB15</f>
        <v>0</v>
      </c>
      <c r="Y70">
        <f>This_Year_KWH!AE15</f>
        <v>0</v>
      </c>
      <c r="Z70">
        <f>This_Year_KWH!AG15</f>
        <v>0</v>
      </c>
      <c r="AA70">
        <f>This_Year_KWH!BE15</f>
        <v>0</v>
      </c>
      <c r="AB70">
        <f>This_Year_KWH!AY15</f>
        <v>0</v>
      </c>
      <c r="AC70">
        <f>This_Year_KWH!CX15</f>
        <v>0</v>
      </c>
      <c r="AD70">
        <f>This_Year_KWH!CY15</f>
        <v>0</v>
      </c>
      <c r="AE70">
        <f>This_Year_KWH!DC15</f>
        <v>0</v>
      </c>
      <c r="AF70">
        <f>This_Year_KWH!DD15</f>
        <v>0</v>
      </c>
      <c r="AG70">
        <f>This_Year_KWH!W15</f>
        <v>0</v>
      </c>
      <c r="AH70">
        <f>This_Year_KWH!X15</f>
        <v>0</v>
      </c>
      <c r="AI70">
        <f>This_Year_KWH!Y15</f>
        <v>0</v>
      </c>
      <c r="AJ70">
        <f>This_Year_KWH!Z15</f>
        <v>0</v>
      </c>
      <c r="AK70">
        <f>This_Year_KWH!AA15</f>
        <v>0</v>
      </c>
      <c r="AL70">
        <f>This_Year_KWH!AC15</f>
        <v>0</v>
      </c>
      <c r="AM70">
        <f>This_Year_KWH!AD15</f>
        <v>0</v>
      </c>
      <c r="AN70">
        <f>This_Year_KWH!AI15</f>
        <v>0</v>
      </c>
      <c r="AO70">
        <f>This_Year_KWH!AJ15</f>
        <v>0</v>
      </c>
      <c r="AP70">
        <f>This_Year_KWH!AL15</f>
        <v>0</v>
      </c>
      <c r="AQ70">
        <f>This_Year_KWH!AM15</f>
        <v>0</v>
      </c>
      <c r="AR70">
        <f>This_Year_KWH!AN15</f>
        <v>0</v>
      </c>
      <c r="AS70">
        <f>This_Year_KWH!AO15</f>
        <v>0</v>
      </c>
      <c r="AT70">
        <f>This_Year_KWH!AP15</f>
        <v>0</v>
      </c>
      <c r="AU70">
        <f>This_Year_KWH!CN15</f>
        <v>0</v>
      </c>
      <c r="AV70">
        <f>This_Year_KWH!CR15</f>
        <v>0</v>
      </c>
      <c r="AW70">
        <f>This_Year_KWH!AQ15</f>
        <v>0</v>
      </c>
      <c r="AX70">
        <f>This_Year_KWH!AS15</f>
        <v>0</v>
      </c>
      <c r="AY70">
        <f>This_Year_KWH!EH15</f>
        <v>0</v>
      </c>
      <c r="AZ70">
        <f>This_Year_KWH!EJ15</f>
        <v>0</v>
      </c>
      <c r="BA70">
        <f>This_Year_KWH!EI15</f>
        <v>0</v>
      </c>
      <c r="BB70">
        <f>This_Year_KWH!AW15</f>
        <v>0</v>
      </c>
      <c r="BC70">
        <f>This_Year_KWH!DS15</f>
        <v>0</v>
      </c>
      <c r="BD70">
        <f>This_Year_KWH!CO15</f>
        <v>0</v>
      </c>
      <c r="BE70">
        <f>This_Year_KWH!DA15</f>
        <v>0</v>
      </c>
      <c r="BF70">
        <f>This_Year_KWH!DB15</f>
        <v>0</v>
      </c>
      <c r="BG70">
        <f>This_Year_KWH!EK15</f>
        <v>0</v>
      </c>
      <c r="BH70">
        <f>This_Year_KWH!EL15</f>
        <v>0</v>
      </c>
      <c r="BI70">
        <f>This_Year_KWH!EM15</f>
        <v>0</v>
      </c>
      <c r="BJ70">
        <f>This_Year_KWH!EN15</f>
        <v>0</v>
      </c>
      <c r="BK70">
        <f>This_Year_KWH!EO15</f>
        <v>0</v>
      </c>
      <c r="BL70">
        <f>This_Year_KWH!ER15</f>
        <v>0</v>
      </c>
      <c r="BM70">
        <f>This_Year_KWH!BW15</f>
        <v>0</v>
      </c>
      <c r="BN70">
        <f>This_Year_KWH!DR15</f>
        <v>0</v>
      </c>
      <c r="BO70">
        <f>This_Year_KWH!CG15</f>
        <v>0</v>
      </c>
      <c r="BP70">
        <f>This_Year_KWH!CI15</f>
        <v>0</v>
      </c>
      <c r="BQ70">
        <f>This_Year_KWH!BV15</f>
        <v>0</v>
      </c>
      <c r="BR70">
        <f>This_Year_KWH!BO15</f>
        <v>0</v>
      </c>
      <c r="BS70">
        <f>This_Year_KWH!CW15</f>
        <v>0</v>
      </c>
      <c r="BT70">
        <f>This_Year_KWH!DE15</f>
        <v>0</v>
      </c>
      <c r="BU70">
        <f>This_Year_KWH!DW15</f>
        <v>0</v>
      </c>
      <c r="BV70">
        <f>This_Year_KWH!CB15</f>
        <v>0</v>
      </c>
      <c r="BW70">
        <f>This_Year_KWH!CZ15</f>
        <v>0</v>
      </c>
      <c r="BX70">
        <f>This_Year_KWH!DG15</f>
        <v>0</v>
      </c>
      <c r="BY70">
        <f>This_Year_KWH!BS15</f>
        <v>0</v>
      </c>
      <c r="BZ70">
        <f>This_Year_KWH!CH15</f>
        <v>0</v>
      </c>
      <c r="CA70">
        <f>This_Year_KWH!BR15</f>
        <v>0</v>
      </c>
      <c r="CB70">
        <f>This_Year_KWH!BP15</f>
        <v>0</v>
      </c>
      <c r="CC70">
        <f>This_Year_KWH!BU15</f>
        <v>0</v>
      </c>
      <c r="CD70">
        <f>This_Year_KWH!BX15</f>
        <v>0</v>
      </c>
      <c r="CE70">
        <f>This_Year_KWH!CV15</f>
        <v>0</v>
      </c>
      <c r="CF70">
        <f>This_Year_KWH!BT15</f>
        <v>0</v>
      </c>
      <c r="CG70">
        <f>This_Year_KWH!CA15</f>
        <v>0</v>
      </c>
      <c r="CH70">
        <f>This_Year_KWH!CF15</f>
        <v>0</v>
      </c>
      <c r="CI70">
        <f>This_Year_KWH!BZ15</f>
        <v>0</v>
      </c>
      <c r="CJ70">
        <f>This_Year_KWH!CK15</f>
        <v>0</v>
      </c>
      <c r="CK70">
        <f>This_Year_KWH!DT15</f>
        <v>0</v>
      </c>
      <c r="CL70">
        <f>This_Year_KWH!EB15</f>
        <v>0</v>
      </c>
      <c r="CM70">
        <f>This_Year_KWH!EC15</f>
        <v>0</v>
      </c>
      <c r="CN70">
        <f>This_Year_KWH!CQ15</f>
        <v>0</v>
      </c>
      <c r="CO70">
        <f>This_Year_KWH!DF15</f>
        <v>0</v>
      </c>
      <c r="CP70">
        <f>This_Year_KWH!DJ15</f>
        <v>0</v>
      </c>
      <c r="CQ70">
        <f>This_Year_KWH!DP15</f>
        <v>0</v>
      </c>
      <c r="CR70">
        <f>This_Year_KWH!BQ15</f>
        <v>0</v>
      </c>
      <c r="CS70">
        <f>This_Year_KWH!BY15</f>
        <v>0</v>
      </c>
      <c r="CT70">
        <f>This_Year_KWH!DU15</f>
        <v>0</v>
      </c>
      <c r="CU70">
        <f>This_Year_KWH!DQ15</f>
        <v>0</v>
      </c>
      <c r="CV70">
        <f>This_Year_KWH!EA15</f>
        <v>0</v>
      </c>
      <c r="CW70">
        <f>This_Year_KWH!DO15</f>
        <v>0</v>
      </c>
      <c r="CX70">
        <f>This_Year_KWH!DX15</f>
        <v>0</v>
      </c>
      <c r="CY70">
        <f>This_Year_KWH!DY15</f>
        <v>0</v>
      </c>
      <c r="CZ70">
        <f>This_Year_KWH!DZ15</f>
        <v>0</v>
      </c>
      <c r="DA70">
        <f>This_Year_KWH!ED15</f>
        <v>0</v>
      </c>
      <c r="DB70">
        <f>This_Year_KWH!DV15</f>
        <v>0</v>
      </c>
      <c r="DC70">
        <f>This_Year_KWH!CT15</f>
        <v>0</v>
      </c>
      <c r="DD70">
        <f>This_Year_KWH!DN15</f>
        <v>0</v>
      </c>
      <c r="DE70">
        <f>This_Year_KWH!AZ15</f>
        <v>0</v>
      </c>
      <c r="DF70">
        <f>This_Year_KWH!BD15</f>
        <v>0</v>
      </c>
      <c r="DG70">
        <f>This_Year_KWH!AV15</f>
        <v>0</v>
      </c>
      <c r="DH70">
        <f>This_Year_KWH!BG15</f>
        <v>0</v>
      </c>
      <c r="DI70">
        <f>This_Year_KWH!DK15</f>
        <v>0</v>
      </c>
      <c r="DJ70">
        <f>This_Year_KWH!DL15</f>
        <v>0</v>
      </c>
      <c r="DK70">
        <f>This_Year_KWH!AU15</f>
        <v>0</v>
      </c>
      <c r="DL70">
        <f>This_Year_KWH!DM15</f>
        <v>0</v>
      </c>
      <c r="DM70">
        <f>This_Year_KWH!CC15</f>
        <v>0</v>
      </c>
      <c r="DN70">
        <f>This_Year_KWH!BH15</f>
        <v>0</v>
      </c>
      <c r="DO70">
        <f>This_Year_KWH!AK15</f>
        <v>0</v>
      </c>
      <c r="DP70">
        <f>This_Year_KWH!AT15</f>
        <v>0</v>
      </c>
      <c r="DQ70">
        <f>This_Year_KWH!AX15</f>
        <v>0</v>
      </c>
      <c r="DR70">
        <f>This_Year_KWH!BA15</f>
        <v>0</v>
      </c>
      <c r="DS70">
        <f>This_Year_KWH!BB15</f>
        <v>0</v>
      </c>
      <c r="DT70">
        <f>This_Year_KWH!BC15</f>
        <v>0</v>
      </c>
      <c r="DU70">
        <f>This_Year_KWH!BF15</f>
        <v>0</v>
      </c>
      <c r="DV70">
        <f>This_Year_KWH!BN15</f>
        <v>0</v>
      </c>
      <c r="DW70">
        <f>This_Year_KWH!CD15</f>
        <v>0</v>
      </c>
      <c r="DX70">
        <f>This_Year_KWH!CE15</f>
        <v>0</v>
      </c>
      <c r="DY70">
        <f>This_Year_KWH!CJ15</f>
        <v>0</v>
      </c>
      <c r="DZ70">
        <f>This_Year_KWH!CP15</f>
        <v>0</v>
      </c>
      <c r="EA70">
        <f>This_Year_KWH!CS15</f>
        <v>0</v>
      </c>
      <c r="EB70">
        <f>This_Year_KWH!CU15</f>
        <v>0</v>
      </c>
      <c r="EC70">
        <f>This_Year_KWH!EG15</f>
        <v>0</v>
      </c>
      <c r="ED70">
        <f>This_Year_KWH!EQ15</f>
        <v>0</v>
      </c>
    </row>
    <row r="71" spans="1:134" ht="14.15" customHeight="1" x14ac:dyDescent="0.25">
      <c r="A71" s="323" t="s">
        <v>456</v>
      </c>
      <c r="B71" s="137">
        <v>70</v>
      </c>
      <c r="C71" s="141" t="s">
        <v>285</v>
      </c>
      <c r="D71" s="134">
        <f>DAILY_ENERGY!C74</f>
        <v>53.186927999999995</v>
      </c>
      <c r="E71" s="134">
        <f>DAILY_ENERGY!D74</f>
        <v>53.432043999999998</v>
      </c>
      <c r="F71" s="134">
        <f>DAILY_ENERGY!E74</f>
        <v>0.245116000000003</v>
      </c>
      <c r="G71" s="134"/>
      <c r="H71" s="134">
        <f>SHIFT_A!E74</f>
        <v>6.5888000000001057E-2</v>
      </c>
      <c r="I71" s="134">
        <f>SHIFT_B!E74</f>
        <v>8.9700000000000557E-2</v>
      </c>
      <c r="J71" s="134">
        <f>SHIFT_C!E74</f>
        <v>8.9528000000001384E-2</v>
      </c>
      <c r="K71" s="162">
        <f t="shared" si="2"/>
        <v>0.245116000000003</v>
      </c>
      <c r="L71" s="163">
        <f t="shared" si="3"/>
        <v>0</v>
      </c>
      <c r="N71" s="203">
        <v>10</v>
      </c>
      <c r="O71">
        <f>This_Year_KWH!AF16</f>
        <v>0</v>
      </c>
      <c r="P71">
        <f>This_Year_KWH!BJ16</f>
        <v>0</v>
      </c>
      <c r="Q71">
        <f>This_Year_KWH!BK16</f>
        <v>0</v>
      </c>
      <c r="R71">
        <f>This_Year_KWH!EP16</f>
        <v>0</v>
      </c>
      <c r="S71">
        <f>This_Year_KWH!EE16</f>
        <v>0</v>
      </c>
      <c r="T71">
        <f>This_Year_KWH!DH16</f>
        <v>0</v>
      </c>
      <c r="U71">
        <f>This_Year_KWH!CL16</f>
        <v>0</v>
      </c>
      <c r="V71">
        <f>This_Year_KWH!BL16</f>
        <v>0</v>
      </c>
      <c r="W71">
        <f>This_Year_KWH!V16</f>
        <v>0</v>
      </c>
      <c r="X71">
        <f>This_Year_KWH!AB16</f>
        <v>0</v>
      </c>
      <c r="Y71">
        <f>This_Year_KWH!AE16</f>
        <v>0</v>
      </c>
      <c r="Z71">
        <f>This_Year_KWH!AG16</f>
        <v>0</v>
      </c>
      <c r="AA71">
        <f>This_Year_KWH!BE16</f>
        <v>0</v>
      </c>
      <c r="AB71">
        <f>This_Year_KWH!AY16</f>
        <v>0</v>
      </c>
      <c r="AC71">
        <f>This_Year_KWH!CX16</f>
        <v>0</v>
      </c>
      <c r="AD71">
        <f>This_Year_KWH!CY16</f>
        <v>0</v>
      </c>
      <c r="AE71">
        <f>This_Year_KWH!DC16</f>
        <v>0</v>
      </c>
      <c r="AF71">
        <f>This_Year_KWH!DD16</f>
        <v>0</v>
      </c>
      <c r="AG71">
        <f>This_Year_KWH!W16</f>
        <v>0</v>
      </c>
      <c r="AH71">
        <f>This_Year_KWH!X16</f>
        <v>0</v>
      </c>
      <c r="AI71">
        <f>This_Year_KWH!Y16</f>
        <v>0</v>
      </c>
      <c r="AJ71">
        <f>This_Year_KWH!Z16</f>
        <v>0</v>
      </c>
      <c r="AK71">
        <f>This_Year_KWH!AA16</f>
        <v>0</v>
      </c>
      <c r="AL71">
        <f>This_Year_KWH!AC16</f>
        <v>0</v>
      </c>
      <c r="AM71">
        <f>This_Year_KWH!AD16</f>
        <v>0</v>
      </c>
      <c r="AN71">
        <f>This_Year_KWH!AI16</f>
        <v>0</v>
      </c>
      <c r="AO71">
        <f>This_Year_KWH!AJ16</f>
        <v>0</v>
      </c>
      <c r="AP71">
        <f>This_Year_KWH!AL16</f>
        <v>0</v>
      </c>
      <c r="AQ71">
        <f>This_Year_KWH!AM16</f>
        <v>0</v>
      </c>
      <c r="AR71">
        <f>This_Year_KWH!AN16</f>
        <v>0</v>
      </c>
      <c r="AS71">
        <f>This_Year_KWH!AO16</f>
        <v>0</v>
      </c>
      <c r="AT71">
        <f>This_Year_KWH!AP16</f>
        <v>0</v>
      </c>
      <c r="AU71">
        <f>This_Year_KWH!CN16</f>
        <v>0</v>
      </c>
      <c r="AV71">
        <f>This_Year_KWH!CR16</f>
        <v>0</v>
      </c>
      <c r="AW71">
        <f>This_Year_KWH!AQ16</f>
        <v>0</v>
      </c>
      <c r="AX71">
        <f>This_Year_KWH!AS16</f>
        <v>0</v>
      </c>
      <c r="AY71">
        <f>This_Year_KWH!EH16</f>
        <v>0</v>
      </c>
      <c r="AZ71">
        <f>This_Year_KWH!EJ16</f>
        <v>0</v>
      </c>
      <c r="BA71">
        <f>This_Year_KWH!EI16</f>
        <v>0</v>
      </c>
      <c r="BB71">
        <f>This_Year_KWH!AW16</f>
        <v>0</v>
      </c>
      <c r="BC71">
        <f>This_Year_KWH!DS16</f>
        <v>0</v>
      </c>
      <c r="BD71">
        <f>This_Year_KWH!CO16</f>
        <v>0</v>
      </c>
      <c r="BE71">
        <f>This_Year_KWH!DA16</f>
        <v>0</v>
      </c>
      <c r="BF71">
        <f>This_Year_KWH!DB16</f>
        <v>0</v>
      </c>
      <c r="BG71">
        <f>This_Year_KWH!EK16</f>
        <v>0</v>
      </c>
      <c r="BH71">
        <f>This_Year_KWH!EL16</f>
        <v>0</v>
      </c>
      <c r="BI71">
        <f>This_Year_KWH!EM16</f>
        <v>0</v>
      </c>
      <c r="BJ71">
        <f>This_Year_KWH!EN16</f>
        <v>0</v>
      </c>
      <c r="BK71">
        <f>This_Year_KWH!EO16</f>
        <v>0</v>
      </c>
      <c r="BL71">
        <f>This_Year_KWH!ER16</f>
        <v>0</v>
      </c>
      <c r="BM71">
        <f>This_Year_KWH!BW16</f>
        <v>0</v>
      </c>
      <c r="BN71">
        <f>This_Year_KWH!DR16</f>
        <v>0</v>
      </c>
      <c r="BO71">
        <f>This_Year_KWH!CG16</f>
        <v>0</v>
      </c>
      <c r="BP71">
        <f>This_Year_KWH!CI16</f>
        <v>0</v>
      </c>
      <c r="BQ71">
        <f>This_Year_KWH!BV16</f>
        <v>0</v>
      </c>
      <c r="BR71">
        <f>This_Year_KWH!BO16</f>
        <v>0</v>
      </c>
      <c r="BS71">
        <f>This_Year_KWH!CW16</f>
        <v>0</v>
      </c>
      <c r="BT71">
        <f>This_Year_KWH!DE16</f>
        <v>0</v>
      </c>
      <c r="BU71">
        <f>This_Year_KWH!DW16</f>
        <v>0</v>
      </c>
      <c r="BV71">
        <f>This_Year_KWH!CB16</f>
        <v>0</v>
      </c>
      <c r="BW71">
        <f>This_Year_KWH!CZ16</f>
        <v>0</v>
      </c>
      <c r="BX71">
        <f>This_Year_KWH!DG16</f>
        <v>0</v>
      </c>
      <c r="BY71">
        <f>This_Year_KWH!BS16</f>
        <v>0</v>
      </c>
      <c r="BZ71">
        <f>This_Year_KWH!CH16</f>
        <v>0</v>
      </c>
      <c r="CA71">
        <f>This_Year_KWH!BR16</f>
        <v>0</v>
      </c>
      <c r="CB71">
        <f>This_Year_KWH!BP16</f>
        <v>0</v>
      </c>
      <c r="CC71">
        <f>This_Year_KWH!BU16</f>
        <v>0</v>
      </c>
      <c r="CD71">
        <f>This_Year_KWH!BX16</f>
        <v>0</v>
      </c>
      <c r="CE71">
        <f>This_Year_KWH!CV16</f>
        <v>0</v>
      </c>
      <c r="CF71">
        <f>This_Year_KWH!BT16</f>
        <v>0</v>
      </c>
      <c r="CG71">
        <f>This_Year_KWH!CA16</f>
        <v>0</v>
      </c>
      <c r="CH71">
        <f>This_Year_KWH!CF16</f>
        <v>0</v>
      </c>
      <c r="CI71">
        <f>This_Year_KWH!BZ16</f>
        <v>0</v>
      </c>
      <c r="CJ71">
        <f>This_Year_KWH!CK16</f>
        <v>0</v>
      </c>
      <c r="CK71">
        <f>This_Year_KWH!DT16</f>
        <v>0</v>
      </c>
      <c r="CL71">
        <f>This_Year_KWH!EB16</f>
        <v>0</v>
      </c>
      <c r="CM71">
        <f>This_Year_KWH!EC16</f>
        <v>0</v>
      </c>
      <c r="CN71">
        <f>This_Year_KWH!CQ16</f>
        <v>0</v>
      </c>
      <c r="CO71">
        <f>This_Year_KWH!DF16</f>
        <v>0</v>
      </c>
      <c r="CP71">
        <f>This_Year_KWH!DJ16</f>
        <v>0</v>
      </c>
      <c r="CQ71">
        <f>This_Year_KWH!DP16</f>
        <v>0</v>
      </c>
      <c r="CR71">
        <f>This_Year_KWH!BQ16</f>
        <v>0</v>
      </c>
      <c r="CS71">
        <f>This_Year_KWH!BY16</f>
        <v>0</v>
      </c>
      <c r="CT71">
        <f>This_Year_KWH!DU16</f>
        <v>0</v>
      </c>
      <c r="CU71">
        <f>This_Year_KWH!DQ16</f>
        <v>0</v>
      </c>
      <c r="CV71">
        <f>This_Year_KWH!EA16</f>
        <v>0</v>
      </c>
      <c r="CW71">
        <f>This_Year_KWH!DO16</f>
        <v>0</v>
      </c>
      <c r="CX71">
        <f>This_Year_KWH!DX16</f>
        <v>0</v>
      </c>
      <c r="CY71">
        <f>This_Year_KWH!DY16</f>
        <v>0</v>
      </c>
      <c r="CZ71">
        <f>This_Year_KWH!DZ16</f>
        <v>0</v>
      </c>
      <c r="DA71">
        <f>This_Year_KWH!ED16</f>
        <v>0</v>
      </c>
      <c r="DB71">
        <f>This_Year_KWH!DV16</f>
        <v>0</v>
      </c>
      <c r="DC71">
        <f>This_Year_KWH!CT16</f>
        <v>0</v>
      </c>
      <c r="DD71">
        <f>This_Year_KWH!DN16</f>
        <v>0</v>
      </c>
      <c r="DE71">
        <f>This_Year_KWH!AZ16</f>
        <v>0</v>
      </c>
      <c r="DF71">
        <f>This_Year_KWH!BD16</f>
        <v>0</v>
      </c>
      <c r="DG71">
        <f>This_Year_KWH!AV16</f>
        <v>0</v>
      </c>
      <c r="DH71">
        <f>This_Year_KWH!BG16</f>
        <v>0</v>
      </c>
      <c r="DI71">
        <f>This_Year_KWH!DK16</f>
        <v>0</v>
      </c>
      <c r="DJ71">
        <f>This_Year_KWH!DL16</f>
        <v>0</v>
      </c>
      <c r="DK71">
        <f>This_Year_KWH!AU16</f>
        <v>0</v>
      </c>
      <c r="DL71">
        <f>This_Year_KWH!DM16</f>
        <v>0</v>
      </c>
      <c r="DM71">
        <f>This_Year_KWH!CC16</f>
        <v>0</v>
      </c>
      <c r="DN71">
        <f>This_Year_KWH!BH16</f>
        <v>0</v>
      </c>
      <c r="DO71">
        <f>This_Year_KWH!AK16</f>
        <v>0</v>
      </c>
      <c r="DP71">
        <f>This_Year_KWH!AT16</f>
        <v>0</v>
      </c>
      <c r="DQ71">
        <f>This_Year_KWH!AX16</f>
        <v>0</v>
      </c>
      <c r="DR71">
        <f>This_Year_KWH!BA16</f>
        <v>0</v>
      </c>
      <c r="DS71">
        <f>This_Year_KWH!BB16</f>
        <v>0</v>
      </c>
      <c r="DT71">
        <f>This_Year_KWH!BC16</f>
        <v>0</v>
      </c>
      <c r="DU71">
        <f>This_Year_KWH!BF16</f>
        <v>0</v>
      </c>
      <c r="DV71">
        <f>This_Year_KWH!BN16</f>
        <v>0</v>
      </c>
      <c r="DW71">
        <f>This_Year_KWH!CD16</f>
        <v>0</v>
      </c>
      <c r="DX71">
        <f>This_Year_KWH!CE16</f>
        <v>0</v>
      </c>
      <c r="DY71">
        <f>This_Year_KWH!CJ16</f>
        <v>0</v>
      </c>
      <c r="DZ71">
        <f>This_Year_KWH!CP16</f>
        <v>0</v>
      </c>
      <c r="EA71">
        <f>This_Year_KWH!CS16</f>
        <v>0</v>
      </c>
      <c r="EB71">
        <f>This_Year_KWH!CU16</f>
        <v>0</v>
      </c>
      <c r="EC71">
        <f>This_Year_KWH!EG16</f>
        <v>0</v>
      </c>
      <c r="ED71">
        <f>This_Year_KWH!EQ16</f>
        <v>0</v>
      </c>
    </row>
    <row r="72" spans="1:134" ht="14" x14ac:dyDescent="0.25">
      <c r="A72" s="323"/>
      <c r="B72" s="137">
        <v>71</v>
      </c>
      <c r="C72" s="141" t="s">
        <v>292</v>
      </c>
      <c r="D72" s="134">
        <f>DAILY_ENERGY!C81</f>
        <v>0.40174634374999996</v>
      </c>
      <c r="E72" s="134">
        <f>DAILY_ENERGY!D81</f>
        <v>0.76070412499999995</v>
      </c>
      <c r="F72" s="134">
        <f>DAILY_ENERGY!E81</f>
        <v>0.35895778125</v>
      </c>
      <c r="G72" s="134"/>
      <c r="H72" s="134">
        <f>SHIFT_A!E81</f>
        <v>0.11474021875000007</v>
      </c>
      <c r="I72" s="134">
        <f>SHIFT_B!E81</f>
        <v>0.10803974999999999</v>
      </c>
      <c r="J72" s="134">
        <f>SHIFT_C!E81</f>
        <v>0.13617781249999994</v>
      </c>
      <c r="K72" s="162">
        <f t="shared" si="2"/>
        <v>0.35895778125</v>
      </c>
      <c r="L72" s="163">
        <f t="shared" si="3"/>
        <v>0</v>
      </c>
      <c r="N72" s="203">
        <v>11</v>
      </c>
      <c r="O72">
        <f>This_Year_KWH!AF17</f>
        <v>0</v>
      </c>
      <c r="P72">
        <f>This_Year_KWH!BJ17</f>
        <v>0</v>
      </c>
      <c r="Q72">
        <f>This_Year_KWH!BK17</f>
        <v>0</v>
      </c>
      <c r="R72">
        <f>This_Year_KWH!EP17</f>
        <v>0</v>
      </c>
      <c r="S72">
        <f>This_Year_KWH!EE17</f>
        <v>0</v>
      </c>
      <c r="T72">
        <f>This_Year_KWH!DH17</f>
        <v>0</v>
      </c>
      <c r="U72">
        <f>This_Year_KWH!CL17</f>
        <v>0</v>
      </c>
      <c r="V72">
        <f>This_Year_KWH!BL17</f>
        <v>0</v>
      </c>
      <c r="W72">
        <f>This_Year_KWH!V17</f>
        <v>0</v>
      </c>
      <c r="X72">
        <f>This_Year_KWH!AB17</f>
        <v>0</v>
      </c>
      <c r="Y72">
        <f>This_Year_KWH!AE17</f>
        <v>0</v>
      </c>
      <c r="Z72">
        <f>This_Year_KWH!AG17</f>
        <v>0</v>
      </c>
      <c r="AA72">
        <f>This_Year_KWH!BE17</f>
        <v>0</v>
      </c>
      <c r="AB72">
        <f>This_Year_KWH!AY17</f>
        <v>0</v>
      </c>
      <c r="AC72">
        <f>This_Year_KWH!CX17</f>
        <v>0</v>
      </c>
      <c r="AD72">
        <f>This_Year_KWH!CY17</f>
        <v>0</v>
      </c>
      <c r="AE72">
        <f>This_Year_KWH!DC17</f>
        <v>0</v>
      </c>
      <c r="AF72">
        <f>This_Year_KWH!DD17</f>
        <v>0</v>
      </c>
      <c r="AG72">
        <f>This_Year_KWH!W17</f>
        <v>0</v>
      </c>
      <c r="AH72">
        <f>This_Year_KWH!X17</f>
        <v>0</v>
      </c>
      <c r="AI72">
        <f>This_Year_KWH!Y17</f>
        <v>0</v>
      </c>
      <c r="AJ72">
        <f>This_Year_KWH!Z17</f>
        <v>0</v>
      </c>
      <c r="AK72">
        <f>This_Year_KWH!AA17</f>
        <v>0</v>
      </c>
      <c r="AL72">
        <f>This_Year_KWH!AC17</f>
        <v>0</v>
      </c>
      <c r="AM72">
        <f>This_Year_KWH!AD17</f>
        <v>0</v>
      </c>
      <c r="AN72">
        <f>This_Year_KWH!AI17</f>
        <v>0</v>
      </c>
      <c r="AO72">
        <f>This_Year_KWH!AJ17</f>
        <v>0</v>
      </c>
      <c r="AP72">
        <f>This_Year_KWH!AL17</f>
        <v>0</v>
      </c>
      <c r="AQ72">
        <f>This_Year_KWH!AM17</f>
        <v>0</v>
      </c>
      <c r="AR72">
        <f>This_Year_KWH!AN17</f>
        <v>0</v>
      </c>
      <c r="AS72">
        <f>This_Year_KWH!AO17</f>
        <v>0</v>
      </c>
      <c r="AT72">
        <f>This_Year_KWH!AP17</f>
        <v>0</v>
      </c>
      <c r="AU72">
        <f>This_Year_KWH!CN17</f>
        <v>0</v>
      </c>
      <c r="AV72">
        <f>This_Year_KWH!CR17</f>
        <v>0</v>
      </c>
      <c r="AW72">
        <f>This_Year_KWH!AQ17</f>
        <v>0</v>
      </c>
      <c r="AX72">
        <f>This_Year_KWH!AS17</f>
        <v>0</v>
      </c>
      <c r="AY72">
        <f>This_Year_KWH!EH17</f>
        <v>0</v>
      </c>
      <c r="AZ72">
        <f>This_Year_KWH!EJ17</f>
        <v>0</v>
      </c>
      <c r="BA72">
        <f>This_Year_KWH!EI17</f>
        <v>0</v>
      </c>
      <c r="BB72">
        <f>This_Year_KWH!AW17</f>
        <v>0</v>
      </c>
      <c r="BC72">
        <f>This_Year_KWH!DS17</f>
        <v>0</v>
      </c>
      <c r="BD72">
        <f>This_Year_KWH!CO17</f>
        <v>0</v>
      </c>
      <c r="BE72">
        <f>This_Year_KWH!DA17</f>
        <v>0</v>
      </c>
      <c r="BF72">
        <f>This_Year_KWH!DB17</f>
        <v>0</v>
      </c>
      <c r="BG72">
        <f>This_Year_KWH!EK17</f>
        <v>0</v>
      </c>
      <c r="BH72">
        <f>This_Year_KWH!EL17</f>
        <v>0</v>
      </c>
      <c r="BI72">
        <f>This_Year_KWH!EM17</f>
        <v>0</v>
      </c>
      <c r="BJ72">
        <f>This_Year_KWH!EN17</f>
        <v>0</v>
      </c>
      <c r="BK72">
        <f>This_Year_KWH!EO17</f>
        <v>0</v>
      </c>
      <c r="BL72">
        <f>This_Year_KWH!ER17</f>
        <v>0</v>
      </c>
      <c r="BM72">
        <f>This_Year_KWH!BW17</f>
        <v>0</v>
      </c>
      <c r="BN72">
        <f>This_Year_KWH!DR17</f>
        <v>0</v>
      </c>
      <c r="BO72">
        <f>This_Year_KWH!CG17</f>
        <v>0</v>
      </c>
      <c r="BP72">
        <f>This_Year_KWH!CI17</f>
        <v>0</v>
      </c>
      <c r="BQ72">
        <f>This_Year_KWH!BV17</f>
        <v>0</v>
      </c>
      <c r="BR72">
        <f>This_Year_KWH!BO17</f>
        <v>0</v>
      </c>
      <c r="BS72">
        <f>This_Year_KWH!CW17</f>
        <v>0</v>
      </c>
      <c r="BT72">
        <f>This_Year_KWH!DE17</f>
        <v>0</v>
      </c>
      <c r="BU72">
        <f>This_Year_KWH!DW17</f>
        <v>0</v>
      </c>
      <c r="BV72">
        <f>This_Year_KWH!CB17</f>
        <v>0</v>
      </c>
      <c r="BW72">
        <f>This_Year_KWH!CZ17</f>
        <v>0</v>
      </c>
      <c r="BX72">
        <f>This_Year_KWH!DG17</f>
        <v>0</v>
      </c>
      <c r="BY72">
        <f>This_Year_KWH!BS17</f>
        <v>0</v>
      </c>
      <c r="BZ72">
        <f>This_Year_KWH!CH17</f>
        <v>0</v>
      </c>
      <c r="CA72">
        <f>This_Year_KWH!BR17</f>
        <v>0</v>
      </c>
      <c r="CB72">
        <f>This_Year_KWH!BP17</f>
        <v>0</v>
      </c>
      <c r="CC72">
        <f>This_Year_KWH!BU17</f>
        <v>0</v>
      </c>
      <c r="CD72">
        <f>This_Year_KWH!BX17</f>
        <v>0</v>
      </c>
      <c r="CE72">
        <f>This_Year_KWH!CV17</f>
        <v>0</v>
      </c>
      <c r="CF72">
        <f>This_Year_KWH!BT17</f>
        <v>0</v>
      </c>
      <c r="CG72">
        <f>This_Year_KWH!CA17</f>
        <v>0</v>
      </c>
      <c r="CH72">
        <f>This_Year_KWH!CF17</f>
        <v>0</v>
      </c>
      <c r="CI72">
        <f>This_Year_KWH!BZ17</f>
        <v>0</v>
      </c>
      <c r="CJ72">
        <f>This_Year_KWH!CK17</f>
        <v>0</v>
      </c>
      <c r="CK72">
        <f>This_Year_KWH!DT17</f>
        <v>0</v>
      </c>
      <c r="CL72">
        <f>This_Year_KWH!EB17</f>
        <v>0</v>
      </c>
      <c r="CM72">
        <f>This_Year_KWH!EC17</f>
        <v>0</v>
      </c>
      <c r="CN72">
        <f>This_Year_KWH!CQ17</f>
        <v>0</v>
      </c>
      <c r="CO72">
        <f>This_Year_KWH!DF17</f>
        <v>0</v>
      </c>
      <c r="CP72">
        <f>This_Year_KWH!DJ17</f>
        <v>0</v>
      </c>
      <c r="CQ72">
        <f>This_Year_KWH!DP17</f>
        <v>0</v>
      </c>
      <c r="CR72">
        <f>This_Year_KWH!BQ17</f>
        <v>0</v>
      </c>
      <c r="CS72">
        <f>This_Year_KWH!BY17</f>
        <v>0</v>
      </c>
      <c r="CT72">
        <f>This_Year_KWH!DU17</f>
        <v>0</v>
      </c>
      <c r="CU72">
        <f>This_Year_KWH!DQ17</f>
        <v>0</v>
      </c>
      <c r="CV72">
        <f>This_Year_KWH!EA17</f>
        <v>0</v>
      </c>
      <c r="CW72">
        <f>This_Year_KWH!DO17</f>
        <v>0</v>
      </c>
      <c r="CX72">
        <f>This_Year_KWH!DX17</f>
        <v>0</v>
      </c>
      <c r="CY72">
        <f>This_Year_KWH!DY17</f>
        <v>0</v>
      </c>
      <c r="CZ72">
        <f>This_Year_KWH!DZ17</f>
        <v>0</v>
      </c>
      <c r="DA72">
        <f>This_Year_KWH!ED17</f>
        <v>0</v>
      </c>
      <c r="DB72">
        <f>This_Year_KWH!DV17</f>
        <v>0</v>
      </c>
      <c r="DC72">
        <f>This_Year_KWH!CT17</f>
        <v>0</v>
      </c>
      <c r="DD72">
        <f>This_Year_KWH!DN17</f>
        <v>0</v>
      </c>
      <c r="DE72">
        <f>This_Year_KWH!AZ17</f>
        <v>0</v>
      </c>
      <c r="DF72">
        <f>This_Year_KWH!BD17</f>
        <v>0</v>
      </c>
      <c r="DG72">
        <f>This_Year_KWH!AV17</f>
        <v>0</v>
      </c>
      <c r="DH72">
        <f>This_Year_KWH!BG17</f>
        <v>0</v>
      </c>
      <c r="DI72">
        <f>This_Year_KWH!DK17</f>
        <v>0</v>
      </c>
      <c r="DJ72">
        <f>This_Year_KWH!DL17</f>
        <v>0</v>
      </c>
      <c r="DK72">
        <f>This_Year_KWH!AU17</f>
        <v>0</v>
      </c>
      <c r="DL72">
        <f>This_Year_KWH!DM17</f>
        <v>0</v>
      </c>
      <c r="DM72">
        <f>This_Year_KWH!CC17</f>
        <v>0</v>
      </c>
      <c r="DN72">
        <f>This_Year_KWH!BH17</f>
        <v>0</v>
      </c>
      <c r="DO72">
        <f>This_Year_KWH!AK17</f>
        <v>0</v>
      </c>
      <c r="DP72">
        <f>This_Year_KWH!AT17</f>
        <v>0</v>
      </c>
      <c r="DQ72">
        <f>This_Year_KWH!AX17</f>
        <v>0</v>
      </c>
      <c r="DR72">
        <f>This_Year_KWH!BA17</f>
        <v>0</v>
      </c>
      <c r="DS72">
        <f>This_Year_KWH!BB17</f>
        <v>0</v>
      </c>
      <c r="DT72">
        <f>This_Year_KWH!BC17</f>
        <v>0</v>
      </c>
      <c r="DU72">
        <f>This_Year_KWH!BF17</f>
        <v>0</v>
      </c>
      <c r="DV72">
        <f>This_Year_KWH!BN17</f>
        <v>0</v>
      </c>
      <c r="DW72">
        <f>This_Year_KWH!CD17</f>
        <v>0</v>
      </c>
      <c r="DX72">
        <f>This_Year_KWH!CE17</f>
        <v>0</v>
      </c>
      <c r="DY72">
        <f>This_Year_KWH!CJ17</f>
        <v>0</v>
      </c>
      <c r="DZ72">
        <f>This_Year_KWH!CP17</f>
        <v>0</v>
      </c>
      <c r="EA72">
        <f>This_Year_KWH!CS17</f>
        <v>0</v>
      </c>
      <c r="EB72">
        <f>This_Year_KWH!CU17</f>
        <v>0</v>
      </c>
      <c r="EC72">
        <f>This_Year_KWH!EG17</f>
        <v>0</v>
      </c>
      <c r="ED72">
        <f>This_Year_KWH!EQ17</f>
        <v>0</v>
      </c>
    </row>
    <row r="73" spans="1:134" ht="14" x14ac:dyDescent="0.25">
      <c r="A73" s="323"/>
      <c r="B73" s="137">
        <v>72</v>
      </c>
      <c r="C73" s="141" t="s">
        <v>297</v>
      </c>
      <c r="D73" s="134">
        <f>DAILY_ENERGY!C86</f>
        <v>15.369556999999999</v>
      </c>
      <c r="E73" s="134">
        <f>DAILY_ENERGY!D86</f>
        <v>15.393146</v>
      </c>
      <c r="F73" s="134">
        <f>DAILY_ENERGY!E86</f>
        <v>2.3589000000001192E-2</v>
      </c>
      <c r="G73" s="134"/>
      <c r="H73" s="134">
        <f>SHIFT_A!E86</f>
        <v>9.9499999999999034E-3</v>
      </c>
      <c r="I73" s="134">
        <f>SHIFT_B!E86</f>
        <v>8.5470000000000823E-3</v>
      </c>
      <c r="J73" s="134">
        <f>SHIFT_C!E86</f>
        <v>5.0920000000012067E-3</v>
      </c>
      <c r="K73" s="162">
        <f t="shared" si="2"/>
        <v>2.3589000000001192E-2</v>
      </c>
      <c r="L73" s="163">
        <f t="shared" si="3"/>
        <v>0</v>
      </c>
      <c r="N73" s="203">
        <v>12</v>
      </c>
      <c r="O73">
        <f>This_Year_KWH!AF18</f>
        <v>0</v>
      </c>
      <c r="P73">
        <f>This_Year_KWH!BJ18</f>
        <v>0</v>
      </c>
      <c r="Q73">
        <f>This_Year_KWH!BK18</f>
        <v>0</v>
      </c>
      <c r="R73">
        <f>This_Year_KWH!EP18</f>
        <v>0</v>
      </c>
      <c r="S73">
        <f>This_Year_KWH!EE18</f>
        <v>0</v>
      </c>
      <c r="T73">
        <f>This_Year_KWH!DH18</f>
        <v>0</v>
      </c>
      <c r="U73">
        <f>This_Year_KWH!CL18</f>
        <v>0</v>
      </c>
      <c r="V73">
        <f>This_Year_KWH!BL18</f>
        <v>0</v>
      </c>
      <c r="W73">
        <f>This_Year_KWH!V18</f>
        <v>0</v>
      </c>
      <c r="X73">
        <f>This_Year_KWH!AB18</f>
        <v>0</v>
      </c>
      <c r="Y73">
        <f>This_Year_KWH!AE18</f>
        <v>0</v>
      </c>
      <c r="Z73">
        <f>This_Year_KWH!AG18</f>
        <v>0</v>
      </c>
      <c r="AA73">
        <f>This_Year_KWH!BE18</f>
        <v>0</v>
      </c>
      <c r="AB73">
        <f>This_Year_KWH!AY18</f>
        <v>0</v>
      </c>
      <c r="AC73">
        <f>This_Year_KWH!CX18</f>
        <v>0</v>
      </c>
      <c r="AD73">
        <f>This_Year_KWH!CY18</f>
        <v>0</v>
      </c>
      <c r="AE73">
        <f>This_Year_KWH!DC18</f>
        <v>0</v>
      </c>
      <c r="AF73">
        <f>This_Year_KWH!DD18</f>
        <v>0</v>
      </c>
      <c r="AG73">
        <f>This_Year_KWH!W18</f>
        <v>0</v>
      </c>
      <c r="AH73">
        <f>This_Year_KWH!X18</f>
        <v>0</v>
      </c>
      <c r="AI73">
        <f>This_Year_KWH!Y18</f>
        <v>0</v>
      </c>
      <c r="AJ73">
        <f>This_Year_KWH!Z18</f>
        <v>0</v>
      </c>
      <c r="AK73">
        <f>This_Year_KWH!AA18</f>
        <v>0</v>
      </c>
      <c r="AL73">
        <f>This_Year_KWH!AC18</f>
        <v>0</v>
      </c>
      <c r="AM73">
        <f>This_Year_KWH!AD18</f>
        <v>0</v>
      </c>
      <c r="AN73">
        <f>This_Year_KWH!AI18</f>
        <v>0</v>
      </c>
      <c r="AO73">
        <f>This_Year_KWH!AJ18</f>
        <v>0</v>
      </c>
      <c r="AP73">
        <f>This_Year_KWH!AL18</f>
        <v>0</v>
      </c>
      <c r="AQ73">
        <f>This_Year_KWH!AM18</f>
        <v>0</v>
      </c>
      <c r="AR73">
        <f>This_Year_KWH!AN18</f>
        <v>0</v>
      </c>
      <c r="AS73">
        <f>This_Year_KWH!AO18</f>
        <v>0</v>
      </c>
      <c r="AT73">
        <f>This_Year_KWH!AP18</f>
        <v>0</v>
      </c>
      <c r="AU73">
        <f>This_Year_KWH!CN18</f>
        <v>0</v>
      </c>
      <c r="AV73">
        <f>This_Year_KWH!CR18</f>
        <v>0</v>
      </c>
      <c r="AW73">
        <f>This_Year_KWH!AQ18</f>
        <v>0</v>
      </c>
      <c r="AX73">
        <f>This_Year_KWH!AS18</f>
        <v>0</v>
      </c>
      <c r="AY73">
        <f>This_Year_KWH!EH18</f>
        <v>0</v>
      </c>
      <c r="AZ73">
        <f>This_Year_KWH!EJ18</f>
        <v>0</v>
      </c>
      <c r="BA73">
        <f>This_Year_KWH!EI18</f>
        <v>0</v>
      </c>
      <c r="BB73">
        <f>This_Year_KWH!AW18</f>
        <v>0</v>
      </c>
      <c r="BC73">
        <f>This_Year_KWH!DS18</f>
        <v>0</v>
      </c>
      <c r="BD73">
        <f>This_Year_KWH!CO18</f>
        <v>0</v>
      </c>
      <c r="BE73">
        <f>This_Year_KWH!DA18</f>
        <v>0</v>
      </c>
      <c r="BF73">
        <f>This_Year_KWH!DB18</f>
        <v>0</v>
      </c>
      <c r="BG73">
        <f>This_Year_KWH!EK18</f>
        <v>0</v>
      </c>
      <c r="BH73">
        <f>This_Year_KWH!EL18</f>
        <v>0</v>
      </c>
      <c r="BI73">
        <f>This_Year_KWH!EM18</f>
        <v>0</v>
      </c>
      <c r="BJ73">
        <f>This_Year_KWH!EN18</f>
        <v>0</v>
      </c>
      <c r="BK73">
        <f>This_Year_KWH!EO18</f>
        <v>0</v>
      </c>
      <c r="BL73">
        <f>This_Year_KWH!ER18</f>
        <v>0</v>
      </c>
      <c r="BM73">
        <f>This_Year_KWH!BW18</f>
        <v>0</v>
      </c>
      <c r="BN73">
        <f>This_Year_KWH!DR18</f>
        <v>0</v>
      </c>
      <c r="BO73">
        <f>This_Year_KWH!CG18</f>
        <v>0</v>
      </c>
      <c r="BP73">
        <f>This_Year_KWH!CI18</f>
        <v>0</v>
      </c>
      <c r="BQ73">
        <f>This_Year_KWH!BV18</f>
        <v>0</v>
      </c>
      <c r="BR73">
        <f>This_Year_KWH!BO18</f>
        <v>0</v>
      </c>
      <c r="BS73">
        <f>This_Year_KWH!CW18</f>
        <v>0</v>
      </c>
      <c r="BT73">
        <f>This_Year_KWH!DE18</f>
        <v>0</v>
      </c>
      <c r="BU73">
        <f>This_Year_KWH!DW18</f>
        <v>0</v>
      </c>
      <c r="BV73">
        <f>This_Year_KWH!CB18</f>
        <v>0</v>
      </c>
      <c r="BW73">
        <f>This_Year_KWH!CZ18</f>
        <v>0</v>
      </c>
      <c r="BX73">
        <f>This_Year_KWH!DG18</f>
        <v>0</v>
      </c>
      <c r="BY73">
        <f>This_Year_KWH!BS18</f>
        <v>0</v>
      </c>
      <c r="BZ73">
        <f>This_Year_KWH!CH18</f>
        <v>0</v>
      </c>
      <c r="CA73">
        <f>This_Year_KWH!BR18</f>
        <v>0</v>
      </c>
      <c r="CB73">
        <f>This_Year_KWH!BP18</f>
        <v>0</v>
      </c>
      <c r="CC73">
        <f>This_Year_KWH!BU18</f>
        <v>0</v>
      </c>
      <c r="CD73">
        <f>This_Year_KWH!BX18</f>
        <v>0</v>
      </c>
      <c r="CE73">
        <f>This_Year_KWH!CV18</f>
        <v>0</v>
      </c>
      <c r="CF73">
        <f>This_Year_KWH!BT18</f>
        <v>0</v>
      </c>
      <c r="CG73">
        <f>This_Year_KWH!CA18</f>
        <v>0</v>
      </c>
      <c r="CH73">
        <f>This_Year_KWH!CF18</f>
        <v>0</v>
      </c>
      <c r="CI73">
        <f>This_Year_KWH!BZ18</f>
        <v>0</v>
      </c>
      <c r="CJ73">
        <f>This_Year_KWH!CK18</f>
        <v>0</v>
      </c>
      <c r="CK73">
        <f>This_Year_KWH!DT18</f>
        <v>0</v>
      </c>
      <c r="CL73">
        <f>This_Year_KWH!EB18</f>
        <v>0</v>
      </c>
      <c r="CM73">
        <f>This_Year_KWH!EC18</f>
        <v>0</v>
      </c>
      <c r="CN73">
        <f>This_Year_KWH!CQ18</f>
        <v>0</v>
      </c>
      <c r="CO73">
        <f>This_Year_KWH!DF18</f>
        <v>0</v>
      </c>
      <c r="CP73">
        <f>This_Year_KWH!DJ18</f>
        <v>0</v>
      </c>
      <c r="CQ73">
        <f>This_Year_KWH!DP18</f>
        <v>0</v>
      </c>
      <c r="CR73">
        <f>This_Year_KWH!BQ18</f>
        <v>0</v>
      </c>
      <c r="CS73">
        <f>This_Year_KWH!BY18</f>
        <v>0</v>
      </c>
      <c r="CT73">
        <f>This_Year_KWH!DU18</f>
        <v>0</v>
      </c>
      <c r="CU73">
        <f>This_Year_KWH!DQ18</f>
        <v>0</v>
      </c>
      <c r="CV73">
        <f>This_Year_KWH!EA18</f>
        <v>0</v>
      </c>
      <c r="CW73">
        <f>This_Year_KWH!DO18</f>
        <v>0</v>
      </c>
      <c r="CX73">
        <f>This_Year_KWH!DX18</f>
        <v>0</v>
      </c>
      <c r="CY73">
        <f>This_Year_KWH!DY18</f>
        <v>0</v>
      </c>
      <c r="CZ73">
        <f>This_Year_KWH!DZ18</f>
        <v>0</v>
      </c>
      <c r="DA73">
        <f>This_Year_KWH!ED18</f>
        <v>0</v>
      </c>
      <c r="DB73">
        <f>This_Year_KWH!DV18</f>
        <v>0</v>
      </c>
      <c r="DC73">
        <f>This_Year_KWH!CT18</f>
        <v>0</v>
      </c>
      <c r="DD73">
        <f>This_Year_KWH!DN18</f>
        <v>0</v>
      </c>
      <c r="DE73">
        <f>This_Year_KWH!AZ18</f>
        <v>0</v>
      </c>
      <c r="DF73">
        <f>This_Year_KWH!BD18</f>
        <v>0</v>
      </c>
      <c r="DG73">
        <f>This_Year_KWH!AV18</f>
        <v>0</v>
      </c>
      <c r="DH73">
        <f>This_Year_KWH!BG18</f>
        <v>0</v>
      </c>
      <c r="DI73">
        <f>This_Year_KWH!DK18</f>
        <v>0</v>
      </c>
      <c r="DJ73">
        <f>This_Year_KWH!DL18</f>
        <v>0</v>
      </c>
      <c r="DK73">
        <f>This_Year_KWH!AU18</f>
        <v>0</v>
      </c>
      <c r="DL73">
        <f>This_Year_KWH!DM18</f>
        <v>0</v>
      </c>
      <c r="DM73">
        <f>This_Year_KWH!CC18</f>
        <v>0</v>
      </c>
      <c r="DN73">
        <f>This_Year_KWH!BH18</f>
        <v>0</v>
      </c>
      <c r="DO73">
        <f>This_Year_KWH!AK18</f>
        <v>0</v>
      </c>
      <c r="DP73">
        <f>This_Year_KWH!AT18</f>
        <v>0</v>
      </c>
      <c r="DQ73">
        <f>This_Year_KWH!AX18</f>
        <v>0</v>
      </c>
      <c r="DR73">
        <f>This_Year_KWH!BA18</f>
        <v>0</v>
      </c>
      <c r="DS73">
        <f>This_Year_KWH!BB18</f>
        <v>0</v>
      </c>
      <c r="DT73">
        <f>This_Year_KWH!BC18</f>
        <v>0</v>
      </c>
      <c r="DU73">
        <f>This_Year_KWH!BF18</f>
        <v>0</v>
      </c>
      <c r="DV73">
        <f>This_Year_KWH!BN18</f>
        <v>0</v>
      </c>
      <c r="DW73">
        <f>This_Year_KWH!CD18</f>
        <v>0</v>
      </c>
      <c r="DX73">
        <f>This_Year_KWH!CE18</f>
        <v>0</v>
      </c>
      <c r="DY73">
        <f>This_Year_KWH!CJ18</f>
        <v>0</v>
      </c>
      <c r="DZ73">
        <f>This_Year_KWH!CP18</f>
        <v>0</v>
      </c>
      <c r="EA73">
        <f>This_Year_KWH!CS18</f>
        <v>0</v>
      </c>
      <c r="EB73">
        <f>This_Year_KWH!CU18</f>
        <v>0</v>
      </c>
      <c r="EC73">
        <f>This_Year_KWH!EG18</f>
        <v>0</v>
      </c>
      <c r="ED73">
        <f>This_Year_KWH!EQ18</f>
        <v>0</v>
      </c>
    </row>
    <row r="74" spans="1:134" x14ac:dyDescent="0.25">
      <c r="A74" s="323"/>
      <c r="B74" s="137">
        <v>73</v>
      </c>
      <c r="C74" s="141" t="s">
        <v>291</v>
      </c>
      <c r="D74" s="134">
        <f>DAILY_ENERGY!C80</f>
        <v>105.87555999999999</v>
      </c>
      <c r="E74" s="134">
        <f>DAILY_ENERGY!D80</f>
        <v>106.892184</v>
      </c>
      <c r="F74" s="134">
        <f>DAILY_ENERGY!E80</f>
        <v>1.0166240000000073</v>
      </c>
      <c r="G74" s="134"/>
      <c r="H74" s="134">
        <f>SHIFT_A!E80</f>
        <v>0.32499200000000883</v>
      </c>
      <c r="I74" s="134">
        <f>SHIFT_B!E80</f>
        <v>0.34153599999999074</v>
      </c>
      <c r="J74" s="134">
        <f>SHIFT_C!E80</f>
        <v>0.35009600000000773</v>
      </c>
      <c r="K74" s="162">
        <f t="shared" si="2"/>
        <v>1.0166240000000073</v>
      </c>
      <c r="L74" s="163">
        <f t="shared" si="3"/>
        <v>0</v>
      </c>
    </row>
    <row r="75" spans="1:134" x14ac:dyDescent="0.25">
      <c r="A75" s="323"/>
      <c r="B75" s="137">
        <v>74</v>
      </c>
      <c r="C75" s="141" t="s">
        <v>302</v>
      </c>
      <c r="D75" s="134">
        <f>DAILY_ENERGY!C91</f>
        <v>0</v>
      </c>
      <c r="E75" s="134">
        <f>DAILY_ENERGY!D91</f>
        <v>0</v>
      </c>
      <c r="F75" s="134">
        <f>DAILY_ENERGY!E91</f>
        <v>0</v>
      </c>
      <c r="G75" s="134"/>
      <c r="H75" s="134">
        <f>SHIFT_A!E91</f>
        <v>0</v>
      </c>
      <c r="I75" s="134">
        <f>SHIFT_B!E91</f>
        <v>0</v>
      </c>
      <c r="J75" s="134">
        <f>SHIFT_C!E91</f>
        <v>0</v>
      </c>
      <c r="K75" s="162">
        <f t="shared" si="2"/>
        <v>0</v>
      </c>
      <c r="L75" s="163">
        <f t="shared" si="3"/>
        <v>0</v>
      </c>
      <c r="O75" s="72"/>
      <c r="P75" s="72"/>
      <c r="S75" s="167"/>
      <c r="U75" s="139"/>
    </row>
    <row r="76" spans="1:134" x14ac:dyDescent="0.25">
      <c r="A76" s="323"/>
      <c r="B76" s="137">
        <v>75</v>
      </c>
      <c r="C76" s="141" t="s">
        <v>337</v>
      </c>
      <c r="D76" s="134">
        <f>DAILY_ENERGY!C126</f>
        <v>4.9919595000000001</v>
      </c>
      <c r="E76" s="134">
        <f>DAILY_ENERGY!D126</f>
        <v>5.3726154999999993</v>
      </c>
      <c r="F76" s="134">
        <f>DAILY_ENERGY!E126</f>
        <v>0.38065599999999922</v>
      </c>
      <c r="G76" s="134"/>
      <c r="H76" s="134">
        <f>SHIFT_A!E126</f>
        <v>0.14043549999999971</v>
      </c>
      <c r="I76" s="134">
        <f>SHIFT_B!E126</f>
        <v>0.13360449999999968</v>
      </c>
      <c r="J76" s="134">
        <f>SHIFT_C!E126</f>
        <v>0.10661599999999982</v>
      </c>
      <c r="K76" s="162">
        <f t="shared" si="2"/>
        <v>0.38065599999999922</v>
      </c>
      <c r="L76" s="163">
        <f t="shared" si="3"/>
        <v>0</v>
      </c>
      <c r="O76" s="72"/>
      <c r="P76" s="72"/>
      <c r="S76" s="167"/>
      <c r="U76" s="139"/>
    </row>
    <row r="77" spans="1:134" x14ac:dyDescent="0.25">
      <c r="A77" s="315" t="s">
        <v>455</v>
      </c>
      <c r="B77" s="137">
        <v>76</v>
      </c>
      <c r="C77" s="139" t="s">
        <v>345</v>
      </c>
      <c r="D77" s="142">
        <f>DAILY_ENERGY!C134</f>
        <v>219.11270399999998</v>
      </c>
      <c r="E77" s="142">
        <f>DAILY_ENERGY!D134</f>
        <v>220.42927999999998</v>
      </c>
      <c r="F77" s="142">
        <f>DAILY_ENERGY!E134</f>
        <v>1.3165759999999977</v>
      </c>
      <c r="G77" s="142"/>
      <c r="H77" s="142">
        <f>SHIFT_A!E134</f>
        <v>0.48604800000001092</v>
      </c>
      <c r="I77" s="142">
        <f>SHIFT_B!E134</f>
        <v>0.49950400000000172</v>
      </c>
      <c r="J77" s="142">
        <f>SHIFT_C!E134</f>
        <v>0.33102399999998511</v>
      </c>
      <c r="K77" s="162">
        <f t="shared" si="2"/>
        <v>1.3165759999999977</v>
      </c>
      <c r="L77" s="163">
        <f t="shared" si="3"/>
        <v>0</v>
      </c>
      <c r="O77" s="72"/>
      <c r="P77" s="72"/>
      <c r="S77" s="167"/>
      <c r="U77" s="139"/>
    </row>
    <row r="78" spans="1:134" x14ac:dyDescent="0.25">
      <c r="A78" s="315"/>
      <c r="B78" s="137">
        <v>77</v>
      </c>
      <c r="C78" s="139" t="s">
        <v>346</v>
      </c>
      <c r="D78" s="142">
        <f>DAILY_ENERGY!C135</f>
        <v>184.89552</v>
      </c>
      <c r="E78" s="142">
        <f>DAILY_ENERGY!D135</f>
        <v>185.63187199999999</v>
      </c>
      <c r="F78" s="142">
        <f>DAILY_ENERGY!E135</f>
        <v>0.73635199999998235</v>
      </c>
      <c r="G78" s="142"/>
      <c r="H78" s="142">
        <f>SHIFT_A!E135</f>
        <v>0.23972799999998529</v>
      </c>
      <c r="I78" s="142">
        <f>SHIFT_B!E135</f>
        <v>0.24628799999999273</v>
      </c>
      <c r="J78" s="142">
        <f>SHIFT_C!E135</f>
        <v>0.25033600000000433</v>
      </c>
      <c r="K78" s="162">
        <f t="shared" si="2"/>
        <v>0.73635199999998235</v>
      </c>
      <c r="L78" s="163">
        <f t="shared" si="3"/>
        <v>0</v>
      </c>
      <c r="O78" s="72"/>
      <c r="P78" s="72"/>
      <c r="S78" s="167"/>
      <c r="U78" s="139"/>
    </row>
    <row r="79" spans="1:134" ht="14.5" customHeight="1" x14ac:dyDescent="0.25">
      <c r="A79" s="315"/>
      <c r="B79" s="137">
        <v>78</v>
      </c>
      <c r="C79" s="139" t="s">
        <v>308</v>
      </c>
      <c r="D79" s="142">
        <f>DAILY_ENERGY!C97</f>
        <v>0.36067371874999998</v>
      </c>
      <c r="E79" s="142">
        <f>DAILY_ENERGY!D97</f>
        <v>0.36067371874999998</v>
      </c>
      <c r="F79" s="142">
        <f>DAILY_ENERGY!E97</f>
        <v>0</v>
      </c>
      <c r="G79" s="142"/>
      <c r="H79" s="142">
        <f>SHIFT_A!E97</f>
        <v>0</v>
      </c>
      <c r="I79" s="142">
        <f>SHIFT_B!E97</f>
        <v>0</v>
      </c>
      <c r="J79" s="142">
        <f>SHIFT_C!E97</f>
        <v>0</v>
      </c>
      <c r="K79" s="162">
        <f t="shared" si="2"/>
        <v>0</v>
      </c>
      <c r="L79" s="163">
        <f t="shared" si="3"/>
        <v>0</v>
      </c>
      <c r="M79" s="93"/>
      <c r="N79" s="93"/>
      <c r="O79" s="72"/>
      <c r="P79" s="72"/>
      <c r="Q79" s="93"/>
      <c r="S79" s="167"/>
      <c r="U79" s="139"/>
    </row>
    <row r="80" spans="1:134" x14ac:dyDescent="0.25">
      <c r="A80" s="315"/>
      <c r="B80" s="137">
        <v>79</v>
      </c>
      <c r="C80" s="139" t="s">
        <v>323</v>
      </c>
      <c r="D80" s="142">
        <f>DAILY_ENERGY!C112</f>
        <v>2.032216875</v>
      </c>
      <c r="E80" s="142">
        <f>DAILY_ENERGY!D112</f>
        <v>2.032216875</v>
      </c>
      <c r="F80" s="142">
        <f>DAILY_ENERGY!E112</f>
        <v>0</v>
      </c>
      <c r="G80" s="142"/>
      <c r="H80" s="142">
        <f>SHIFT_A!E112</f>
        <v>0</v>
      </c>
      <c r="I80" s="142">
        <f>SHIFT_B!E112</f>
        <v>0</v>
      </c>
      <c r="J80" s="142">
        <f>SHIFT_C!E112</f>
        <v>0</v>
      </c>
      <c r="K80" s="162">
        <f t="shared" si="2"/>
        <v>0</v>
      </c>
      <c r="L80" s="163">
        <f t="shared" si="3"/>
        <v>0</v>
      </c>
      <c r="P80" s="72"/>
      <c r="S80" s="167"/>
      <c r="U80" s="139"/>
    </row>
    <row r="81" spans="1:21" x14ac:dyDescent="0.25">
      <c r="A81" s="316" t="s">
        <v>454</v>
      </c>
      <c r="B81" s="137">
        <v>80</v>
      </c>
      <c r="C81" s="141" t="s">
        <v>327</v>
      </c>
      <c r="D81" s="134">
        <f>DAILY_ENERGY!C116</f>
        <v>0</v>
      </c>
      <c r="E81" s="134">
        <f>DAILY_ENERGY!D116</f>
        <v>0</v>
      </c>
      <c r="F81" s="134">
        <f>DAILY_ENERGY!E116</f>
        <v>0</v>
      </c>
      <c r="G81" s="134"/>
      <c r="H81" s="134">
        <f>SHIFT_A!E116</f>
        <v>0</v>
      </c>
      <c r="I81" s="134">
        <f>SHIFT_B!E116</f>
        <v>0</v>
      </c>
      <c r="J81" s="134">
        <f>SHIFT_C!E116</f>
        <v>0</v>
      </c>
      <c r="K81" s="162">
        <f t="shared" si="2"/>
        <v>0</v>
      </c>
      <c r="L81" s="163">
        <f t="shared" si="3"/>
        <v>0</v>
      </c>
      <c r="P81" s="72"/>
      <c r="S81" s="167"/>
      <c r="U81" s="141"/>
    </row>
    <row r="82" spans="1:21" x14ac:dyDescent="0.25">
      <c r="A82" s="317"/>
      <c r="B82" s="137">
        <v>81</v>
      </c>
      <c r="C82" s="141" t="s">
        <v>333</v>
      </c>
      <c r="D82" s="134">
        <f>DAILY_ENERGY!C122</f>
        <v>8.1725744999999996</v>
      </c>
      <c r="E82" s="134">
        <f>DAILY_ENERGY!D122</f>
        <v>8.2162880000000005</v>
      </c>
      <c r="F82" s="134">
        <f>DAILY_ENERGY!E122</f>
        <v>4.3713500000000849E-2</v>
      </c>
      <c r="G82" s="134"/>
      <c r="H82" s="134">
        <f>SHIFT_A!E122</f>
        <v>2.0478000000000662E-2</v>
      </c>
      <c r="I82" s="134">
        <f>SHIFT_B!E122</f>
        <v>1.6411999999998983E-2</v>
      </c>
      <c r="J82" s="134">
        <f>SHIFT_C!E122</f>
        <v>6.8235000000012036E-3</v>
      </c>
      <c r="K82" s="162">
        <f t="shared" si="2"/>
        <v>4.3713500000000849E-2</v>
      </c>
      <c r="L82" s="163">
        <f t="shared" si="3"/>
        <v>0</v>
      </c>
      <c r="P82" s="72"/>
      <c r="S82" s="167"/>
      <c r="U82" s="141"/>
    </row>
    <row r="83" spans="1:21" x14ac:dyDescent="0.25">
      <c r="A83" s="317"/>
      <c r="B83" s="137">
        <v>82</v>
      </c>
      <c r="C83" s="141" t="s">
        <v>282</v>
      </c>
      <c r="D83" s="134">
        <f>DAILY_ENERGY!C71</f>
        <v>0</v>
      </c>
      <c r="E83" s="134">
        <f>DAILY_ENERGY!D71</f>
        <v>0</v>
      </c>
      <c r="F83" s="134">
        <f>DAILY_ENERGY!E71</f>
        <v>0</v>
      </c>
      <c r="G83" s="134"/>
      <c r="H83" s="134">
        <f>SHIFT_A!E71</f>
        <v>0</v>
      </c>
      <c r="I83" s="134">
        <f>SHIFT_B!E71</f>
        <v>0</v>
      </c>
      <c r="J83" s="134">
        <f>SHIFT_C!E71</f>
        <v>0</v>
      </c>
      <c r="K83" s="162">
        <f t="shared" si="2"/>
        <v>0</v>
      </c>
      <c r="L83" s="163">
        <f t="shared" si="3"/>
        <v>0</v>
      </c>
      <c r="P83" s="72"/>
      <c r="S83" s="167"/>
      <c r="U83" s="141"/>
    </row>
    <row r="84" spans="1:21" x14ac:dyDescent="0.25">
      <c r="A84" s="317"/>
      <c r="B84" s="137">
        <v>83</v>
      </c>
      <c r="C84" s="141" t="s">
        <v>290</v>
      </c>
      <c r="D84" s="134">
        <f>DAILY_ENERGY!C79</f>
        <v>1.4891672499999999</v>
      </c>
      <c r="E84" s="134">
        <f>DAILY_ENERGY!D79</f>
        <v>1.4891672499999999</v>
      </c>
      <c r="F84" s="134">
        <f>DAILY_ENERGY!E79</f>
        <v>0</v>
      </c>
      <c r="G84" s="134"/>
      <c r="H84" s="134">
        <f>SHIFT_A!E79</f>
        <v>0</v>
      </c>
      <c r="I84" s="134">
        <f>SHIFT_B!E79</f>
        <v>0</v>
      </c>
      <c r="J84" s="134">
        <f>SHIFT_C!E79</f>
        <v>0</v>
      </c>
      <c r="K84" s="162">
        <f t="shared" si="2"/>
        <v>0</v>
      </c>
      <c r="L84" s="163">
        <f t="shared" si="3"/>
        <v>0</v>
      </c>
      <c r="P84" s="72"/>
      <c r="S84" s="167"/>
      <c r="U84" s="141"/>
    </row>
    <row r="85" spans="1:21" x14ac:dyDescent="0.25">
      <c r="A85" s="317"/>
      <c r="B85" s="137">
        <v>84</v>
      </c>
      <c r="C85" s="141" t="s">
        <v>338</v>
      </c>
      <c r="D85" s="134">
        <f>DAILY_ENERGY!C127</f>
        <v>13.67887</v>
      </c>
      <c r="E85" s="134">
        <f>DAILY_ENERGY!D127</f>
        <v>13.679359</v>
      </c>
      <c r="F85" s="134">
        <f>DAILY_ENERGY!E127</f>
        <v>4.8899999999996169E-4</v>
      </c>
      <c r="G85" s="134"/>
      <c r="H85" s="134">
        <f>SHIFT_A!E127</f>
        <v>1.029999999992981E-4</v>
      </c>
      <c r="I85" s="134">
        <f>SHIFT_B!E127</f>
        <v>0</v>
      </c>
      <c r="J85" s="134">
        <f>SHIFT_C!E127</f>
        <v>3.8600000000066359E-4</v>
      </c>
      <c r="K85" s="162">
        <f t="shared" si="2"/>
        <v>4.8899999999996169E-4</v>
      </c>
      <c r="L85" s="163">
        <f t="shared" si="3"/>
        <v>0</v>
      </c>
      <c r="O85" s="72"/>
      <c r="P85" s="72"/>
      <c r="S85" s="167"/>
      <c r="U85" s="141"/>
    </row>
    <row r="86" spans="1:21" x14ac:dyDescent="0.25">
      <c r="A86" s="317"/>
      <c r="B86" s="137">
        <v>85</v>
      </c>
      <c r="C86" s="141" t="s">
        <v>334</v>
      </c>
      <c r="D86" s="134">
        <f>DAILY_ENERGY!C123</f>
        <v>4.632733</v>
      </c>
      <c r="E86" s="134">
        <f>DAILY_ENERGY!D123</f>
        <v>4.632733</v>
      </c>
      <c r="F86" s="134">
        <f>DAILY_ENERGY!E123</f>
        <v>0</v>
      </c>
      <c r="G86" s="134"/>
      <c r="H86" s="134">
        <f>SHIFT_A!E123</f>
        <v>0</v>
      </c>
      <c r="I86" s="134">
        <f>SHIFT_B!E123</f>
        <v>0</v>
      </c>
      <c r="J86" s="134">
        <f>SHIFT_C!E123</f>
        <v>0</v>
      </c>
      <c r="K86" s="162">
        <f t="shared" si="2"/>
        <v>0</v>
      </c>
      <c r="L86" s="163">
        <f t="shared" si="3"/>
        <v>0</v>
      </c>
      <c r="O86" s="72"/>
      <c r="P86" s="72"/>
      <c r="S86" s="167"/>
      <c r="U86" s="141"/>
    </row>
    <row r="87" spans="1:21" x14ac:dyDescent="0.25">
      <c r="A87" s="317"/>
      <c r="B87" s="137">
        <v>86</v>
      </c>
      <c r="C87" s="141" t="s">
        <v>344</v>
      </c>
      <c r="D87" s="134">
        <f>DAILY_ENERGY!C133</f>
        <v>1.40665825</v>
      </c>
      <c r="E87" s="134">
        <f>DAILY_ENERGY!D133</f>
        <v>1.40665825</v>
      </c>
      <c r="F87" s="134">
        <f>DAILY_ENERGY!E133</f>
        <v>0</v>
      </c>
      <c r="G87" s="134"/>
      <c r="H87" s="134">
        <f>SHIFT_A!E133</f>
        <v>0</v>
      </c>
      <c r="I87" s="134">
        <f>SHIFT_B!E133</f>
        <v>0</v>
      </c>
      <c r="J87" s="134">
        <f>SHIFT_C!E133</f>
        <v>0</v>
      </c>
      <c r="K87" s="162">
        <f t="shared" si="2"/>
        <v>0</v>
      </c>
      <c r="L87" s="163">
        <f t="shared" si="3"/>
        <v>0</v>
      </c>
      <c r="O87" s="72"/>
      <c r="P87" s="72"/>
      <c r="S87" s="167"/>
      <c r="U87" s="139"/>
    </row>
    <row r="88" spans="1:21" x14ac:dyDescent="0.25">
      <c r="A88" s="317"/>
      <c r="B88" s="137">
        <v>87</v>
      </c>
      <c r="C88" s="141" t="s">
        <v>332</v>
      </c>
      <c r="D88" s="134">
        <f>DAILY_ENERGY!C121</f>
        <v>185.373152</v>
      </c>
      <c r="E88" s="134">
        <f>DAILY_ENERGY!D121</f>
        <v>185.523584</v>
      </c>
      <c r="F88" s="134">
        <f>DAILY_ENERGY!E121</f>
        <v>0.15043199999999501</v>
      </c>
      <c r="G88" s="134"/>
      <c r="H88" s="134">
        <f>SHIFT_A!E121</f>
        <v>7.6911999999992986E-2</v>
      </c>
      <c r="I88" s="134">
        <f>SHIFT_B!E121</f>
        <v>3.8367999999991298E-2</v>
      </c>
      <c r="J88" s="134">
        <f>SHIFT_C!E121</f>
        <v>3.515200000001073E-2</v>
      </c>
      <c r="K88" s="162">
        <f t="shared" si="2"/>
        <v>0.15043199999999501</v>
      </c>
      <c r="L88" s="163">
        <f t="shared" si="3"/>
        <v>0</v>
      </c>
      <c r="O88" s="72"/>
      <c r="P88" s="72"/>
      <c r="S88" s="167"/>
      <c r="U88" s="139"/>
    </row>
    <row r="89" spans="1:21" x14ac:dyDescent="0.25">
      <c r="A89" s="317"/>
      <c r="B89" s="137">
        <v>88</v>
      </c>
      <c r="C89" s="141" t="s">
        <v>341</v>
      </c>
      <c r="D89" s="134">
        <f>DAILY_ENERGY!C130</f>
        <v>10.221974999999999</v>
      </c>
      <c r="E89" s="134">
        <f>DAILY_ENERGY!D130</f>
        <v>10.30847</v>
      </c>
      <c r="F89" s="134">
        <f>DAILY_ENERGY!E130</f>
        <v>8.6495000000001099E-2</v>
      </c>
      <c r="G89" s="134"/>
      <c r="H89" s="134">
        <f>SHIFT_A!E130</f>
        <v>2.9847000000000179E-2</v>
      </c>
      <c r="I89" s="134">
        <f>SHIFT_B!E130</f>
        <v>2.8237000000000734E-2</v>
      </c>
      <c r="J89" s="134">
        <f>SHIFT_C!E130</f>
        <v>2.8411000000000186E-2</v>
      </c>
      <c r="K89" s="162">
        <f t="shared" si="2"/>
        <v>8.6495000000001099E-2</v>
      </c>
      <c r="L89" s="163">
        <f t="shared" si="3"/>
        <v>0</v>
      </c>
      <c r="O89" s="72"/>
      <c r="P89" s="72"/>
      <c r="S89" s="167"/>
      <c r="U89" s="139"/>
    </row>
    <row r="90" spans="1:21" x14ac:dyDescent="0.25">
      <c r="A90" s="317"/>
      <c r="B90" s="137">
        <v>89</v>
      </c>
      <c r="C90" s="141" t="s">
        <v>342</v>
      </c>
      <c r="D90" s="134">
        <f>DAILY_ENERGY!C131</f>
        <v>0.61625581249999994</v>
      </c>
      <c r="E90" s="134">
        <f>DAILY_ENERGY!D131</f>
        <v>0.62295806249999996</v>
      </c>
      <c r="F90" s="134">
        <f>DAILY_ENERGY!E131</f>
        <v>6.7022500000000207E-3</v>
      </c>
      <c r="G90" s="134"/>
      <c r="H90" s="134">
        <f>SHIFT_A!E131</f>
        <v>1.9403749999999942E-3</v>
      </c>
      <c r="I90" s="134">
        <f>SHIFT_B!E131</f>
        <v>1.7136875000000051E-3</v>
      </c>
      <c r="J90" s="134">
        <f>SHIFT_C!E131</f>
        <v>3.0481875000000214E-3</v>
      </c>
      <c r="K90" s="162">
        <f t="shared" si="2"/>
        <v>6.7022500000000207E-3</v>
      </c>
      <c r="L90" s="163">
        <f t="shared" si="3"/>
        <v>0</v>
      </c>
      <c r="O90" s="72"/>
      <c r="P90" s="72"/>
      <c r="S90" s="167"/>
      <c r="U90" s="139"/>
    </row>
    <row r="91" spans="1:21" x14ac:dyDescent="0.25">
      <c r="A91" s="317"/>
      <c r="B91" s="137">
        <v>90</v>
      </c>
      <c r="C91" s="141" t="s">
        <v>343</v>
      </c>
      <c r="D91" s="134">
        <f>DAILY_ENERGY!C132</f>
        <v>27.819516</v>
      </c>
      <c r="E91" s="134">
        <f>DAILY_ENERGY!D132</f>
        <v>27.923331999999998</v>
      </c>
      <c r="F91" s="134">
        <f>DAILY_ENERGY!E132</f>
        <v>0.10381599999999835</v>
      </c>
      <c r="G91" s="134"/>
      <c r="H91" s="134">
        <f>SHIFT_A!E132</f>
        <v>3.3571999999999491E-2</v>
      </c>
      <c r="I91" s="134">
        <f>SHIFT_B!E132</f>
        <v>3.605800000000059E-2</v>
      </c>
      <c r="J91" s="134">
        <f>SHIFT_C!E132</f>
        <v>3.4185999999998273E-2</v>
      </c>
      <c r="K91" s="162">
        <f t="shared" si="2"/>
        <v>0.10381599999999835</v>
      </c>
      <c r="L91" s="163">
        <f t="shared" si="3"/>
        <v>0</v>
      </c>
      <c r="O91" s="72"/>
      <c r="P91" s="72"/>
      <c r="S91" s="167"/>
      <c r="U91" s="141"/>
    </row>
    <row r="92" spans="1:21" x14ac:dyDescent="0.25">
      <c r="A92" s="317"/>
      <c r="B92" s="137">
        <v>91</v>
      </c>
      <c r="C92" s="141" t="s">
        <v>347</v>
      </c>
      <c r="D92" s="134">
        <f>DAILY_ENERGY!C136</f>
        <v>3.1396029999999997</v>
      </c>
      <c r="E92" s="134">
        <f>DAILY_ENERGY!D136</f>
        <v>3.182331</v>
      </c>
      <c r="F92" s="134">
        <f>DAILY_ENERGY!E136</f>
        <v>4.2728000000000321E-2</v>
      </c>
      <c r="G92" s="134"/>
      <c r="H92" s="134">
        <f>SHIFT_A!E136</f>
        <v>3.4561000000000064E-2</v>
      </c>
      <c r="I92" s="134">
        <f>SHIFT_B!E136</f>
        <v>2.0904999999999951E-3</v>
      </c>
      <c r="J92" s="134">
        <f>SHIFT_C!E136</f>
        <v>6.0765000000002622E-3</v>
      </c>
      <c r="K92" s="162">
        <f t="shared" si="2"/>
        <v>4.2728000000000321E-2</v>
      </c>
      <c r="L92" s="163">
        <f t="shared" si="3"/>
        <v>0</v>
      </c>
      <c r="O92" s="72"/>
      <c r="P92" s="72"/>
      <c r="S92" s="167"/>
      <c r="U92" s="141"/>
    </row>
    <row r="93" spans="1:21" x14ac:dyDescent="0.25">
      <c r="A93" s="317"/>
      <c r="B93" s="137">
        <v>92</v>
      </c>
      <c r="C93" s="141" t="s">
        <v>339</v>
      </c>
      <c r="D93" s="134">
        <f>DAILY_ENERGY!C128</f>
        <v>2.9275772499999997</v>
      </c>
      <c r="E93" s="134">
        <f>DAILY_ENERGY!D128</f>
        <v>2.9387684999999997</v>
      </c>
      <c r="F93" s="134">
        <f>DAILY_ENERGY!E128</f>
        <v>1.1191249999999986E-2</v>
      </c>
      <c r="G93" s="134"/>
      <c r="H93" s="134">
        <f>SHIFT_A!E128</f>
        <v>3.9517500000001426E-3</v>
      </c>
      <c r="I93" s="134">
        <f>SHIFT_B!E128</f>
        <v>4.2719999999998315E-3</v>
      </c>
      <c r="J93" s="134">
        <f>SHIFT_C!E128</f>
        <v>2.9675000000000118E-3</v>
      </c>
      <c r="K93" s="162">
        <f t="shared" si="2"/>
        <v>1.1191249999999986E-2</v>
      </c>
      <c r="L93" s="163">
        <f t="shared" si="3"/>
        <v>0</v>
      </c>
      <c r="O93" s="72"/>
      <c r="P93" s="72"/>
      <c r="S93" s="167"/>
      <c r="U93" s="141"/>
    </row>
    <row r="94" spans="1:21" x14ac:dyDescent="0.25">
      <c r="A94" s="317"/>
      <c r="B94" s="137">
        <v>93</v>
      </c>
      <c r="C94" s="141" t="s">
        <v>311</v>
      </c>
      <c r="D94" s="134">
        <f>DAILY_ENERGY!C100</f>
        <v>69.738303999999999</v>
      </c>
      <c r="E94" s="134">
        <f>DAILY_ENERGY!D100</f>
        <v>69.936447999999999</v>
      </c>
      <c r="F94" s="134">
        <f>DAILY_ENERGY!E100</f>
        <v>0.19814399999999921</v>
      </c>
      <c r="G94" s="134"/>
      <c r="H94" s="134">
        <f>SHIFT_A!E100</f>
        <v>0.1129359999999906</v>
      </c>
      <c r="I94" s="134">
        <f>SHIFT_B!E100</f>
        <v>2.8800000000046566E-3</v>
      </c>
      <c r="J94" s="134">
        <f>SHIFT_C!E100</f>
        <v>8.2328000000003954E-2</v>
      </c>
      <c r="K94" s="162">
        <f t="shared" si="2"/>
        <v>0.19814399999999921</v>
      </c>
      <c r="L94" s="163">
        <f t="shared" si="3"/>
        <v>0</v>
      </c>
      <c r="O94" s="72"/>
      <c r="P94" s="72"/>
      <c r="S94" s="167"/>
      <c r="U94" s="141"/>
    </row>
    <row r="95" spans="1:21" x14ac:dyDescent="0.25">
      <c r="A95" s="318"/>
      <c r="B95" s="137">
        <v>94</v>
      </c>
      <c r="C95" s="141" t="s">
        <v>331</v>
      </c>
      <c r="D95" s="136">
        <f>DAILY_ENERGY!C120</f>
        <v>0.85941574999999992</v>
      </c>
      <c r="E95" s="136">
        <f>DAILY_ENERGY!D120</f>
        <v>0.85973650000000001</v>
      </c>
      <c r="F95" s="136">
        <f>DAILY_ENERGY!E120</f>
        <v>3.207500000000918E-4</v>
      </c>
      <c r="G95" s="136"/>
      <c r="H95" s="136">
        <f>SHIFT_A!E120</f>
        <v>3.207500000000918E-4</v>
      </c>
      <c r="I95" s="136">
        <f>SHIFT_B!E120</f>
        <v>0</v>
      </c>
      <c r="J95" s="136">
        <f>SHIFT_C!E120</f>
        <v>0</v>
      </c>
      <c r="K95" s="162">
        <f t="shared" si="2"/>
        <v>3.207500000000918E-4</v>
      </c>
      <c r="L95" s="163">
        <f t="shared" si="3"/>
        <v>0</v>
      </c>
      <c r="O95" s="72"/>
      <c r="P95" s="72"/>
      <c r="S95" s="167"/>
      <c r="U95" s="141"/>
    </row>
    <row r="96" spans="1:21" x14ac:dyDescent="0.25">
      <c r="A96" s="315" t="s">
        <v>656</v>
      </c>
      <c r="B96" s="137">
        <v>95</v>
      </c>
      <c r="C96" s="140" t="s">
        <v>265</v>
      </c>
      <c r="D96" s="142">
        <f>DAILY_ENERGY!C54</f>
        <v>5.3502289999999997</v>
      </c>
      <c r="E96" s="142">
        <f>DAILY_ENERGY!D54</f>
        <v>5.3502324999999997</v>
      </c>
      <c r="F96" s="142">
        <f>DAILY_ENERGY!E54</f>
        <v>3.5000000000451337E-6</v>
      </c>
      <c r="G96" s="142"/>
      <c r="H96" s="142">
        <f>SHIFT_A!E54</f>
        <v>0</v>
      </c>
      <c r="I96" s="142">
        <f>SHIFT_B!E54</f>
        <v>1.000000000139778E-6</v>
      </c>
      <c r="J96" s="142">
        <f>SHIFT_C!E54</f>
        <v>2.4999999999053557E-6</v>
      </c>
      <c r="K96" s="162">
        <f t="shared" si="2"/>
        <v>3.5000000000451337E-6</v>
      </c>
      <c r="L96" s="163">
        <f t="shared" si="3"/>
        <v>0</v>
      </c>
      <c r="O96" s="72"/>
      <c r="P96" s="72"/>
      <c r="S96" s="167"/>
      <c r="U96" s="141"/>
    </row>
    <row r="97" spans="1:21" x14ac:dyDescent="0.25">
      <c r="A97" s="315"/>
      <c r="B97" s="137">
        <v>96</v>
      </c>
      <c r="C97" s="140" t="s">
        <v>269</v>
      </c>
      <c r="D97" s="142">
        <f>DAILY_ENERGY!C58</f>
        <v>7.7605710937500003E-2</v>
      </c>
      <c r="E97" s="142">
        <f>DAILY_ENERGY!D58</f>
        <v>8.1032406249999994E-2</v>
      </c>
      <c r="F97" s="142">
        <f>DAILY_ENERGY!E58</f>
        <v>3.4266953124999916E-3</v>
      </c>
      <c r="G97" s="142"/>
      <c r="H97" s="142">
        <f>SHIFT_A!E58</f>
        <v>1.3496718749999997E-3</v>
      </c>
      <c r="I97" s="142">
        <f>SHIFT_B!E58</f>
        <v>9.7067968749998956E-4</v>
      </c>
      <c r="J97" s="142">
        <f>SHIFT_C!E58</f>
        <v>1.1063437500000023E-3</v>
      </c>
      <c r="K97" s="162">
        <f t="shared" si="2"/>
        <v>3.4266953124999916E-3</v>
      </c>
      <c r="L97" s="163">
        <f t="shared" si="3"/>
        <v>0</v>
      </c>
      <c r="O97" s="72"/>
      <c r="P97" s="72"/>
      <c r="S97" s="167"/>
      <c r="U97" s="141"/>
    </row>
    <row r="98" spans="1:21" x14ac:dyDescent="0.25">
      <c r="A98" s="315"/>
      <c r="B98" s="137">
        <v>97</v>
      </c>
      <c r="C98" s="140" t="s">
        <v>261</v>
      </c>
      <c r="D98" s="142">
        <f>DAILY_ENERGY!C50</f>
        <v>6.6991044999999998</v>
      </c>
      <c r="E98" s="142">
        <f>DAILY_ENERGY!D50</f>
        <v>6.7338819999999995</v>
      </c>
      <c r="F98" s="142">
        <f>DAILY_ENERGY!E50</f>
        <v>3.4777499999999684E-2</v>
      </c>
      <c r="G98" s="142"/>
      <c r="H98" s="142">
        <f>SHIFT_A!E50</f>
        <v>1.1459999999999582E-2</v>
      </c>
      <c r="I98" s="142">
        <f>SHIFT_B!E50</f>
        <v>1.9675499999999957E-2</v>
      </c>
      <c r="J98" s="142">
        <f>SHIFT_C!E50</f>
        <v>3.6420000000001451E-3</v>
      </c>
      <c r="K98" s="162">
        <f t="shared" si="2"/>
        <v>3.4777499999999684E-2</v>
      </c>
      <c r="L98" s="163">
        <f t="shared" si="3"/>
        <v>0</v>
      </c>
      <c r="O98" s="72"/>
      <c r="P98" s="72"/>
      <c r="S98" s="167"/>
      <c r="U98" s="141"/>
    </row>
    <row r="99" spans="1:21" x14ac:dyDescent="0.25">
      <c r="A99" s="315"/>
      <c r="B99" s="137">
        <v>98</v>
      </c>
      <c r="C99" s="139" t="s">
        <v>272</v>
      </c>
      <c r="D99" s="142">
        <f>DAILY_ENERGY!C61</f>
        <v>14.900392999999999</v>
      </c>
      <c r="E99" s="142">
        <f>DAILY_ENERGY!D61</f>
        <v>14.916352999999999</v>
      </c>
      <c r="F99" s="142">
        <f>DAILY_ENERGY!E61</f>
        <v>1.5959999999999752E-2</v>
      </c>
      <c r="G99" s="142"/>
      <c r="H99" s="142">
        <f>SHIFT_A!E61</f>
        <v>8.7449999999993366E-3</v>
      </c>
      <c r="I99" s="142">
        <f>SHIFT_B!E61</f>
        <v>3.4869999999997958E-3</v>
      </c>
      <c r="J99" s="142">
        <f>SHIFT_C!E61</f>
        <v>3.7280000000006197E-3</v>
      </c>
      <c r="K99" s="162">
        <f t="shared" si="2"/>
        <v>1.5959999999999752E-2</v>
      </c>
      <c r="L99" s="163">
        <f t="shared" si="3"/>
        <v>0</v>
      </c>
      <c r="O99" s="72"/>
      <c r="P99" s="72"/>
      <c r="S99" s="167"/>
      <c r="U99" s="141"/>
    </row>
    <row r="100" spans="1:21" x14ac:dyDescent="0.25">
      <c r="A100" s="315"/>
      <c r="B100" s="137">
        <v>99</v>
      </c>
      <c r="C100" s="139" t="s">
        <v>328</v>
      </c>
      <c r="D100" s="142">
        <f>DAILY_ENERGY!C117</f>
        <v>22.675663999999998</v>
      </c>
      <c r="E100" s="142">
        <f>DAILY_ENERGY!D117</f>
        <v>22.742542</v>
      </c>
      <c r="F100" s="142">
        <f>DAILY_ENERGY!E117</f>
        <v>6.6878000000002658E-2</v>
      </c>
      <c r="G100" s="142"/>
      <c r="H100" s="142">
        <f>SHIFT_A!E117</f>
        <v>2.2211999999999676E-2</v>
      </c>
      <c r="I100" s="142">
        <f>SHIFT_B!E117</f>
        <v>2.227800000000002E-2</v>
      </c>
      <c r="J100" s="142">
        <f>SHIFT_C!E117</f>
        <v>2.2388000000002961E-2</v>
      </c>
      <c r="K100" s="162">
        <f t="shared" si="2"/>
        <v>6.6878000000002658E-2</v>
      </c>
      <c r="L100" s="163">
        <f t="shared" si="3"/>
        <v>0</v>
      </c>
      <c r="O100" s="72"/>
      <c r="P100" s="72"/>
      <c r="S100" s="167"/>
      <c r="U100" s="141"/>
    </row>
    <row r="101" spans="1:21" x14ac:dyDescent="0.25">
      <c r="A101" s="315"/>
      <c r="B101" s="137">
        <v>100</v>
      </c>
      <c r="C101" s="139" t="s">
        <v>329</v>
      </c>
      <c r="D101" s="142">
        <f>DAILY_ENERGY!C118</f>
        <v>0.226737546875</v>
      </c>
      <c r="E101" s="142">
        <f>DAILY_ENERGY!D118</f>
        <v>0.24604701562499998</v>
      </c>
      <c r="F101" s="142">
        <f>DAILY_ENERGY!E118</f>
        <v>1.9309468749999975E-2</v>
      </c>
      <c r="G101" s="142"/>
      <c r="H101" s="142">
        <f>SHIFT_A!E118</f>
        <v>8.7838906249999849E-3</v>
      </c>
      <c r="I101" s="142">
        <f>SHIFT_B!E118</f>
        <v>5.7914218750000079E-3</v>
      </c>
      <c r="J101" s="142">
        <f>SHIFT_C!E118</f>
        <v>4.7341562499999823E-3</v>
      </c>
      <c r="K101" s="162">
        <f t="shared" si="2"/>
        <v>1.9309468749999975E-2</v>
      </c>
      <c r="L101" s="163">
        <f t="shared" si="3"/>
        <v>0</v>
      </c>
      <c r="O101" s="72"/>
      <c r="P101" s="72"/>
      <c r="S101" s="167"/>
      <c r="U101" s="141"/>
    </row>
    <row r="102" spans="1:21" x14ac:dyDescent="0.25">
      <c r="A102" s="315"/>
      <c r="B102" s="137">
        <v>101</v>
      </c>
      <c r="C102" s="139" t="s">
        <v>260</v>
      </c>
      <c r="D102" s="142">
        <f>DAILY_ENERGY!C49</f>
        <v>36.699123999999998</v>
      </c>
      <c r="E102" s="142">
        <f>DAILY_ENERGY!D49</f>
        <v>36.761423999999998</v>
      </c>
      <c r="F102" s="142">
        <f>DAILY_ENERGY!E49</f>
        <v>6.2300000000000466E-2</v>
      </c>
      <c r="G102" s="142"/>
      <c r="H102" s="142">
        <f>SHIFT_A!E49</f>
        <v>1.7312000000003991E-2</v>
      </c>
      <c r="I102" s="142">
        <f>SHIFT_B!E49</f>
        <v>2.7895999999998367E-2</v>
      </c>
      <c r="J102" s="142">
        <f>SHIFT_C!E49</f>
        <v>1.7091999999998109E-2</v>
      </c>
      <c r="K102" s="162">
        <f t="shared" si="2"/>
        <v>6.2300000000000466E-2</v>
      </c>
      <c r="L102" s="163">
        <f t="shared" si="3"/>
        <v>0</v>
      </c>
      <c r="O102" s="72"/>
      <c r="P102" s="72"/>
      <c r="S102" s="167"/>
      <c r="U102" s="141"/>
    </row>
    <row r="103" spans="1:21" x14ac:dyDescent="0.25">
      <c r="A103" s="315"/>
      <c r="B103" s="137">
        <v>102</v>
      </c>
      <c r="C103" s="139" t="s">
        <v>330</v>
      </c>
      <c r="D103" s="142">
        <f>DAILY_ENERGY!C119</f>
        <v>11.543201999999999</v>
      </c>
      <c r="E103" s="142">
        <f>DAILY_ENERGY!D119</f>
        <v>11.577218</v>
      </c>
      <c r="F103" s="142">
        <f>DAILY_ENERGY!E119</f>
        <v>3.4016000000001156E-2</v>
      </c>
      <c r="G103" s="142"/>
      <c r="H103" s="142">
        <f>SHIFT_A!E119</f>
        <v>1.3234000000000634E-2</v>
      </c>
      <c r="I103" s="142">
        <f>SHIFT_B!E119</f>
        <v>1.2325000000000585E-2</v>
      </c>
      <c r="J103" s="142">
        <f>SHIFT_C!E119</f>
        <v>8.4569999999999368E-3</v>
      </c>
      <c r="K103" s="162">
        <f t="shared" si="2"/>
        <v>3.4016000000001156E-2</v>
      </c>
      <c r="L103" s="163">
        <f t="shared" si="3"/>
        <v>0</v>
      </c>
      <c r="O103" s="72"/>
      <c r="P103" s="72"/>
      <c r="S103" s="167"/>
      <c r="U103" s="141"/>
    </row>
    <row r="104" spans="1:21" x14ac:dyDescent="0.25">
      <c r="A104" s="315"/>
      <c r="B104" s="137">
        <v>103</v>
      </c>
      <c r="C104" s="139" t="s">
        <v>294</v>
      </c>
      <c r="D104" s="142">
        <f>DAILY_ENERGY!C83</f>
        <v>0</v>
      </c>
      <c r="E104" s="142">
        <f>DAILY_ENERGY!D83</f>
        <v>0</v>
      </c>
      <c r="F104" s="142">
        <f>DAILY_ENERGY!E83</f>
        <v>0</v>
      </c>
      <c r="G104" s="142"/>
      <c r="H104" s="142">
        <f>SHIFT_A!E83</f>
        <v>0</v>
      </c>
      <c r="I104" s="142">
        <f>SHIFT_B!E83</f>
        <v>0</v>
      </c>
      <c r="J104" s="142">
        <f>SHIFT_C!E83</f>
        <v>0</v>
      </c>
      <c r="K104" s="162">
        <f t="shared" si="2"/>
        <v>0</v>
      </c>
      <c r="L104" s="163">
        <f t="shared" si="3"/>
        <v>0</v>
      </c>
      <c r="O104" s="72"/>
      <c r="P104" s="72"/>
      <c r="S104" s="167"/>
      <c r="U104" s="141"/>
    </row>
    <row r="105" spans="1:21" x14ac:dyDescent="0.25">
      <c r="A105" s="315"/>
      <c r="B105" s="137">
        <v>104</v>
      </c>
      <c r="C105" s="139" t="s">
        <v>273</v>
      </c>
      <c r="D105" s="142">
        <f>DAILY_ENERGY!C62</f>
        <v>31.84844</v>
      </c>
      <c r="E105" s="142">
        <f>DAILY_ENERGY!D62</f>
        <v>31.856037999999998</v>
      </c>
      <c r="F105" s="142">
        <f>DAILY_ENERGY!E62</f>
        <v>7.5979999999979952E-3</v>
      </c>
      <c r="G105" s="142"/>
      <c r="H105" s="142">
        <f>SHIFT_A!E62</f>
        <v>0</v>
      </c>
      <c r="I105" s="142">
        <f>SHIFT_B!E62</f>
        <v>2.1999999999984254E-3</v>
      </c>
      <c r="J105" s="142">
        <f>SHIFT_C!E62</f>
        <v>5.3979999999995698E-3</v>
      </c>
      <c r="K105" s="162">
        <f t="shared" si="2"/>
        <v>7.5979999999979952E-3</v>
      </c>
      <c r="L105" s="163">
        <f t="shared" si="3"/>
        <v>0</v>
      </c>
      <c r="O105" s="72"/>
      <c r="P105" s="72"/>
      <c r="S105" s="167"/>
      <c r="U105" s="141"/>
    </row>
    <row r="106" spans="1:21" x14ac:dyDescent="0.25">
      <c r="A106" s="319" t="s">
        <v>657</v>
      </c>
      <c r="B106" s="137">
        <v>105</v>
      </c>
      <c r="C106" s="141" t="s">
        <v>131</v>
      </c>
      <c r="D106" s="134">
        <f>DAILY_ENERGY!C39</f>
        <v>0</v>
      </c>
      <c r="E106" s="134">
        <f>DAILY_ENERGY!D39</f>
        <v>0</v>
      </c>
      <c r="F106" s="134">
        <f>DAILY_ENERGY!E39</f>
        <v>0</v>
      </c>
      <c r="G106" s="134"/>
      <c r="H106" s="134">
        <f>SHIFT_A!E39</f>
        <v>0</v>
      </c>
      <c r="I106" s="134">
        <f>SHIFT_B!E39</f>
        <v>0</v>
      </c>
      <c r="J106" s="134">
        <f>SHIFT_C!E39</f>
        <v>0</v>
      </c>
      <c r="K106" s="162">
        <f t="shared" si="2"/>
        <v>0</v>
      </c>
      <c r="L106" s="163">
        <f t="shared" si="3"/>
        <v>0</v>
      </c>
      <c r="O106" s="72"/>
      <c r="P106" s="72"/>
      <c r="S106" s="167"/>
      <c r="U106" s="140"/>
    </row>
    <row r="107" spans="1:21" x14ac:dyDescent="0.25">
      <c r="A107" s="320"/>
      <c r="B107" s="137">
        <v>106</v>
      </c>
      <c r="C107" s="141" t="s">
        <v>259</v>
      </c>
      <c r="D107" s="134">
        <f>DAILY_ENERGY!C48</f>
        <v>0</v>
      </c>
      <c r="E107" s="134">
        <f>DAILY_ENERGY!D48</f>
        <v>0</v>
      </c>
      <c r="F107" s="134">
        <f>DAILY_ENERGY!E48</f>
        <v>0</v>
      </c>
      <c r="G107" s="134"/>
      <c r="H107" s="134">
        <f>SHIFT_A!E48</f>
        <v>0</v>
      </c>
      <c r="I107" s="134">
        <f>SHIFT_B!E48</f>
        <v>0</v>
      </c>
      <c r="J107" s="134">
        <f>SHIFT_C!E48</f>
        <v>0</v>
      </c>
      <c r="K107" s="162">
        <f t="shared" si="2"/>
        <v>0</v>
      </c>
      <c r="L107" s="163">
        <f t="shared" si="3"/>
        <v>0</v>
      </c>
      <c r="O107" s="72"/>
      <c r="P107" s="72"/>
      <c r="S107" s="167"/>
      <c r="U107" s="140"/>
    </row>
    <row r="108" spans="1:21" x14ac:dyDescent="0.25">
      <c r="A108" s="320"/>
      <c r="B108" s="137">
        <v>107</v>
      </c>
      <c r="C108" s="141" t="s">
        <v>263</v>
      </c>
      <c r="D108" s="134">
        <f>DAILY_ENERGY!C52</f>
        <v>0</v>
      </c>
      <c r="E108" s="134">
        <f>DAILY_ENERGY!D52</f>
        <v>0</v>
      </c>
      <c r="F108" s="134">
        <f>DAILY_ENERGY!E52</f>
        <v>0</v>
      </c>
      <c r="G108" s="134"/>
      <c r="H108" s="134">
        <f>SHIFT_A!E52</f>
        <v>0</v>
      </c>
      <c r="I108" s="134">
        <f>SHIFT_B!E52</f>
        <v>0</v>
      </c>
      <c r="J108" s="134">
        <f>SHIFT_C!E52</f>
        <v>0</v>
      </c>
      <c r="K108" s="162">
        <f t="shared" si="2"/>
        <v>0</v>
      </c>
      <c r="L108" s="163">
        <f t="shared" si="3"/>
        <v>0</v>
      </c>
      <c r="O108" s="72"/>
      <c r="P108" s="72"/>
      <c r="S108" s="167"/>
      <c r="U108" s="140"/>
    </row>
    <row r="109" spans="1:21" x14ac:dyDescent="0.25">
      <c r="A109" s="320"/>
      <c r="B109" s="137">
        <v>108</v>
      </c>
      <c r="C109" s="141" t="s">
        <v>266</v>
      </c>
      <c r="D109" s="134">
        <f>DAILY_ENERGY!C55</f>
        <v>0</v>
      </c>
      <c r="E109" s="134">
        <f>DAILY_ENERGY!D55</f>
        <v>0</v>
      </c>
      <c r="F109" s="134">
        <f>DAILY_ENERGY!E55</f>
        <v>0</v>
      </c>
      <c r="G109" s="134"/>
      <c r="H109" s="134">
        <f>SHIFT_A!E55</f>
        <v>0</v>
      </c>
      <c r="I109" s="134">
        <f>SHIFT_B!E55</f>
        <v>0</v>
      </c>
      <c r="J109" s="134">
        <f>SHIFT_C!E55</f>
        <v>0</v>
      </c>
      <c r="K109" s="162">
        <f t="shared" si="2"/>
        <v>0</v>
      </c>
      <c r="L109" s="163">
        <f t="shared" si="3"/>
        <v>0</v>
      </c>
      <c r="O109" s="72"/>
      <c r="P109" s="72"/>
      <c r="S109" s="167"/>
      <c r="U109" s="139"/>
    </row>
    <row r="110" spans="1:21" x14ac:dyDescent="0.25">
      <c r="A110" s="320"/>
      <c r="B110" s="137">
        <v>109</v>
      </c>
      <c r="C110" s="141" t="s">
        <v>267</v>
      </c>
      <c r="D110" s="134">
        <f>DAILY_ENERGY!C56</f>
        <v>0</v>
      </c>
      <c r="E110" s="134">
        <f>DAILY_ENERGY!D56</f>
        <v>0</v>
      </c>
      <c r="F110" s="134">
        <f>DAILY_ENERGY!E56</f>
        <v>0</v>
      </c>
      <c r="G110" s="134"/>
      <c r="H110" s="134">
        <f>SHIFT_A!E56</f>
        <v>0</v>
      </c>
      <c r="I110" s="134">
        <f>SHIFT_B!E56</f>
        <v>0</v>
      </c>
      <c r="J110" s="134">
        <f>SHIFT_C!E56</f>
        <v>0</v>
      </c>
      <c r="K110" s="162">
        <f t="shared" si="2"/>
        <v>0</v>
      </c>
      <c r="L110" s="163">
        <f t="shared" si="3"/>
        <v>0</v>
      </c>
      <c r="O110" s="72"/>
      <c r="P110" s="72"/>
      <c r="S110" s="167"/>
      <c r="U110" s="139"/>
    </row>
    <row r="111" spans="1:21" x14ac:dyDescent="0.25">
      <c r="A111" s="320"/>
      <c r="B111" s="137">
        <v>110</v>
      </c>
      <c r="C111" s="141" t="s">
        <v>268</v>
      </c>
      <c r="D111" s="134">
        <f>DAILY_ENERGY!C57</f>
        <v>0</v>
      </c>
      <c r="E111" s="134">
        <f>DAILY_ENERGY!D57</f>
        <v>0</v>
      </c>
      <c r="F111" s="134">
        <f>DAILY_ENERGY!E57</f>
        <v>0</v>
      </c>
      <c r="G111" s="134"/>
      <c r="H111" s="134">
        <f>SHIFT_A!E57</f>
        <v>0</v>
      </c>
      <c r="I111" s="134">
        <f>SHIFT_B!E57</f>
        <v>0</v>
      </c>
      <c r="J111" s="134">
        <f>SHIFT_C!E57</f>
        <v>0</v>
      </c>
      <c r="K111" s="162">
        <f t="shared" si="2"/>
        <v>0</v>
      </c>
      <c r="L111" s="163">
        <f t="shared" si="3"/>
        <v>0</v>
      </c>
      <c r="O111" s="72"/>
      <c r="P111" s="72"/>
      <c r="S111" s="167"/>
      <c r="U111" s="139"/>
    </row>
    <row r="112" spans="1:21" x14ac:dyDescent="0.25">
      <c r="A112" s="320"/>
      <c r="B112" s="137">
        <v>111</v>
      </c>
      <c r="C112" s="141" t="s">
        <v>271</v>
      </c>
      <c r="D112" s="134">
        <f>DAILY_ENERGY!C60</f>
        <v>0</v>
      </c>
      <c r="E112" s="134">
        <f>DAILY_ENERGY!D60</f>
        <v>0</v>
      </c>
      <c r="F112" s="134">
        <f>DAILY_ENERGY!E60</f>
        <v>0</v>
      </c>
      <c r="G112" s="134"/>
      <c r="H112" s="134">
        <f>SHIFT_A!E60</f>
        <v>0</v>
      </c>
      <c r="I112" s="134">
        <f>SHIFT_B!E60</f>
        <v>0</v>
      </c>
      <c r="J112" s="134">
        <f>SHIFT_C!E60</f>
        <v>0</v>
      </c>
      <c r="K112" s="162">
        <f t="shared" si="2"/>
        <v>0</v>
      </c>
      <c r="L112" s="163">
        <f t="shared" si="3"/>
        <v>0</v>
      </c>
      <c r="O112" s="72"/>
      <c r="P112" s="72"/>
      <c r="S112" s="167"/>
      <c r="U112" s="139"/>
    </row>
    <row r="113" spans="1:21" x14ac:dyDescent="0.25">
      <c r="A113" s="320"/>
      <c r="B113" s="137">
        <v>112</v>
      </c>
      <c r="C113" s="141" t="s">
        <v>279</v>
      </c>
      <c r="D113" s="134">
        <f>DAILY_ENERGY!C68</f>
        <v>0</v>
      </c>
      <c r="E113" s="134">
        <f>DAILY_ENERGY!D68</f>
        <v>0</v>
      </c>
      <c r="F113" s="134">
        <f>DAILY_ENERGY!E68</f>
        <v>0</v>
      </c>
      <c r="G113" s="134"/>
      <c r="H113" s="134">
        <f>SHIFT_A!E68</f>
        <v>0</v>
      </c>
      <c r="I113" s="134">
        <f>SHIFT_B!E68</f>
        <v>0</v>
      </c>
      <c r="J113" s="134">
        <f>SHIFT_C!E68</f>
        <v>0</v>
      </c>
      <c r="K113" s="162">
        <f t="shared" si="2"/>
        <v>0</v>
      </c>
      <c r="L113" s="163">
        <f t="shared" si="3"/>
        <v>0</v>
      </c>
      <c r="O113" s="72"/>
      <c r="P113" s="72"/>
      <c r="S113" s="167"/>
      <c r="U113" s="139"/>
    </row>
    <row r="114" spans="1:21" x14ac:dyDescent="0.25">
      <c r="A114" s="320"/>
      <c r="B114" s="137">
        <v>113</v>
      </c>
      <c r="C114" s="141" t="s">
        <v>295</v>
      </c>
      <c r="D114" s="134">
        <f>DAILY_ENERGY!C84</f>
        <v>0</v>
      </c>
      <c r="E114" s="134">
        <f>DAILY_ENERGY!D84</f>
        <v>0</v>
      </c>
      <c r="F114" s="134">
        <f>DAILY_ENERGY!E84</f>
        <v>0</v>
      </c>
      <c r="G114" s="134"/>
      <c r="H114" s="134">
        <f>SHIFT_A!E84</f>
        <v>0</v>
      </c>
      <c r="I114" s="134">
        <f>SHIFT_B!E84</f>
        <v>0</v>
      </c>
      <c r="J114" s="134">
        <f>SHIFT_C!E84</f>
        <v>0</v>
      </c>
      <c r="K114" s="162">
        <f t="shared" si="2"/>
        <v>0</v>
      </c>
      <c r="L114" s="163">
        <f t="shared" si="3"/>
        <v>0</v>
      </c>
      <c r="O114" s="72"/>
      <c r="P114" s="72"/>
      <c r="S114" s="167"/>
      <c r="U114" s="139"/>
    </row>
    <row r="115" spans="1:21" x14ac:dyDescent="0.25">
      <c r="A115" s="320"/>
      <c r="B115" s="137">
        <v>114</v>
      </c>
      <c r="C115" s="141" t="s">
        <v>296</v>
      </c>
      <c r="D115" s="134">
        <f>DAILY_ENERGY!C85</f>
        <v>0</v>
      </c>
      <c r="E115" s="134">
        <f>DAILY_ENERGY!D85</f>
        <v>0</v>
      </c>
      <c r="F115" s="134">
        <f>DAILY_ENERGY!E85</f>
        <v>0</v>
      </c>
      <c r="G115" s="134"/>
      <c r="H115" s="134">
        <f>SHIFT_A!E85</f>
        <v>0</v>
      </c>
      <c r="I115" s="134">
        <f>SHIFT_B!E85</f>
        <v>0</v>
      </c>
      <c r="J115" s="134">
        <f>SHIFT_C!E85</f>
        <v>0</v>
      </c>
      <c r="K115" s="162">
        <f t="shared" si="2"/>
        <v>0</v>
      </c>
      <c r="L115" s="163">
        <f t="shared" si="3"/>
        <v>0</v>
      </c>
      <c r="O115" s="72"/>
      <c r="P115" s="72"/>
      <c r="S115" s="167"/>
      <c r="U115" s="139"/>
    </row>
    <row r="116" spans="1:21" x14ac:dyDescent="0.25">
      <c r="A116" s="320"/>
      <c r="B116" s="137">
        <v>115</v>
      </c>
      <c r="C116" s="141" t="s">
        <v>301</v>
      </c>
      <c r="D116" s="134">
        <f>DAILY_ENERGY!C90</f>
        <v>0</v>
      </c>
      <c r="E116" s="134">
        <f>DAILY_ENERGY!D90</f>
        <v>0</v>
      </c>
      <c r="F116" s="134">
        <f>DAILY_ENERGY!E90</f>
        <v>0</v>
      </c>
      <c r="G116" s="134"/>
      <c r="H116" s="134">
        <f>SHIFT_A!E90</f>
        <v>0</v>
      </c>
      <c r="I116" s="134">
        <f>SHIFT_B!E90</f>
        <v>0</v>
      </c>
      <c r="J116" s="134">
        <f>SHIFT_C!E90</f>
        <v>0</v>
      </c>
      <c r="K116" s="162">
        <f t="shared" si="2"/>
        <v>0</v>
      </c>
      <c r="L116" s="163">
        <f t="shared" si="3"/>
        <v>0</v>
      </c>
      <c r="O116" s="72"/>
      <c r="P116" s="72"/>
      <c r="S116" s="167"/>
      <c r="U116" s="141"/>
    </row>
    <row r="117" spans="1:21" x14ac:dyDescent="0.25">
      <c r="A117" s="320"/>
      <c r="B117" s="137">
        <v>116</v>
      </c>
      <c r="C117" s="141" t="s">
        <v>307</v>
      </c>
      <c r="D117" s="134">
        <f>DAILY_ENERGY!C96</f>
        <v>0</v>
      </c>
      <c r="E117" s="134">
        <f>DAILY_ENERGY!D96</f>
        <v>0</v>
      </c>
      <c r="F117" s="134">
        <f>DAILY_ENERGY!E96</f>
        <v>0</v>
      </c>
      <c r="G117" s="134"/>
      <c r="H117" s="134">
        <f>SHIFT_A!E96</f>
        <v>0</v>
      </c>
      <c r="I117" s="134">
        <f>SHIFT_B!E96</f>
        <v>0</v>
      </c>
      <c r="J117" s="134">
        <f>SHIFT_C!E96</f>
        <v>0</v>
      </c>
      <c r="K117" s="162">
        <f t="shared" si="2"/>
        <v>0</v>
      </c>
      <c r="L117" s="163">
        <f t="shared" si="3"/>
        <v>0</v>
      </c>
      <c r="O117" s="72"/>
      <c r="P117" s="72"/>
      <c r="S117" s="167"/>
      <c r="U117" s="141"/>
    </row>
    <row r="118" spans="1:21" x14ac:dyDescent="0.25">
      <c r="A118" s="320"/>
      <c r="B118" s="137">
        <v>117</v>
      </c>
      <c r="C118" s="141" t="s">
        <v>310</v>
      </c>
      <c r="D118" s="134">
        <f>DAILY_ENERGY!C99</f>
        <v>0</v>
      </c>
      <c r="E118" s="134">
        <f>DAILY_ENERGY!D99</f>
        <v>0</v>
      </c>
      <c r="F118" s="134">
        <f>DAILY_ENERGY!E99</f>
        <v>0</v>
      </c>
      <c r="G118" s="134"/>
      <c r="H118" s="134">
        <f>SHIFT_A!E99</f>
        <v>0</v>
      </c>
      <c r="I118" s="134">
        <f>SHIFT_B!E99</f>
        <v>0</v>
      </c>
      <c r="J118" s="134">
        <f>SHIFT_C!E99</f>
        <v>0</v>
      </c>
      <c r="K118" s="162">
        <f t="shared" si="2"/>
        <v>0</v>
      </c>
      <c r="L118" s="163">
        <f t="shared" si="3"/>
        <v>0</v>
      </c>
      <c r="O118" s="72"/>
      <c r="P118" s="72"/>
      <c r="S118" s="167"/>
      <c r="U118" s="141"/>
    </row>
    <row r="119" spans="1:21" x14ac:dyDescent="0.25">
      <c r="A119" s="320"/>
      <c r="B119" s="137">
        <v>118</v>
      </c>
      <c r="C119" s="141" t="s">
        <v>312</v>
      </c>
      <c r="D119" s="134">
        <f>DAILY_ENERGY!C101</f>
        <v>0</v>
      </c>
      <c r="E119" s="134">
        <f>DAILY_ENERGY!D101</f>
        <v>0</v>
      </c>
      <c r="F119" s="134">
        <f>DAILY_ENERGY!E101</f>
        <v>0</v>
      </c>
      <c r="G119" s="134"/>
      <c r="H119" s="134">
        <f>SHIFT_A!E101</f>
        <v>0</v>
      </c>
      <c r="I119" s="134">
        <f>SHIFT_B!E101</f>
        <v>0</v>
      </c>
      <c r="J119" s="134">
        <f>SHIFT_C!E101</f>
        <v>0</v>
      </c>
      <c r="K119" s="162">
        <f t="shared" si="2"/>
        <v>0</v>
      </c>
      <c r="L119" s="163">
        <f t="shared" si="3"/>
        <v>0</v>
      </c>
      <c r="O119" s="72"/>
      <c r="P119" s="72"/>
      <c r="S119" s="167"/>
      <c r="U119" s="141"/>
    </row>
    <row r="120" spans="1:21" x14ac:dyDescent="0.25">
      <c r="A120" s="320"/>
      <c r="B120" s="137">
        <v>119</v>
      </c>
      <c r="C120" s="141" t="s">
        <v>350</v>
      </c>
      <c r="D120" s="134">
        <f>DAILY_ENERGY!C139</f>
        <v>0</v>
      </c>
      <c r="E120" s="134">
        <f>DAILY_ENERGY!D139</f>
        <v>0</v>
      </c>
      <c r="F120" s="134">
        <f>DAILY_ENERGY!E139</f>
        <v>0</v>
      </c>
      <c r="G120" s="134"/>
      <c r="H120" s="134">
        <f>SHIFT_A!E139</f>
        <v>0</v>
      </c>
      <c r="I120" s="134">
        <f>SHIFT_B!E139</f>
        <v>0</v>
      </c>
      <c r="J120" s="134">
        <f>SHIFT_C!E139</f>
        <v>0</v>
      </c>
      <c r="K120" s="162">
        <f t="shared" si="2"/>
        <v>0</v>
      </c>
      <c r="L120" s="163">
        <f t="shared" si="3"/>
        <v>0</v>
      </c>
      <c r="O120" s="72"/>
      <c r="P120" s="72"/>
      <c r="S120" s="167"/>
      <c r="U120" s="141"/>
    </row>
    <row r="121" spans="1:21" x14ac:dyDescent="0.25">
      <c r="A121" s="320"/>
      <c r="B121" s="137">
        <v>120</v>
      </c>
      <c r="C121" s="141" t="s">
        <v>360</v>
      </c>
      <c r="D121" s="134">
        <f>DAILY_ENERGY!C149</f>
        <v>0</v>
      </c>
      <c r="E121" s="134">
        <f>DAILY_ENERGY!D149</f>
        <v>0</v>
      </c>
      <c r="F121" s="134">
        <f>DAILY_ENERGY!E149</f>
        <v>0</v>
      </c>
      <c r="G121" s="134"/>
      <c r="H121" s="134">
        <f>SHIFT_A!E149</f>
        <v>0</v>
      </c>
      <c r="I121" s="134">
        <f>SHIFT_B!E149</f>
        <v>0</v>
      </c>
      <c r="J121" s="134">
        <f>SHIFT_C!E149</f>
        <v>0</v>
      </c>
      <c r="K121" s="162">
        <f t="shared" si="2"/>
        <v>0</v>
      </c>
      <c r="L121" s="163">
        <f t="shared" si="3"/>
        <v>0</v>
      </c>
      <c r="O121" s="72"/>
      <c r="P121" s="72"/>
      <c r="S121" s="167"/>
      <c r="U121" s="141"/>
    </row>
    <row r="122" spans="1:21" x14ac:dyDescent="0.25">
      <c r="A122" s="151"/>
      <c r="O122" s="72"/>
      <c r="P122" s="72"/>
      <c r="S122" s="167"/>
      <c r="U122" s="141"/>
    </row>
    <row r="123" spans="1:21" x14ac:dyDescent="0.25">
      <c r="O123" s="72"/>
      <c r="P123" s="72"/>
      <c r="S123" s="167"/>
      <c r="U123" s="141"/>
    </row>
    <row r="124" spans="1:21" x14ac:dyDescent="0.25">
      <c r="O124" s="72"/>
      <c r="P124" s="72"/>
      <c r="S124" s="167"/>
      <c r="U124" s="141"/>
    </row>
    <row r="125" spans="1:21" x14ac:dyDescent="0.25">
      <c r="O125" s="72"/>
      <c r="P125" s="72"/>
      <c r="S125" s="167"/>
      <c r="U125" s="141"/>
    </row>
    <row r="126" spans="1:21" x14ac:dyDescent="0.25">
      <c r="O126" s="72"/>
      <c r="P126" s="72"/>
      <c r="S126" s="167"/>
      <c r="U126" s="141"/>
    </row>
    <row r="127" spans="1:21" x14ac:dyDescent="0.25">
      <c r="O127" s="72"/>
      <c r="P127" s="72"/>
      <c r="S127" s="167"/>
      <c r="U127" s="141"/>
    </row>
    <row r="128" spans="1:21" x14ac:dyDescent="0.25">
      <c r="O128" s="72"/>
      <c r="P128" s="72"/>
      <c r="S128" s="167"/>
      <c r="U128" s="141"/>
    </row>
    <row r="129" spans="15:21" x14ac:dyDescent="0.25">
      <c r="O129" s="72"/>
      <c r="P129" s="72"/>
      <c r="S129" s="167"/>
      <c r="U129" s="141"/>
    </row>
    <row r="130" spans="15:21" x14ac:dyDescent="0.25">
      <c r="S130" s="167"/>
      <c r="U130" s="141"/>
    </row>
    <row r="131" spans="15:21" x14ac:dyDescent="0.25">
      <c r="S131" s="167"/>
      <c r="U131" s="141"/>
    </row>
    <row r="132" spans="15:21" x14ac:dyDescent="0.25">
      <c r="S132" s="167"/>
    </row>
    <row r="133" spans="15:21" x14ac:dyDescent="0.25">
      <c r="S133" s="167"/>
    </row>
    <row r="134" spans="15:21" x14ac:dyDescent="0.25">
      <c r="S134" s="167"/>
    </row>
    <row r="135" spans="15:21" x14ac:dyDescent="0.25">
      <c r="S135" s="167"/>
    </row>
    <row r="136" spans="15:21" x14ac:dyDescent="0.25">
      <c r="S136" s="167"/>
    </row>
    <row r="137" spans="15:21" x14ac:dyDescent="0.25">
      <c r="S137" s="167"/>
    </row>
    <row r="138" spans="15:21" x14ac:dyDescent="0.25">
      <c r="S138" s="167"/>
    </row>
    <row r="139" spans="15:21" x14ac:dyDescent="0.25">
      <c r="S139" s="167"/>
    </row>
    <row r="140" spans="15:21" x14ac:dyDescent="0.25">
      <c r="S140" s="167"/>
    </row>
    <row r="141" spans="15:21" x14ac:dyDescent="0.25">
      <c r="S141" s="167"/>
    </row>
    <row r="142" spans="15:21" x14ac:dyDescent="0.25">
      <c r="S142" s="167"/>
    </row>
    <row r="143" spans="15:21" x14ac:dyDescent="0.25">
      <c r="S143" s="167"/>
    </row>
    <row r="144" spans="15:21" x14ac:dyDescent="0.25">
      <c r="S144" s="167"/>
    </row>
    <row r="145" spans="19:19" x14ac:dyDescent="0.25">
      <c r="S145" s="167"/>
    </row>
    <row r="146" spans="19:19" x14ac:dyDescent="0.25">
      <c r="S146" s="167"/>
    </row>
    <row r="147" spans="19:19" x14ac:dyDescent="0.25">
      <c r="S147" s="167"/>
    </row>
    <row r="148" spans="19:19" x14ac:dyDescent="0.25">
      <c r="S148" s="167"/>
    </row>
    <row r="149" spans="19:19" x14ac:dyDescent="0.25">
      <c r="S149" s="167"/>
    </row>
    <row r="150" spans="19:19" x14ac:dyDescent="0.25">
      <c r="S150" s="167"/>
    </row>
    <row r="151" spans="19:19" x14ac:dyDescent="0.25">
      <c r="S151" s="167"/>
    </row>
    <row r="152" spans="19:19" x14ac:dyDescent="0.25">
      <c r="S152" s="167"/>
    </row>
    <row r="153" spans="19:19" x14ac:dyDescent="0.25">
      <c r="S153" s="167"/>
    </row>
    <row r="154" spans="19:19" x14ac:dyDescent="0.25">
      <c r="S154" s="167"/>
    </row>
    <row r="155" spans="19:19" x14ac:dyDescent="0.25">
      <c r="S155" s="167"/>
    </row>
    <row r="156" spans="19:19" x14ac:dyDescent="0.25">
      <c r="S156" s="167"/>
    </row>
    <row r="157" spans="19:19" x14ac:dyDescent="0.25">
      <c r="S157" s="167"/>
    </row>
    <row r="158" spans="19:19" x14ac:dyDescent="0.25">
      <c r="S158" s="167"/>
    </row>
  </sheetData>
  <mergeCells count="26">
    <mergeCell ref="A81:A95"/>
    <mergeCell ref="A106:A121"/>
    <mergeCell ref="A20:A36"/>
    <mergeCell ref="A37:A40"/>
    <mergeCell ref="A41:A42"/>
    <mergeCell ref="A43:A51"/>
    <mergeCell ref="A96:A105"/>
    <mergeCell ref="A52:A63"/>
    <mergeCell ref="A64:A70"/>
    <mergeCell ref="A71:A76"/>
    <mergeCell ref="A77:A80"/>
    <mergeCell ref="CL2:CO2"/>
    <mergeCell ref="CP2:DD2"/>
    <mergeCell ref="DE2:DN2"/>
    <mergeCell ref="DO2:ED2"/>
    <mergeCell ref="A1:F1"/>
    <mergeCell ref="H1:J1"/>
    <mergeCell ref="BB2:BC2"/>
    <mergeCell ref="BD2:BL2"/>
    <mergeCell ref="BM2:BX2"/>
    <mergeCell ref="BY2:CE2"/>
    <mergeCell ref="CF2:CK2"/>
    <mergeCell ref="O2:AF2"/>
    <mergeCell ref="AG2:AW2"/>
    <mergeCell ref="AX2:BA2"/>
    <mergeCell ref="A2:A19"/>
  </mergeCells>
  <phoneticPr fontId="47" type="noConversion"/>
  <conditionalFormatting sqref="C2:C4">
    <cfRule type="duplicateValues" dxfId="71" priority="134"/>
  </conditionalFormatting>
  <conditionalFormatting sqref="C5:C9">
    <cfRule type="duplicateValues" dxfId="70" priority="135"/>
  </conditionalFormatting>
  <conditionalFormatting sqref="C20">
    <cfRule type="duplicateValues" dxfId="69" priority="128"/>
  </conditionalFormatting>
  <conditionalFormatting sqref="C21:C36">
    <cfRule type="duplicateValues" dxfId="68" priority="139"/>
  </conditionalFormatting>
  <conditionalFormatting sqref="C37:C38 C40">
    <cfRule type="duplicateValues" dxfId="67" priority="133"/>
  </conditionalFormatting>
  <conditionalFormatting sqref="C39">
    <cfRule type="duplicateValues" dxfId="66" priority="117"/>
  </conditionalFormatting>
  <conditionalFormatting sqref="C41:C42">
    <cfRule type="duplicateValues" dxfId="65" priority="132"/>
  </conditionalFormatting>
  <conditionalFormatting sqref="C43:C50">
    <cfRule type="duplicateValues" dxfId="64" priority="131"/>
  </conditionalFormatting>
  <conditionalFormatting sqref="C52 C59 C54:C57 C61:C64">
    <cfRule type="duplicateValues" dxfId="63" priority="138"/>
  </conditionalFormatting>
  <conditionalFormatting sqref="C53">
    <cfRule type="duplicateValues" dxfId="62" priority="121"/>
  </conditionalFormatting>
  <conditionalFormatting sqref="C58">
    <cfRule type="duplicateValues" dxfId="61" priority="122"/>
  </conditionalFormatting>
  <conditionalFormatting sqref="C60">
    <cfRule type="duplicateValues" dxfId="60" priority="120"/>
  </conditionalFormatting>
  <conditionalFormatting sqref="C65">
    <cfRule type="duplicateValues" dxfId="59" priority="125"/>
  </conditionalFormatting>
  <conditionalFormatting sqref="C66:C69">
    <cfRule type="duplicateValues" dxfId="58" priority="114"/>
  </conditionalFormatting>
  <conditionalFormatting sqref="C70">
    <cfRule type="duplicateValues" dxfId="57" priority="123"/>
  </conditionalFormatting>
  <conditionalFormatting sqref="C74">
    <cfRule type="duplicateValues" dxfId="56" priority="126"/>
  </conditionalFormatting>
  <conditionalFormatting sqref="C76:C78 C71:C73">
    <cfRule type="duplicateValues" dxfId="55" priority="140"/>
  </conditionalFormatting>
  <conditionalFormatting sqref="C79:C82">
    <cfRule type="duplicateValues" dxfId="54" priority="136"/>
  </conditionalFormatting>
  <conditionalFormatting sqref="C83:C89 C75">
    <cfRule type="duplicateValues" dxfId="53" priority="130"/>
  </conditionalFormatting>
  <conditionalFormatting sqref="C90">
    <cfRule type="duplicateValues" dxfId="52" priority="119"/>
  </conditionalFormatting>
  <conditionalFormatting sqref="C91:C93">
    <cfRule type="duplicateValues" dxfId="51" priority="118"/>
  </conditionalFormatting>
  <conditionalFormatting sqref="C94">
    <cfRule type="duplicateValues" dxfId="50" priority="124"/>
  </conditionalFormatting>
  <conditionalFormatting sqref="C95">
    <cfRule type="duplicateValues" dxfId="49" priority="113"/>
  </conditionalFormatting>
  <conditionalFormatting sqref="C99">
    <cfRule type="duplicateValues" dxfId="48" priority="129"/>
  </conditionalFormatting>
  <conditionalFormatting sqref="C100:C104">
    <cfRule type="duplicateValues" dxfId="47" priority="137"/>
  </conditionalFormatting>
  <conditionalFormatting sqref="C105">
    <cfRule type="duplicateValues" dxfId="46" priority="127"/>
  </conditionalFormatting>
  <conditionalFormatting sqref="C106">
    <cfRule type="duplicateValues" dxfId="45" priority="115"/>
  </conditionalFormatting>
  <conditionalFormatting sqref="C107:C121">
    <cfRule type="duplicateValues" dxfId="44" priority="116"/>
  </conditionalFormatting>
  <conditionalFormatting sqref="O4:Q4">
    <cfRule type="duplicateValues" dxfId="43" priority="78"/>
  </conditionalFormatting>
  <conditionalFormatting sqref="R4:V4">
    <cfRule type="duplicateValues" dxfId="42" priority="79"/>
  </conditionalFormatting>
  <conditionalFormatting sqref="U75">
    <cfRule type="duplicateValues" dxfId="41" priority="13"/>
  </conditionalFormatting>
  <conditionalFormatting sqref="U76:U79">
    <cfRule type="duplicateValues" dxfId="40" priority="2"/>
  </conditionalFormatting>
  <conditionalFormatting sqref="U80">
    <cfRule type="duplicateValues" dxfId="39" priority="11"/>
  </conditionalFormatting>
  <conditionalFormatting sqref="U84">
    <cfRule type="duplicateValues" dxfId="38" priority="14"/>
  </conditionalFormatting>
  <conditionalFormatting sqref="U86:U88 U81:U83">
    <cfRule type="duplicateValues" dxfId="37" priority="28"/>
  </conditionalFormatting>
  <conditionalFormatting sqref="U89:U92">
    <cfRule type="duplicateValues" dxfId="36" priority="24"/>
  </conditionalFormatting>
  <conditionalFormatting sqref="U93:U99 U85">
    <cfRule type="duplicateValues" dxfId="35" priority="18"/>
  </conditionalFormatting>
  <conditionalFormatting sqref="U100">
    <cfRule type="duplicateValues" dxfId="34" priority="7"/>
  </conditionalFormatting>
  <conditionalFormatting sqref="U101:U103">
    <cfRule type="duplicateValues" dxfId="33" priority="6"/>
  </conditionalFormatting>
  <conditionalFormatting sqref="U104">
    <cfRule type="duplicateValues" dxfId="32" priority="12"/>
  </conditionalFormatting>
  <conditionalFormatting sqref="U105">
    <cfRule type="duplicateValues" dxfId="31" priority="1"/>
  </conditionalFormatting>
  <conditionalFormatting sqref="U109">
    <cfRule type="duplicateValues" dxfId="30" priority="17"/>
  </conditionalFormatting>
  <conditionalFormatting sqref="U110:U114">
    <cfRule type="duplicateValues" dxfId="29" priority="25"/>
  </conditionalFormatting>
  <conditionalFormatting sqref="U115">
    <cfRule type="duplicateValues" dxfId="28" priority="15"/>
  </conditionalFormatting>
  <conditionalFormatting sqref="U116">
    <cfRule type="duplicateValues" dxfId="27" priority="3"/>
  </conditionalFormatting>
  <conditionalFormatting sqref="U117:U131">
    <cfRule type="duplicateValues" dxfId="26" priority="4"/>
  </conditionalFormatting>
  <conditionalFormatting sqref="AG4">
    <cfRule type="duplicateValues" dxfId="25" priority="72"/>
  </conditionalFormatting>
  <conditionalFormatting sqref="AH4:AW4">
    <cfRule type="duplicateValues" dxfId="24" priority="83"/>
  </conditionalFormatting>
  <conditionalFormatting sqref="AX4:AY4 BA4">
    <cfRule type="duplicateValues" dxfId="23" priority="77"/>
  </conditionalFormatting>
  <conditionalFormatting sqref="AZ4">
    <cfRule type="duplicateValues" dxfId="22" priority="61"/>
  </conditionalFormatting>
  <conditionalFormatting sqref="BB4:BC4">
    <cfRule type="duplicateValues" dxfId="21" priority="76"/>
  </conditionalFormatting>
  <conditionalFormatting sqref="BD4:BK4">
    <cfRule type="duplicateValues" dxfId="20" priority="75"/>
  </conditionalFormatting>
  <conditionalFormatting sqref="BM4 BT4 BO4:BR4 BV4:BY4">
    <cfRule type="duplicateValues" dxfId="19" priority="82"/>
  </conditionalFormatting>
  <conditionalFormatting sqref="BN4">
    <cfRule type="duplicateValues" dxfId="18" priority="65"/>
  </conditionalFormatting>
  <conditionalFormatting sqref="BS4">
    <cfRule type="duplicateValues" dxfId="17" priority="66"/>
  </conditionalFormatting>
  <conditionalFormatting sqref="BU4">
    <cfRule type="duplicateValues" dxfId="16" priority="64"/>
  </conditionalFormatting>
  <conditionalFormatting sqref="BZ4">
    <cfRule type="duplicateValues" dxfId="15" priority="69"/>
  </conditionalFormatting>
  <conditionalFormatting sqref="CA4:CD4">
    <cfRule type="duplicateValues" dxfId="14" priority="58"/>
  </conditionalFormatting>
  <conditionalFormatting sqref="CE4">
    <cfRule type="duplicateValues" dxfId="13" priority="67"/>
  </conditionalFormatting>
  <conditionalFormatting sqref="CI4">
    <cfRule type="duplicateValues" dxfId="12" priority="70"/>
  </conditionalFormatting>
  <conditionalFormatting sqref="CK4:CM4 CF4:CH4">
    <cfRule type="duplicateValues" dxfId="11" priority="84"/>
  </conditionalFormatting>
  <conditionalFormatting sqref="CN4:CQ4">
    <cfRule type="duplicateValues" dxfId="10" priority="80"/>
  </conditionalFormatting>
  <conditionalFormatting sqref="CR4:CX4 CJ4">
    <cfRule type="duplicateValues" dxfId="9" priority="74"/>
  </conditionalFormatting>
  <conditionalFormatting sqref="CY4">
    <cfRule type="duplicateValues" dxfId="8" priority="63"/>
  </conditionalFormatting>
  <conditionalFormatting sqref="CZ4:DB4">
    <cfRule type="duplicateValues" dxfId="7" priority="62"/>
  </conditionalFormatting>
  <conditionalFormatting sqref="DC4">
    <cfRule type="duplicateValues" dxfId="6" priority="68"/>
  </conditionalFormatting>
  <conditionalFormatting sqref="DD4">
    <cfRule type="duplicateValues" dxfId="5" priority="57"/>
  </conditionalFormatting>
  <conditionalFormatting sqref="DH4">
    <cfRule type="duplicateValues" dxfId="4" priority="73"/>
  </conditionalFormatting>
  <conditionalFormatting sqref="DI4:DM4">
    <cfRule type="duplicateValues" dxfId="3" priority="81"/>
  </conditionalFormatting>
  <conditionalFormatting sqref="DN4">
    <cfRule type="duplicateValues" dxfId="2" priority="71"/>
  </conditionalFormatting>
  <conditionalFormatting sqref="DO4">
    <cfRule type="duplicateValues" dxfId="1" priority="59"/>
  </conditionalFormatting>
  <conditionalFormatting sqref="DP4:ED4">
    <cfRule type="duplicateValues" dxfId="0" priority="60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3:GS31"/>
  <sheetViews>
    <sheetView zoomScale="90" zoomScaleNormal="90" workbookViewId="0">
      <pane xSplit="1" topLeftCell="B1" activePane="topRight" state="frozen"/>
      <selection activeCell="C16" sqref="C16"/>
      <selection pane="topRight" activeCell="B7" sqref="B7"/>
    </sheetView>
  </sheetViews>
  <sheetFormatPr defaultColWidth="21.54296875" defaultRowHeight="17.25" customHeight="1" x14ac:dyDescent="0.25"/>
  <cols>
    <col min="1" max="1" width="21.54296875" style="52"/>
    <col min="2" max="15" width="21.54296875" style="152"/>
    <col min="16" max="16384" width="21.54296875" style="52"/>
  </cols>
  <sheetData>
    <row r="3" spans="1:201" ht="17.25" customHeight="1" thickBot="1" x14ac:dyDescent="0.3"/>
    <row r="4" spans="1:201" ht="22.5" hidden="1" customHeight="1" thickBot="1" x14ac:dyDescent="0.3">
      <c r="B4" s="152">
        <v>4</v>
      </c>
      <c r="C4" s="152">
        <v>5</v>
      </c>
      <c r="D4" s="152">
        <v>6</v>
      </c>
      <c r="E4" s="152">
        <v>7</v>
      </c>
      <c r="F4" s="152">
        <v>8</v>
      </c>
      <c r="G4" s="152">
        <v>9</v>
      </c>
      <c r="H4" s="152">
        <v>10</v>
      </c>
      <c r="I4" s="152">
        <v>11</v>
      </c>
      <c r="J4" s="152">
        <v>12</v>
      </c>
      <c r="K4" s="152">
        <v>13</v>
      </c>
      <c r="L4" s="152">
        <v>14</v>
      </c>
      <c r="M4" s="152">
        <v>15</v>
      </c>
      <c r="N4" s="152">
        <v>16</v>
      </c>
      <c r="O4" s="152">
        <v>17</v>
      </c>
    </row>
    <row r="5" spans="1:201" ht="52.5" customHeight="1" thickBot="1" x14ac:dyDescent="0.3">
      <c r="A5" s="31"/>
      <c r="B5" s="153" t="s">
        <v>25</v>
      </c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</row>
    <row r="6" spans="1:201" ht="40.4" customHeight="1" x14ac:dyDescent="0.25">
      <c r="A6" s="154">
        <f>DAILY_ENERGY!B2</f>
        <v>45838.291666666664</v>
      </c>
      <c r="B6" s="33" t="str">
        <f>'Feeder Names'!E3</f>
        <v>HT.GRID_VCB</v>
      </c>
      <c r="C6" s="33" t="str">
        <f>'Feeder Names'!F3</f>
        <v>HT.TRAFO-1</v>
      </c>
      <c r="D6" s="33" t="str">
        <f>'Feeder Names'!G3</f>
        <v>HT.TRAFO-2</v>
      </c>
      <c r="E6" s="33" t="str">
        <f>'Feeder Names'!H3</f>
        <v>HT.TRAFO-3</v>
      </c>
      <c r="F6" s="33" t="str">
        <f>'Feeder Names'!I3</f>
        <v>HT.TRAFO-4</v>
      </c>
      <c r="G6" s="33" t="str">
        <f>'Feeder Names'!J3</f>
        <v>DG.DG_INC</v>
      </c>
      <c r="H6" s="33" t="str">
        <f>'Feeder Names'!K3</f>
        <v>DG.DG-1</v>
      </c>
      <c r="I6" s="33" t="str">
        <f>'Feeder Names'!L3</f>
        <v>DG.DG-2</v>
      </c>
      <c r="J6" s="33" t="str">
        <f>'Feeder Names'!M3</f>
        <v>DG.DG-3</v>
      </c>
      <c r="K6" s="33" t="str">
        <f>'Feeder Names'!N3</f>
        <v>DG.GD-4</v>
      </c>
      <c r="L6" s="33" t="str">
        <f>'Feeder Names'!O3</f>
        <v>DG.DG-5</v>
      </c>
      <c r="M6" s="33" t="str">
        <f>'Feeder Names'!P3</f>
        <v>DG.VCB_OUTGOING</v>
      </c>
      <c r="N6" s="33" t="str">
        <f>'Feeder Names'!Q3</f>
        <v>SOLAR.SOLAR-1</v>
      </c>
      <c r="O6" s="33" t="str">
        <f>'Feeder Names'!R3</f>
        <v>SOLAR.SOLAR-2</v>
      </c>
      <c r="P6" s="33" t="str">
        <f>'Feeder Names'!S3</f>
        <v>SOLAR.SOLAR-3</v>
      </c>
      <c r="Q6" s="33" t="str">
        <f>'Feeder Names'!T3</f>
        <v>TR-ACB.TR-1_INC</v>
      </c>
      <c r="R6" s="33" t="str">
        <f>'Feeder Names'!U3</f>
        <v>TR-ACB.TR-2_INC</v>
      </c>
      <c r="S6" s="33" t="str">
        <f>'Feeder Names'!V3</f>
        <v>TR-ACB.TR-3_INC</v>
      </c>
      <c r="T6" s="33" t="str">
        <f>'Feeder Names'!W3</f>
        <v>TR-ACB.TR-4_INC</v>
      </c>
      <c r="U6" s="33" t="str">
        <f>'Feeder Names'!X3</f>
        <v>DG_EMY.INCOMER</v>
      </c>
      <c r="V6" s="33" t="str">
        <f>'Feeder Names'!Y3</f>
        <v>DG_EMY.UTILITY_SDB</v>
      </c>
      <c r="W6" s="33" t="str">
        <f>'Feeder Names'!Z3</f>
        <v>DG_EMY.1L1-1_SDB_LIGHT_OFFICE_G_F</v>
      </c>
      <c r="X6" s="33" t="str">
        <f>'Feeder Names'!AA3</f>
        <v>DG_EMY.1L3_SDB_POWER_G_F_OFFICE</v>
      </c>
      <c r="Y6" s="33" t="str">
        <f>'Feeder Names'!AB3</f>
        <v>DG_EMY.2L2_SDB_POWER_CANTEEN</v>
      </c>
      <c r="Z6" s="33" t="str">
        <f>'Feeder Names'!AC3</f>
        <v>DG_EMY.2L2_SDB_LIGHT_CANTEEN</v>
      </c>
      <c r="AA6" s="33" t="str">
        <f>'Feeder Names'!AD3</f>
        <v>DG_EMY.1L2_PASSAGE_POWER_LIGHT_G_F</v>
      </c>
      <c r="AB6" s="33" t="str">
        <f>'Feeder Names'!AE3</f>
        <v>DG_EMY.UPS_PANEL</v>
      </c>
      <c r="AC6" s="33" t="str">
        <f>'Feeder Names'!AF3</f>
        <v>DG_EMY.EXT_OUT_DOOR_SDB</v>
      </c>
      <c r="AD6" s="33" t="str">
        <f>'Feeder Names'!AG3</f>
        <v>DG_EMY.2L1_PASSAGE_POWER_LIGHT_F_F</v>
      </c>
      <c r="AE6" s="33" t="str">
        <f>'Feeder Names'!AH3</f>
        <v>DG_EMY.PDB_STP</v>
      </c>
      <c r="AF6" s="33" t="str">
        <f>'Feeder Names'!AI3</f>
        <v>DG_EMY.DG_AUXILIARY_PANEL</v>
      </c>
      <c r="AG6" s="33" t="str">
        <f>'Feeder Names'!AJ3</f>
        <v>DG_EMY.PDB_HSD</v>
      </c>
      <c r="AH6" s="33" t="str">
        <f>'Feeder Names'!AK3</f>
        <v>MLDB.INCOMER</v>
      </c>
      <c r="AI6" s="33" t="str">
        <f>'Feeder Names'!AL3</f>
        <v>MLDB.L-4_SDB_FACTORY_1</v>
      </c>
      <c r="AJ6" s="33" t="str">
        <f>'Feeder Names'!AM3</f>
        <v>MLDB.CRECHE_SDB</v>
      </c>
      <c r="AK6" s="33" t="str">
        <f>'Feeder Names'!AN3</f>
        <v>MLDB.SPARE_2</v>
      </c>
      <c r="AL6" s="33" t="str">
        <f>'Feeder Names'!AO3</f>
        <v>MLDB.SDB-1_W_HOUSE</v>
      </c>
      <c r="AM6" s="33" t="str">
        <f>'Feeder Names'!AP3</f>
        <v>MLDB.L-1_SDB_FACTORY</v>
      </c>
      <c r="AN6" s="33" t="str">
        <f>'Feeder Names'!AQ3</f>
        <v>MLDB.SDB_L5</v>
      </c>
      <c r="AO6" s="33" t="str">
        <f>'Feeder Names'!AR3</f>
        <v>MLDB.L-3_SDB_FACTORY</v>
      </c>
      <c r="AP6" s="33" t="str">
        <f>'Feeder Names'!AS3</f>
        <v>MLDB.L-4_SDB_FACTORY_2</v>
      </c>
      <c r="AQ6" s="33" t="str">
        <f>'Feeder Names'!AT3</f>
        <v>MLDB.SDB-_L2</v>
      </c>
      <c r="AR6" s="33" t="str">
        <f>'Feeder Names'!AU3</f>
        <v>MLTP1.TRF_INCOME-1</v>
      </c>
      <c r="AS6" s="33" t="str">
        <f>'Feeder Names'!AV3</f>
        <v>MLTP1.CRECH-AC_VENTILATION</v>
      </c>
      <c r="AT6" s="33" t="str">
        <f>'Feeder Names'!AW3</f>
        <v>MLTP1.SPARE_1</v>
      </c>
      <c r="AU6" s="33" t="str">
        <f>'Feeder Names'!AX3</f>
        <v>MLTP1.PDB-01_WAREHOUSE</v>
      </c>
      <c r="AV6" s="33" t="str">
        <f>'Feeder Names'!AY3</f>
        <v>MLTP1.PS-5_PDB_R_SHUTTER</v>
      </c>
      <c r="AW6" s="33" t="str">
        <f>'Feeder Names'!AZ3</f>
        <v>MLTP1.COMPRESSOR_PANEL-01</v>
      </c>
      <c r="AX6" s="33" t="str">
        <f>'Feeder Names'!BA3</f>
        <v>MLTP1.SPARE_2</v>
      </c>
      <c r="AY6" s="33" t="str">
        <f>'Feeder Names'!BB3</f>
        <v>MLTP1.PDB_UTILITY</v>
      </c>
      <c r="AZ6" s="33" t="str">
        <f>'Feeder Names'!BC3</f>
        <v>MLTP1.P-S2_PDB_R_SHUTTER_3_DELTA_</v>
      </c>
      <c r="BA6" s="33" t="str">
        <f>'Feeder Names'!BD3</f>
        <v>MLTP1.SPARE_3</v>
      </c>
      <c r="BB6" s="33" t="str">
        <f>'Feeder Names'!BE3</f>
        <v>MLTP1.SPARE_4</v>
      </c>
      <c r="BC6" s="33" t="str">
        <f>'Feeder Names'!BF3</f>
        <v>MLTP1.SPARE_5</v>
      </c>
      <c r="BD6" s="33" t="str">
        <f>'Feeder Names'!BG3</f>
        <v>MLTP1.P-S3_PDB_R_SHUTTER_3Q</v>
      </c>
      <c r="BE6" s="33" t="str">
        <f>'Feeder Names'!BH3</f>
        <v>MLTP1.DG_AUXILIARY_PANEL</v>
      </c>
      <c r="BF6" s="33" t="str">
        <f>'Feeder Names'!BI3</f>
        <v>MLTP1.SPARE_6</v>
      </c>
      <c r="BG6" s="33" t="str">
        <f>'Feeder Names'!BJ3</f>
        <v>MLTP1.P-C_CRANE_PANEL_SUPPLY_TO_CRANE</v>
      </c>
      <c r="BH6" s="33" t="str">
        <f>'Feeder Names'!BK3</f>
        <v>MLTP1.PCD_OFFICE_AC_PANEL</v>
      </c>
      <c r="BI6" s="33" t="str">
        <f>'Feeder Names'!BL3</f>
        <v>MLTP1.EMERGNECY_POWER_PANEL</v>
      </c>
      <c r="BJ6" s="33" t="str">
        <f>'Feeder Names'!BM3</f>
        <v>MLTP1.P-09_PDB_FIRE_HYDRANT</v>
      </c>
      <c r="BK6" s="33" t="str">
        <f>'Feeder Names'!BN3</f>
        <v>MLTP1.P-10_PDB_WATER_SUPPLY</v>
      </c>
      <c r="BL6" s="33" t="str">
        <f>'Feeder Names'!BO3</f>
        <v>MLTP1.CAPACITOR_INCOMER</v>
      </c>
      <c r="BM6" s="33" t="str">
        <f>'Feeder Names'!BP3</f>
        <v>MLTP2.TRF-INCOMER-2</v>
      </c>
      <c r="BN6" s="33" t="str">
        <f>'Feeder Names'!BQ3</f>
        <v>MLTP2.SPARE_1</v>
      </c>
      <c r="BO6" s="33" t="str">
        <f>'Feeder Names'!BR3</f>
        <v>MLTP2.P-T17-1</v>
      </c>
      <c r="BP6" s="33" t="str">
        <f>'Feeder Names'!BS3</f>
        <v>MLTP2.P-T-10_PROCESS_PANEL</v>
      </c>
      <c r="BQ6" s="33" t="str">
        <f>'Feeder Names'!BT3</f>
        <v>MLTP2.MACHINE-5</v>
      </c>
      <c r="BR6" s="33" t="str">
        <f>'Feeder Names'!BU3</f>
        <v>MLTP2.P-T-13_PROCESS_PANEL</v>
      </c>
      <c r="BS6" s="33" t="str">
        <f>'Feeder Names'!BV3</f>
        <v>MLTP2.P-T-14_PROCESS_PANEL</v>
      </c>
      <c r="BT6" s="33" t="str">
        <f>'Feeder Names'!BW3</f>
        <v>MLTP2.PP-5</v>
      </c>
      <c r="BU6" s="33" t="str">
        <f>'Feeder Names'!BX3</f>
        <v>MLTP2.P-T-09_PROCESS_PANEL</v>
      </c>
      <c r="BV6" s="33" t="str">
        <f>'Feeder Names'!BY3</f>
        <v>MLTP2.P-T1-2_PROCESS_PANEL</v>
      </c>
      <c r="BW6" s="33" t="str">
        <f>'Feeder Names'!BZ3</f>
        <v>MLTP2.P-T4-2_PROCESS_PANEL</v>
      </c>
      <c r="BX6" s="33" t="str">
        <f>'Feeder Names'!CA3</f>
        <v>MLTP2.P-T12_PROCESS_PANEL</v>
      </c>
      <c r="BY6" s="33" t="str">
        <f>'Feeder Names'!CB3</f>
        <v>MLTP2.B-Pt_WELDING_M_C</v>
      </c>
      <c r="BZ6" s="33" t="str">
        <f>'Feeder Names'!CC3</f>
        <v>MLTP2.PP-1</v>
      </c>
      <c r="CA6" s="33" t="str">
        <f>'Feeder Names'!CD3</f>
        <v>MLTP2.PP-4</v>
      </c>
      <c r="CB6" s="33" t="str">
        <f>'Feeder Names'!CE3</f>
        <v>MLTP2.P-T7-2_PROCESS_PANEL</v>
      </c>
      <c r="CC6" s="33" t="str">
        <f>'Feeder Names'!CF3</f>
        <v>MLTP2.Q_A_CHAMBER_M_C</v>
      </c>
      <c r="CD6" s="33" t="str">
        <f>'Feeder Names'!CG3</f>
        <v>MLTP2.SPARE_2</v>
      </c>
      <c r="CE6" s="33" t="str">
        <f>'Feeder Names'!CH3</f>
        <v>MLTP2.SPARE_3</v>
      </c>
      <c r="CF6" s="33" t="str">
        <f>'Feeder Names'!CI3</f>
        <v>MLTP2.PP-3</v>
      </c>
      <c r="CG6" s="33" t="str">
        <f>'Feeder Names'!CJ3</f>
        <v>MLTP2.P-T3-2_PROCESS_PANEL</v>
      </c>
      <c r="CH6" s="33" t="str">
        <f>'Feeder Names'!CK3</f>
        <v>MLTP2.P-T19</v>
      </c>
      <c r="CI6" s="33" t="str">
        <f>'Feeder Names'!CL3</f>
        <v>MLTP2.P-T1-1_PROCESS_PANEL</v>
      </c>
      <c r="CJ6" s="33" t="str">
        <f>'Feeder Names'!CM3</f>
        <v>MLTP2.SPARE_4</v>
      </c>
      <c r="CK6" s="33" t="str">
        <f>'Feeder Names'!CN3</f>
        <v>MLTP2.PP-2</v>
      </c>
      <c r="CL6" s="33" t="str">
        <f>'Feeder Names'!CO3</f>
        <v>MLTP2.CAPACITOR_INCOMER</v>
      </c>
      <c r="CM6" s="33" t="str">
        <f>'Feeder Names'!CP3</f>
        <v>MLTP3.TRF-INCOMER-3</v>
      </c>
      <c r="CN6" s="33" t="str">
        <f>'Feeder Names'!CQ3</f>
        <v>MLTP3.SDB-1_NEW_WAREHOUSE</v>
      </c>
      <c r="CO6" s="33" t="str">
        <f>'Feeder Names'!CR3</f>
        <v>MLTP3.P-5_PDB_AHU_PANEL-2_ON_MAZZFLOOR</v>
      </c>
      <c r="CP6" s="33" t="str">
        <f>'Feeder Names'!CS3</f>
        <v>MLTP3.SPARE_1</v>
      </c>
      <c r="CQ6" s="33" t="str">
        <f>'Feeder Names'!CT3</f>
        <v>MLTP3.PAF-2_DP-2_</v>
      </c>
      <c r="CR6" s="33" t="str">
        <f>'Feeder Names'!CU3</f>
        <v>MLTP3.P-3_PDB_PROCESS_C_T</v>
      </c>
      <c r="CS6" s="33" t="str">
        <f>'Feeder Names'!CV3</f>
        <v>MLTP3.SPARE_2</v>
      </c>
      <c r="CT6" s="33" t="str">
        <f>'Feeder Names'!CW3</f>
        <v>MLTP3.PA-B12_PP_MOTER_ASSY_13</v>
      </c>
      <c r="CU6" s="33" t="str">
        <f>'Feeder Names'!CX3</f>
        <v>MLTP3.SPARE_3</v>
      </c>
      <c r="CV6" s="33" t="str">
        <f>'Feeder Names'!CY3</f>
        <v>MLTP3.P-T16_PROCESS_PANEL</v>
      </c>
      <c r="CW6" s="33" t="str">
        <f>'Feeder Names'!CZ3</f>
        <v>MLTP3.P-T17-2</v>
      </c>
      <c r="CX6" s="33" t="str">
        <f>'Feeder Names'!DA3</f>
        <v>MLTP3.UPS_AC-04</v>
      </c>
      <c r="CY6" s="33" t="str">
        <f>'Feeder Names'!DB3</f>
        <v>MLTP3.UPS_AC-03</v>
      </c>
      <c r="CZ6" s="33" t="str">
        <f>'Feeder Names'!DC3</f>
        <v>MLTP3.P-T18-1</v>
      </c>
      <c r="DA6" s="33" t="str">
        <f>'Feeder Names'!DD3</f>
        <v>MLTP3.PDB_AC_CHILLER_PANEL</v>
      </c>
      <c r="DB6" s="33" t="str">
        <f>'Feeder Names'!DE3</f>
        <v>MLTP3.PDB-4_AHU</v>
      </c>
      <c r="DC6" s="33" t="str">
        <f>'Feeder Names'!DF3</f>
        <v>MLTP3.UPS_AC-02</v>
      </c>
      <c r="DD6" s="33" t="str">
        <f>'Feeder Names'!DG3</f>
        <v>MLTP3.UPS_AC-01</v>
      </c>
      <c r="DE6" s="33" t="str">
        <f>'Feeder Names'!DH3</f>
        <v>MLTP3.P-T3-1_PROCESS_PANEL</v>
      </c>
      <c r="DF6" s="33" t="str">
        <f>'Feeder Names'!DI3</f>
        <v>MLTP3.PAF-1_DP-1_</v>
      </c>
      <c r="DG6" s="33" t="str">
        <f>'Feeder Names'!DJ3</f>
        <v>MLTP3.P-T18-2</v>
      </c>
      <c r="DH6" s="33" t="str">
        <f>'Feeder Names'!DK3</f>
        <v>MLTP3.CAPACITOR_INCOMER</v>
      </c>
      <c r="DI6" s="33" t="str">
        <f>'Feeder Names'!DL3</f>
        <v>MLTP4.TRF-INCOMER-4</v>
      </c>
      <c r="DJ6" s="33" t="str">
        <f>'Feeder Names'!DM3</f>
        <v>MLTP4.PAF-4_DP-4_</v>
      </c>
      <c r="DK6" s="33" t="str">
        <f>'Feeder Names'!DN3</f>
        <v>MLTP4.P-6_PDB_PRESS_EXHAUST</v>
      </c>
      <c r="DL6" s="33" t="str">
        <f>'Feeder Names'!DO3</f>
        <v>MLTP4.P-7_PDB_PRESS_EXHAUST_</v>
      </c>
      <c r="DM6" s="33" t="str">
        <f>'Feeder Names'!DP3</f>
        <v>MLTP4.QA_ROOM</v>
      </c>
      <c r="DN6" s="33" t="str">
        <f>'Feeder Names'!DQ3</f>
        <v>MLTP4.PA-B1</v>
      </c>
      <c r="DO6" s="33" t="str">
        <f>'Feeder Names'!DR3</f>
        <v>MLTP4.PA-W7_PP_MOTER_ASSY</v>
      </c>
      <c r="DP6" s="33" t="str">
        <f>'Feeder Names'!DS3</f>
        <v>MLTP4.PAF-3_DP-3_</v>
      </c>
      <c r="DQ6" s="33" t="str">
        <f>'Feeder Names'!DT3</f>
        <v>MLTP4.PA-W10_PP_STATOR_LINE_2_3_13</v>
      </c>
      <c r="DR6" s="33" t="str">
        <f>'Feeder Names'!DU3</f>
        <v>MLTP4.PT_4-1</v>
      </c>
      <c r="DS6" s="33" t="str">
        <f>'Feeder Names'!DV3</f>
        <v>MLTP4.COMPRESSOR_PANEL</v>
      </c>
      <c r="DT6" s="33" t="str">
        <f>'Feeder Names'!DW3</f>
        <v>MLTP4.PA-W3_PP_LINK_LINE-5_13_</v>
      </c>
      <c r="DU6" s="33" t="str">
        <f>'Feeder Names'!DX3</f>
        <v>MLTP4.PA-W21_PP_REARMOTER_ASSY</v>
      </c>
      <c r="DV6" s="33" t="str">
        <f>'Feeder Names'!DY3</f>
        <v>MLTP4.PA-B2_PP_HOUSEING_SUB_ASSY_13</v>
      </c>
      <c r="DW6" s="33" t="str">
        <f>'Feeder Names'!DZ3</f>
        <v>MLTP4.P-T7-1_PROCESS_PANEL</v>
      </c>
      <c r="DX6" s="33" t="str">
        <f>'Feeder Names'!EA3</f>
        <v>MLTP4.PA-W56</v>
      </c>
      <c r="DY6" s="33" t="str">
        <f>'Feeder Names'!EB3</f>
        <v>MLTP4.PA-B3</v>
      </c>
      <c r="DZ6" s="33" t="str">
        <f>'Feeder Names'!EC3</f>
        <v>MLTP4.B-13_PROCESS_PANEL</v>
      </c>
      <c r="EA6" s="33" t="str">
        <f>'Feeder Names'!ED3</f>
        <v>MLTP4.PA-W27_PP_PANUC_ROBODRILL</v>
      </c>
      <c r="EB6" s="33" t="str">
        <f>'Feeder Names'!EE3</f>
        <v>MLTP4.BF_23_LINE</v>
      </c>
      <c r="EC6" s="33" t="str">
        <f>'Feeder Names'!EF3</f>
        <v>MLTP4.PDB_SUBPANEL</v>
      </c>
      <c r="ED6" s="33" t="str">
        <f>'Feeder Names'!EG3</f>
        <v>MLTP4.PA-B14</v>
      </c>
      <c r="EE6" s="33" t="str">
        <f>'Feeder Names'!EH3</f>
        <v>MLTP4.CAPACITOR_INCOMER</v>
      </c>
      <c r="EF6" s="33" t="str">
        <f>'Feeder Names'!EI3</f>
        <v>MLTP5.INCOMER</v>
      </c>
      <c r="EG6" s="33" t="str">
        <f>'Feeder Names'!EJ3</f>
        <v>MLTP5.SPARE-1</v>
      </c>
      <c r="EH6" s="33" t="str">
        <f>'Feeder Names'!EK3</f>
        <v>MLTP5.1P1_PDB_OFFICE_AC_GF_QA_ROOM</v>
      </c>
      <c r="EI6" s="33" t="str">
        <f>'Feeder Names'!EL3</f>
        <v>MLTP5.2P1_CANTEEN_PDB</v>
      </c>
      <c r="EJ6" s="33" t="str">
        <f>'Feeder Names'!EM3</f>
        <v>MLTP5.AIR_WASHER_SQD_AC</v>
      </c>
      <c r="EK6" s="33" t="str">
        <f>'Feeder Names'!EN3</f>
        <v>MLTP5.CHILLER-2</v>
      </c>
      <c r="EL6" s="33" t="str">
        <f>'Feeder Names'!EO3</f>
        <v>MLTP5.CHILLER-1</v>
      </c>
      <c r="EM6" s="33" t="str">
        <f>'Feeder Names'!EP3</f>
        <v>MLTP5.CHILLER-5</v>
      </c>
      <c r="EN6" s="33" t="str">
        <f>'Feeder Names'!EQ3</f>
        <v>MLTP5.CHILLER-3</v>
      </c>
      <c r="EO6" s="33" t="str">
        <f>'Feeder Names'!ER3</f>
        <v>MLTP5.CHILLER-4</v>
      </c>
      <c r="EP6" s="33" t="str">
        <f>'Feeder Names'!ES3</f>
        <v>MLTP5.CAP_INCOMER_WS-4_</v>
      </c>
      <c r="EQ6" s="33" t="str">
        <f>'Feeder Names'!ET3</f>
        <v>MLTP5.SPARE-6</v>
      </c>
      <c r="ER6" s="33" t="str">
        <f>'Feeder Names'!EU3</f>
        <v>MLTP5.WAREHOUSE_AC_PANEL</v>
      </c>
      <c r="ES6" s="33" t="str">
        <f>'Feeder Names'!EV3</f>
        <v>SPARE</v>
      </c>
      <c r="ET6" s="33" t="str">
        <f>'Feeder Names'!EW3</f>
        <v>SPARE</v>
      </c>
      <c r="EU6" s="33" t="str">
        <f>'Feeder Names'!EX3</f>
        <v>SPARE</v>
      </c>
    </row>
    <row r="7" spans="1:201" ht="17.25" customHeight="1" x14ac:dyDescent="0.3">
      <c r="A7" s="155" t="s">
        <v>26</v>
      </c>
      <c r="B7" s="156">
        <v>1022.625</v>
      </c>
      <c r="C7" s="156">
        <v>0</v>
      </c>
      <c r="D7" s="156">
        <v>0.36957200000006196</v>
      </c>
      <c r="E7" s="156">
        <v>0.31237300000003643</v>
      </c>
      <c r="F7" s="156">
        <v>0.35300300000005791</v>
      </c>
      <c r="G7" s="156">
        <v>0</v>
      </c>
      <c r="H7" s="156">
        <v>0</v>
      </c>
      <c r="I7" s="156">
        <v>0</v>
      </c>
      <c r="J7" s="156">
        <v>0</v>
      </c>
      <c r="K7" s="156">
        <v>0</v>
      </c>
      <c r="L7" s="156">
        <v>0</v>
      </c>
      <c r="M7" s="156">
        <v>0</v>
      </c>
      <c r="N7" s="156">
        <v>8.5533999999938715E-2</v>
      </c>
      <c r="O7" s="156">
        <v>9.0832999999975073E-2</v>
      </c>
      <c r="P7" s="52">
        <v>4.5410000000032369E-3</v>
      </c>
      <c r="Q7" s="52">
        <v>0</v>
      </c>
      <c r="R7" s="52">
        <v>0.36044799999945099</v>
      </c>
      <c r="S7" s="52">
        <v>0.29849600000034116</v>
      </c>
      <c r="T7" s="52">
        <v>0.33996800000022631</v>
      </c>
      <c r="U7" s="52">
        <v>2.352000000000487E-2</v>
      </c>
      <c r="V7" s="52">
        <v>4.9039999999997974E-3</v>
      </c>
      <c r="W7" s="52">
        <v>2.534999999999954E-3</v>
      </c>
      <c r="X7" s="52">
        <v>2.3340000000011685E-3</v>
      </c>
      <c r="Y7" s="52">
        <v>0</v>
      </c>
      <c r="Z7" s="52">
        <v>2.4280000000000967E-3</v>
      </c>
      <c r="AA7" s="52">
        <v>5.2619999999983236E-3</v>
      </c>
      <c r="AB7" s="52">
        <v>5.9380000000004429E-3</v>
      </c>
      <c r="AC7" s="52">
        <v>6.1200000000027899E-4</v>
      </c>
      <c r="AD7" s="52">
        <v>2.0449999999989643E-3</v>
      </c>
      <c r="AE7" s="52">
        <v>2.5915000000003019E-3</v>
      </c>
      <c r="AF7" s="52">
        <v>0</v>
      </c>
      <c r="AG7" s="52">
        <v>3.499999999991843E-4</v>
      </c>
      <c r="AH7" s="52">
        <v>8.37439999999674E-2</v>
      </c>
      <c r="AI7" s="52">
        <v>0</v>
      </c>
      <c r="AJ7" s="52">
        <v>9.660000000000224E-4</v>
      </c>
      <c r="AK7" s="52">
        <v>0</v>
      </c>
      <c r="AL7" s="52">
        <v>1.4871828124999986E-2</v>
      </c>
      <c r="AM7" s="52">
        <v>1.7207999999996559E-2</v>
      </c>
      <c r="AN7" s="52">
        <v>1.596800000000087E-2</v>
      </c>
      <c r="AO7" s="52">
        <v>8.835999999995181E-3</v>
      </c>
      <c r="AP7" s="52">
        <v>4.0000000000013358E-3</v>
      </c>
      <c r="AQ7" s="52">
        <v>1.3491999999999393E-2</v>
      </c>
      <c r="AR7" s="52">
        <v>0.18323199999997541</v>
      </c>
      <c r="AS7" s="52">
        <v>1.6175000000000495E-3</v>
      </c>
      <c r="AT7" s="52">
        <v>0</v>
      </c>
      <c r="AU7" s="52">
        <v>2.4119999999996367E-3</v>
      </c>
      <c r="AV7" s="52">
        <v>8.5599999999974585E-4</v>
      </c>
      <c r="AW7" s="52">
        <v>5.2352000000041699E-2</v>
      </c>
      <c r="AX7" s="52">
        <v>0</v>
      </c>
      <c r="AY7" s="52">
        <v>2.146999999999899E-3</v>
      </c>
      <c r="AZ7" s="52">
        <v>0</v>
      </c>
      <c r="BA7" s="52">
        <v>0</v>
      </c>
      <c r="BB7" s="52">
        <v>0</v>
      </c>
      <c r="BC7" s="52">
        <v>0</v>
      </c>
      <c r="BD7" s="52">
        <v>1.0317187499998826E-4</v>
      </c>
      <c r="BE7" s="52">
        <v>4.8260000000013292E-3</v>
      </c>
      <c r="BF7" s="52">
        <v>0</v>
      </c>
      <c r="BG7" s="52">
        <v>9.1699999999939052E-4</v>
      </c>
      <c r="BH7" s="52">
        <v>0</v>
      </c>
      <c r="BI7" s="52">
        <v>0.10422399999998788</v>
      </c>
      <c r="BJ7" s="52">
        <v>0</v>
      </c>
      <c r="BK7" s="52">
        <v>1.4760000000002549E-3</v>
      </c>
      <c r="BL7" s="52">
        <v>0</v>
      </c>
      <c r="BM7" s="52">
        <v>8.8832000000024891E-2</v>
      </c>
      <c r="BN7" s="52">
        <v>0</v>
      </c>
      <c r="BO7" s="52">
        <v>4.0863999999999123E-2</v>
      </c>
      <c r="BP7" s="52">
        <v>0</v>
      </c>
      <c r="BQ7" s="52">
        <v>0</v>
      </c>
      <c r="BR7" s="52">
        <v>0</v>
      </c>
      <c r="BS7" s="52">
        <v>0</v>
      </c>
      <c r="BT7" s="52">
        <v>5.8000000000646423E-4</v>
      </c>
      <c r="BU7" s="52">
        <v>0</v>
      </c>
      <c r="BV7" s="52">
        <v>0</v>
      </c>
      <c r="BW7" s="52">
        <v>0</v>
      </c>
      <c r="BX7" s="52">
        <v>0</v>
      </c>
      <c r="BY7" s="52">
        <v>0</v>
      </c>
      <c r="BZ7" s="52">
        <v>2.9735999999999763E-2</v>
      </c>
      <c r="CA7" s="52">
        <v>1.3052937500000028E-2</v>
      </c>
      <c r="CB7" s="52">
        <v>0</v>
      </c>
      <c r="CC7" s="52">
        <v>0</v>
      </c>
      <c r="CD7" s="52">
        <v>0</v>
      </c>
      <c r="CE7" s="52">
        <v>0</v>
      </c>
      <c r="CF7" s="52">
        <v>1.8090000000015038E-3</v>
      </c>
      <c r="CG7" s="52">
        <v>0</v>
      </c>
      <c r="CH7" s="52">
        <v>6.3199999999996592E-4</v>
      </c>
      <c r="CI7" s="52">
        <v>0</v>
      </c>
      <c r="CJ7" s="52">
        <v>0</v>
      </c>
      <c r="CK7" s="52">
        <v>0</v>
      </c>
      <c r="CL7" s="52">
        <v>2.5580000000005043E-3</v>
      </c>
      <c r="CM7" s="52">
        <v>0.18764800000008108</v>
      </c>
      <c r="CN7" s="52">
        <v>1.8069999999994479E-3</v>
      </c>
      <c r="CO7" s="52">
        <v>1.5424000000010096E-2</v>
      </c>
      <c r="CP7" s="52">
        <v>0</v>
      </c>
      <c r="CQ7" s="52">
        <v>0</v>
      </c>
      <c r="CR7" s="52">
        <v>8.1600000000001671E-3</v>
      </c>
      <c r="CS7" s="52">
        <v>0</v>
      </c>
      <c r="CT7" s="52">
        <v>1.5056000000001291E-2</v>
      </c>
      <c r="CU7" s="52">
        <v>0</v>
      </c>
      <c r="CV7" s="52">
        <v>6.5337500000017812E-4</v>
      </c>
      <c r="CW7" s="52">
        <v>5.2120000000002165E-3</v>
      </c>
      <c r="CX7" s="52">
        <v>0</v>
      </c>
      <c r="CY7" s="52">
        <v>6.8299999999998917E-4</v>
      </c>
      <c r="CZ7" s="52">
        <v>1.9494999999998264E-3</v>
      </c>
      <c r="DA7" s="52">
        <v>1.1372000000001492E-2</v>
      </c>
      <c r="DB7" s="52">
        <v>4.4559999999993494E-3</v>
      </c>
      <c r="DC7" s="52">
        <v>5.4675000000004026E-4</v>
      </c>
      <c r="DD7" s="52">
        <v>1.2368750000000261E-3</v>
      </c>
      <c r="DE7" s="52">
        <v>0</v>
      </c>
      <c r="DF7" s="52">
        <v>0</v>
      </c>
      <c r="DG7" s="52">
        <v>2.2800000000007259E-3</v>
      </c>
      <c r="DH7" s="52">
        <v>8.2800000000027296E-4</v>
      </c>
      <c r="DI7" s="52">
        <v>0.20985600000005888</v>
      </c>
      <c r="DJ7" s="52">
        <v>0</v>
      </c>
      <c r="DK7" s="52">
        <v>2.7620000000005973E-3</v>
      </c>
      <c r="DL7" s="52">
        <v>1.097312499999975E-3</v>
      </c>
      <c r="DM7" s="52">
        <v>1.4510000000012013E-3</v>
      </c>
      <c r="DN7" s="52">
        <v>0</v>
      </c>
      <c r="DO7" s="52">
        <v>1.0303999999990765E-2</v>
      </c>
      <c r="DP7" s="52">
        <v>3.0204999999998705E-3</v>
      </c>
      <c r="DQ7" s="52">
        <v>0</v>
      </c>
      <c r="DR7" s="52">
        <v>0</v>
      </c>
      <c r="DS7" s="52">
        <v>8.1856000000016138E-2</v>
      </c>
      <c r="DT7" s="52">
        <v>1.8141499999999589E-2</v>
      </c>
      <c r="DU7" s="52">
        <v>0</v>
      </c>
      <c r="DV7" s="52">
        <v>4.9025000000035845E-4</v>
      </c>
      <c r="DW7" s="52">
        <v>0</v>
      </c>
      <c r="DX7" s="52">
        <v>3.8290000000014146E-3</v>
      </c>
      <c r="DY7" s="52">
        <v>2.3237500000006239E-4</v>
      </c>
      <c r="DZ7" s="52">
        <v>2.1239999999984605E-3</v>
      </c>
      <c r="EA7" s="52">
        <v>0</v>
      </c>
      <c r="EB7" s="52">
        <v>5.715200000000209E-2</v>
      </c>
      <c r="EC7" s="52">
        <v>2.3183999999986327E-2</v>
      </c>
      <c r="ED7" s="52">
        <v>5.2547500000001968E-3</v>
      </c>
      <c r="EE7" s="52">
        <v>6.4349999999997465E-3</v>
      </c>
      <c r="EF7" s="52">
        <v>0.46610499999951571</v>
      </c>
      <c r="EG7" s="52">
        <v>0</v>
      </c>
      <c r="EH7" s="52">
        <v>2.0544000000086271E-2</v>
      </c>
      <c r="EI7" s="52">
        <v>2.3103999999989355E-2</v>
      </c>
      <c r="EJ7" s="52">
        <v>2.6879999999778192E-3</v>
      </c>
      <c r="EK7" s="52">
        <v>0</v>
      </c>
      <c r="EL7" s="52">
        <v>9.3055999999933192E-2</v>
      </c>
      <c r="EM7" s="52">
        <v>0.13516799999979412</v>
      </c>
      <c r="EN7" s="52">
        <v>8.3455999999841879E-2</v>
      </c>
      <c r="EO7" s="52">
        <v>7.6799999999366264E-4</v>
      </c>
      <c r="EP7" s="52">
        <v>0</v>
      </c>
      <c r="EQ7" s="52">
        <v>0</v>
      </c>
      <c r="ER7" s="52">
        <v>0.10586800000000096</v>
      </c>
      <c r="ES7" s="52">
        <v>0</v>
      </c>
      <c r="ET7" s="52">
        <v>0</v>
      </c>
      <c r="EU7" s="52">
        <v>0</v>
      </c>
      <c r="EV7" s="52">
        <v>0</v>
      </c>
      <c r="EW7" s="52">
        <v>0</v>
      </c>
      <c r="EX7" s="52">
        <v>0</v>
      </c>
      <c r="EY7" s="52">
        <v>0</v>
      </c>
      <c r="EZ7" s="52">
        <v>0</v>
      </c>
      <c r="FA7" s="52">
        <v>0</v>
      </c>
      <c r="FB7" s="52">
        <v>0</v>
      </c>
      <c r="FC7" s="52">
        <v>0</v>
      </c>
      <c r="FD7" s="52">
        <v>0</v>
      </c>
      <c r="FE7" s="52">
        <v>0</v>
      </c>
      <c r="FF7" s="52">
        <v>0</v>
      </c>
      <c r="FG7" s="52">
        <v>0</v>
      </c>
      <c r="FH7" s="52">
        <v>0</v>
      </c>
      <c r="FI7" s="52">
        <v>0</v>
      </c>
      <c r="FJ7" s="52">
        <v>0</v>
      </c>
      <c r="FK7" s="52">
        <v>0</v>
      </c>
      <c r="FL7" s="52">
        <v>0</v>
      </c>
      <c r="FM7" s="52">
        <v>0</v>
      </c>
      <c r="FN7" s="52">
        <v>0</v>
      </c>
      <c r="FO7" s="52">
        <v>0</v>
      </c>
      <c r="FP7" s="52">
        <v>0</v>
      </c>
      <c r="FQ7" s="52">
        <v>0</v>
      </c>
      <c r="FR7" s="52">
        <v>0</v>
      </c>
      <c r="FS7" s="52">
        <v>0</v>
      </c>
      <c r="FT7" s="52">
        <v>0</v>
      </c>
      <c r="FU7" s="52">
        <v>0</v>
      </c>
      <c r="FV7" s="52">
        <v>0</v>
      </c>
      <c r="FW7" s="52">
        <v>0</v>
      </c>
      <c r="FX7" s="52">
        <v>0</v>
      </c>
      <c r="FY7" s="52">
        <v>0</v>
      </c>
      <c r="FZ7" s="52">
        <v>0</v>
      </c>
      <c r="GA7" s="52">
        <v>0</v>
      </c>
      <c r="GB7" s="52">
        <v>0</v>
      </c>
      <c r="GC7" s="52">
        <v>0</v>
      </c>
      <c r="GD7" s="52">
        <v>0</v>
      </c>
      <c r="GE7" s="52">
        <v>0</v>
      </c>
      <c r="GF7" s="52">
        <v>0</v>
      </c>
      <c r="GG7" s="52">
        <v>0</v>
      </c>
      <c r="GH7" s="52">
        <v>0</v>
      </c>
      <c r="GI7" s="52">
        <v>0</v>
      </c>
      <c r="GJ7" s="52">
        <v>0</v>
      </c>
      <c r="GK7" s="52">
        <v>0</v>
      </c>
      <c r="GL7" s="52">
        <v>0</v>
      </c>
      <c r="GM7" s="52">
        <v>0</v>
      </c>
      <c r="GN7" s="52">
        <v>0</v>
      </c>
      <c r="GO7" s="52">
        <v>0</v>
      </c>
      <c r="GP7" s="52">
        <v>0</v>
      </c>
      <c r="GQ7" s="52">
        <v>0</v>
      </c>
      <c r="GR7" s="52">
        <v>0</v>
      </c>
      <c r="GS7" s="52">
        <v>0</v>
      </c>
    </row>
    <row r="8" spans="1:201" ht="17.25" customHeight="1" x14ac:dyDescent="0.3">
      <c r="A8" s="155" t="s">
        <v>27</v>
      </c>
      <c r="B8" s="156">
        <v>843.625</v>
      </c>
      <c r="C8" s="156">
        <v>0</v>
      </c>
      <c r="D8" s="156">
        <v>0.30462599999998474</v>
      </c>
      <c r="E8" s="156">
        <v>0.25762299999996685</v>
      </c>
      <c r="F8" s="156">
        <v>0.29143199999998615</v>
      </c>
      <c r="G8" s="156">
        <v>0</v>
      </c>
      <c r="H8" s="156">
        <v>0</v>
      </c>
      <c r="I8" s="156">
        <v>0</v>
      </c>
      <c r="J8" s="156">
        <v>0</v>
      </c>
      <c r="K8" s="156">
        <v>0</v>
      </c>
      <c r="L8" s="156">
        <v>0</v>
      </c>
      <c r="M8" s="156">
        <v>0</v>
      </c>
      <c r="N8" s="156">
        <v>0.19397600000002058</v>
      </c>
      <c r="O8" s="156">
        <v>0.20169899999996233</v>
      </c>
      <c r="P8" s="52">
        <v>1.0573999999998307E-2</v>
      </c>
      <c r="Q8" s="52">
        <v>0</v>
      </c>
      <c r="R8" s="52">
        <v>0.29491200000120443</v>
      </c>
      <c r="S8" s="52">
        <v>0.24934399999983725</v>
      </c>
      <c r="T8" s="52">
        <v>0.27648000000044703</v>
      </c>
      <c r="U8" s="52">
        <v>2.2255999999998721E-2</v>
      </c>
      <c r="V8" s="52">
        <v>4.7220000000010032E-3</v>
      </c>
      <c r="W8" s="52">
        <v>5.1339999999999719E-3</v>
      </c>
      <c r="X8" s="52">
        <v>3.553999999999391E-3</v>
      </c>
      <c r="Y8" s="52">
        <v>0</v>
      </c>
      <c r="Z8" s="52">
        <v>2.3849999999985272E-3</v>
      </c>
      <c r="AA8" s="52">
        <v>5.738000000000909E-3</v>
      </c>
      <c r="AB8" s="52">
        <v>6.118000000000734E-3</v>
      </c>
      <c r="AC8" s="52">
        <v>1.8820000000019377E-3</v>
      </c>
      <c r="AD8" s="52">
        <v>3.2250000000004775E-3</v>
      </c>
      <c r="AE8" s="52">
        <v>2.7314999999994427E-3</v>
      </c>
      <c r="AF8" s="52">
        <v>0</v>
      </c>
      <c r="AG8" s="52">
        <v>5.1650000000069696E-4</v>
      </c>
      <c r="AH8" s="52">
        <v>8.3392000000003463E-2</v>
      </c>
      <c r="AI8" s="52">
        <v>0</v>
      </c>
      <c r="AJ8" s="52">
        <v>1.4865000000003903E-3</v>
      </c>
      <c r="AK8" s="52">
        <v>0</v>
      </c>
      <c r="AL8" s="52">
        <v>1.4886234375000001E-2</v>
      </c>
      <c r="AM8" s="52">
        <v>1.8935999999996511E-2</v>
      </c>
      <c r="AN8" s="52">
        <v>1.6400000000004411E-2</v>
      </c>
      <c r="AO8" s="52">
        <v>8.2840000000032887E-3</v>
      </c>
      <c r="AP8" s="52">
        <v>3.5160000000011848E-3</v>
      </c>
      <c r="AQ8" s="52">
        <v>1.3784000000001129E-2</v>
      </c>
      <c r="AR8" s="52">
        <v>0.19776000000001659</v>
      </c>
      <c r="AS8" s="52">
        <v>2.0885000000001597E-3</v>
      </c>
      <c r="AT8" s="52">
        <v>0</v>
      </c>
      <c r="AU8" s="52">
        <v>2.3200000000045407E-3</v>
      </c>
      <c r="AV8" s="52">
        <v>8.3750000000026859E-4</v>
      </c>
      <c r="AW8" s="52">
        <v>6.2848000000030879E-2</v>
      </c>
      <c r="AX8" s="52">
        <v>0</v>
      </c>
      <c r="AY8" s="52">
        <v>2.2155000000001479E-3</v>
      </c>
      <c r="AZ8" s="52">
        <v>0</v>
      </c>
      <c r="BA8" s="52">
        <v>0</v>
      </c>
      <c r="BB8" s="52">
        <v>0</v>
      </c>
      <c r="BC8" s="52">
        <v>0</v>
      </c>
      <c r="BD8" s="52">
        <v>9.9546875000008916E-5</v>
      </c>
      <c r="BE8" s="52">
        <v>4.7360000000011837E-3</v>
      </c>
      <c r="BF8" s="52">
        <v>0</v>
      </c>
      <c r="BG8" s="52">
        <v>8.1899999999990314E-4</v>
      </c>
      <c r="BH8" s="52">
        <v>0</v>
      </c>
      <c r="BI8" s="52">
        <v>0.10854399999999487</v>
      </c>
      <c r="BJ8" s="52">
        <v>0</v>
      </c>
      <c r="BK8" s="52">
        <v>4.2844999999998024E-3</v>
      </c>
      <c r="BL8" s="52">
        <v>0</v>
      </c>
      <c r="BM8" s="52">
        <v>9.152000000000271E-2</v>
      </c>
      <c r="BN8" s="52">
        <v>0</v>
      </c>
      <c r="BO8" s="52">
        <v>1.2617000000002321E-2</v>
      </c>
      <c r="BP8" s="52">
        <v>0</v>
      </c>
      <c r="BQ8" s="52">
        <v>0</v>
      </c>
      <c r="BR8" s="52">
        <v>0</v>
      </c>
      <c r="BS8" s="52">
        <v>0</v>
      </c>
      <c r="BT8" s="52">
        <v>1.499199999999945E-2</v>
      </c>
      <c r="BU8" s="52">
        <v>0</v>
      </c>
      <c r="BV8" s="52">
        <v>0</v>
      </c>
      <c r="BW8" s="52">
        <v>0</v>
      </c>
      <c r="BX8" s="52">
        <v>0</v>
      </c>
      <c r="BY8" s="52">
        <v>0</v>
      </c>
      <c r="BZ8" s="52">
        <v>4.4663999999997372E-2</v>
      </c>
      <c r="CA8" s="52">
        <v>1.3481187499999991E-2</v>
      </c>
      <c r="CB8" s="52">
        <v>0</v>
      </c>
      <c r="CC8" s="52">
        <v>0</v>
      </c>
      <c r="CD8" s="52">
        <v>0</v>
      </c>
      <c r="CE8" s="52">
        <v>0</v>
      </c>
      <c r="CF8" s="52">
        <v>1.3539999999991892E-3</v>
      </c>
      <c r="CG8" s="52">
        <v>0</v>
      </c>
      <c r="CH8" s="52">
        <v>6.4250000000010132E-4</v>
      </c>
      <c r="CI8" s="52">
        <v>0</v>
      </c>
      <c r="CJ8" s="52">
        <v>0</v>
      </c>
      <c r="CK8" s="52">
        <v>0</v>
      </c>
      <c r="CL8" s="52">
        <v>1.6839999999973543E-3</v>
      </c>
      <c r="CM8" s="52">
        <v>0.18662399999993795</v>
      </c>
      <c r="CN8" s="52">
        <v>1.9030000000004321E-3</v>
      </c>
      <c r="CO8" s="52">
        <v>1.7063999999990642E-2</v>
      </c>
      <c r="CP8" s="52">
        <v>0</v>
      </c>
      <c r="CQ8" s="52">
        <v>0</v>
      </c>
      <c r="CR8" s="52">
        <v>6.9719999999993121E-3</v>
      </c>
      <c r="CS8" s="52">
        <v>0</v>
      </c>
      <c r="CT8" s="52">
        <v>1.4687999999992485E-2</v>
      </c>
      <c r="CU8" s="52">
        <v>0</v>
      </c>
      <c r="CV8" s="52">
        <v>6.3075000000001324E-4</v>
      </c>
      <c r="CW8" s="52">
        <v>2.7239999999935094E-3</v>
      </c>
      <c r="CX8" s="52">
        <v>0</v>
      </c>
      <c r="CY8" s="52">
        <v>5.2900000000000169E-4</v>
      </c>
      <c r="CZ8" s="52">
        <v>3.2697500000002933E-3</v>
      </c>
      <c r="DA8" s="52">
        <v>1.1631999999998754E-2</v>
      </c>
      <c r="DB8" s="52">
        <v>4.5169999999998822E-3</v>
      </c>
      <c r="DC8" s="52">
        <v>4.7807500000001113E-3</v>
      </c>
      <c r="DD8" s="52">
        <v>1.227499999999937E-3</v>
      </c>
      <c r="DE8" s="52">
        <v>0</v>
      </c>
      <c r="DF8" s="52">
        <v>0</v>
      </c>
      <c r="DG8" s="52">
        <v>2.9814999999988601E-3</v>
      </c>
      <c r="DH8" s="52">
        <v>8.854999999998725E-4</v>
      </c>
      <c r="DI8" s="52">
        <v>0.21926399999995283</v>
      </c>
      <c r="DJ8" s="52">
        <v>0</v>
      </c>
      <c r="DK8" s="52">
        <v>2.7900000000009584E-3</v>
      </c>
      <c r="DL8" s="52">
        <v>1.1115312500000196E-3</v>
      </c>
      <c r="DM8" s="52">
        <v>1.3379999999987291E-3</v>
      </c>
      <c r="DN8" s="52">
        <v>0</v>
      </c>
      <c r="DO8" s="52">
        <v>6.9279999999878328E-3</v>
      </c>
      <c r="DP8" s="52">
        <v>2.5715000000001709E-3</v>
      </c>
      <c r="DQ8" s="52">
        <v>0</v>
      </c>
      <c r="DR8" s="52">
        <v>0</v>
      </c>
      <c r="DS8" s="52">
        <v>8.3359999999970569E-2</v>
      </c>
      <c r="DT8" s="52">
        <v>1.7525000000000013E-2</v>
      </c>
      <c r="DU8" s="52">
        <v>4.500000000007276E-5</v>
      </c>
      <c r="DV8" s="52">
        <v>4.9624999999986485E-4</v>
      </c>
      <c r="DW8" s="52">
        <v>0</v>
      </c>
      <c r="DX8" s="52">
        <v>4.1229999999998768E-3</v>
      </c>
      <c r="DY8" s="52">
        <v>2.4931249999993188E-4</v>
      </c>
      <c r="DZ8" s="52">
        <v>3.3120000000010918E-3</v>
      </c>
      <c r="EA8" s="52">
        <v>0</v>
      </c>
      <c r="EB8" s="52">
        <v>6.4768000000015036E-2</v>
      </c>
      <c r="EC8" s="52">
        <v>2.2975999999999885E-2</v>
      </c>
      <c r="ED8" s="52">
        <v>4.0867499999999168E-3</v>
      </c>
      <c r="EE8" s="52">
        <v>5.7404999999999262E-3</v>
      </c>
      <c r="EF8" s="52">
        <v>0.47522899999967194</v>
      </c>
      <c r="EG8" s="52">
        <v>0</v>
      </c>
      <c r="EH8" s="52">
        <v>3.0143999999950211E-2</v>
      </c>
      <c r="EI8" s="52">
        <v>2.592000000004191E-2</v>
      </c>
      <c r="EJ8" s="52">
        <v>2.4000000000228283E-3</v>
      </c>
      <c r="EK8" s="52">
        <v>0</v>
      </c>
      <c r="EL8" s="52">
        <v>8.5119999999960783E-2</v>
      </c>
      <c r="EM8" s="52">
        <v>0.14668800000026749</v>
      </c>
      <c r="EN8" s="52">
        <v>7.7568000000155735E-2</v>
      </c>
      <c r="EO8" s="52">
        <v>7.0400000004156027E-4</v>
      </c>
      <c r="EP8" s="52">
        <v>0</v>
      </c>
      <c r="EQ8" s="52">
        <v>0</v>
      </c>
      <c r="ER8" s="52">
        <v>0.10725599999999247</v>
      </c>
      <c r="ES8" s="52">
        <v>0</v>
      </c>
      <c r="ET8" s="52">
        <v>0</v>
      </c>
      <c r="EU8" s="52">
        <v>0</v>
      </c>
      <c r="EV8" s="52">
        <v>0</v>
      </c>
      <c r="EW8" s="52">
        <v>0</v>
      </c>
      <c r="EX8" s="52">
        <v>0</v>
      </c>
      <c r="EY8" s="52">
        <v>0</v>
      </c>
      <c r="EZ8" s="52">
        <v>0</v>
      </c>
      <c r="FA8" s="52">
        <v>0</v>
      </c>
      <c r="FB8" s="52">
        <v>0</v>
      </c>
      <c r="FC8" s="52">
        <v>0</v>
      </c>
      <c r="FD8" s="52">
        <v>0</v>
      </c>
      <c r="FE8" s="52">
        <v>0</v>
      </c>
      <c r="FF8" s="52">
        <v>0</v>
      </c>
      <c r="FG8" s="52">
        <v>0</v>
      </c>
      <c r="FH8" s="52">
        <v>0</v>
      </c>
      <c r="FI8" s="52">
        <v>0</v>
      </c>
      <c r="FJ8" s="52">
        <v>0</v>
      </c>
      <c r="FK8" s="52">
        <v>0</v>
      </c>
      <c r="FL8" s="52">
        <v>0</v>
      </c>
      <c r="FM8" s="52">
        <v>0</v>
      </c>
      <c r="FN8" s="52">
        <v>0</v>
      </c>
      <c r="FO8" s="52">
        <v>0</v>
      </c>
      <c r="FP8" s="52">
        <v>0</v>
      </c>
      <c r="FQ8" s="52">
        <v>0</v>
      </c>
      <c r="FR8" s="52">
        <v>0</v>
      </c>
      <c r="FS8" s="52">
        <v>0</v>
      </c>
      <c r="FT8" s="52">
        <v>0</v>
      </c>
      <c r="FU8" s="52">
        <v>0</v>
      </c>
      <c r="FV8" s="52">
        <v>0</v>
      </c>
      <c r="FW8" s="52">
        <v>0</v>
      </c>
      <c r="FX8" s="52">
        <v>0</v>
      </c>
      <c r="FY8" s="52">
        <v>0</v>
      </c>
      <c r="FZ8" s="52">
        <v>0</v>
      </c>
      <c r="GA8" s="52">
        <v>0</v>
      </c>
      <c r="GB8" s="52">
        <v>0</v>
      </c>
      <c r="GC8" s="52">
        <v>0</v>
      </c>
      <c r="GD8" s="52">
        <v>0</v>
      </c>
      <c r="GE8" s="52">
        <v>0</v>
      </c>
      <c r="GF8" s="52">
        <v>0</v>
      </c>
      <c r="GG8" s="52">
        <v>0</v>
      </c>
      <c r="GH8" s="52">
        <v>0</v>
      </c>
      <c r="GI8" s="52">
        <v>0</v>
      </c>
      <c r="GJ8" s="52">
        <v>0</v>
      </c>
      <c r="GK8" s="52">
        <v>0</v>
      </c>
      <c r="GL8" s="52">
        <v>0</v>
      </c>
      <c r="GM8" s="52">
        <v>0</v>
      </c>
      <c r="GN8" s="52">
        <v>0</v>
      </c>
      <c r="GO8" s="52">
        <v>0</v>
      </c>
      <c r="GP8" s="52">
        <v>0</v>
      </c>
      <c r="GQ8" s="52">
        <v>0</v>
      </c>
      <c r="GR8" s="52">
        <v>0</v>
      </c>
      <c r="GS8" s="52">
        <v>0</v>
      </c>
    </row>
    <row r="9" spans="1:201" ht="17.25" customHeight="1" x14ac:dyDescent="0.3">
      <c r="A9" s="155" t="s">
        <v>28</v>
      </c>
      <c r="B9" s="156">
        <v>1049</v>
      </c>
      <c r="C9" s="156">
        <v>0</v>
      </c>
      <c r="D9" s="156">
        <v>0.37481600000000981</v>
      </c>
      <c r="E9" s="156">
        <v>0.31548600000002125</v>
      </c>
      <c r="F9" s="156">
        <v>0.34659399999998186</v>
      </c>
      <c r="G9" s="156">
        <v>0</v>
      </c>
      <c r="H9" s="156">
        <v>0</v>
      </c>
      <c r="I9" s="156">
        <v>0</v>
      </c>
      <c r="J9" s="156">
        <v>0</v>
      </c>
      <c r="K9" s="156">
        <v>0</v>
      </c>
      <c r="L9" s="156">
        <v>0</v>
      </c>
      <c r="M9" s="156">
        <v>0</v>
      </c>
      <c r="N9" s="156">
        <v>0.18667600000003404</v>
      </c>
      <c r="O9" s="156">
        <v>0.19408999999996013</v>
      </c>
      <c r="P9" s="52">
        <v>1.0882000000002279E-2</v>
      </c>
      <c r="Q9" s="52">
        <v>0</v>
      </c>
      <c r="R9" s="52">
        <v>0.36864000000059605</v>
      </c>
      <c r="S9" s="52">
        <v>0.30924799999957031</v>
      </c>
      <c r="T9" s="52">
        <v>0.34406400000079884</v>
      </c>
      <c r="U9" s="52">
        <v>2.3735999999999535E-2</v>
      </c>
      <c r="V9" s="52">
        <v>4.8360000000009506E-3</v>
      </c>
      <c r="W9" s="52">
        <v>5.1559999999994943E-3</v>
      </c>
      <c r="X9" s="52">
        <v>4.6689999999998122E-3</v>
      </c>
      <c r="Y9" s="52">
        <v>0</v>
      </c>
      <c r="Z9" s="52">
        <v>2.4310000000014043E-3</v>
      </c>
      <c r="AA9" s="52">
        <v>6.2539999999984275E-3</v>
      </c>
      <c r="AB9" s="52">
        <v>6.4300000000017121E-3</v>
      </c>
      <c r="AC9" s="52">
        <v>1.8019999999978609E-3</v>
      </c>
      <c r="AD9" s="52">
        <v>2.4300000000003763E-3</v>
      </c>
      <c r="AE9" s="52">
        <v>4.4064999999999799E-3</v>
      </c>
      <c r="AF9" s="52">
        <v>0</v>
      </c>
      <c r="AG9" s="52">
        <v>5.1899999999971413E-4</v>
      </c>
      <c r="AH9" s="52">
        <v>9.0368000000012216E-2</v>
      </c>
      <c r="AI9" s="52">
        <v>0</v>
      </c>
      <c r="AJ9" s="52">
        <v>2.5209999999997734E-3</v>
      </c>
      <c r="AK9" s="52">
        <v>0</v>
      </c>
      <c r="AL9" s="52">
        <v>1.6865468750000001E-2</v>
      </c>
      <c r="AM9" s="52">
        <v>2.0024000000006481E-2</v>
      </c>
      <c r="AN9" s="52">
        <v>1.6175999999987312E-2</v>
      </c>
      <c r="AO9" s="52">
        <v>8.8360000000022865E-3</v>
      </c>
      <c r="AP9" s="52">
        <v>3.029999999998978E-3</v>
      </c>
      <c r="AQ9" s="52">
        <v>1.4315999999993778E-2</v>
      </c>
      <c r="AR9" s="52">
        <v>0.22195199999998749</v>
      </c>
      <c r="AS9" s="52">
        <v>2.9260000000004283E-3</v>
      </c>
      <c r="AT9" s="52">
        <v>0</v>
      </c>
      <c r="AU9" s="52">
        <v>2.1679999999975053E-3</v>
      </c>
      <c r="AV9" s="52">
        <v>2.6405000000000456E-3</v>
      </c>
      <c r="AW9" s="52">
        <v>7.0463999999901716E-2</v>
      </c>
      <c r="AX9" s="52">
        <v>0</v>
      </c>
      <c r="AY9" s="52">
        <v>2.458999999999989E-3</v>
      </c>
      <c r="AZ9" s="52">
        <v>0</v>
      </c>
      <c r="BA9" s="52">
        <v>0</v>
      </c>
      <c r="BB9" s="52">
        <v>0</v>
      </c>
      <c r="BC9" s="52">
        <v>0</v>
      </c>
      <c r="BD9" s="52">
        <v>2.476406250000035E-4</v>
      </c>
      <c r="BE9" s="52">
        <v>4.8040000000000305E-3</v>
      </c>
      <c r="BF9" s="52">
        <v>0</v>
      </c>
      <c r="BG9" s="52">
        <v>1.9020000000011805E-3</v>
      </c>
      <c r="BH9" s="52">
        <v>0</v>
      </c>
      <c r="BI9" s="52">
        <v>0.11817600000000539</v>
      </c>
      <c r="BJ9" s="52">
        <v>2.1199999999765851E-4</v>
      </c>
      <c r="BK9" s="52">
        <v>5.2510000000003387E-3</v>
      </c>
      <c r="BL9" s="52">
        <v>0</v>
      </c>
      <c r="BM9" s="52">
        <v>0.15280000000001337</v>
      </c>
      <c r="BN9" s="52">
        <v>0</v>
      </c>
      <c r="BO9" s="52">
        <v>7.507699999999673E-2</v>
      </c>
      <c r="BP9" s="52">
        <v>0</v>
      </c>
      <c r="BQ9" s="52">
        <v>0</v>
      </c>
      <c r="BR9" s="52">
        <v>0</v>
      </c>
      <c r="BS9" s="52">
        <v>0</v>
      </c>
      <c r="BT9" s="52">
        <v>9.2399999999983606E-3</v>
      </c>
      <c r="BU9" s="52">
        <v>0</v>
      </c>
      <c r="BV9" s="52">
        <v>0</v>
      </c>
      <c r="BW9" s="52">
        <v>0</v>
      </c>
      <c r="BX9" s="52">
        <v>0</v>
      </c>
      <c r="BY9" s="52">
        <v>0</v>
      </c>
      <c r="BZ9" s="52">
        <v>4.5368000000010511E-2</v>
      </c>
      <c r="CA9" s="52">
        <v>1.7783437499999999E-2</v>
      </c>
      <c r="CB9" s="52">
        <v>0</v>
      </c>
      <c r="CC9" s="52">
        <v>0</v>
      </c>
      <c r="CD9" s="52">
        <v>0</v>
      </c>
      <c r="CE9" s="52">
        <v>0</v>
      </c>
      <c r="CF9" s="52">
        <v>1.4939999999992182E-3</v>
      </c>
      <c r="CG9" s="52">
        <v>0</v>
      </c>
      <c r="CH9" s="52">
        <v>6.2974999999987347E-4</v>
      </c>
      <c r="CI9" s="52">
        <v>0</v>
      </c>
      <c r="CJ9" s="52">
        <v>0</v>
      </c>
      <c r="CK9" s="52">
        <v>0</v>
      </c>
      <c r="CL9" s="52">
        <v>1.8900000000030559E-3</v>
      </c>
      <c r="CM9" s="52">
        <v>0.2196480000000065</v>
      </c>
      <c r="CN9" s="52">
        <v>2.0930000000003446E-3</v>
      </c>
      <c r="CO9" s="52">
        <v>2.1096000000000004E-2</v>
      </c>
      <c r="CP9" s="52">
        <v>0</v>
      </c>
      <c r="CQ9" s="52">
        <v>0</v>
      </c>
      <c r="CR9" s="52">
        <v>7.1360000000009194E-3</v>
      </c>
      <c r="CS9" s="52">
        <v>0</v>
      </c>
      <c r="CT9" s="52">
        <v>1.4936000000005833E-2</v>
      </c>
      <c r="CU9" s="52">
        <v>0</v>
      </c>
      <c r="CV9" s="52">
        <v>6.9862499999984173E-4</v>
      </c>
      <c r="CW9" s="52">
        <v>9.8080000000067002E-3</v>
      </c>
      <c r="CX9" s="52">
        <v>0</v>
      </c>
      <c r="CY9" s="52">
        <v>6.9799999999986539E-4</v>
      </c>
      <c r="CZ9" s="52">
        <v>2.2217499999999113E-3</v>
      </c>
      <c r="DA9" s="52">
        <v>1.1507999999999186E-2</v>
      </c>
      <c r="DB9" s="52">
        <v>4.946000000000339E-3</v>
      </c>
      <c r="DC9" s="52">
        <v>8.2706249999999759E-3</v>
      </c>
      <c r="DD9" s="52">
        <v>1.2669999999999071E-3</v>
      </c>
      <c r="DE9" s="52">
        <v>0</v>
      </c>
      <c r="DF9" s="52">
        <v>0</v>
      </c>
      <c r="DG9" s="52">
        <v>2.9900000000004923E-3</v>
      </c>
      <c r="DH9" s="52">
        <v>5.8950000000024261E-4</v>
      </c>
      <c r="DI9" s="52">
        <v>0.24230399999999008</v>
      </c>
      <c r="DJ9" s="52">
        <v>0</v>
      </c>
      <c r="DK9" s="52">
        <v>2.7819999999998402E-3</v>
      </c>
      <c r="DL9" s="52">
        <v>1.1047343749999994E-3</v>
      </c>
      <c r="DM9" s="52">
        <v>1.642999999999617E-3</v>
      </c>
      <c r="DN9" s="52">
        <v>0</v>
      </c>
      <c r="DO9" s="52">
        <v>1.2096000000013873E-2</v>
      </c>
      <c r="DP9" s="52">
        <v>2.039500000000416E-3</v>
      </c>
      <c r="DQ9" s="52">
        <v>0</v>
      </c>
      <c r="DR9" s="52">
        <v>0</v>
      </c>
      <c r="DS9" s="52">
        <v>9.0208000000018274E-2</v>
      </c>
      <c r="DT9" s="52">
        <v>1.8307499999999699E-2</v>
      </c>
      <c r="DU9" s="52">
        <v>1.5999999998683734E-5</v>
      </c>
      <c r="DV9" s="52">
        <v>5.0000000000016698E-4</v>
      </c>
      <c r="DW9" s="52">
        <v>0</v>
      </c>
      <c r="DX9" s="52">
        <v>4.0309999999994517E-3</v>
      </c>
      <c r="DY9" s="52">
        <v>2.4831250000001415E-4</v>
      </c>
      <c r="DZ9" s="52">
        <v>5.046000000000106E-3</v>
      </c>
      <c r="EA9" s="52">
        <v>0</v>
      </c>
      <c r="EB9" s="52">
        <v>6.3599999999979673E-2</v>
      </c>
      <c r="EC9" s="52">
        <v>3.4255999999999176E-2</v>
      </c>
      <c r="ED9" s="52">
        <v>4.8395000000001076E-3</v>
      </c>
      <c r="EE9" s="52">
        <v>5.8300000000004459E-3</v>
      </c>
      <c r="EF9" s="52">
        <v>0.5138569999999163</v>
      </c>
      <c r="EG9" s="52">
        <v>0</v>
      </c>
      <c r="EH9" s="52">
        <v>4.2816000000016174E-2</v>
      </c>
      <c r="EI9" s="52">
        <v>2.2975999999971464E-2</v>
      </c>
      <c r="EJ9" s="52">
        <v>2.4319999999988795E-3</v>
      </c>
      <c r="EK9" s="52">
        <v>0</v>
      </c>
      <c r="EL9" s="52">
        <v>0.10406400000010763</v>
      </c>
      <c r="EM9" s="52">
        <v>0.14950399999997899</v>
      </c>
      <c r="EN9" s="52">
        <v>8.0383999999867228E-2</v>
      </c>
      <c r="EO9" s="52">
        <v>7.6799999999366264E-4</v>
      </c>
      <c r="EP9" s="52">
        <v>0</v>
      </c>
      <c r="EQ9" s="52">
        <v>0</v>
      </c>
      <c r="ER9" s="52">
        <v>0.11014600000001451</v>
      </c>
      <c r="ES9" s="52">
        <v>0</v>
      </c>
      <c r="ET9" s="52">
        <v>0</v>
      </c>
      <c r="EU9" s="52">
        <v>0</v>
      </c>
      <c r="EV9" s="52">
        <v>0</v>
      </c>
      <c r="EW9" s="52">
        <v>0</v>
      </c>
      <c r="EX9" s="52">
        <v>0</v>
      </c>
      <c r="EY9" s="52">
        <v>0</v>
      </c>
      <c r="EZ9" s="52">
        <v>0</v>
      </c>
      <c r="FA9" s="52">
        <v>0</v>
      </c>
      <c r="FB9" s="52">
        <v>0</v>
      </c>
      <c r="FC9" s="52">
        <v>0</v>
      </c>
      <c r="FD9" s="52">
        <v>0</v>
      </c>
      <c r="FE9" s="52">
        <v>0</v>
      </c>
      <c r="FF9" s="52">
        <v>0</v>
      </c>
      <c r="FG9" s="52">
        <v>0</v>
      </c>
      <c r="FH9" s="52">
        <v>0</v>
      </c>
      <c r="FI9" s="52">
        <v>0</v>
      </c>
      <c r="FJ9" s="52">
        <v>0</v>
      </c>
      <c r="FK9" s="52">
        <v>0</v>
      </c>
      <c r="FL9" s="52">
        <v>0</v>
      </c>
      <c r="FM9" s="52">
        <v>0</v>
      </c>
      <c r="FN9" s="52">
        <v>0</v>
      </c>
      <c r="FO9" s="52">
        <v>0</v>
      </c>
      <c r="FP9" s="52">
        <v>0</v>
      </c>
      <c r="FQ9" s="52">
        <v>0</v>
      </c>
      <c r="FR9" s="52">
        <v>0</v>
      </c>
      <c r="FS9" s="52">
        <v>0</v>
      </c>
      <c r="FT9" s="52">
        <v>0</v>
      </c>
      <c r="FU9" s="52">
        <v>0</v>
      </c>
      <c r="FV9" s="52">
        <v>0</v>
      </c>
      <c r="FW9" s="52">
        <v>0</v>
      </c>
      <c r="FX9" s="52">
        <v>0</v>
      </c>
      <c r="FY9" s="52">
        <v>0</v>
      </c>
      <c r="FZ9" s="52">
        <v>0</v>
      </c>
      <c r="GA9" s="52">
        <v>0</v>
      </c>
      <c r="GB9" s="52">
        <v>0</v>
      </c>
      <c r="GC9" s="52">
        <v>0</v>
      </c>
      <c r="GD9" s="52">
        <v>0</v>
      </c>
      <c r="GE9" s="52">
        <v>0</v>
      </c>
      <c r="GF9" s="52">
        <v>0</v>
      </c>
      <c r="GG9" s="52">
        <v>0</v>
      </c>
      <c r="GH9" s="52">
        <v>0</v>
      </c>
      <c r="GI9" s="52">
        <v>0</v>
      </c>
      <c r="GJ9" s="52">
        <v>0</v>
      </c>
      <c r="GK9" s="52">
        <v>0</v>
      </c>
      <c r="GL9" s="52">
        <v>0</v>
      </c>
      <c r="GM9" s="52">
        <v>0</v>
      </c>
      <c r="GN9" s="52">
        <v>0</v>
      </c>
      <c r="GO9" s="52">
        <v>0</v>
      </c>
      <c r="GP9" s="52">
        <v>0</v>
      </c>
      <c r="GQ9" s="52">
        <v>0</v>
      </c>
      <c r="GR9" s="52">
        <v>0</v>
      </c>
      <c r="GS9" s="52">
        <v>0</v>
      </c>
    </row>
    <row r="10" spans="1:201" ht="17.25" customHeight="1" x14ac:dyDescent="0.3">
      <c r="A10" s="155" t="s">
        <v>29</v>
      </c>
      <c r="B10" s="156">
        <v>1082.875</v>
      </c>
      <c r="C10" s="156">
        <v>0</v>
      </c>
      <c r="D10" s="156">
        <v>0.39205499999991389</v>
      </c>
      <c r="E10" s="156">
        <v>0.33340399999997317</v>
      </c>
      <c r="F10" s="156">
        <v>0.37921299999999292</v>
      </c>
      <c r="G10" s="156">
        <v>0</v>
      </c>
      <c r="H10" s="156">
        <v>0</v>
      </c>
      <c r="I10" s="156">
        <v>0</v>
      </c>
      <c r="J10" s="156">
        <v>0</v>
      </c>
      <c r="K10" s="156">
        <v>0</v>
      </c>
      <c r="L10" s="156">
        <v>0</v>
      </c>
      <c r="M10" s="156">
        <v>0</v>
      </c>
      <c r="N10" s="156">
        <v>0.12902299999996103</v>
      </c>
      <c r="O10" s="156">
        <v>0.13587200000017674</v>
      </c>
      <c r="P10" s="52">
        <v>7.2119999999955553E-3</v>
      </c>
      <c r="Q10" s="52">
        <v>0</v>
      </c>
      <c r="R10" s="52">
        <v>0.38297599999714294</v>
      </c>
      <c r="S10" s="52">
        <v>0.31641600000057224</v>
      </c>
      <c r="T10" s="52">
        <v>0.35840000000098371</v>
      </c>
      <c r="U10" s="52">
        <v>2.2944000000009623E-2</v>
      </c>
      <c r="V10" s="52">
        <v>5.8539999999993597E-3</v>
      </c>
      <c r="W10" s="52">
        <v>5.2830000000003707E-3</v>
      </c>
      <c r="X10" s="52">
        <v>4.2640000000009337E-3</v>
      </c>
      <c r="Y10" s="52">
        <v>0</v>
      </c>
      <c r="Z10" s="52">
        <v>2.4409999999992493E-3</v>
      </c>
      <c r="AA10" s="52">
        <v>6.6600000000001103E-3</v>
      </c>
      <c r="AB10" s="52">
        <v>6.4279999999996562E-3</v>
      </c>
      <c r="AC10" s="52">
        <v>1.2680000000031555E-3</v>
      </c>
      <c r="AD10" s="52">
        <v>2.7669999999986317E-3</v>
      </c>
      <c r="AE10" s="52">
        <v>3.283000000000591E-3</v>
      </c>
      <c r="AF10" s="52">
        <v>0</v>
      </c>
      <c r="AG10" s="52">
        <v>2.5979999999998782E-3</v>
      </c>
      <c r="AH10" s="52">
        <v>8.7455999999974665E-2</v>
      </c>
      <c r="AI10" s="52">
        <v>0</v>
      </c>
      <c r="AJ10" s="52">
        <v>2.5044999999996875E-3</v>
      </c>
      <c r="AK10" s="52">
        <v>0</v>
      </c>
      <c r="AL10" s="52">
        <v>1.5327484375000006E-2</v>
      </c>
      <c r="AM10" s="52">
        <v>1.9784000000001356E-2</v>
      </c>
      <c r="AN10" s="52">
        <v>1.5760000000000218E-2</v>
      </c>
      <c r="AO10" s="52">
        <v>8.2159999999973365E-3</v>
      </c>
      <c r="AP10" s="52">
        <v>2.9420000000008883E-3</v>
      </c>
      <c r="AQ10" s="52">
        <v>1.424400000000503E-2</v>
      </c>
      <c r="AR10" s="52">
        <v>0.20019200000001547</v>
      </c>
      <c r="AS10" s="52">
        <v>3.6540000000000461E-3</v>
      </c>
      <c r="AT10" s="52">
        <v>0</v>
      </c>
      <c r="AU10" s="52">
        <v>2.0960000000016521E-3</v>
      </c>
      <c r="AV10" s="52">
        <v>2.7334999999997223E-3</v>
      </c>
      <c r="AW10" s="52">
        <v>4.9024000000031265E-2</v>
      </c>
      <c r="AX10" s="52">
        <v>0</v>
      </c>
      <c r="AY10" s="52">
        <v>3.6485000000006096E-3</v>
      </c>
      <c r="AZ10" s="52">
        <v>0</v>
      </c>
      <c r="BA10" s="52">
        <v>0</v>
      </c>
      <c r="BB10" s="52">
        <v>0</v>
      </c>
      <c r="BC10" s="52">
        <v>0</v>
      </c>
      <c r="BD10" s="52">
        <v>1.0481249999999553E-4</v>
      </c>
      <c r="BE10" s="52">
        <v>4.7180000000004441E-3</v>
      </c>
      <c r="BF10" s="52">
        <v>0</v>
      </c>
      <c r="BG10" s="52">
        <v>4.9800000000033151E-4</v>
      </c>
      <c r="BH10" s="52">
        <v>0</v>
      </c>
      <c r="BI10" s="52">
        <v>0.11785599999996066</v>
      </c>
      <c r="BJ10" s="52">
        <v>3.2000000000209639E-4</v>
      </c>
      <c r="BK10" s="52">
        <v>4.1244999999996423E-3</v>
      </c>
      <c r="BL10" s="52">
        <v>0</v>
      </c>
      <c r="BM10" s="52">
        <v>0.11779199999995171</v>
      </c>
      <c r="BN10" s="52">
        <v>0</v>
      </c>
      <c r="BO10" s="52">
        <v>4.2221000000001396E-2</v>
      </c>
      <c r="BP10" s="52">
        <v>0</v>
      </c>
      <c r="BQ10" s="52">
        <v>0</v>
      </c>
      <c r="BR10" s="52">
        <v>0</v>
      </c>
      <c r="BS10" s="52">
        <v>0</v>
      </c>
      <c r="BT10" s="52">
        <v>7.975999999999317E-3</v>
      </c>
      <c r="BU10" s="52">
        <v>0</v>
      </c>
      <c r="BV10" s="52">
        <v>0</v>
      </c>
      <c r="BW10" s="52">
        <v>0</v>
      </c>
      <c r="BX10" s="52">
        <v>0</v>
      </c>
      <c r="BY10" s="52">
        <v>0</v>
      </c>
      <c r="BZ10" s="52">
        <v>4.5031999999991967E-2</v>
      </c>
      <c r="CA10" s="52">
        <v>1.5408968750000029E-2</v>
      </c>
      <c r="CB10" s="52">
        <v>0</v>
      </c>
      <c r="CC10" s="52">
        <v>0</v>
      </c>
      <c r="CD10" s="52">
        <v>0</v>
      </c>
      <c r="CE10" s="52">
        <v>0</v>
      </c>
      <c r="CF10" s="52">
        <v>1.4460000000013906E-3</v>
      </c>
      <c r="CG10" s="52">
        <v>0</v>
      </c>
      <c r="CH10" s="52">
        <v>6.327500000002928E-4</v>
      </c>
      <c r="CI10" s="52">
        <v>0</v>
      </c>
      <c r="CJ10" s="52">
        <v>0</v>
      </c>
      <c r="CK10" s="52">
        <v>0</v>
      </c>
      <c r="CL10" s="52">
        <v>2.5019999999997822E-3</v>
      </c>
      <c r="CM10" s="52">
        <v>0.20454400000016904</v>
      </c>
      <c r="CN10" s="52">
        <v>1.9179999999998643E-3</v>
      </c>
      <c r="CO10" s="52">
        <v>2.4256000000008271E-2</v>
      </c>
      <c r="CP10" s="52">
        <v>0</v>
      </c>
      <c r="CQ10" s="52">
        <v>0</v>
      </c>
      <c r="CR10" s="52">
        <v>8.6169999999992086E-3</v>
      </c>
      <c r="CS10" s="52">
        <v>0</v>
      </c>
      <c r="CT10" s="52">
        <v>1.5255999999993719E-2</v>
      </c>
      <c r="CU10" s="52">
        <v>0</v>
      </c>
      <c r="CV10" s="52">
        <v>7.7187500000008846E-4</v>
      </c>
      <c r="CW10" s="52">
        <v>5.755999999998096E-3</v>
      </c>
      <c r="CX10" s="52">
        <v>0</v>
      </c>
      <c r="CY10" s="52">
        <v>6.6900000000025273E-4</v>
      </c>
      <c r="CZ10" s="52">
        <v>1.1112500000001191E-3</v>
      </c>
      <c r="DA10" s="52">
        <v>1.1639999999999873E-2</v>
      </c>
      <c r="DB10" s="52">
        <v>5.1749999999994856E-3</v>
      </c>
      <c r="DC10" s="52">
        <v>8.2638749999999206E-3</v>
      </c>
      <c r="DD10" s="52">
        <v>1.2627500000002012E-3</v>
      </c>
      <c r="DE10" s="52">
        <v>0</v>
      </c>
      <c r="DF10" s="52">
        <v>0</v>
      </c>
      <c r="DG10" s="52">
        <v>8.0200000000019145E-4</v>
      </c>
      <c r="DH10" s="52">
        <v>8.8349999999959294E-4</v>
      </c>
      <c r="DI10" s="52">
        <v>0.22636800000009316</v>
      </c>
      <c r="DJ10" s="52">
        <v>0</v>
      </c>
      <c r="DK10" s="52">
        <v>2.7580000000000382E-3</v>
      </c>
      <c r="DL10" s="52">
        <v>1.0883281249999821E-3</v>
      </c>
      <c r="DM10" s="52">
        <v>1.7610000000001236E-3</v>
      </c>
      <c r="DN10" s="52">
        <v>1.3993750000007577E-4</v>
      </c>
      <c r="DO10" s="52">
        <v>1.8095999999985679E-2</v>
      </c>
      <c r="DP10" s="52">
        <v>2.7869999999996509E-3</v>
      </c>
      <c r="DQ10" s="52">
        <v>0</v>
      </c>
      <c r="DR10" s="52">
        <v>0</v>
      </c>
      <c r="DS10" s="52">
        <v>8.5023999999975786E-2</v>
      </c>
      <c r="DT10" s="52">
        <v>1.8164000000000513E-2</v>
      </c>
      <c r="DU10" s="52">
        <v>0</v>
      </c>
      <c r="DV10" s="52">
        <v>4.8049999999966175E-4</v>
      </c>
      <c r="DW10" s="52">
        <v>0</v>
      </c>
      <c r="DX10" s="52">
        <v>3.58300000000078E-3</v>
      </c>
      <c r="DY10" s="52">
        <v>2.4868750000006656E-4</v>
      </c>
      <c r="DZ10" s="52">
        <v>5.0399999999974909E-3</v>
      </c>
      <c r="EA10" s="52">
        <v>0</v>
      </c>
      <c r="EB10" s="52">
        <v>5.4656000000022686E-2</v>
      </c>
      <c r="EC10" s="52">
        <v>3.3199999999993679E-2</v>
      </c>
      <c r="ED10" s="52">
        <v>2.5439999999998797E-3</v>
      </c>
      <c r="EE10" s="52">
        <v>5.7010000000001781E-3</v>
      </c>
      <c r="EF10" s="52">
        <v>0.53402000000005501</v>
      </c>
      <c r="EG10" s="52">
        <v>0</v>
      </c>
      <c r="EH10" s="52">
        <v>3.4687999999960084E-2</v>
      </c>
      <c r="EI10" s="52">
        <v>2.777600000001712E-2</v>
      </c>
      <c r="EJ10" s="52">
        <v>1.7920000000231084E-3</v>
      </c>
      <c r="EK10" s="52">
        <v>0</v>
      </c>
      <c r="EL10" s="52">
        <v>0.11404799999991155</v>
      </c>
      <c r="EM10" s="52">
        <v>0.1574399999999514</v>
      </c>
      <c r="EN10" s="52">
        <v>7.8848000000107277E-2</v>
      </c>
      <c r="EO10" s="52">
        <v>7.6799999999366264E-4</v>
      </c>
      <c r="EP10" s="52">
        <v>0</v>
      </c>
      <c r="EQ10" s="52">
        <v>0</v>
      </c>
      <c r="ER10" s="52">
        <v>0.11126799999999548</v>
      </c>
      <c r="ES10" s="52">
        <v>0</v>
      </c>
      <c r="ET10" s="52">
        <v>0</v>
      </c>
      <c r="EU10" s="52">
        <v>0</v>
      </c>
      <c r="EV10" s="52">
        <v>0</v>
      </c>
      <c r="EW10" s="52">
        <v>0</v>
      </c>
      <c r="EX10" s="52">
        <v>0</v>
      </c>
      <c r="EY10" s="52">
        <v>0</v>
      </c>
      <c r="EZ10" s="52">
        <v>0</v>
      </c>
      <c r="FA10" s="52">
        <v>0</v>
      </c>
      <c r="FB10" s="52">
        <v>0</v>
      </c>
      <c r="FC10" s="52">
        <v>0</v>
      </c>
      <c r="FD10" s="52">
        <v>0</v>
      </c>
      <c r="FE10" s="52">
        <v>0</v>
      </c>
      <c r="FF10" s="52">
        <v>0</v>
      </c>
      <c r="FG10" s="52">
        <v>0</v>
      </c>
      <c r="FH10" s="52">
        <v>0</v>
      </c>
      <c r="FI10" s="52">
        <v>0</v>
      </c>
      <c r="FJ10" s="52">
        <v>0</v>
      </c>
      <c r="FK10" s="52">
        <v>0</v>
      </c>
      <c r="FL10" s="52">
        <v>0</v>
      </c>
      <c r="FM10" s="52">
        <v>0</v>
      </c>
      <c r="FN10" s="52">
        <v>0</v>
      </c>
      <c r="FO10" s="52">
        <v>0</v>
      </c>
      <c r="FP10" s="52">
        <v>0</v>
      </c>
      <c r="FQ10" s="52">
        <v>0</v>
      </c>
      <c r="FR10" s="52">
        <v>0</v>
      </c>
      <c r="FS10" s="52">
        <v>0</v>
      </c>
      <c r="FT10" s="52">
        <v>0</v>
      </c>
      <c r="FU10" s="52">
        <v>0</v>
      </c>
      <c r="FV10" s="52">
        <v>0</v>
      </c>
      <c r="FW10" s="52">
        <v>0</v>
      </c>
      <c r="FX10" s="52">
        <v>0</v>
      </c>
      <c r="FY10" s="52">
        <v>0</v>
      </c>
      <c r="FZ10" s="52">
        <v>0</v>
      </c>
      <c r="GA10" s="52">
        <v>0</v>
      </c>
      <c r="GB10" s="52">
        <v>0</v>
      </c>
      <c r="GC10" s="52">
        <v>0</v>
      </c>
      <c r="GD10" s="52">
        <v>0</v>
      </c>
      <c r="GE10" s="52">
        <v>0</v>
      </c>
      <c r="GF10" s="52">
        <v>0</v>
      </c>
      <c r="GG10" s="52">
        <v>0</v>
      </c>
      <c r="GH10" s="52">
        <v>0</v>
      </c>
      <c r="GI10" s="52">
        <v>0</v>
      </c>
      <c r="GJ10" s="52">
        <v>0</v>
      </c>
      <c r="GK10" s="52">
        <v>0</v>
      </c>
      <c r="GL10" s="52">
        <v>0</v>
      </c>
      <c r="GM10" s="52">
        <v>0</v>
      </c>
      <c r="GN10" s="52">
        <v>0</v>
      </c>
      <c r="GO10" s="52">
        <v>0</v>
      </c>
      <c r="GP10" s="52">
        <v>0</v>
      </c>
      <c r="GQ10" s="52">
        <v>0</v>
      </c>
      <c r="GR10" s="52">
        <v>0</v>
      </c>
      <c r="GS10" s="52">
        <v>0</v>
      </c>
    </row>
    <row r="11" spans="1:201" ht="17.25" customHeight="1" x14ac:dyDescent="0.3">
      <c r="A11" s="155" t="s">
        <v>30</v>
      </c>
      <c r="B11" s="156">
        <v>527.25</v>
      </c>
      <c r="C11" s="156">
        <v>0</v>
      </c>
      <c r="D11" s="156">
        <v>0.15907700000013847</v>
      </c>
      <c r="E11" s="156">
        <v>0.15793200000001661</v>
      </c>
      <c r="F11" s="156">
        <v>0.17751900000001797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0.39421000000004369</v>
      </c>
      <c r="O11" s="156">
        <v>0.40577499999983502</v>
      </c>
      <c r="P11" s="52">
        <v>2.5488000000002842E-2</v>
      </c>
      <c r="Q11" s="52">
        <v>0</v>
      </c>
      <c r="R11" s="52">
        <v>0.17817600000125822</v>
      </c>
      <c r="S11" s="52">
        <v>0.1530880000000252</v>
      </c>
      <c r="T11" s="52">
        <v>0.16998400000011316</v>
      </c>
      <c r="U11" s="52">
        <v>1.8615999999994415E-2</v>
      </c>
      <c r="V11" s="52">
        <v>5.0619999999987897E-3</v>
      </c>
      <c r="W11" s="52">
        <v>5.3729999999987399E-3</v>
      </c>
      <c r="X11" s="52">
        <v>4.4899999999987728E-3</v>
      </c>
      <c r="Y11" s="52">
        <v>0</v>
      </c>
      <c r="Z11" s="52">
        <v>2.3999999999997357E-3</v>
      </c>
      <c r="AA11" s="52">
        <v>6.5500000000007219E-3</v>
      </c>
      <c r="AB11" s="52">
        <v>6.7719999999980018E-3</v>
      </c>
      <c r="AC11" s="52">
        <v>9.4999999999956231E-4</v>
      </c>
      <c r="AD11" s="52">
        <v>2.4550000000012062E-3</v>
      </c>
      <c r="AE11" s="52">
        <v>3.8834999999997066E-3</v>
      </c>
      <c r="AF11" s="52">
        <v>0</v>
      </c>
      <c r="AG11" s="52">
        <v>3.3760000000002677E-3</v>
      </c>
      <c r="AH11" s="52">
        <v>8.7072000000034677E-2</v>
      </c>
      <c r="AI11" s="52">
        <v>0</v>
      </c>
      <c r="AJ11" s="52">
        <v>2.5250000000003325E-3</v>
      </c>
      <c r="AK11" s="52">
        <v>0</v>
      </c>
      <c r="AL11" s="52">
        <v>1.7590453124999988E-2</v>
      </c>
      <c r="AM11" s="52">
        <v>1.9815999999991618E-2</v>
      </c>
      <c r="AN11" s="52">
        <v>1.5176000000010959E-2</v>
      </c>
      <c r="AO11" s="52">
        <v>7.9840000000004352E-3</v>
      </c>
      <c r="AP11" s="52">
        <v>2.9699999999976967E-3</v>
      </c>
      <c r="AQ11" s="52">
        <v>1.3688000000001921E-2</v>
      </c>
      <c r="AR11" s="52">
        <v>0.18636800000001585</v>
      </c>
      <c r="AS11" s="52">
        <v>3.8314999999995436E-3</v>
      </c>
      <c r="AT11" s="52">
        <v>0</v>
      </c>
      <c r="AU11" s="52">
        <v>2.1199999999979013E-3</v>
      </c>
      <c r="AV11" s="52">
        <v>1.2445000000003148E-3</v>
      </c>
      <c r="AW11" s="52">
        <v>5.4144000000064807E-2</v>
      </c>
      <c r="AX11" s="52">
        <v>0</v>
      </c>
      <c r="AY11" s="52">
        <v>2.4099999999993571E-3</v>
      </c>
      <c r="AZ11" s="52">
        <v>0</v>
      </c>
      <c r="BA11" s="52">
        <v>0</v>
      </c>
      <c r="BB11" s="52">
        <v>0</v>
      </c>
      <c r="BC11" s="52">
        <v>0</v>
      </c>
      <c r="BD11" s="52">
        <v>9.8460937500002843E-5</v>
      </c>
      <c r="BE11" s="52">
        <v>4.7839999999972349E-3</v>
      </c>
      <c r="BF11" s="52">
        <v>0</v>
      </c>
      <c r="BG11" s="52">
        <v>9.9299999999935551E-4</v>
      </c>
      <c r="BH11" s="52">
        <v>0</v>
      </c>
      <c r="BI11" s="52">
        <v>0.10438400000003867</v>
      </c>
      <c r="BJ11" s="52">
        <v>0</v>
      </c>
      <c r="BK11" s="52">
        <v>1.9495000000002705E-3</v>
      </c>
      <c r="BL11" s="52">
        <v>0</v>
      </c>
      <c r="BM11" s="52">
        <v>0.13142400000003818</v>
      </c>
      <c r="BN11" s="52">
        <v>0</v>
      </c>
      <c r="BO11" s="52">
        <v>6.7983999999999156E-2</v>
      </c>
      <c r="BP11" s="52">
        <v>0</v>
      </c>
      <c r="BQ11" s="52">
        <v>0</v>
      </c>
      <c r="BR11" s="52">
        <v>0</v>
      </c>
      <c r="BS11" s="52">
        <v>0</v>
      </c>
      <c r="BT11" s="52">
        <v>8.3559999999991419E-3</v>
      </c>
      <c r="BU11" s="52">
        <v>0</v>
      </c>
      <c r="BV11" s="52">
        <v>0</v>
      </c>
      <c r="BW11" s="52">
        <v>0</v>
      </c>
      <c r="BX11" s="52">
        <v>0</v>
      </c>
      <c r="BY11" s="52">
        <v>0</v>
      </c>
      <c r="BZ11" s="52">
        <v>3.6400000000000432E-2</v>
      </c>
      <c r="CA11" s="52">
        <v>1.3728406249999991E-2</v>
      </c>
      <c r="CB11" s="52">
        <v>0</v>
      </c>
      <c r="CC11" s="52">
        <v>0</v>
      </c>
      <c r="CD11" s="52">
        <v>0</v>
      </c>
      <c r="CE11" s="52">
        <v>0</v>
      </c>
      <c r="CF11" s="52">
        <v>5.959999999998189E-4</v>
      </c>
      <c r="CG11" s="52">
        <v>0</v>
      </c>
      <c r="CH11" s="52">
        <v>6.4124999999970456E-4</v>
      </c>
      <c r="CI11" s="52">
        <v>0</v>
      </c>
      <c r="CJ11" s="52">
        <v>0</v>
      </c>
      <c r="CK11" s="52">
        <v>0</v>
      </c>
      <c r="CL11" s="52">
        <v>1.6660000000001673E-3</v>
      </c>
      <c r="CM11" s="52">
        <v>0.21529599999985294</v>
      </c>
      <c r="CN11" s="52">
        <v>2.0489999999995234E-3</v>
      </c>
      <c r="CO11" s="52">
        <v>2.5695999999996388E-2</v>
      </c>
      <c r="CP11" s="52">
        <v>0</v>
      </c>
      <c r="CQ11" s="52">
        <v>0</v>
      </c>
      <c r="CR11" s="52">
        <v>8.7020000000013198E-3</v>
      </c>
      <c r="CS11" s="52">
        <v>0</v>
      </c>
      <c r="CT11" s="52">
        <v>1.6224000000008232E-2</v>
      </c>
      <c r="CU11" s="52">
        <v>0</v>
      </c>
      <c r="CV11" s="52">
        <v>8.4637500000006582E-4</v>
      </c>
      <c r="CW11" s="52">
        <v>8.9279999999973825E-3</v>
      </c>
      <c r="CX11" s="52">
        <v>0</v>
      </c>
      <c r="CY11" s="52">
        <v>7.0999999999998842E-4</v>
      </c>
      <c r="CZ11" s="52">
        <v>1.0135000000000005E-3</v>
      </c>
      <c r="DA11" s="52">
        <v>1.1500000000005173E-2</v>
      </c>
      <c r="DB11" s="52">
        <v>5.1570000000005223E-3</v>
      </c>
      <c r="DC11" s="52">
        <v>8.2374999999998977E-3</v>
      </c>
      <c r="DD11" s="52">
        <v>1.261374999999898E-3</v>
      </c>
      <c r="DE11" s="52">
        <v>0</v>
      </c>
      <c r="DF11" s="52">
        <v>0</v>
      </c>
      <c r="DG11" s="52">
        <v>1.0215000000002306E-3</v>
      </c>
      <c r="DH11" s="52">
        <v>6.590000000006313E-4</v>
      </c>
      <c r="DI11" s="52">
        <v>0.22278399999993326</v>
      </c>
      <c r="DJ11" s="52">
        <v>0</v>
      </c>
      <c r="DK11" s="52">
        <v>2.8040000000011389E-3</v>
      </c>
      <c r="DL11" s="52">
        <v>1.1035937500000204E-3</v>
      </c>
      <c r="DM11" s="52">
        <v>1.7740000000010525E-3</v>
      </c>
      <c r="DN11" s="52">
        <v>0</v>
      </c>
      <c r="DO11" s="52">
        <v>7.9520000000172786E-3</v>
      </c>
      <c r="DP11" s="52">
        <v>2.6375000000005144E-3</v>
      </c>
      <c r="DQ11" s="52">
        <v>0</v>
      </c>
      <c r="DR11" s="52">
        <v>0</v>
      </c>
      <c r="DS11" s="52">
        <v>8.697600000004968E-2</v>
      </c>
      <c r="DT11" s="52">
        <v>1.477850000000025E-2</v>
      </c>
      <c r="DU11" s="52">
        <v>0</v>
      </c>
      <c r="DV11" s="52">
        <v>5.0825000000020992E-4</v>
      </c>
      <c r="DW11" s="52">
        <v>0</v>
      </c>
      <c r="DX11" s="52">
        <v>3.5859999999985348E-3</v>
      </c>
      <c r="DY11" s="52">
        <v>2.4074999999990077E-4</v>
      </c>
      <c r="DZ11" s="52">
        <v>3.7260000000003402E-3</v>
      </c>
      <c r="EA11" s="52">
        <v>0</v>
      </c>
      <c r="EB11" s="52">
        <v>6.179199999999696E-2</v>
      </c>
      <c r="EC11" s="52">
        <v>2.8656000000012227E-2</v>
      </c>
      <c r="ED11" s="52">
        <v>3.7857500000000321E-3</v>
      </c>
      <c r="EE11" s="52">
        <v>6.0834999999999084E-3</v>
      </c>
      <c r="EF11" s="52">
        <v>0.50266100000044389</v>
      </c>
      <c r="EG11" s="52">
        <v>0</v>
      </c>
      <c r="EH11" s="52">
        <v>3.4815999999977976E-2</v>
      </c>
      <c r="EI11" s="52">
        <v>3.0143999999950211E-2</v>
      </c>
      <c r="EJ11" s="52">
        <v>2.3679999999899337E-3</v>
      </c>
      <c r="EK11" s="52">
        <v>0</v>
      </c>
      <c r="EL11" s="52">
        <v>0.15385599999990518</v>
      </c>
      <c r="EM11" s="52">
        <v>0.16614399999980378</v>
      </c>
      <c r="EN11" s="52">
        <v>0</v>
      </c>
      <c r="EO11" s="52">
        <v>7.6799999999366264E-4</v>
      </c>
      <c r="EP11" s="52">
        <v>0</v>
      </c>
      <c r="EQ11" s="52">
        <v>0</v>
      </c>
      <c r="ER11" s="52">
        <v>0.11627899999999158</v>
      </c>
      <c r="ES11" s="52">
        <v>0</v>
      </c>
      <c r="ET11" s="52">
        <v>0</v>
      </c>
      <c r="EU11" s="52">
        <v>0</v>
      </c>
      <c r="EV11" s="52">
        <v>0</v>
      </c>
      <c r="EW11" s="52">
        <v>0</v>
      </c>
      <c r="EX11" s="52">
        <v>0</v>
      </c>
      <c r="EY11" s="52">
        <v>0</v>
      </c>
      <c r="EZ11" s="52">
        <v>0</v>
      </c>
      <c r="FA11" s="52">
        <v>0</v>
      </c>
      <c r="FB11" s="52">
        <v>0</v>
      </c>
      <c r="FC11" s="52">
        <v>0</v>
      </c>
      <c r="FD11" s="52">
        <v>0</v>
      </c>
      <c r="FE11" s="52">
        <v>0</v>
      </c>
      <c r="FF11" s="52">
        <v>0</v>
      </c>
      <c r="FG11" s="52">
        <v>0</v>
      </c>
      <c r="FH11" s="52">
        <v>0</v>
      </c>
      <c r="FI11" s="52">
        <v>0</v>
      </c>
      <c r="FJ11" s="52">
        <v>0</v>
      </c>
      <c r="FK11" s="52">
        <v>0</v>
      </c>
      <c r="FL11" s="52">
        <v>0</v>
      </c>
      <c r="FM11" s="52">
        <v>0</v>
      </c>
      <c r="FN11" s="52">
        <v>0</v>
      </c>
      <c r="FO11" s="52">
        <v>0</v>
      </c>
      <c r="FP11" s="52">
        <v>0</v>
      </c>
      <c r="FQ11" s="52">
        <v>0</v>
      </c>
      <c r="FR11" s="52">
        <v>0</v>
      </c>
      <c r="FS11" s="52">
        <v>0</v>
      </c>
      <c r="FT11" s="52">
        <v>0</v>
      </c>
      <c r="FU11" s="52">
        <v>0</v>
      </c>
      <c r="FV11" s="52">
        <v>0</v>
      </c>
      <c r="FW11" s="52">
        <v>0</v>
      </c>
      <c r="FX11" s="52">
        <v>0</v>
      </c>
      <c r="FY11" s="52">
        <v>0</v>
      </c>
      <c r="FZ11" s="52">
        <v>0</v>
      </c>
      <c r="GA11" s="52">
        <v>0</v>
      </c>
      <c r="GB11" s="52">
        <v>0</v>
      </c>
      <c r="GC11" s="52">
        <v>0</v>
      </c>
      <c r="GD11" s="52">
        <v>0</v>
      </c>
      <c r="GE11" s="52">
        <v>0</v>
      </c>
      <c r="GF11" s="52">
        <v>0</v>
      </c>
      <c r="GG11" s="52">
        <v>0</v>
      </c>
      <c r="GH11" s="52">
        <v>0</v>
      </c>
      <c r="GI11" s="52">
        <v>0</v>
      </c>
      <c r="GJ11" s="52">
        <v>0</v>
      </c>
      <c r="GK11" s="52">
        <v>0</v>
      </c>
      <c r="GL11" s="52">
        <v>0</v>
      </c>
      <c r="GM11" s="52">
        <v>0</v>
      </c>
      <c r="GN11" s="52">
        <v>0</v>
      </c>
      <c r="GO11" s="52">
        <v>0</v>
      </c>
      <c r="GP11" s="52">
        <v>0</v>
      </c>
      <c r="GQ11" s="52">
        <v>0</v>
      </c>
      <c r="GR11" s="52">
        <v>0</v>
      </c>
      <c r="GS11" s="52">
        <v>0</v>
      </c>
    </row>
    <row r="12" spans="1:201" ht="17.25" customHeight="1" x14ac:dyDescent="0.3">
      <c r="A12" s="155" t="s">
        <v>31</v>
      </c>
      <c r="B12" s="156">
        <v>755</v>
      </c>
      <c r="C12" s="156">
        <v>0</v>
      </c>
      <c r="D12" s="156">
        <v>0.28492499999993015</v>
      </c>
      <c r="E12" s="156">
        <v>0.23014799999998559</v>
      </c>
      <c r="F12" s="156">
        <v>0.26666799999998148</v>
      </c>
      <c r="G12" s="156">
        <v>0</v>
      </c>
      <c r="H12" s="156">
        <v>0</v>
      </c>
      <c r="I12" s="156">
        <v>0</v>
      </c>
      <c r="J12" s="156">
        <v>0</v>
      </c>
      <c r="K12" s="156">
        <v>0</v>
      </c>
      <c r="L12" s="156">
        <v>0</v>
      </c>
      <c r="M12" s="156">
        <v>0</v>
      </c>
      <c r="N12" s="156">
        <v>0.30779299999994691</v>
      </c>
      <c r="O12" s="156">
        <v>0.31549200000006294</v>
      </c>
      <c r="P12" s="52">
        <v>1.92740000000029E-2</v>
      </c>
      <c r="Q12" s="52">
        <v>0</v>
      </c>
      <c r="R12" s="52">
        <v>0.26828799999930197</v>
      </c>
      <c r="S12" s="52">
        <v>0.22374399999989691</v>
      </c>
      <c r="T12" s="52">
        <v>0.2478080000000773</v>
      </c>
      <c r="U12" s="52">
        <v>2.1551999999999794E-2</v>
      </c>
      <c r="V12" s="52">
        <v>5.4040000000021848E-3</v>
      </c>
      <c r="W12" s="52">
        <v>5.2510000000012269E-3</v>
      </c>
      <c r="X12" s="52">
        <v>4.2720000000002756E-3</v>
      </c>
      <c r="Y12" s="52">
        <v>0</v>
      </c>
      <c r="Z12" s="52">
        <v>2.4390000000007461E-3</v>
      </c>
      <c r="AA12" s="52">
        <v>5.8080000000018117E-3</v>
      </c>
      <c r="AB12" s="52">
        <v>6.8359999999998422E-3</v>
      </c>
      <c r="AC12" s="52">
        <v>1.4479999999998938E-3</v>
      </c>
      <c r="AD12" s="52">
        <v>2.3809999999997444E-3</v>
      </c>
      <c r="AE12" s="52">
        <v>5.0195000000003986E-3</v>
      </c>
      <c r="AF12" s="52">
        <v>0</v>
      </c>
      <c r="AG12" s="52">
        <v>1.5460000000002694E-3</v>
      </c>
      <c r="AH12" s="52">
        <v>9.055999999998221E-2</v>
      </c>
      <c r="AI12" s="52">
        <v>0</v>
      </c>
      <c r="AJ12" s="52">
        <v>2.2904999999999731E-3</v>
      </c>
      <c r="AK12" s="52">
        <v>0</v>
      </c>
      <c r="AL12" s="52">
        <v>1.7556031249999993E-2</v>
      </c>
      <c r="AM12" s="52">
        <v>2.070400000000916E-2</v>
      </c>
      <c r="AN12" s="52">
        <v>1.5895999999997912E-2</v>
      </c>
      <c r="AO12" s="52">
        <v>8.5839999999990368E-3</v>
      </c>
      <c r="AP12" s="52">
        <v>3.0440000000027112E-3</v>
      </c>
      <c r="AQ12" s="52">
        <v>1.340799999999831E-2</v>
      </c>
      <c r="AR12" s="52">
        <v>0.20332800000005591</v>
      </c>
      <c r="AS12" s="52">
        <v>3.7510000000002819E-3</v>
      </c>
      <c r="AT12" s="52">
        <v>0</v>
      </c>
      <c r="AU12" s="52">
        <v>2.0880000000005339E-3</v>
      </c>
      <c r="AV12" s="52">
        <v>1.0560000000001679E-3</v>
      </c>
      <c r="AW12" s="52">
        <v>6.0799999999971988E-2</v>
      </c>
      <c r="AX12" s="52">
        <v>0</v>
      </c>
      <c r="AY12" s="52">
        <v>2.211500000000477E-3</v>
      </c>
      <c r="AZ12" s="52">
        <v>0</v>
      </c>
      <c r="BA12" s="52">
        <v>0</v>
      </c>
      <c r="BB12" s="52">
        <v>0</v>
      </c>
      <c r="BC12" s="52">
        <v>0</v>
      </c>
      <c r="BD12" s="52">
        <v>1.0039843749999611E-4</v>
      </c>
      <c r="BE12" s="52">
        <v>4.7780000000017253E-3</v>
      </c>
      <c r="BF12" s="52">
        <v>0</v>
      </c>
      <c r="BG12" s="52">
        <v>1.8479999999989616E-3</v>
      </c>
      <c r="BH12" s="52">
        <v>0</v>
      </c>
      <c r="BI12" s="52">
        <v>0.10940799999997353</v>
      </c>
      <c r="BJ12" s="52">
        <v>0</v>
      </c>
      <c r="BK12" s="52">
        <v>3.7374999999997272E-3</v>
      </c>
      <c r="BL12" s="52">
        <v>0</v>
      </c>
      <c r="BM12" s="52">
        <v>0.13737599999996064</v>
      </c>
      <c r="BN12" s="52">
        <v>0</v>
      </c>
      <c r="BO12" s="52">
        <v>6.2780000000000058E-2</v>
      </c>
      <c r="BP12" s="52">
        <v>0</v>
      </c>
      <c r="BQ12" s="52">
        <v>0</v>
      </c>
      <c r="BR12" s="52">
        <v>0</v>
      </c>
      <c r="BS12" s="52">
        <v>0</v>
      </c>
      <c r="BT12" s="52">
        <v>8.2639999999969405E-3</v>
      </c>
      <c r="BU12" s="52">
        <v>0</v>
      </c>
      <c r="BV12" s="52">
        <v>0</v>
      </c>
      <c r="BW12" s="52">
        <v>0</v>
      </c>
      <c r="BX12" s="52">
        <v>0</v>
      </c>
      <c r="BY12" s="52">
        <v>0</v>
      </c>
      <c r="BZ12" s="52">
        <v>4.3784000000002266E-2</v>
      </c>
      <c r="CA12" s="52">
        <v>1.3033874999999973E-2</v>
      </c>
      <c r="CB12" s="52">
        <v>0</v>
      </c>
      <c r="CC12" s="52">
        <v>0</v>
      </c>
      <c r="CD12" s="52">
        <v>0</v>
      </c>
      <c r="CE12" s="52">
        <v>0</v>
      </c>
      <c r="CF12" s="52">
        <v>9.9699999999991462E-4</v>
      </c>
      <c r="CG12" s="52">
        <v>0</v>
      </c>
      <c r="CH12" s="52">
        <v>6.2825000000010789E-4</v>
      </c>
      <c r="CI12" s="52">
        <v>0</v>
      </c>
      <c r="CJ12" s="52">
        <v>0</v>
      </c>
      <c r="CK12" s="52">
        <v>0</v>
      </c>
      <c r="CL12" s="52">
        <v>1.6239999999996257E-3</v>
      </c>
      <c r="CM12" s="52">
        <v>0.23372800000015559</v>
      </c>
      <c r="CN12" s="52">
        <v>1.9069999999992149E-3</v>
      </c>
      <c r="CO12" s="52">
        <v>3.9016000000003714E-2</v>
      </c>
      <c r="CP12" s="52">
        <v>0</v>
      </c>
      <c r="CQ12" s="52">
        <v>0</v>
      </c>
      <c r="CR12" s="52">
        <v>9.1669999999997032E-3</v>
      </c>
      <c r="CS12" s="52">
        <v>0</v>
      </c>
      <c r="CT12" s="52">
        <v>1.4279999999999404E-2</v>
      </c>
      <c r="CU12" s="52">
        <v>0</v>
      </c>
      <c r="CV12" s="52">
        <v>1.0257499999999364E-3</v>
      </c>
      <c r="CW12" s="52">
        <v>7.912000000004582E-3</v>
      </c>
      <c r="CX12" s="52">
        <v>0</v>
      </c>
      <c r="CY12" s="52">
        <v>6.759999999998989E-4</v>
      </c>
      <c r="CZ12" s="52">
        <v>1.0999999999996568E-3</v>
      </c>
      <c r="DA12" s="52">
        <v>1.1731999999994969E-2</v>
      </c>
      <c r="DB12" s="52">
        <v>5.5010000000006443E-3</v>
      </c>
      <c r="DC12" s="52">
        <v>8.4430000000002003E-3</v>
      </c>
      <c r="DD12" s="52">
        <v>1.2900000000000134E-3</v>
      </c>
      <c r="DE12" s="52">
        <v>0</v>
      </c>
      <c r="DF12" s="52">
        <v>0</v>
      </c>
      <c r="DG12" s="52">
        <v>8.8199999999893919E-4</v>
      </c>
      <c r="DH12" s="52">
        <v>6.9199999999991491E-4</v>
      </c>
      <c r="DI12" s="52">
        <v>0.22931200000004992</v>
      </c>
      <c r="DJ12" s="52">
        <v>0</v>
      </c>
      <c r="DK12" s="52">
        <v>2.7379999999972426E-3</v>
      </c>
      <c r="DL12" s="52">
        <v>1.0790781249999937E-3</v>
      </c>
      <c r="DM12" s="52">
        <v>1.7769999999988073E-3</v>
      </c>
      <c r="DN12" s="52">
        <v>0</v>
      </c>
      <c r="DO12" s="52">
        <v>6.3040000000000873E-3</v>
      </c>
      <c r="DP12" s="52">
        <v>2.1164999999996326E-3</v>
      </c>
      <c r="DQ12" s="52">
        <v>0</v>
      </c>
      <c r="DR12" s="52">
        <v>0</v>
      </c>
      <c r="DS12" s="52">
        <v>8.7167999999962831E-2</v>
      </c>
      <c r="DT12" s="52">
        <v>1.7490499999999187E-2</v>
      </c>
      <c r="DU12" s="52">
        <v>4.2000000000541604E-5</v>
      </c>
      <c r="DV12" s="52">
        <v>5.6049999999974176E-4</v>
      </c>
      <c r="DW12" s="52">
        <v>0</v>
      </c>
      <c r="DX12" s="52">
        <v>3.5410000000002384E-3</v>
      </c>
      <c r="DY12" s="52">
        <v>2.4393750000006875E-4</v>
      </c>
      <c r="DZ12" s="52">
        <v>4.976000000002756E-3</v>
      </c>
      <c r="EA12" s="52">
        <v>0</v>
      </c>
      <c r="EB12" s="52">
        <v>6.3215999999982841E-2</v>
      </c>
      <c r="EC12" s="52">
        <v>3.2895999999993819E-2</v>
      </c>
      <c r="ED12" s="52">
        <v>6.9252500000001049E-3</v>
      </c>
      <c r="EE12" s="52">
        <v>5.8394999999995534E-3</v>
      </c>
      <c r="EF12" s="52">
        <v>0.51216500000009546</v>
      </c>
      <c r="EG12" s="52">
        <v>0</v>
      </c>
      <c r="EH12" s="52">
        <v>3.2511999999996988E-2</v>
      </c>
      <c r="EI12" s="52">
        <v>2.8159999999957108E-2</v>
      </c>
      <c r="EJ12" s="52">
        <v>2.4319999999988795E-3</v>
      </c>
      <c r="EK12" s="52">
        <v>0</v>
      </c>
      <c r="EL12" s="52">
        <v>0.15590400000019144</v>
      </c>
      <c r="EM12" s="52">
        <v>0.16588799999999537</v>
      </c>
      <c r="EN12" s="52">
        <v>0</v>
      </c>
      <c r="EO12" s="52">
        <v>6.3999999997577106E-4</v>
      </c>
      <c r="EP12" s="52">
        <v>0</v>
      </c>
      <c r="EQ12" s="52">
        <v>0</v>
      </c>
      <c r="ER12" s="52">
        <v>0.11867300000001535</v>
      </c>
      <c r="ES12" s="52">
        <v>0</v>
      </c>
      <c r="ET12" s="52">
        <v>0</v>
      </c>
      <c r="EU12" s="52">
        <v>0</v>
      </c>
      <c r="EV12" s="52">
        <v>0</v>
      </c>
      <c r="EW12" s="52">
        <v>0</v>
      </c>
      <c r="EX12" s="52">
        <v>0</v>
      </c>
      <c r="EY12" s="52">
        <v>0</v>
      </c>
      <c r="EZ12" s="52">
        <v>0</v>
      </c>
      <c r="FA12" s="52">
        <v>0</v>
      </c>
      <c r="FB12" s="52">
        <v>0</v>
      </c>
      <c r="FC12" s="52">
        <v>0</v>
      </c>
      <c r="FD12" s="52">
        <v>0</v>
      </c>
      <c r="FE12" s="52">
        <v>0</v>
      </c>
      <c r="FF12" s="52">
        <v>0</v>
      </c>
      <c r="FG12" s="52">
        <v>0</v>
      </c>
      <c r="FH12" s="52">
        <v>0</v>
      </c>
      <c r="FI12" s="52">
        <v>0</v>
      </c>
      <c r="FJ12" s="52">
        <v>0</v>
      </c>
      <c r="FK12" s="52">
        <v>0</v>
      </c>
      <c r="FL12" s="52">
        <v>0</v>
      </c>
      <c r="FM12" s="52">
        <v>0</v>
      </c>
      <c r="FN12" s="52">
        <v>0</v>
      </c>
      <c r="FO12" s="52">
        <v>0</v>
      </c>
      <c r="FP12" s="52">
        <v>0</v>
      </c>
      <c r="FQ12" s="52">
        <v>0</v>
      </c>
      <c r="FR12" s="52">
        <v>0</v>
      </c>
      <c r="FS12" s="52">
        <v>0</v>
      </c>
      <c r="FT12" s="52">
        <v>0</v>
      </c>
      <c r="FU12" s="52">
        <v>0</v>
      </c>
      <c r="FV12" s="52">
        <v>0</v>
      </c>
      <c r="FW12" s="52">
        <v>0</v>
      </c>
      <c r="FX12" s="52">
        <v>0</v>
      </c>
      <c r="FY12" s="52">
        <v>0</v>
      </c>
      <c r="FZ12" s="52">
        <v>0</v>
      </c>
      <c r="GA12" s="52">
        <v>0</v>
      </c>
      <c r="GB12" s="52">
        <v>0</v>
      </c>
      <c r="GC12" s="52">
        <v>0</v>
      </c>
      <c r="GD12" s="52">
        <v>0</v>
      </c>
      <c r="GE12" s="52">
        <v>0</v>
      </c>
      <c r="GF12" s="52">
        <v>0</v>
      </c>
      <c r="GG12" s="52">
        <v>0</v>
      </c>
      <c r="GH12" s="52">
        <v>0</v>
      </c>
      <c r="GI12" s="52">
        <v>0</v>
      </c>
      <c r="GJ12" s="52">
        <v>0</v>
      </c>
      <c r="GK12" s="52">
        <v>0</v>
      </c>
      <c r="GL12" s="52">
        <v>0</v>
      </c>
      <c r="GM12" s="52">
        <v>0</v>
      </c>
      <c r="GN12" s="52">
        <v>0</v>
      </c>
      <c r="GO12" s="52">
        <v>0</v>
      </c>
      <c r="GP12" s="52">
        <v>0</v>
      </c>
      <c r="GQ12" s="52">
        <v>0</v>
      </c>
      <c r="GR12" s="52">
        <v>0</v>
      </c>
      <c r="GS12" s="52">
        <v>0</v>
      </c>
    </row>
    <row r="13" spans="1:201" ht="17.25" customHeight="1" x14ac:dyDescent="0.3">
      <c r="A13" s="155" t="s">
        <v>32</v>
      </c>
      <c r="B13" s="156">
        <v>855.875</v>
      </c>
      <c r="C13" s="156">
        <v>0</v>
      </c>
      <c r="D13" s="156">
        <v>0.29905399999995552</v>
      </c>
      <c r="E13" s="156">
        <v>0.25861800000001267</v>
      </c>
      <c r="F13" s="156">
        <v>0.28507500000000618</v>
      </c>
      <c r="G13" s="156">
        <v>0</v>
      </c>
      <c r="H13" s="156">
        <v>0</v>
      </c>
      <c r="I13" s="156">
        <v>0</v>
      </c>
      <c r="J13" s="156">
        <v>0</v>
      </c>
      <c r="K13" s="156">
        <v>0</v>
      </c>
      <c r="L13" s="156">
        <v>0</v>
      </c>
      <c r="M13" s="156">
        <v>0</v>
      </c>
      <c r="N13" s="156">
        <v>0.27991499999995995</v>
      </c>
      <c r="O13" s="156">
        <v>0.28682899999989786</v>
      </c>
      <c r="P13" s="52">
        <v>1.7649999999996169E-2</v>
      </c>
      <c r="Q13" s="52">
        <v>0</v>
      </c>
      <c r="R13" s="52">
        <v>0.29900800000177696</v>
      </c>
      <c r="S13" s="52">
        <v>0.25190399999974034</v>
      </c>
      <c r="T13" s="52">
        <v>0.28262399999948684</v>
      </c>
      <c r="U13" s="52">
        <v>2.1687999999997487E-2</v>
      </c>
      <c r="V13" s="52">
        <v>5.6219999999989057E-3</v>
      </c>
      <c r="W13" s="52">
        <v>5.4369999999988039E-3</v>
      </c>
      <c r="X13" s="52">
        <v>3.8600000000013068E-3</v>
      </c>
      <c r="Y13" s="52">
        <v>0</v>
      </c>
      <c r="Z13" s="52">
        <v>2.4449999999998084E-3</v>
      </c>
      <c r="AA13" s="52">
        <v>5.9239999999967097E-3</v>
      </c>
      <c r="AB13" s="52">
        <v>6.8320000000028358E-3</v>
      </c>
      <c r="AC13" s="52">
        <v>1.781999999998618E-3</v>
      </c>
      <c r="AD13" s="52">
        <v>2.8810000000003555E-3</v>
      </c>
      <c r="AE13" s="52">
        <v>4.5789999999996667E-3</v>
      </c>
      <c r="AF13" s="52">
        <v>0</v>
      </c>
      <c r="AG13" s="52">
        <v>1.7954999999991728E-3</v>
      </c>
      <c r="AH13" s="52">
        <v>9.0592000000015105E-2</v>
      </c>
      <c r="AI13" s="52">
        <v>0</v>
      </c>
      <c r="AJ13" s="52">
        <v>2.0705000000003082E-3</v>
      </c>
      <c r="AK13" s="52">
        <v>0</v>
      </c>
      <c r="AL13" s="52">
        <v>1.7654390625000016E-2</v>
      </c>
      <c r="AM13" s="52">
        <v>2.0255999999989172E-2</v>
      </c>
      <c r="AN13" s="52">
        <v>1.5647999999998774E-2</v>
      </c>
      <c r="AO13" s="52">
        <v>8.6680000000001201E-3</v>
      </c>
      <c r="AP13" s="52">
        <v>3.0879999999982033E-3</v>
      </c>
      <c r="AQ13" s="52">
        <v>1.3751999999996656E-2</v>
      </c>
      <c r="AR13" s="52">
        <v>0.20947200000000521</v>
      </c>
      <c r="AS13" s="52">
        <v>3.1924999999999315E-3</v>
      </c>
      <c r="AT13" s="52">
        <v>0</v>
      </c>
      <c r="AU13" s="52">
        <v>2.0760000000024093E-3</v>
      </c>
      <c r="AV13" s="52">
        <v>1.0234999999996219E-3</v>
      </c>
      <c r="AW13" s="52">
        <v>7.020799999997962E-2</v>
      </c>
      <c r="AX13" s="52">
        <v>0</v>
      </c>
      <c r="AY13" s="52">
        <v>3.2800000000001717E-3</v>
      </c>
      <c r="AZ13" s="52">
        <v>0</v>
      </c>
      <c r="BA13" s="52">
        <v>0</v>
      </c>
      <c r="BB13" s="52">
        <v>0</v>
      </c>
      <c r="BC13" s="52">
        <v>0</v>
      </c>
      <c r="BD13" s="52">
        <v>2.8843750000000223E-4</v>
      </c>
      <c r="BE13" s="52">
        <v>4.6859999999995239E-3</v>
      </c>
      <c r="BF13" s="52">
        <v>0</v>
      </c>
      <c r="BG13" s="52">
        <v>1.0050000000010328E-3</v>
      </c>
      <c r="BH13" s="52">
        <v>0</v>
      </c>
      <c r="BI13" s="52">
        <v>0.11308800000000474</v>
      </c>
      <c r="BJ13" s="52">
        <v>0</v>
      </c>
      <c r="BK13" s="52">
        <v>2.7105000000000601E-3</v>
      </c>
      <c r="BL13" s="52">
        <v>0</v>
      </c>
      <c r="BM13" s="52">
        <v>0.12012800000002244</v>
      </c>
      <c r="BN13" s="52">
        <v>0</v>
      </c>
      <c r="BO13" s="52">
        <v>4.9072000000002447E-2</v>
      </c>
      <c r="BP13" s="52">
        <v>0</v>
      </c>
      <c r="BQ13" s="52">
        <v>0</v>
      </c>
      <c r="BR13" s="52">
        <v>0</v>
      </c>
      <c r="BS13" s="52">
        <v>0</v>
      </c>
      <c r="BT13" s="52">
        <v>8.3240000000017744E-3</v>
      </c>
      <c r="BU13" s="52">
        <v>0</v>
      </c>
      <c r="BV13" s="52">
        <v>0</v>
      </c>
      <c r="BW13" s="52">
        <v>0</v>
      </c>
      <c r="BX13" s="52">
        <v>0</v>
      </c>
      <c r="BY13" s="52">
        <v>0</v>
      </c>
      <c r="BZ13" s="52">
        <v>4.2271999999996979E-2</v>
      </c>
      <c r="CA13" s="52">
        <v>1.2621937500000013E-2</v>
      </c>
      <c r="CB13" s="52">
        <v>0</v>
      </c>
      <c r="CC13" s="52">
        <v>0</v>
      </c>
      <c r="CD13" s="52">
        <v>0</v>
      </c>
      <c r="CE13" s="52">
        <v>0</v>
      </c>
      <c r="CF13" s="52">
        <v>1.0279999999998068E-3</v>
      </c>
      <c r="CG13" s="52">
        <v>0</v>
      </c>
      <c r="CH13" s="52">
        <v>6.3974999999993898E-4</v>
      </c>
      <c r="CI13" s="52">
        <v>0</v>
      </c>
      <c r="CJ13" s="52">
        <v>0</v>
      </c>
      <c r="CK13" s="52">
        <v>0</v>
      </c>
      <c r="CL13" s="52">
        <v>6.8800000000024397E-4</v>
      </c>
      <c r="CM13" s="52">
        <v>0.26073599999995167</v>
      </c>
      <c r="CN13" s="52">
        <v>2.0240000000004699E-3</v>
      </c>
      <c r="CO13" s="52">
        <v>4.1191999999995232E-2</v>
      </c>
      <c r="CP13" s="52">
        <v>0</v>
      </c>
      <c r="CQ13" s="52">
        <v>0</v>
      </c>
      <c r="CR13" s="52">
        <v>9.3409999999991555E-3</v>
      </c>
      <c r="CS13" s="52">
        <v>0</v>
      </c>
      <c r="CT13" s="52">
        <v>1.5047999999993067E-2</v>
      </c>
      <c r="CU13" s="52">
        <v>0</v>
      </c>
      <c r="CV13" s="52">
        <v>1.125625000000019E-3</v>
      </c>
      <c r="CW13" s="52">
        <v>7.2559999999981528E-3</v>
      </c>
      <c r="CX13" s="52">
        <v>0</v>
      </c>
      <c r="CY13" s="52">
        <v>7.3100000000003718E-4</v>
      </c>
      <c r="CZ13" s="52">
        <v>2.5690000000002655E-3</v>
      </c>
      <c r="DA13" s="52">
        <v>1.1776000000004672E-2</v>
      </c>
      <c r="DB13" s="52">
        <v>6.2099999999993827E-3</v>
      </c>
      <c r="DC13" s="52">
        <v>8.4931249999999903E-3</v>
      </c>
      <c r="DD13" s="52">
        <v>1.2959999999999638E-3</v>
      </c>
      <c r="DE13" s="52">
        <v>0</v>
      </c>
      <c r="DF13" s="52">
        <v>0</v>
      </c>
      <c r="DG13" s="52">
        <v>3.4175000000011835E-3</v>
      </c>
      <c r="DH13" s="52">
        <v>5.7849999999959323E-4</v>
      </c>
      <c r="DI13" s="52">
        <v>0.23686399999996866</v>
      </c>
      <c r="DJ13" s="52">
        <v>0</v>
      </c>
      <c r="DK13" s="52">
        <v>2.7880000000024552E-3</v>
      </c>
      <c r="DL13" s="52">
        <v>1.0992187499999917E-3</v>
      </c>
      <c r="DM13" s="52">
        <v>1.7300000000002314E-3</v>
      </c>
      <c r="DN13" s="52">
        <v>1.8081250000001603E-4</v>
      </c>
      <c r="DO13" s="52">
        <v>5.5040000000019518E-3</v>
      </c>
      <c r="DP13" s="52">
        <v>2.7059999999998752E-3</v>
      </c>
      <c r="DQ13" s="52">
        <v>0</v>
      </c>
      <c r="DR13" s="52">
        <v>0</v>
      </c>
      <c r="DS13" s="52">
        <v>8.7712000000010448E-2</v>
      </c>
      <c r="DT13" s="52">
        <v>1.8055500000000002E-2</v>
      </c>
      <c r="DU13" s="52">
        <v>0</v>
      </c>
      <c r="DV13" s="52">
        <v>3.8250000000017437E-4</v>
      </c>
      <c r="DW13" s="52">
        <v>0</v>
      </c>
      <c r="DX13" s="52">
        <v>3.5889999999998423E-3</v>
      </c>
      <c r="DY13" s="52">
        <v>2.4187499999994699E-4</v>
      </c>
      <c r="DZ13" s="52">
        <v>4.9579999999984636E-3</v>
      </c>
      <c r="EA13" s="52">
        <v>0</v>
      </c>
      <c r="EB13" s="52">
        <v>6.8319999999999936E-2</v>
      </c>
      <c r="EC13" s="52">
        <v>3.2367999999991071E-2</v>
      </c>
      <c r="ED13" s="52">
        <v>6.2099999999998268E-3</v>
      </c>
      <c r="EE13" s="52">
        <v>3.3000000000003027E-3</v>
      </c>
      <c r="EF13" s="52">
        <v>0.47775599999931728</v>
      </c>
      <c r="EG13" s="52">
        <v>0</v>
      </c>
      <c r="EH13" s="52">
        <v>3.4560000000055879E-2</v>
      </c>
      <c r="EI13" s="52">
        <v>2.899200000001656E-2</v>
      </c>
      <c r="EJ13" s="52">
        <v>2.5919999999928223E-3</v>
      </c>
      <c r="EK13" s="52">
        <v>0</v>
      </c>
      <c r="EL13" s="52">
        <v>0.15833599999996295</v>
      </c>
      <c r="EM13" s="52">
        <v>0.16870400000016161</v>
      </c>
      <c r="EN13" s="52">
        <v>0</v>
      </c>
      <c r="EO13" s="52">
        <v>7.6799999999366264E-4</v>
      </c>
      <c r="EP13" s="52">
        <v>0</v>
      </c>
      <c r="EQ13" s="52">
        <v>0</v>
      </c>
      <c r="ER13" s="52">
        <v>0.12145299999998826</v>
      </c>
      <c r="ES13" s="52">
        <v>0</v>
      </c>
      <c r="ET13" s="52">
        <v>0</v>
      </c>
      <c r="EU13" s="52">
        <v>0</v>
      </c>
      <c r="EV13" s="52">
        <v>0</v>
      </c>
      <c r="EW13" s="52">
        <v>0</v>
      </c>
      <c r="EX13" s="52">
        <v>0</v>
      </c>
      <c r="EY13" s="52">
        <v>0</v>
      </c>
      <c r="EZ13" s="52">
        <v>0</v>
      </c>
      <c r="FA13" s="52">
        <v>0</v>
      </c>
      <c r="FB13" s="52">
        <v>0</v>
      </c>
      <c r="FC13" s="52">
        <v>0</v>
      </c>
      <c r="FD13" s="52">
        <v>0</v>
      </c>
      <c r="FE13" s="52">
        <v>0</v>
      </c>
      <c r="FF13" s="52">
        <v>0</v>
      </c>
      <c r="FG13" s="52">
        <v>0</v>
      </c>
      <c r="FH13" s="52">
        <v>0</v>
      </c>
      <c r="FI13" s="52">
        <v>0</v>
      </c>
      <c r="FJ13" s="52">
        <v>0</v>
      </c>
      <c r="FK13" s="52">
        <v>0</v>
      </c>
      <c r="FL13" s="52">
        <v>0</v>
      </c>
      <c r="FM13" s="52">
        <v>0</v>
      </c>
      <c r="FN13" s="52">
        <v>0</v>
      </c>
      <c r="FO13" s="52">
        <v>0</v>
      </c>
      <c r="FP13" s="52">
        <v>0</v>
      </c>
      <c r="FQ13" s="52">
        <v>0</v>
      </c>
      <c r="FR13" s="52">
        <v>0</v>
      </c>
      <c r="FS13" s="52">
        <v>0</v>
      </c>
      <c r="FT13" s="52">
        <v>0</v>
      </c>
      <c r="FU13" s="52">
        <v>0</v>
      </c>
      <c r="FV13" s="52">
        <v>0</v>
      </c>
      <c r="FW13" s="52">
        <v>0</v>
      </c>
      <c r="FX13" s="52">
        <v>0</v>
      </c>
      <c r="FY13" s="52">
        <v>0</v>
      </c>
      <c r="FZ13" s="52">
        <v>0</v>
      </c>
      <c r="GA13" s="52">
        <v>0</v>
      </c>
      <c r="GB13" s="52">
        <v>0</v>
      </c>
      <c r="GC13" s="52">
        <v>0</v>
      </c>
      <c r="GD13" s="52">
        <v>0</v>
      </c>
      <c r="GE13" s="52">
        <v>0</v>
      </c>
      <c r="GF13" s="52">
        <v>0</v>
      </c>
      <c r="GG13" s="52">
        <v>0</v>
      </c>
      <c r="GH13" s="52">
        <v>0</v>
      </c>
      <c r="GI13" s="52">
        <v>0</v>
      </c>
      <c r="GJ13" s="52">
        <v>0</v>
      </c>
      <c r="GK13" s="52">
        <v>0</v>
      </c>
      <c r="GL13" s="52">
        <v>0</v>
      </c>
      <c r="GM13" s="52">
        <v>0</v>
      </c>
      <c r="GN13" s="52">
        <v>0</v>
      </c>
      <c r="GO13" s="52">
        <v>0</v>
      </c>
      <c r="GP13" s="52">
        <v>0</v>
      </c>
      <c r="GQ13" s="52">
        <v>0</v>
      </c>
      <c r="GR13" s="52">
        <v>0</v>
      </c>
      <c r="GS13" s="52">
        <v>0</v>
      </c>
    </row>
    <row r="14" spans="1:201" ht="17.25" customHeight="1" x14ac:dyDescent="0.3">
      <c r="A14" s="155" t="s">
        <v>33</v>
      </c>
      <c r="B14" s="156">
        <v>486.375</v>
      </c>
      <c r="C14" s="156">
        <v>0</v>
      </c>
      <c r="D14" s="156">
        <v>0.18082000000003973</v>
      </c>
      <c r="E14" s="156">
        <v>0.1485670000000141</v>
      </c>
      <c r="F14" s="156">
        <v>0.17146100000002207</v>
      </c>
      <c r="G14" s="156">
        <v>0</v>
      </c>
      <c r="H14" s="156">
        <v>0</v>
      </c>
      <c r="I14" s="156">
        <v>0</v>
      </c>
      <c r="J14" s="156">
        <v>0</v>
      </c>
      <c r="K14" s="156">
        <v>0</v>
      </c>
      <c r="L14" s="156">
        <v>0</v>
      </c>
      <c r="M14" s="156">
        <v>0</v>
      </c>
      <c r="N14" s="156">
        <v>0.39497200000016619</v>
      </c>
      <c r="O14" s="156">
        <v>0.40659800000003088</v>
      </c>
      <c r="P14" s="52">
        <v>2.4839000000000055E-2</v>
      </c>
      <c r="Q14" s="52">
        <v>0</v>
      </c>
      <c r="R14" s="52">
        <v>0.1679359999980079</v>
      </c>
      <c r="S14" s="52">
        <v>0.13875199999984034</v>
      </c>
      <c r="T14" s="52">
        <v>0.16179199999896809</v>
      </c>
      <c r="U14" s="52">
        <v>1.9407999999998538E-2</v>
      </c>
      <c r="V14" s="52">
        <v>4.9619999999990227E-3</v>
      </c>
      <c r="W14" s="52">
        <v>5.4790000000011219E-3</v>
      </c>
      <c r="X14" s="52">
        <v>4.3889999999997542E-3</v>
      </c>
      <c r="Y14" s="52">
        <v>0</v>
      </c>
      <c r="Z14" s="52">
        <v>2.4630000000005481E-3</v>
      </c>
      <c r="AA14" s="52">
        <v>6.3780000000015491E-3</v>
      </c>
      <c r="AB14" s="52">
        <v>6.7599999999998772E-3</v>
      </c>
      <c r="AC14" s="52">
        <v>2.2179999999991651E-3</v>
      </c>
      <c r="AD14" s="52">
        <v>3.9039999999985753E-3</v>
      </c>
      <c r="AE14" s="52">
        <v>5.0784999999997638E-3</v>
      </c>
      <c r="AF14" s="52">
        <v>0</v>
      </c>
      <c r="AG14" s="52">
        <v>1.41600000000075E-3</v>
      </c>
      <c r="AH14" s="52">
        <v>8.9760000000012496E-2</v>
      </c>
      <c r="AI14" s="52">
        <v>0</v>
      </c>
      <c r="AJ14" s="52">
        <v>2.307000000000059E-3</v>
      </c>
      <c r="AK14" s="52">
        <v>0</v>
      </c>
      <c r="AL14" s="52">
        <v>1.8013875000000013E-2</v>
      </c>
      <c r="AM14" s="52">
        <v>2.2088000000010766E-2</v>
      </c>
      <c r="AN14" s="52">
        <v>1.6311999999999216E-2</v>
      </c>
      <c r="AO14" s="52">
        <v>7.2279999999977917E-3</v>
      </c>
      <c r="AP14" s="52">
        <v>3.164000000001721E-3</v>
      </c>
      <c r="AQ14" s="52">
        <v>1.3379999999997949E-2</v>
      </c>
      <c r="AR14" s="52">
        <v>0.19283199999995304</v>
      </c>
      <c r="AS14" s="52">
        <v>4.1184999999996919E-3</v>
      </c>
      <c r="AT14" s="52">
        <v>0</v>
      </c>
      <c r="AU14" s="52">
        <v>2.0319999999998117E-3</v>
      </c>
      <c r="AV14" s="52">
        <v>1.0684999999996947E-3</v>
      </c>
      <c r="AW14" s="52">
        <v>5.4399999999986903E-2</v>
      </c>
      <c r="AX14" s="52">
        <v>0</v>
      </c>
      <c r="AY14" s="52">
        <v>2.6500000000000412E-3</v>
      </c>
      <c r="AZ14" s="52">
        <v>0</v>
      </c>
      <c r="BA14" s="52">
        <v>0</v>
      </c>
      <c r="BB14" s="52">
        <v>0</v>
      </c>
      <c r="BC14" s="52">
        <v>0</v>
      </c>
      <c r="BD14" s="52">
        <v>3.0720312500000235E-4</v>
      </c>
      <c r="BE14" s="52">
        <v>4.7700000000006071E-3</v>
      </c>
      <c r="BF14" s="52">
        <v>0</v>
      </c>
      <c r="BG14" s="52">
        <v>7.62999999999181E-4</v>
      </c>
      <c r="BH14" s="52">
        <v>0</v>
      </c>
      <c r="BI14" s="52">
        <v>0.10812800000002198</v>
      </c>
      <c r="BJ14" s="52">
        <v>0</v>
      </c>
      <c r="BK14" s="52">
        <v>2.4505000000001331E-3</v>
      </c>
      <c r="BL14" s="52">
        <v>0</v>
      </c>
      <c r="BM14" s="52">
        <v>8.9472000000000662E-2</v>
      </c>
      <c r="BN14" s="52">
        <v>0</v>
      </c>
      <c r="BO14" s="52">
        <v>2.0284000000000191E-2</v>
      </c>
      <c r="BP14" s="52">
        <v>0</v>
      </c>
      <c r="BQ14" s="52">
        <v>0</v>
      </c>
      <c r="BR14" s="52">
        <v>0</v>
      </c>
      <c r="BS14" s="52">
        <v>0</v>
      </c>
      <c r="BT14" s="52">
        <v>8.155999999999608E-3</v>
      </c>
      <c r="BU14" s="52">
        <v>0</v>
      </c>
      <c r="BV14" s="52">
        <v>0</v>
      </c>
      <c r="BW14" s="52">
        <v>0</v>
      </c>
      <c r="BX14" s="52">
        <v>0</v>
      </c>
      <c r="BY14" s="52">
        <v>0</v>
      </c>
      <c r="BZ14" s="52">
        <v>3.773600000000954E-2</v>
      </c>
      <c r="CA14" s="52">
        <v>1.5629468750000042E-2</v>
      </c>
      <c r="CB14" s="52">
        <v>0</v>
      </c>
      <c r="CC14" s="52">
        <v>0</v>
      </c>
      <c r="CD14" s="52">
        <v>0</v>
      </c>
      <c r="CE14" s="52">
        <v>0</v>
      </c>
      <c r="CF14" s="52">
        <v>1.2259999999990612E-3</v>
      </c>
      <c r="CG14" s="52">
        <v>0</v>
      </c>
      <c r="CH14" s="52">
        <v>6.2899999999999068E-4</v>
      </c>
      <c r="CI14" s="52">
        <v>0</v>
      </c>
      <c r="CJ14" s="52">
        <v>0</v>
      </c>
      <c r="CK14" s="52">
        <v>0</v>
      </c>
      <c r="CL14" s="52">
        <v>1.1039999999979955E-3</v>
      </c>
      <c r="CM14" s="52">
        <v>0.21951999999987493</v>
      </c>
      <c r="CN14" s="52">
        <v>2.0450000000007407E-3</v>
      </c>
      <c r="CO14" s="52">
        <v>4.0000000000006253E-2</v>
      </c>
      <c r="CP14" s="52">
        <v>0</v>
      </c>
      <c r="CQ14" s="52">
        <v>0</v>
      </c>
      <c r="CR14" s="52">
        <v>8.8360000000005101E-3</v>
      </c>
      <c r="CS14" s="52">
        <v>0</v>
      </c>
      <c r="CT14" s="52">
        <v>7.4479999999965685E-3</v>
      </c>
      <c r="CU14" s="52">
        <v>0</v>
      </c>
      <c r="CV14" s="52">
        <v>1.077374999999936E-3</v>
      </c>
      <c r="CW14" s="52">
        <v>2.2760000000019431E-3</v>
      </c>
      <c r="CX14" s="52">
        <v>0</v>
      </c>
      <c r="CY14" s="52">
        <v>7.4499999999999567E-4</v>
      </c>
      <c r="CZ14" s="52">
        <v>1.1387499999999662E-3</v>
      </c>
      <c r="DA14" s="52">
        <v>1.1575999999998032E-2</v>
      </c>
      <c r="DB14" s="52">
        <v>6.2149999999991934E-3</v>
      </c>
      <c r="DC14" s="52">
        <v>8.4517499999998691E-3</v>
      </c>
      <c r="DD14" s="52">
        <v>1.287500000000108E-3</v>
      </c>
      <c r="DE14" s="52">
        <v>0</v>
      </c>
      <c r="DF14" s="52">
        <v>0</v>
      </c>
      <c r="DG14" s="52">
        <v>9.8249999999922011E-4</v>
      </c>
      <c r="DH14" s="52">
        <v>6.5749999999997755E-4</v>
      </c>
      <c r="DI14" s="52">
        <v>0.20883200000002944</v>
      </c>
      <c r="DJ14" s="52">
        <v>0</v>
      </c>
      <c r="DK14" s="52">
        <v>2.7899999999974057E-3</v>
      </c>
      <c r="DL14" s="52">
        <v>1.100093750000003E-3</v>
      </c>
      <c r="DM14" s="52">
        <v>1.760000000000872E-3</v>
      </c>
      <c r="DN14" s="52">
        <v>0</v>
      </c>
      <c r="DO14" s="52">
        <v>9.727999999995518E-3</v>
      </c>
      <c r="DP14" s="52">
        <v>2.5995000000005319E-3</v>
      </c>
      <c r="DQ14" s="52">
        <v>0</v>
      </c>
      <c r="DR14" s="52">
        <v>0</v>
      </c>
      <c r="DS14" s="52">
        <v>7.9679999999996198E-2</v>
      </c>
      <c r="DT14" s="52">
        <v>1.7973000000000461E-2</v>
      </c>
      <c r="DU14" s="52">
        <v>0</v>
      </c>
      <c r="DV14" s="52">
        <v>5.3349999999996456E-4</v>
      </c>
      <c r="DW14" s="52">
        <v>0</v>
      </c>
      <c r="DX14" s="52">
        <v>3.5650000000000404E-3</v>
      </c>
      <c r="DY14" s="52">
        <v>2.3512500000000269E-4</v>
      </c>
      <c r="DZ14" s="52">
        <v>4.3900000000007822E-3</v>
      </c>
      <c r="EA14" s="52">
        <v>0</v>
      </c>
      <c r="EB14" s="52">
        <v>5.2544000000011692E-2</v>
      </c>
      <c r="EC14" s="52">
        <v>3.2192000000009102E-2</v>
      </c>
      <c r="ED14" s="52">
        <v>9.1499999999999915E-4</v>
      </c>
      <c r="EE14" s="52">
        <v>6.8774999999998698E-3</v>
      </c>
      <c r="EF14" s="52">
        <v>0.52497300000050018</v>
      </c>
      <c r="EG14" s="52">
        <v>0</v>
      </c>
      <c r="EH14" s="52">
        <v>3.5775999999941632E-2</v>
      </c>
      <c r="EI14" s="52">
        <v>2.3744000000078813E-2</v>
      </c>
      <c r="EJ14" s="52">
        <v>1.7599999999902138E-3</v>
      </c>
      <c r="EK14" s="52">
        <v>0</v>
      </c>
      <c r="EL14" s="52">
        <v>0.16192000000000917</v>
      </c>
      <c r="EM14" s="52">
        <v>0.17279999999982465</v>
      </c>
      <c r="EN14" s="52">
        <v>0</v>
      </c>
      <c r="EO14" s="52">
        <v>7.6799999999366264E-4</v>
      </c>
      <c r="EP14" s="52">
        <v>0</v>
      </c>
      <c r="EQ14" s="52">
        <v>0</v>
      </c>
      <c r="ER14" s="52">
        <v>0.11494199999999921</v>
      </c>
      <c r="ES14" s="52">
        <v>0</v>
      </c>
      <c r="ET14" s="52">
        <v>0</v>
      </c>
      <c r="EU14" s="52">
        <v>0</v>
      </c>
      <c r="EV14" s="52">
        <v>0</v>
      </c>
      <c r="EW14" s="52">
        <v>0</v>
      </c>
      <c r="EX14" s="52">
        <v>0</v>
      </c>
      <c r="EY14" s="52">
        <v>0</v>
      </c>
      <c r="EZ14" s="52">
        <v>0</v>
      </c>
      <c r="FA14" s="52">
        <v>0</v>
      </c>
      <c r="FB14" s="52">
        <v>0</v>
      </c>
      <c r="FC14" s="52">
        <v>0</v>
      </c>
      <c r="FD14" s="52">
        <v>0</v>
      </c>
      <c r="FE14" s="52">
        <v>0</v>
      </c>
      <c r="FF14" s="52">
        <v>0</v>
      </c>
      <c r="FG14" s="52">
        <v>0</v>
      </c>
      <c r="FH14" s="52">
        <v>0</v>
      </c>
      <c r="FI14" s="52">
        <v>0</v>
      </c>
      <c r="FJ14" s="52">
        <v>0</v>
      </c>
      <c r="FK14" s="52">
        <v>0</v>
      </c>
      <c r="FL14" s="52">
        <v>0</v>
      </c>
      <c r="FM14" s="52">
        <v>0</v>
      </c>
      <c r="FN14" s="52">
        <v>0</v>
      </c>
      <c r="FO14" s="52">
        <v>0</v>
      </c>
      <c r="FP14" s="52">
        <v>0</v>
      </c>
      <c r="FQ14" s="52">
        <v>0</v>
      </c>
      <c r="FR14" s="52">
        <v>0</v>
      </c>
      <c r="FS14" s="52">
        <v>0</v>
      </c>
      <c r="FT14" s="52">
        <v>0</v>
      </c>
      <c r="FU14" s="52">
        <v>0</v>
      </c>
      <c r="FV14" s="52">
        <v>0</v>
      </c>
      <c r="FW14" s="52">
        <v>0</v>
      </c>
      <c r="FX14" s="52">
        <v>0</v>
      </c>
      <c r="FY14" s="52">
        <v>0</v>
      </c>
      <c r="FZ14" s="52">
        <v>0</v>
      </c>
      <c r="GA14" s="52">
        <v>0</v>
      </c>
      <c r="GB14" s="52">
        <v>0</v>
      </c>
      <c r="GC14" s="52">
        <v>0</v>
      </c>
      <c r="GD14" s="52">
        <v>0</v>
      </c>
      <c r="GE14" s="52">
        <v>0</v>
      </c>
      <c r="GF14" s="52">
        <v>0</v>
      </c>
      <c r="GG14" s="52">
        <v>0</v>
      </c>
      <c r="GH14" s="52">
        <v>0</v>
      </c>
      <c r="GI14" s="52">
        <v>0</v>
      </c>
      <c r="GJ14" s="52">
        <v>0</v>
      </c>
      <c r="GK14" s="52">
        <v>0</v>
      </c>
      <c r="GL14" s="52">
        <v>0</v>
      </c>
      <c r="GM14" s="52">
        <v>0</v>
      </c>
      <c r="GN14" s="52">
        <v>0</v>
      </c>
      <c r="GO14" s="52">
        <v>0</v>
      </c>
      <c r="GP14" s="52">
        <v>0</v>
      </c>
      <c r="GQ14" s="52">
        <v>0</v>
      </c>
      <c r="GR14" s="52">
        <v>0</v>
      </c>
      <c r="GS14" s="52">
        <v>0</v>
      </c>
    </row>
    <row r="15" spans="1:201" ht="17.25" customHeight="1" x14ac:dyDescent="0.3">
      <c r="A15" s="155" t="s">
        <v>34</v>
      </c>
      <c r="B15" s="156">
        <v>738.75</v>
      </c>
      <c r="C15" s="156">
        <v>0</v>
      </c>
      <c r="D15" s="156">
        <v>0.25638900000001286</v>
      </c>
      <c r="E15" s="156">
        <v>0.19702799999998888</v>
      </c>
      <c r="F15" s="156">
        <v>0.24537400000002663</v>
      </c>
      <c r="G15" s="156">
        <v>0</v>
      </c>
      <c r="H15" s="156">
        <v>0</v>
      </c>
      <c r="I15" s="156">
        <v>0</v>
      </c>
      <c r="J15" s="156">
        <v>0</v>
      </c>
      <c r="K15" s="156">
        <v>0</v>
      </c>
      <c r="L15" s="156">
        <v>0</v>
      </c>
      <c r="M15" s="156">
        <v>0</v>
      </c>
      <c r="N15" s="156">
        <v>0.28961199999992004</v>
      </c>
      <c r="O15" s="156">
        <v>0.30090500000005704</v>
      </c>
      <c r="P15" s="52">
        <v>1.7789000000000499E-2</v>
      </c>
      <c r="Q15" s="52">
        <v>0</v>
      </c>
      <c r="R15" s="52">
        <v>0.25804799999968964</v>
      </c>
      <c r="S15" s="52">
        <v>0.21657600000071398</v>
      </c>
      <c r="T15" s="52">
        <v>0.23756800000046496</v>
      </c>
      <c r="U15" s="52">
        <v>2.0696000000000936E-2</v>
      </c>
      <c r="V15" s="52">
        <v>5.3760000000018238E-3</v>
      </c>
      <c r="W15" s="52">
        <v>5.3570000000000562E-3</v>
      </c>
      <c r="X15" s="52">
        <v>4.0949999999995157E-3</v>
      </c>
      <c r="Y15" s="52">
        <v>0</v>
      </c>
      <c r="Z15" s="52">
        <v>1.1599999999987176E-3</v>
      </c>
      <c r="AA15" s="52">
        <v>6.4039999999998543E-3</v>
      </c>
      <c r="AB15" s="52">
        <v>6.9519999999982929E-3</v>
      </c>
      <c r="AC15" s="52">
        <v>1.7560000000003129E-3</v>
      </c>
      <c r="AD15" s="52">
        <v>2.6320000000001897E-3</v>
      </c>
      <c r="AE15" s="52">
        <v>4.0300000000002001E-3</v>
      </c>
      <c r="AF15" s="52">
        <v>0</v>
      </c>
      <c r="AG15" s="52">
        <v>2.9199999999995896E-4</v>
      </c>
      <c r="AH15" s="52">
        <v>9.0080000000000382E-2</v>
      </c>
      <c r="AI15" s="52">
        <v>0</v>
      </c>
      <c r="AJ15" s="52">
        <v>2.4759999999997007E-3</v>
      </c>
      <c r="AK15" s="52">
        <v>0</v>
      </c>
      <c r="AL15" s="52">
        <v>1.7680406250000003E-2</v>
      </c>
      <c r="AM15" s="52">
        <v>2.1816000000001168E-2</v>
      </c>
      <c r="AN15" s="52">
        <v>1.5503999999992857E-2</v>
      </c>
      <c r="AO15" s="52">
        <v>7.3360000000022296E-3</v>
      </c>
      <c r="AP15" s="52">
        <v>3.1719999999992865E-3</v>
      </c>
      <c r="AQ15" s="52">
        <v>1.3348000000007687E-2</v>
      </c>
      <c r="AR15" s="52">
        <v>0.20025599999996757</v>
      </c>
      <c r="AS15" s="52">
        <v>3.8955000000004958E-3</v>
      </c>
      <c r="AT15" s="52">
        <v>0</v>
      </c>
      <c r="AU15" s="52">
        <v>2.0279999999956999E-3</v>
      </c>
      <c r="AV15" s="52">
        <v>1.0305000000006004E-3</v>
      </c>
      <c r="AW15" s="52">
        <v>6.5471999999999753E-2</v>
      </c>
      <c r="AX15" s="52">
        <v>0</v>
      </c>
      <c r="AY15" s="52">
        <v>3.0310000000000059E-3</v>
      </c>
      <c r="AZ15" s="52">
        <v>0</v>
      </c>
      <c r="BA15" s="52">
        <v>0</v>
      </c>
      <c r="BB15" s="52">
        <v>0</v>
      </c>
      <c r="BC15" s="52">
        <v>0</v>
      </c>
      <c r="BD15" s="52">
        <v>1.0726562499999148E-4</v>
      </c>
      <c r="BE15" s="52">
        <v>5.935999999998387E-3</v>
      </c>
      <c r="BF15" s="52">
        <v>0</v>
      </c>
      <c r="BG15" s="52">
        <v>4.3800000000082662E-4</v>
      </c>
      <c r="BH15" s="52">
        <v>0</v>
      </c>
      <c r="BI15" s="52">
        <v>0.10678400000000465</v>
      </c>
      <c r="BJ15" s="52">
        <v>0</v>
      </c>
      <c r="BK15" s="52">
        <v>2.491000000000021E-3</v>
      </c>
      <c r="BL15" s="52">
        <v>0</v>
      </c>
      <c r="BM15" s="52">
        <v>8.1055999999989581E-2</v>
      </c>
      <c r="BN15" s="52">
        <v>0</v>
      </c>
      <c r="BO15" s="52">
        <v>1.5959999999992647E-3</v>
      </c>
      <c r="BP15" s="52">
        <v>0</v>
      </c>
      <c r="BQ15" s="52">
        <v>0</v>
      </c>
      <c r="BR15" s="52">
        <v>0</v>
      </c>
      <c r="BS15" s="52">
        <v>0</v>
      </c>
      <c r="BT15" s="52">
        <v>9.2440000000024725E-3</v>
      </c>
      <c r="BU15" s="52">
        <v>0</v>
      </c>
      <c r="BV15" s="52">
        <v>0</v>
      </c>
      <c r="BW15" s="52">
        <v>0</v>
      </c>
      <c r="BX15" s="52">
        <v>0</v>
      </c>
      <c r="BY15" s="52">
        <v>0</v>
      </c>
      <c r="BZ15" s="52">
        <v>4.41279999999864E-2</v>
      </c>
      <c r="CA15" s="52">
        <v>1.9148812500000001E-2</v>
      </c>
      <c r="CB15" s="52">
        <v>0</v>
      </c>
      <c r="CC15" s="52">
        <v>0</v>
      </c>
      <c r="CD15" s="52">
        <v>0</v>
      </c>
      <c r="CE15" s="52">
        <v>0</v>
      </c>
      <c r="CF15" s="52">
        <v>1.632000000000744E-3</v>
      </c>
      <c r="CG15" s="52">
        <v>0</v>
      </c>
      <c r="CH15" s="52">
        <v>6.3750000000029061E-4</v>
      </c>
      <c r="CI15" s="52">
        <v>0</v>
      </c>
      <c r="CJ15" s="52">
        <v>0</v>
      </c>
      <c r="CK15" s="52">
        <v>0</v>
      </c>
      <c r="CL15" s="52">
        <v>1.0820000000002494E-3</v>
      </c>
      <c r="CM15" s="52">
        <v>0.20595200000002478</v>
      </c>
      <c r="CN15" s="52">
        <v>2.0319999999998117E-3</v>
      </c>
      <c r="CO15" s="52">
        <v>4.1303999999996677E-2</v>
      </c>
      <c r="CP15" s="52">
        <v>0</v>
      </c>
      <c r="CQ15" s="52">
        <v>0</v>
      </c>
      <c r="CR15" s="52">
        <v>9.3540000000000845E-3</v>
      </c>
      <c r="CS15" s="52">
        <v>0</v>
      </c>
      <c r="CT15" s="52">
        <v>1.7440000000021882E-3</v>
      </c>
      <c r="CU15" s="52">
        <v>0</v>
      </c>
      <c r="CV15" s="52">
        <v>1.1680000000000579E-3</v>
      </c>
      <c r="CW15" s="52">
        <v>0</v>
      </c>
      <c r="CX15" s="52">
        <v>0</v>
      </c>
      <c r="CY15" s="52">
        <v>7.510000000001682E-4</v>
      </c>
      <c r="CZ15" s="52">
        <v>4.9974999999990999E-4</v>
      </c>
      <c r="DA15" s="52">
        <v>1.1780000000001678E-2</v>
      </c>
      <c r="DB15" s="52">
        <v>6.1980000000012581E-3</v>
      </c>
      <c r="DC15" s="52">
        <v>8.6215000000000597E-3</v>
      </c>
      <c r="DD15" s="52">
        <v>1.319499999999918E-3</v>
      </c>
      <c r="DE15" s="52">
        <v>0</v>
      </c>
      <c r="DF15" s="52">
        <v>0</v>
      </c>
      <c r="DG15" s="52">
        <v>0</v>
      </c>
      <c r="DH15" s="52">
        <v>6.060000000003285E-4</v>
      </c>
      <c r="DI15" s="52">
        <v>0.2298879999999599</v>
      </c>
      <c r="DJ15" s="52">
        <v>0</v>
      </c>
      <c r="DK15" s="52">
        <v>2.7480000000004168E-3</v>
      </c>
      <c r="DL15" s="52">
        <v>1.0854218749999922E-3</v>
      </c>
      <c r="DM15" s="52">
        <v>1.8250000000001876E-3</v>
      </c>
      <c r="DN15" s="52">
        <v>0</v>
      </c>
      <c r="DO15" s="52">
        <v>7.5039999999830798E-3</v>
      </c>
      <c r="DP15" s="52">
        <v>2.8185000000000571E-3</v>
      </c>
      <c r="DQ15" s="52">
        <v>0</v>
      </c>
      <c r="DR15" s="52">
        <v>0</v>
      </c>
      <c r="DS15" s="52">
        <v>8.5759999999993397E-2</v>
      </c>
      <c r="DT15" s="52">
        <v>1.7743000000000286E-2</v>
      </c>
      <c r="DU15" s="52">
        <v>0</v>
      </c>
      <c r="DV15" s="52">
        <v>2.9225000000021595E-4</v>
      </c>
      <c r="DW15" s="52">
        <v>0</v>
      </c>
      <c r="DX15" s="52">
        <v>3.543000000000518E-3</v>
      </c>
      <c r="DY15" s="52">
        <v>2.278749999999885E-4</v>
      </c>
      <c r="DZ15" s="52">
        <v>4.6420000000004791E-3</v>
      </c>
      <c r="EA15" s="52">
        <v>0</v>
      </c>
      <c r="EB15" s="52">
        <v>6.9296000000008462E-2</v>
      </c>
      <c r="EC15" s="52">
        <v>3.2671999999990931E-2</v>
      </c>
      <c r="ED15" s="52">
        <v>2.572500000002087E-4</v>
      </c>
      <c r="EE15" s="52">
        <v>7.9374999999997087E-3</v>
      </c>
      <c r="EF15" s="52">
        <v>0.54456399999889982</v>
      </c>
      <c r="EG15" s="52">
        <v>0</v>
      </c>
      <c r="EH15" s="52">
        <v>3.9616000000023632E-2</v>
      </c>
      <c r="EI15" s="52">
        <v>2.8991999999902873E-2</v>
      </c>
      <c r="EJ15" s="52">
        <v>2.3039999999809879E-3</v>
      </c>
      <c r="EK15" s="52">
        <v>0</v>
      </c>
      <c r="EL15" s="52">
        <v>0.16319999999996071</v>
      </c>
      <c r="EM15" s="52">
        <v>0.17510400000037407</v>
      </c>
      <c r="EN15" s="52">
        <v>0</v>
      </c>
      <c r="EO15" s="52">
        <v>7.6799999999366264E-4</v>
      </c>
      <c r="EP15" s="52">
        <v>0</v>
      </c>
      <c r="EQ15" s="52">
        <v>0</v>
      </c>
      <c r="ER15" s="52">
        <v>0.13145000000001517</v>
      </c>
      <c r="ES15" s="52">
        <v>0</v>
      </c>
      <c r="ET15" s="52">
        <v>0</v>
      </c>
      <c r="EU15" s="52">
        <v>0</v>
      </c>
      <c r="EV15" s="52">
        <v>0</v>
      </c>
      <c r="EW15" s="52">
        <v>0</v>
      </c>
      <c r="EX15" s="52">
        <v>0</v>
      </c>
      <c r="EY15" s="52">
        <v>0</v>
      </c>
      <c r="EZ15" s="52">
        <v>0</v>
      </c>
      <c r="FA15" s="52">
        <v>0</v>
      </c>
      <c r="FB15" s="52">
        <v>0</v>
      </c>
      <c r="FC15" s="52">
        <v>0</v>
      </c>
      <c r="FD15" s="52">
        <v>0</v>
      </c>
      <c r="FE15" s="52">
        <v>0</v>
      </c>
      <c r="FF15" s="52">
        <v>0</v>
      </c>
      <c r="FG15" s="52">
        <v>0</v>
      </c>
      <c r="FH15" s="52">
        <v>0</v>
      </c>
      <c r="FI15" s="52">
        <v>0</v>
      </c>
      <c r="FJ15" s="52">
        <v>0</v>
      </c>
      <c r="FK15" s="52">
        <v>0</v>
      </c>
      <c r="FL15" s="52">
        <v>0</v>
      </c>
      <c r="FM15" s="52">
        <v>0</v>
      </c>
      <c r="FN15" s="52">
        <v>0</v>
      </c>
      <c r="FO15" s="52">
        <v>0</v>
      </c>
      <c r="FP15" s="52">
        <v>0</v>
      </c>
      <c r="FQ15" s="52">
        <v>0</v>
      </c>
      <c r="FR15" s="52">
        <v>0</v>
      </c>
      <c r="FS15" s="52">
        <v>0</v>
      </c>
      <c r="FT15" s="52">
        <v>0</v>
      </c>
      <c r="FU15" s="52">
        <v>0</v>
      </c>
      <c r="FV15" s="52">
        <v>0</v>
      </c>
      <c r="FW15" s="52">
        <v>0</v>
      </c>
      <c r="FX15" s="52">
        <v>0</v>
      </c>
      <c r="FY15" s="52">
        <v>0</v>
      </c>
      <c r="FZ15" s="52">
        <v>0</v>
      </c>
      <c r="GA15" s="52">
        <v>0</v>
      </c>
      <c r="GB15" s="52">
        <v>0</v>
      </c>
      <c r="GC15" s="52">
        <v>0</v>
      </c>
      <c r="GD15" s="52">
        <v>0</v>
      </c>
      <c r="GE15" s="52">
        <v>0</v>
      </c>
      <c r="GF15" s="52">
        <v>0</v>
      </c>
      <c r="GG15" s="52">
        <v>0</v>
      </c>
      <c r="GH15" s="52">
        <v>0</v>
      </c>
      <c r="GI15" s="52">
        <v>0</v>
      </c>
      <c r="GJ15" s="52">
        <v>0</v>
      </c>
      <c r="GK15" s="52">
        <v>0</v>
      </c>
      <c r="GL15" s="52">
        <v>0</v>
      </c>
      <c r="GM15" s="52">
        <v>0</v>
      </c>
      <c r="GN15" s="52">
        <v>0</v>
      </c>
      <c r="GO15" s="52">
        <v>0</v>
      </c>
      <c r="GP15" s="52">
        <v>0</v>
      </c>
      <c r="GQ15" s="52">
        <v>0</v>
      </c>
      <c r="GR15" s="52">
        <v>0</v>
      </c>
      <c r="GS15" s="52">
        <v>0</v>
      </c>
    </row>
    <row r="16" spans="1:201" ht="17.25" customHeight="1" x14ac:dyDescent="0.3">
      <c r="A16" s="155" t="s">
        <v>35</v>
      </c>
      <c r="B16" s="156">
        <v>1230.75</v>
      </c>
      <c r="C16" s="156">
        <v>0</v>
      </c>
      <c r="D16" s="156">
        <v>0.43917099999998754</v>
      </c>
      <c r="E16" s="156">
        <v>0.37081699999998818</v>
      </c>
      <c r="F16" s="156">
        <v>0.41626500000000988</v>
      </c>
      <c r="G16" s="156">
        <v>0</v>
      </c>
      <c r="H16" s="156">
        <v>0</v>
      </c>
      <c r="I16" s="156">
        <v>0</v>
      </c>
      <c r="J16" s="156">
        <v>0</v>
      </c>
      <c r="K16" s="156">
        <v>0</v>
      </c>
      <c r="L16" s="156">
        <v>0</v>
      </c>
      <c r="M16" s="156">
        <v>0</v>
      </c>
      <c r="N16" s="156">
        <v>1.9721999999887885E-2</v>
      </c>
      <c r="O16" s="156">
        <v>2.1794999999997344E-2</v>
      </c>
      <c r="P16" s="52">
        <v>9.7099999999983311E-4</v>
      </c>
      <c r="Q16" s="52">
        <v>0</v>
      </c>
      <c r="R16" s="52">
        <v>0.43212800000037532</v>
      </c>
      <c r="S16" s="52">
        <v>0.36454399999911402</v>
      </c>
      <c r="T16" s="52">
        <v>0.40345600000000559</v>
      </c>
      <c r="U16" s="52">
        <v>2.4824000000009505E-2</v>
      </c>
      <c r="V16" s="52">
        <v>5.4839999999991562E-3</v>
      </c>
      <c r="W16" s="52">
        <v>5.4199999999990922E-3</v>
      </c>
      <c r="X16" s="52">
        <v>4.1779999999995709E-3</v>
      </c>
      <c r="Y16" s="52">
        <v>0</v>
      </c>
      <c r="Z16" s="52">
        <v>9.8299999999973409E-4</v>
      </c>
      <c r="AA16" s="52">
        <v>5.9819999999994877E-3</v>
      </c>
      <c r="AB16" s="52">
        <v>6.6640000000006694E-3</v>
      </c>
      <c r="AC16" s="52">
        <v>1.4199999999995327E-3</v>
      </c>
      <c r="AD16" s="52">
        <v>2.5710000000014332E-3</v>
      </c>
      <c r="AE16" s="52">
        <v>3.2480000000001397E-3</v>
      </c>
      <c r="AF16" s="52">
        <v>0</v>
      </c>
      <c r="AG16" s="52">
        <v>4.3399999999937933E-4</v>
      </c>
      <c r="AH16" s="52">
        <v>8.6911999999983891E-2</v>
      </c>
      <c r="AI16" s="52">
        <v>0</v>
      </c>
      <c r="AJ16" s="52">
        <v>2.5195000000000078E-3</v>
      </c>
      <c r="AK16" s="52">
        <v>0</v>
      </c>
      <c r="AL16" s="52">
        <v>1.5739531249999994E-2</v>
      </c>
      <c r="AM16" s="52">
        <v>2.0615999999989754E-2</v>
      </c>
      <c r="AN16" s="52">
        <v>1.6152000000005273E-2</v>
      </c>
      <c r="AO16" s="52">
        <v>6.6119999999969536E-3</v>
      </c>
      <c r="AP16" s="52">
        <v>3.7640000000003226E-3</v>
      </c>
      <c r="AQ16" s="52">
        <v>1.3592000000002713E-2</v>
      </c>
      <c r="AR16" s="52">
        <v>0.20512000000007902</v>
      </c>
      <c r="AS16" s="52">
        <v>3.4829999999992367E-3</v>
      </c>
      <c r="AT16" s="52">
        <v>0</v>
      </c>
      <c r="AU16" s="52">
        <v>2.3279999999985534E-3</v>
      </c>
      <c r="AV16" s="52">
        <v>1.0419999999999874E-3</v>
      </c>
      <c r="AW16" s="52">
        <v>5.5295999999998457E-2</v>
      </c>
      <c r="AX16" s="52">
        <v>0</v>
      </c>
      <c r="AY16" s="52">
        <v>2.4189999999997269E-3</v>
      </c>
      <c r="AZ16" s="52">
        <v>0</v>
      </c>
      <c r="BA16" s="52">
        <v>0</v>
      </c>
      <c r="BB16" s="52">
        <v>0</v>
      </c>
      <c r="BC16" s="52">
        <v>0</v>
      </c>
      <c r="BD16" s="52">
        <v>9.9757812500003706E-5</v>
      </c>
      <c r="BE16" s="52">
        <v>5.6280000000015207E-3</v>
      </c>
      <c r="BF16" s="52">
        <v>0</v>
      </c>
      <c r="BG16" s="52">
        <v>4.3099999999895999E-4</v>
      </c>
      <c r="BH16" s="52">
        <v>0</v>
      </c>
      <c r="BI16" s="52">
        <v>0.11996799999997165</v>
      </c>
      <c r="BJ16" s="52">
        <v>0</v>
      </c>
      <c r="BK16" s="52">
        <v>1.5404999999999447E-3</v>
      </c>
      <c r="BL16" s="52">
        <v>0</v>
      </c>
      <c r="BM16" s="52">
        <v>6.5152000000011867E-2</v>
      </c>
      <c r="BN16" s="52">
        <v>0</v>
      </c>
      <c r="BO16" s="52">
        <v>1.5800000000005809E-3</v>
      </c>
      <c r="BP16" s="52">
        <v>0</v>
      </c>
      <c r="BQ16" s="52">
        <v>0</v>
      </c>
      <c r="BR16" s="52">
        <v>0</v>
      </c>
      <c r="BS16" s="52">
        <v>0</v>
      </c>
      <c r="BT16" s="52">
        <v>1.1955999999997857E-2</v>
      </c>
      <c r="BU16" s="52">
        <v>0</v>
      </c>
      <c r="BV16" s="52">
        <v>0</v>
      </c>
      <c r="BW16" s="52">
        <v>0</v>
      </c>
      <c r="BX16" s="52">
        <v>0</v>
      </c>
      <c r="BY16" s="52">
        <v>0</v>
      </c>
      <c r="BZ16" s="52">
        <v>3.2176000000006866E-2</v>
      </c>
      <c r="CA16" s="52">
        <v>1.2817437499999973E-2</v>
      </c>
      <c r="CB16" s="52">
        <v>0</v>
      </c>
      <c r="CC16" s="52">
        <v>0</v>
      </c>
      <c r="CD16" s="52">
        <v>0</v>
      </c>
      <c r="CE16" s="52">
        <v>0</v>
      </c>
      <c r="CF16" s="52">
        <v>1.9790000000003971E-3</v>
      </c>
      <c r="CG16" s="52">
        <v>0</v>
      </c>
      <c r="CH16" s="52">
        <v>1.0499999999997733E-3</v>
      </c>
      <c r="CI16" s="52">
        <v>0</v>
      </c>
      <c r="CJ16" s="52">
        <v>0</v>
      </c>
      <c r="CK16" s="52">
        <v>0</v>
      </c>
      <c r="CL16" s="52">
        <v>2.6940000000017505E-3</v>
      </c>
      <c r="CM16" s="52">
        <v>0.20006400000011126</v>
      </c>
      <c r="CN16" s="52">
        <v>2.1609999999991913E-3</v>
      </c>
      <c r="CO16" s="52">
        <v>4.052799999999479E-2</v>
      </c>
      <c r="CP16" s="52">
        <v>0</v>
      </c>
      <c r="CQ16" s="52">
        <v>0</v>
      </c>
      <c r="CR16" s="52">
        <v>9.2959999999990828E-3</v>
      </c>
      <c r="CS16" s="52">
        <v>0</v>
      </c>
      <c r="CT16" s="52">
        <v>2.1600000000887576E-4</v>
      </c>
      <c r="CU16" s="52">
        <v>0</v>
      </c>
      <c r="CV16" s="52">
        <v>1.3393749999999205E-3</v>
      </c>
      <c r="CW16" s="52">
        <v>0</v>
      </c>
      <c r="CX16" s="52">
        <v>0</v>
      </c>
      <c r="CY16" s="52">
        <v>7.0399999999981588E-4</v>
      </c>
      <c r="CZ16" s="52">
        <v>4.8875000000014879E-4</v>
      </c>
      <c r="DA16" s="52">
        <v>1.1575999999998032E-2</v>
      </c>
      <c r="DB16" s="52">
        <v>6.1979999999994817E-3</v>
      </c>
      <c r="DC16" s="52">
        <v>8.3029999999999493E-3</v>
      </c>
      <c r="DD16" s="52">
        <v>1.2473749999999395E-3</v>
      </c>
      <c r="DE16" s="52">
        <v>0</v>
      </c>
      <c r="DF16" s="52">
        <v>0</v>
      </c>
      <c r="DG16" s="52">
        <v>0</v>
      </c>
      <c r="DH16" s="52">
        <v>6.975000000002396E-4</v>
      </c>
      <c r="DI16" s="52">
        <v>0.21727999999995973</v>
      </c>
      <c r="DJ16" s="52">
        <v>0</v>
      </c>
      <c r="DK16" s="52">
        <v>2.7860000000003993E-3</v>
      </c>
      <c r="DL16" s="52">
        <v>1.0970468750000073E-3</v>
      </c>
      <c r="DM16" s="52">
        <v>1.811000000000007E-3</v>
      </c>
      <c r="DN16" s="52">
        <v>0</v>
      </c>
      <c r="DO16" s="52">
        <v>6.5920000000119217E-3</v>
      </c>
      <c r="DP16" s="52">
        <v>2.7694999999994252E-3</v>
      </c>
      <c r="DQ16" s="52">
        <v>0</v>
      </c>
      <c r="DR16" s="52">
        <v>0</v>
      </c>
      <c r="DS16" s="52">
        <v>8.1440000000043256E-2</v>
      </c>
      <c r="DT16" s="52">
        <v>1.6569499999999238E-2</v>
      </c>
      <c r="DU16" s="52">
        <v>0</v>
      </c>
      <c r="DV16" s="52">
        <v>2.9299999999965465E-4</v>
      </c>
      <c r="DW16" s="52">
        <v>0</v>
      </c>
      <c r="DX16" s="52">
        <v>3.543000000000518E-3</v>
      </c>
      <c r="DY16" s="52">
        <v>2.2787500000009953E-4</v>
      </c>
      <c r="DZ16" s="52">
        <v>4.5259999999984757E-3</v>
      </c>
      <c r="EA16" s="52">
        <v>0</v>
      </c>
      <c r="EB16" s="52">
        <v>6.6335999999978412E-2</v>
      </c>
      <c r="EC16" s="52">
        <v>3.1599999999997408E-2</v>
      </c>
      <c r="ED16" s="52">
        <v>2.6249999999983231E-4</v>
      </c>
      <c r="EE16" s="52">
        <v>5.062000000000566E-3</v>
      </c>
      <c r="EF16" s="52">
        <v>0.51908600000024308</v>
      </c>
      <c r="EG16" s="52">
        <v>0</v>
      </c>
      <c r="EH16" s="52">
        <v>3.0592000000069675E-2</v>
      </c>
      <c r="EI16" s="52">
        <v>2.7647999999999229E-2</v>
      </c>
      <c r="EJ16" s="52">
        <v>2.1760000000199398E-3</v>
      </c>
      <c r="EK16" s="52">
        <v>0</v>
      </c>
      <c r="EL16" s="52">
        <v>0.15782399999989138</v>
      </c>
      <c r="EM16" s="52">
        <v>0.16614399999980378</v>
      </c>
      <c r="EN16" s="52">
        <v>0</v>
      </c>
      <c r="EO16" s="52">
        <v>7.6799999999366264E-4</v>
      </c>
      <c r="EP16" s="52">
        <v>0</v>
      </c>
      <c r="EQ16" s="52">
        <v>0</v>
      </c>
      <c r="ER16" s="52">
        <v>0.12645799999999952</v>
      </c>
      <c r="ES16" s="52">
        <v>0</v>
      </c>
      <c r="ET16" s="52">
        <v>0</v>
      </c>
      <c r="EU16" s="52">
        <v>0</v>
      </c>
      <c r="EV16" s="52">
        <v>0</v>
      </c>
      <c r="EW16" s="52">
        <v>0</v>
      </c>
      <c r="EX16" s="52">
        <v>0</v>
      </c>
      <c r="EY16" s="52">
        <v>0</v>
      </c>
      <c r="EZ16" s="52">
        <v>0</v>
      </c>
      <c r="FA16" s="52">
        <v>0</v>
      </c>
      <c r="FB16" s="52">
        <v>0</v>
      </c>
      <c r="FC16" s="52">
        <v>0</v>
      </c>
      <c r="FD16" s="52">
        <v>0</v>
      </c>
      <c r="FE16" s="52">
        <v>0</v>
      </c>
      <c r="FF16" s="52">
        <v>0</v>
      </c>
      <c r="FG16" s="52">
        <v>0</v>
      </c>
      <c r="FH16" s="52">
        <v>0</v>
      </c>
      <c r="FI16" s="52">
        <v>0</v>
      </c>
      <c r="FJ16" s="52">
        <v>0</v>
      </c>
      <c r="FK16" s="52">
        <v>0</v>
      </c>
      <c r="FL16" s="52">
        <v>0</v>
      </c>
      <c r="FM16" s="52">
        <v>0</v>
      </c>
      <c r="FN16" s="52">
        <v>0</v>
      </c>
      <c r="FO16" s="52">
        <v>0</v>
      </c>
      <c r="FP16" s="52">
        <v>0</v>
      </c>
      <c r="FQ16" s="52">
        <v>0</v>
      </c>
      <c r="FR16" s="52">
        <v>0</v>
      </c>
      <c r="FS16" s="52">
        <v>0</v>
      </c>
      <c r="FT16" s="52">
        <v>0</v>
      </c>
      <c r="FU16" s="52">
        <v>0</v>
      </c>
      <c r="FV16" s="52">
        <v>0</v>
      </c>
      <c r="FW16" s="52">
        <v>0</v>
      </c>
      <c r="FX16" s="52">
        <v>0</v>
      </c>
      <c r="FY16" s="52">
        <v>0</v>
      </c>
      <c r="FZ16" s="52">
        <v>0</v>
      </c>
      <c r="GA16" s="52">
        <v>0</v>
      </c>
      <c r="GB16" s="52">
        <v>0</v>
      </c>
      <c r="GC16" s="52">
        <v>0</v>
      </c>
      <c r="GD16" s="52">
        <v>0</v>
      </c>
      <c r="GE16" s="52">
        <v>0</v>
      </c>
      <c r="GF16" s="52">
        <v>0</v>
      </c>
      <c r="GG16" s="52">
        <v>0</v>
      </c>
      <c r="GH16" s="52">
        <v>0</v>
      </c>
      <c r="GI16" s="52">
        <v>0</v>
      </c>
      <c r="GJ16" s="52">
        <v>0</v>
      </c>
      <c r="GK16" s="52">
        <v>0</v>
      </c>
      <c r="GL16" s="52">
        <v>0</v>
      </c>
      <c r="GM16" s="52">
        <v>0</v>
      </c>
      <c r="GN16" s="52">
        <v>0</v>
      </c>
      <c r="GO16" s="52">
        <v>0</v>
      </c>
      <c r="GP16" s="52">
        <v>0</v>
      </c>
      <c r="GQ16" s="52">
        <v>0</v>
      </c>
      <c r="GR16" s="52">
        <v>0</v>
      </c>
      <c r="GS16" s="52">
        <v>0</v>
      </c>
    </row>
    <row r="17" spans="1:201" ht="17.25" customHeight="1" x14ac:dyDescent="0.3">
      <c r="A17" s="155" t="s">
        <v>36</v>
      </c>
      <c r="B17" s="156">
        <v>1219.375</v>
      </c>
      <c r="C17" s="156">
        <v>0</v>
      </c>
      <c r="D17" s="156">
        <v>0.4389409999999998</v>
      </c>
      <c r="E17" s="156">
        <v>0.37179000000003271</v>
      </c>
      <c r="F17" s="156">
        <v>0.41519099999999298</v>
      </c>
      <c r="G17" s="156">
        <v>0</v>
      </c>
      <c r="H17" s="156">
        <v>0</v>
      </c>
      <c r="I17" s="156">
        <v>0</v>
      </c>
      <c r="J17" s="156">
        <v>0</v>
      </c>
      <c r="K17" s="156">
        <v>0</v>
      </c>
      <c r="L17" s="156">
        <v>0</v>
      </c>
      <c r="M17" s="156">
        <v>0</v>
      </c>
      <c r="N17" s="156">
        <v>2.1200000001044828E-3</v>
      </c>
      <c r="O17" s="156">
        <v>2.6450000000295404E-3</v>
      </c>
      <c r="P17" s="52">
        <v>3.7999999996429779E-5</v>
      </c>
      <c r="Q17" s="52">
        <v>0</v>
      </c>
      <c r="R17" s="52">
        <v>0.42803199999980279</v>
      </c>
      <c r="S17" s="52">
        <v>0.35635200000069744</v>
      </c>
      <c r="T17" s="52">
        <v>0.40140800000153831</v>
      </c>
      <c r="U17" s="52">
        <v>2.3431999999999675E-2</v>
      </c>
      <c r="V17" s="52">
        <v>5.6240000000009616E-3</v>
      </c>
      <c r="W17" s="52">
        <v>5.2529999999997301E-3</v>
      </c>
      <c r="X17" s="52">
        <v>3.7730000000006925E-3</v>
      </c>
      <c r="Y17" s="52">
        <v>0</v>
      </c>
      <c r="Z17" s="52">
        <v>1.8600000000006389E-3</v>
      </c>
      <c r="AA17" s="52">
        <v>5.5979999999991037E-3</v>
      </c>
      <c r="AB17" s="52">
        <v>5.8919999999993422E-3</v>
      </c>
      <c r="AC17" s="52">
        <v>6.7400000000006344E-4</v>
      </c>
      <c r="AD17" s="52">
        <v>3.6629999999995277E-3</v>
      </c>
      <c r="AE17" s="52">
        <v>2.8885000000000716E-3</v>
      </c>
      <c r="AF17" s="52">
        <v>0</v>
      </c>
      <c r="AG17" s="52">
        <v>2.8795000000005899E-3</v>
      </c>
      <c r="AH17" s="52">
        <v>8.1344000000001415E-2</v>
      </c>
      <c r="AI17" s="52">
        <v>0</v>
      </c>
      <c r="AJ17" s="52">
        <v>2.1040000000001058E-3</v>
      </c>
      <c r="AK17" s="52">
        <v>0</v>
      </c>
      <c r="AL17" s="52">
        <v>1.4596499999999957E-2</v>
      </c>
      <c r="AM17" s="52">
        <v>2.0792000000000144E-2</v>
      </c>
      <c r="AN17" s="52">
        <v>1.5416000000001873E-2</v>
      </c>
      <c r="AO17" s="52">
        <v>5.2120000000002165E-3</v>
      </c>
      <c r="AP17" s="52">
        <v>3.6279999999990764E-3</v>
      </c>
      <c r="AQ17" s="52">
        <v>1.4203999999992334E-2</v>
      </c>
      <c r="AR17" s="52">
        <v>0.21868799999992916</v>
      </c>
      <c r="AS17" s="52">
        <v>2.3730000000004026E-3</v>
      </c>
      <c r="AT17" s="52">
        <v>0</v>
      </c>
      <c r="AU17" s="52">
        <v>3.5560000000032232E-3</v>
      </c>
      <c r="AV17" s="52">
        <v>2.523000000000053E-3</v>
      </c>
      <c r="AW17" s="52">
        <v>6.5791999999987638E-2</v>
      </c>
      <c r="AX17" s="52">
        <v>0</v>
      </c>
      <c r="AY17" s="52">
        <v>3.6009999999997433E-3</v>
      </c>
      <c r="AZ17" s="52">
        <v>1.000000000139778E-6</v>
      </c>
      <c r="BA17" s="52">
        <v>0</v>
      </c>
      <c r="BB17" s="52">
        <v>0</v>
      </c>
      <c r="BC17" s="52">
        <v>0</v>
      </c>
      <c r="BD17" s="52">
        <v>1.0476562500000286E-4</v>
      </c>
      <c r="BE17" s="52">
        <v>4.7840000000007876E-3</v>
      </c>
      <c r="BF17" s="52">
        <v>0</v>
      </c>
      <c r="BG17" s="52">
        <v>4.3900000000007822E-4</v>
      </c>
      <c r="BH17" s="52">
        <v>0</v>
      </c>
      <c r="BI17" s="52">
        <v>0.11808000000002039</v>
      </c>
      <c r="BJ17" s="52">
        <v>0</v>
      </c>
      <c r="BK17" s="52">
        <v>4.2274999999998286E-3</v>
      </c>
      <c r="BL17" s="52">
        <v>0</v>
      </c>
      <c r="BM17" s="52">
        <v>6.592000000000553E-2</v>
      </c>
      <c r="BN17" s="52">
        <v>0</v>
      </c>
      <c r="BO17" s="52">
        <v>1.6140000000000043E-3</v>
      </c>
      <c r="BP17" s="52">
        <v>0</v>
      </c>
      <c r="BQ17" s="52">
        <v>0</v>
      </c>
      <c r="BR17" s="52">
        <v>0</v>
      </c>
      <c r="BS17" s="52">
        <v>0</v>
      </c>
      <c r="BT17" s="52">
        <v>1.1791999999999803E-2</v>
      </c>
      <c r="BU17" s="52">
        <v>0</v>
      </c>
      <c r="BV17" s="52">
        <v>0</v>
      </c>
      <c r="BW17" s="52">
        <v>0</v>
      </c>
      <c r="BX17" s="52">
        <v>0</v>
      </c>
      <c r="BY17" s="52">
        <v>0</v>
      </c>
      <c r="BZ17" s="52">
        <v>3.4608000000005745E-2</v>
      </c>
      <c r="CA17" s="52">
        <v>1.2872749999999988E-2</v>
      </c>
      <c r="CB17" s="52">
        <v>0</v>
      </c>
      <c r="CC17" s="52">
        <v>0</v>
      </c>
      <c r="CD17" s="52">
        <v>0</v>
      </c>
      <c r="CE17" s="52">
        <v>0</v>
      </c>
      <c r="CF17" s="52">
        <v>1.2600000000002609E-3</v>
      </c>
      <c r="CG17" s="52">
        <v>0</v>
      </c>
      <c r="CH17" s="52">
        <v>1.4382500000000853E-3</v>
      </c>
      <c r="CI17" s="52">
        <v>0</v>
      </c>
      <c r="CJ17" s="52">
        <v>0</v>
      </c>
      <c r="CK17" s="52">
        <v>0</v>
      </c>
      <c r="CL17" s="52">
        <v>2.4639999999997997E-3</v>
      </c>
      <c r="CM17" s="52">
        <v>0.19251199999985147</v>
      </c>
      <c r="CN17" s="52">
        <v>2.2890000000010957E-3</v>
      </c>
      <c r="CO17" s="52">
        <v>4.0464000000000055E-2</v>
      </c>
      <c r="CP17" s="52">
        <v>0</v>
      </c>
      <c r="CQ17" s="52">
        <v>0</v>
      </c>
      <c r="CR17" s="52">
        <v>8.0830000000009505E-3</v>
      </c>
      <c r="CS17" s="52">
        <v>0</v>
      </c>
      <c r="CT17" s="52">
        <v>1.5199999999992997E-4</v>
      </c>
      <c r="CU17" s="52">
        <v>0</v>
      </c>
      <c r="CV17" s="52">
        <v>1.1316249999999695E-3</v>
      </c>
      <c r="CW17" s="52">
        <v>0</v>
      </c>
      <c r="CX17" s="52">
        <v>0</v>
      </c>
      <c r="CY17" s="52">
        <v>5.9699999999995867E-4</v>
      </c>
      <c r="CZ17" s="52">
        <v>4.992499999998401E-4</v>
      </c>
      <c r="DA17" s="52">
        <v>1.1783999999998684E-2</v>
      </c>
      <c r="DB17" s="52">
        <v>6.1759999999999593E-3</v>
      </c>
      <c r="DC17" s="52">
        <v>7.4713749999999468E-3</v>
      </c>
      <c r="DD17" s="52">
        <v>1.0386250000000707E-3</v>
      </c>
      <c r="DE17" s="52">
        <v>0</v>
      </c>
      <c r="DF17" s="52">
        <v>0</v>
      </c>
      <c r="DG17" s="52">
        <v>0</v>
      </c>
      <c r="DH17" s="52">
        <v>1.0354999999995229E-3</v>
      </c>
      <c r="DI17" s="52">
        <v>0.2237440000000106</v>
      </c>
      <c r="DJ17" s="52">
        <v>0</v>
      </c>
      <c r="DK17" s="52">
        <v>2.7880000000024552E-3</v>
      </c>
      <c r="DL17" s="52">
        <v>1.0819218750000026E-3</v>
      </c>
      <c r="DM17" s="52">
        <v>1.4260000000003714E-3</v>
      </c>
      <c r="DN17" s="52">
        <v>0</v>
      </c>
      <c r="DO17" s="52">
        <v>4.768000000012762E-3</v>
      </c>
      <c r="DP17" s="52">
        <v>2.0635000000002179E-3</v>
      </c>
      <c r="DQ17" s="52">
        <v>0</v>
      </c>
      <c r="DR17" s="52">
        <v>0</v>
      </c>
      <c r="DS17" s="52">
        <v>8.3807999999976346E-2</v>
      </c>
      <c r="DT17" s="52">
        <v>1.7758000000000607E-2</v>
      </c>
      <c r="DU17" s="52">
        <v>0</v>
      </c>
      <c r="DV17" s="52">
        <v>4.6025000000016192E-4</v>
      </c>
      <c r="DW17" s="52">
        <v>0</v>
      </c>
      <c r="DX17" s="52">
        <v>3.5309999999988406E-3</v>
      </c>
      <c r="DY17" s="52">
        <v>2.2268749999998505E-4</v>
      </c>
      <c r="DZ17" s="52">
        <v>4.6059999999989998E-3</v>
      </c>
      <c r="EA17" s="52">
        <v>0</v>
      </c>
      <c r="EB17" s="52">
        <v>7.0768000000015263E-2</v>
      </c>
      <c r="EC17" s="52">
        <v>3.2272000000006074E-2</v>
      </c>
      <c r="ED17" s="52">
        <v>2.6249999999983231E-4</v>
      </c>
      <c r="EE17" s="52">
        <v>4.5219999999996929E-3</v>
      </c>
      <c r="EF17" s="52">
        <v>0.45907100000113132</v>
      </c>
      <c r="EG17" s="52">
        <v>0</v>
      </c>
      <c r="EH17" s="52">
        <v>2.156800000000203E-2</v>
      </c>
      <c r="EI17" s="52">
        <v>2.4576000000024578E-2</v>
      </c>
      <c r="EJ17" s="52">
        <v>3.9360000000101536E-3</v>
      </c>
      <c r="EK17" s="52">
        <v>0</v>
      </c>
      <c r="EL17" s="52">
        <v>0.1408000000001266</v>
      </c>
      <c r="EM17" s="52">
        <v>0.15360000000009677</v>
      </c>
      <c r="EN17" s="52">
        <v>0</v>
      </c>
      <c r="EO17" s="52">
        <v>7.6800000010734948E-4</v>
      </c>
      <c r="EP17" s="52">
        <v>0</v>
      </c>
      <c r="EQ17" s="52">
        <v>0</v>
      </c>
      <c r="ER17" s="52">
        <v>0.10812500000000114</v>
      </c>
      <c r="ES17" s="52">
        <v>0</v>
      </c>
      <c r="ET17" s="52">
        <v>0</v>
      </c>
      <c r="EU17" s="52">
        <v>0</v>
      </c>
      <c r="EV17" s="52">
        <v>0</v>
      </c>
      <c r="EW17" s="52">
        <v>0</v>
      </c>
      <c r="EX17" s="52">
        <v>0</v>
      </c>
      <c r="EY17" s="52">
        <v>0</v>
      </c>
      <c r="EZ17" s="52">
        <v>0</v>
      </c>
      <c r="FA17" s="52">
        <v>0</v>
      </c>
      <c r="FB17" s="52">
        <v>0</v>
      </c>
      <c r="FC17" s="52">
        <v>0</v>
      </c>
      <c r="FD17" s="52">
        <v>0</v>
      </c>
      <c r="FE17" s="52">
        <v>0</v>
      </c>
      <c r="FF17" s="52">
        <v>0</v>
      </c>
      <c r="FG17" s="52">
        <v>0</v>
      </c>
      <c r="FH17" s="52">
        <v>0</v>
      </c>
      <c r="FI17" s="52">
        <v>0</v>
      </c>
      <c r="FJ17" s="52">
        <v>0</v>
      </c>
      <c r="FK17" s="52">
        <v>0</v>
      </c>
      <c r="FL17" s="52">
        <v>0</v>
      </c>
      <c r="FM17" s="52">
        <v>0</v>
      </c>
      <c r="FN17" s="52">
        <v>0</v>
      </c>
      <c r="FO17" s="52">
        <v>0</v>
      </c>
      <c r="FP17" s="52">
        <v>0</v>
      </c>
      <c r="FQ17" s="52">
        <v>0</v>
      </c>
      <c r="FR17" s="52">
        <v>0</v>
      </c>
      <c r="FS17" s="52">
        <v>0</v>
      </c>
      <c r="FT17" s="52">
        <v>0</v>
      </c>
      <c r="FU17" s="52">
        <v>0</v>
      </c>
      <c r="FV17" s="52">
        <v>0</v>
      </c>
      <c r="FW17" s="52">
        <v>0</v>
      </c>
      <c r="FX17" s="52">
        <v>0</v>
      </c>
      <c r="FY17" s="52">
        <v>0</v>
      </c>
      <c r="FZ17" s="52">
        <v>0</v>
      </c>
      <c r="GA17" s="52">
        <v>0</v>
      </c>
      <c r="GB17" s="52">
        <v>0</v>
      </c>
      <c r="GC17" s="52">
        <v>0</v>
      </c>
      <c r="GD17" s="52">
        <v>0</v>
      </c>
      <c r="GE17" s="52">
        <v>0</v>
      </c>
      <c r="GF17" s="52">
        <v>0</v>
      </c>
      <c r="GG17" s="52">
        <v>0</v>
      </c>
      <c r="GH17" s="52">
        <v>0</v>
      </c>
      <c r="GI17" s="52">
        <v>0</v>
      </c>
      <c r="GJ17" s="52">
        <v>0</v>
      </c>
      <c r="GK17" s="52">
        <v>0</v>
      </c>
      <c r="GL17" s="52">
        <v>0</v>
      </c>
      <c r="GM17" s="52">
        <v>0</v>
      </c>
      <c r="GN17" s="52">
        <v>0</v>
      </c>
      <c r="GO17" s="52">
        <v>0</v>
      </c>
      <c r="GP17" s="52">
        <v>0</v>
      </c>
      <c r="GQ17" s="52">
        <v>0</v>
      </c>
      <c r="GR17" s="52">
        <v>0</v>
      </c>
      <c r="GS17" s="52">
        <v>0</v>
      </c>
    </row>
    <row r="18" spans="1:201" ht="17.25" customHeight="1" x14ac:dyDescent="0.3">
      <c r="A18" s="155" t="s">
        <v>37</v>
      </c>
      <c r="B18" s="156">
        <v>1137.25</v>
      </c>
      <c r="C18" s="156">
        <v>0</v>
      </c>
      <c r="D18" s="156">
        <v>0.41353800000001684</v>
      </c>
      <c r="E18" s="156">
        <v>0.35144999999999982</v>
      </c>
      <c r="F18" s="156">
        <v>0.39014899999995123</v>
      </c>
      <c r="G18" s="156">
        <v>0</v>
      </c>
      <c r="H18" s="156">
        <v>0</v>
      </c>
      <c r="I18" s="156">
        <v>0</v>
      </c>
      <c r="J18" s="156">
        <v>0</v>
      </c>
      <c r="K18" s="156">
        <v>0</v>
      </c>
      <c r="L18" s="156">
        <v>0</v>
      </c>
      <c r="M18" s="156">
        <v>0</v>
      </c>
      <c r="N18" s="156">
        <v>1.5400000006593473E-4</v>
      </c>
      <c r="O18" s="156">
        <v>4.4000000002597517E-4</v>
      </c>
      <c r="P18" s="52">
        <v>1.3000000002705292E-5</v>
      </c>
      <c r="Q18" s="52">
        <v>0</v>
      </c>
      <c r="R18" s="52">
        <v>0.39321600000039325</v>
      </c>
      <c r="S18" s="52">
        <v>0.33791999999994005</v>
      </c>
      <c r="T18" s="52">
        <v>0.36863999999695807</v>
      </c>
      <c r="U18" s="52">
        <v>2.2327999999987469E-2</v>
      </c>
      <c r="V18" s="52">
        <v>5.2099999999981605E-3</v>
      </c>
      <c r="W18" s="52">
        <v>5.1670000000001437E-3</v>
      </c>
      <c r="X18" s="52">
        <v>2.6189999999992608E-3</v>
      </c>
      <c r="Y18" s="52">
        <v>0</v>
      </c>
      <c r="Z18" s="52">
        <v>2.3400000000002308E-3</v>
      </c>
      <c r="AA18" s="52">
        <v>5.2440000000011366E-3</v>
      </c>
      <c r="AB18" s="52">
        <v>5.8919999999993422E-3</v>
      </c>
      <c r="AC18" s="52">
        <v>4.8200000000164778E-4</v>
      </c>
      <c r="AD18" s="52">
        <v>3.1249999999989342E-3</v>
      </c>
      <c r="AE18" s="52">
        <v>1.7110000000002401E-3</v>
      </c>
      <c r="AF18" s="52">
        <v>0</v>
      </c>
      <c r="AG18" s="52">
        <v>4.8230000000000217E-3</v>
      </c>
      <c r="AH18" s="52">
        <v>7.8559999999981756E-2</v>
      </c>
      <c r="AI18" s="52">
        <v>0</v>
      </c>
      <c r="AJ18" s="52">
        <v>1.9029999999995439E-3</v>
      </c>
      <c r="AK18" s="52">
        <v>0</v>
      </c>
      <c r="AL18" s="52">
        <v>1.284259375000002E-2</v>
      </c>
      <c r="AM18" s="52">
        <v>2.024800000000937E-2</v>
      </c>
      <c r="AN18" s="52">
        <v>1.5392000000005623E-2</v>
      </c>
      <c r="AO18" s="52">
        <v>5.1240000000021269E-3</v>
      </c>
      <c r="AP18" s="52">
        <v>3.4980000000004452E-3</v>
      </c>
      <c r="AQ18" s="52">
        <v>1.3435999999998671E-2</v>
      </c>
      <c r="AR18" s="52">
        <v>0.20064000000002125</v>
      </c>
      <c r="AS18" s="52">
        <v>2.8965000000003016E-3</v>
      </c>
      <c r="AT18" s="52">
        <v>0</v>
      </c>
      <c r="AU18" s="52">
        <v>4.0720000000007417E-3</v>
      </c>
      <c r="AV18" s="52">
        <v>3.2699999999996621E-3</v>
      </c>
      <c r="AW18" s="52">
        <v>5.177600000001803E-2</v>
      </c>
      <c r="AX18" s="52">
        <v>0</v>
      </c>
      <c r="AY18" s="52">
        <v>4.206500000000446E-3</v>
      </c>
      <c r="AZ18" s="52">
        <v>0</v>
      </c>
      <c r="BA18" s="52">
        <v>0</v>
      </c>
      <c r="BB18" s="52">
        <v>0</v>
      </c>
      <c r="BC18" s="52">
        <v>0</v>
      </c>
      <c r="BD18" s="52">
        <v>1.0033593750000125E-4</v>
      </c>
      <c r="BE18" s="52">
        <v>4.7999999999994714E-3</v>
      </c>
      <c r="BF18" s="52">
        <v>0</v>
      </c>
      <c r="BG18" s="52">
        <v>4.3800000000082662E-4</v>
      </c>
      <c r="BH18" s="52">
        <v>0</v>
      </c>
      <c r="BI18" s="52">
        <v>0.11116799999996374</v>
      </c>
      <c r="BJ18" s="52">
        <v>0</v>
      </c>
      <c r="BK18" s="52">
        <v>5.7355000000001155E-3</v>
      </c>
      <c r="BL18" s="52">
        <v>0</v>
      </c>
      <c r="BM18" s="52">
        <v>7.7791999999988093E-2</v>
      </c>
      <c r="BN18" s="52">
        <v>0</v>
      </c>
      <c r="BO18" s="52">
        <v>1.5799999999970282E-3</v>
      </c>
      <c r="BP18" s="52">
        <v>0</v>
      </c>
      <c r="BQ18" s="52">
        <v>0</v>
      </c>
      <c r="BR18" s="52">
        <v>0</v>
      </c>
      <c r="BS18" s="52">
        <v>0</v>
      </c>
      <c r="BT18" s="52">
        <v>1.1048000000002389E-2</v>
      </c>
      <c r="BU18" s="52">
        <v>0</v>
      </c>
      <c r="BV18" s="52">
        <v>0</v>
      </c>
      <c r="BW18" s="52">
        <v>0</v>
      </c>
      <c r="BX18" s="52">
        <v>0</v>
      </c>
      <c r="BY18" s="52">
        <v>0</v>
      </c>
      <c r="BZ18" s="52">
        <v>4.5935999999997534E-2</v>
      </c>
      <c r="CA18" s="52">
        <v>1.2662937500000027E-2</v>
      </c>
      <c r="CB18" s="52">
        <v>0</v>
      </c>
      <c r="CC18" s="52">
        <v>0</v>
      </c>
      <c r="CD18" s="52">
        <v>0</v>
      </c>
      <c r="CE18" s="52">
        <v>0</v>
      </c>
      <c r="CF18" s="52">
        <v>9.3799999999966133E-4</v>
      </c>
      <c r="CG18" s="52">
        <v>0</v>
      </c>
      <c r="CH18" s="52">
        <v>9.2999999999987537E-4</v>
      </c>
      <c r="CI18" s="52">
        <v>0</v>
      </c>
      <c r="CJ18" s="52">
        <v>0</v>
      </c>
      <c r="CK18" s="52">
        <v>0</v>
      </c>
      <c r="CL18" s="52">
        <v>2.2619999999982099E-3</v>
      </c>
      <c r="CM18" s="52">
        <v>0.16640000000006694</v>
      </c>
      <c r="CN18" s="52">
        <v>2.3039999999987515E-3</v>
      </c>
      <c r="CO18" s="52">
        <v>3.1800000000004047E-2</v>
      </c>
      <c r="CP18" s="52">
        <v>0</v>
      </c>
      <c r="CQ18" s="52">
        <v>0</v>
      </c>
      <c r="CR18" s="52">
        <v>2.8120000000004808E-3</v>
      </c>
      <c r="CS18" s="52">
        <v>0</v>
      </c>
      <c r="CT18" s="52">
        <v>1.5999999999394277E-4</v>
      </c>
      <c r="CU18" s="52">
        <v>0</v>
      </c>
      <c r="CV18" s="52">
        <v>1.1929999999999996E-3</v>
      </c>
      <c r="CW18" s="52">
        <v>0</v>
      </c>
      <c r="CX18" s="52">
        <v>0</v>
      </c>
      <c r="CY18" s="52">
        <v>6.170000000000897E-4</v>
      </c>
      <c r="CZ18" s="52">
        <v>4.9499999999991218E-4</v>
      </c>
      <c r="DA18" s="52">
        <v>1.1524000000001422E-2</v>
      </c>
      <c r="DB18" s="52">
        <v>5.3609999999988389E-3</v>
      </c>
      <c r="DC18" s="52">
        <v>7.6788750000000849E-3</v>
      </c>
      <c r="DD18" s="52">
        <v>1.1283749999999593E-3</v>
      </c>
      <c r="DE18" s="52">
        <v>0</v>
      </c>
      <c r="DF18" s="52">
        <v>0</v>
      </c>
      <c r="DG18" s="52">
        <v>0</v>
      </c>
      <c r="DH18" s="52">
        <v>9.0199999999995839E-4</v>
      </c>
      <c r="DI18" s="52">
        <v>0.19244800000001305</v>
      </c>
      <c r="DJ18" s="52">
        <v>0</v>
      </c>
      <c r="DK18" s="52">
        <v>2.7559999999979823E-3</v>
      </c>
      <c r="DL18" s="52">
        <v>5.1248437500001076E-4</v>
      </c>
      <c r="DM18" s="52">
        <v>1.4559999999992357E-3</v>
      </c>
      <c r="DN18" s="52">
        <v>0</v>
      </c>
      <c r="DO18" s="52">
        <v>3.6639999999863448E-3</v>
      </c>
      <c r="DP18" s="52">
        <v>1.7294999999997174E-3</v>
      </c>
      <c r="DQ18" s="52">
        <v>0</v>
      </c>
      <c r="DR18" s="52">
        <v>0</v>
      </c>
      <c r="DS18" s="52">
        <v>6.9792000000006738E-2</v>
      </c>
      <c r="DT18" s="52">
        <v>1.8041999999999447E-2</v>
      </c>
      <c r="DU18" s="52">
        <v>0</v>
      </c>
      <c r="DV18" s="52">
        <v>6.4775000000016902E-4</v>
      </c>
      <c r="DW18" s="52">
        <v>0</v>
      </c>
      <c r="DX18" s="52">
        <v>3.5560000000014469E-3</v>
      </c>
      <c r="DY18" s="52">
        <v>2.0749999999991608E-4</v>
      </c>
      <c r="DZ18" s="52">
        <v>4.129999999999967E-3</v>
      </c>
      <c r="EA18" s="52">
        <v>0</v>
      </c>
      <c r="EB18" s="52">
        <v>5.4479999999983875E-2</v>
      </c>
      <c r="EC18" s="52">
        <v>3.2927999999998292E-2</v>
      </c>
      <c r="ED18" s="52">
        <v>2.5825000000034848E-4</v>
      </c>
      <c r="EE18" s="52">
        <v>6.6179999999995687E-3</v>
      </c>
      <c r="EF18" s="52">
        <v>0.4314009999989139</v>
      </c>
      <c r="EG18" s="52">
        <v>0</v>
      </c>
      <c r="EH18" s="52">
        <v>8.3839999999781867E-3</v>
      </c>
      <c r="EI18" s="52">
        <v>2.3808000000030916E-2</v>
      </c>
      <c r="EJ18" s="52">
        <v>6.5599999999790271E-3</v>
      </c>
      <c r="EK18" s="52">
        <v>0</v>
      </c>
      <c r="EL18" s="52">
        <v>0.1391360000000077</v>
      </c>
      <c r="EM18" s="52">
        <v>0.14771199999995588</v>
      </c>
      <c r="EN18" s="52">
        <v>0</v>
      </c>
      <c r="EO18" s="52">
        <v>7.6799999999366264E-4</v>
      </c>
      <c r="EP18" s="52">
        <v>0</v>
      </c>
      <c r="EQ18" s="52">
        <v>0</v>
      </c>
      <c r="ER18" s="52">
        <v>0.10311699999999746</v>
      </c>
      <c r="ES18" s="52">
        <v>0</v>
      </c>
      <c r="ET18" s="52">
        <v>0</v>
      </c>
      <c r="EU18" s="52">
        <v>0</v>
      </c>
      <c r="EV18" s="52">
        <v>0</v>
      </c>
      <c r="EW18" s="52">
        <v>0</v>
      </c>
      <c r="EX18" s="52">
        <v>0</v>
      </c>
      <c r="EY18" s="52">
        <v>0</v>
      </c>
      <c r="EZ18" s="52">
        <v>0</v>
      </c>
      <c r="FA18" s="52">
        <v>0</v>
      </c>
      <c r="FB18" s="52">
        <v>0</v>
      </c>
      <c r="FC18" s="52">
        <v>0</v>
      </c>
      <c r="FD18" s="52">
        <v>0</v>
      </c>
      <c r="FE18" s="52">
        <v>0</v>
      </c>
      <c r="FF18" s="52">
        <v>0</v>
      </c>
      <c r="FG18" s="52">
        <v>0</v>
      </c>
      <c r="FH18" s="52">
        <v>0</v>
      </c>
      <c r="FI18" s="52">
        <v>0</v>
      </c>
      <c r="FJ18" s="52">
        <v>0</v>
      </c>
      <c r="FK18" s="52">
        <v>0</v>
      </c>
      <c r="FL18" s="52">
        <v>0</v>
      </c>
      <c r="FM18" s="52">
        <v>0</v>
      </c>
      <c r="FN18" s="52">
        <v>0</v>
      </c>
      <c r="FO18" s="52">
        <v>0</v>
      </c>
      <c r="FP18" s="52">
        <v>0</v>
      </c>
      <c r="FQ18" s="52">
        <v>0</v>
      </c>
      <c r="FR18" s="52">
        <v>0</v>
      </c>
      <c r="FS18" s="52">
        <v>0</v>
      </c>
      <c r="FT18" s="52">
        <v>0</v>
      </c>
      <c r="FU18" s="52">
        <v>0</v>
      </c>
      <c r="FV18" s="52">
        <v>0</v>
      </c>
      <c r="FW18" s="52">
        <v>0</v>
      </c>
      <c r="FX18" s="52">
        <v>0</v>
      </c>
      <c r="FY18" s="52">
        <v>0</v>
      </c>
      <c r="FZ18" s="52">
        <v>0</v>
      </c>
      <c r="GA18" s="52">
        <v>0</v>
      </c>
      <c r="GB18" s="52">
        <v>0</v>
      </c>
      <c r="GC18" s="52">
        <v>0</v>
      </c>
      <c r="GD18" s="52">
        <v>0</v>
      </c>
      <c r="GE18" s="52">
        <v>0</v>
      </c>
      <c r="GF18" s="52">
        <v>0</v>
      </c>
      <c r="GG18" s="52">
        <v>0</v>
      </c>
      <c r="GH18" s="52">
        <v>0</v>
      </c>
      <c r="GI18" s="52">
        <v>0</v>
      </c>
      <c r="GJ18" s="52">
        <v>0</v>
      </c>
      <c r="GK18" s="52">
        <v>0</v>
      </c>
      <c r="GL18" s="52">
        <v>0</v>
      </c>
      <c r="GM18" s="52">
        <v>0</v>
      </c>
      <c r="GN18" s="52">
        <v>0</v>
      </c>
      <c r="GO18" s="52">
        <v>0</v>
      </c>
      <c r="GP18" s="52">
        <v>0</v>
      </c>
      <c r="GQ18" s="52">
        <v>0</v>
      </c>
      <c r="GR18" s="52">
        <v>0</v>
      </c>
      <c r="GS18" s="52">
        <v>0</v>
      </c>
    </row>
    <row r="19" spans="1:201" ht="17.25" customHeight="1" x14ac:dyDescent="0.3">
      <c r="A19" s="155" t="s">
        <v>38</v>
      </c>
      <c r="B19" s="156">
        <v>1094.875</v>
      </c>
      <c r="C19" s="156">
        <v>0</v>
      </c>
      <c r="D19" s="156">
        <v>0.3916550000000143</v>
      </c>
      <c r="E19" s="156">
        <v>0.33123799999992798</v>
      </c>
      <c r="F19" s="156">
        <v>0.37148200000001452</v>
      </c>
      <c r="G19" s="156">
        <v>0</v>
      </c>
      <c r="H19" s="156">
        <v>0</v>
      </c>
      <c r="I19" s="156">
        <v>0</v>
      </c>
      <c r="J19" s="156">
        <v>0</v>
      </c>
      <c r="K19" s="156">
        <v>0</v>
      </c>
      <c r="L19" s="156">
        <v>0</v>
      </c>
      <c r="M19" s="156">
        <v>0</v>
      </c>
      <c r="N19" s="156">
        <v>5.925999999931264E-3</v>
      </c>
      <c r="O19" s="156">
        <v>6.870999999932792E-3</v>
      </c>
      <c r="P19" s="52">
        <v>1.8800000000140926E-4</v>
      </c>
      <c r="Q19" s="52">
        <v>0</v>
      </c>
      <c r="R19" s="52">
        <v>0.38502399999924819</v>
      </c>
      <c r="S19" s="52">
        <v>0.32511999999951513</v>
      </c>
      <c r="T19" s="52">
        <v>0.36249600000155624</v>
      </c>
      <c r="U19" s="52">
        <v>2.1551999999999794E-2</v>
      </c>
      <c r="V19" s="52">
        <v>5.250000000000199E-3</v>
      </c>
      <c r="W19" s="52">
        <v>3.1520000000000437E-3</v>
      </c>
      <c r="X19" s="52">
        <v>2.5779999999997472E-3</v>
      </c>
      <c r="Y19" s="52">
        <v>0</v>
      </c>
      <c r="Z19" s="52">
        <v>2.3789999999994649E-3</v>
      </c>
      <c r="AA19" s="52">
        <v>5.4340000000010491E-3</v>
      </c>
      <c r="AB19" s="52">
        <v>5.8940000000013981E-3</v>
      </c>
      <c r="AC19" s="52">
        <v>3.5319999999998686E-3</v>
      </c>
      <c r="AD19" s="52">
        <v>2.2350000000006531E-3</v>
      </c>
      <c r="AE19" s="52">
        <v>1.8359999999999488E-3</v>
      </c>
      <c r="AF19" s="52">
        <v>0</v>
      </c>
      <c r="AG19" s="52">
        <v>4.273999999999667E-3</v>
      </c>
      <c r="AH19" s="52">
        <v>7.6096000000006825E-2</v>
      </c>
      <c r="AI19" s="52">
        <v>0</v>
      </c>
      <c r="AJ19" s="52">
        <v>1.7485000000005968E-3</v>
      </c>
      <c r="AK19" s="52">
        <v>0</v>
      </c>
      <c r="AL19" s="52">
        <v>1.1636749999999974E-2</v>
      </c>
      <c r="AM19" s="52">
        <v>1.9815999999991618E-2</v>
      </c>
      <c r="AN19" s="52">
        <v>1.5015999999988594E-2</v>
      </c>
      <c r="AO19" s="52">
        <v>5.0400000000010436E-3</v>
      </c>
      <c r="AP19" s="52">
        <v>3.4799999999997056E-3</v>
      </c>
      <c r="AQ19" s="52">
        <v>1.3503999999997518E-2</v>
      </c>
      <c r="AR19" s="52">
        <v>0.19603200000005927</v>
      </c>
      <c r="AS19" s="52">
        <v>3.2044999999998325E-3</v>
      </c>
      <c r="AT19" s="52">
        <v>0</v>
      </c>
      <c r="AU19" s="52">
        <v>3.9839999999955467E-3</v>
      </c>
      <c r="AV19" s="52">
        <v>3.32650000000001E-3</v>
      </c>
      <c r="AW19" s="52">
        <v>4.5952000000056614E-2</v>
      </c>
      <c r="AX19" s="52">
        <v>0</v>
      </c>
      <c r="AY19" s="52">
        <v>3.9384999999994008E-3</v>
      </c>
      <c r="AZ19" s="52">
        <v>0</v>
      </c>
      <c r="BA19" s="52">
        <v>0</v>
      </c>
      <c r="BB19" s="52">
        <v>0</v>
      </c>
      <c r="BC19" s="52">
        <v>0</v>
      </c>
      <c r="BD19" s="52">
        <v>1.0023437499999399E-4</v>
      </c>
      <c r="BE19" s="52">
        <v>4.7180000000004441E-3</v>
      </c>
      <c r="BF19" s="52">
        <v>0</v>
      </c>
      <c r="BG19" s="52">
        <v>4.3100000000073635E-4</v>
      </c>
      <c r="BH19" s="52">
        <v>0</v>
      </c>
      <c r="BI19" s="52">
        <v>0.11030400000004192</v>
      </c>
      <c r="BJ19" s="52">
        <v>0</v>
      </c>
      <c r="BK19" s="52">
        <v>5.6989999999998986E-3</v>
      </c>
      <c r="BL19" s="52">
        <v>0</v>
      </c>
      <c r="BM19" s="52">
        <v>7.2576000000026397E-2</v>
      </c>
      <c r="BN19" s="52">
        <v>0</v>
      </c>
      <c r="BO19" s="52">
        <v>1.6160000000020602E-3</v>
      </c>
      <c r="BP19" s="52">
        <v>0</v>
      </c>
      <c r="BQ19" s="52">
        <v>0</v>
      </c>
      <c r="BR19" s="52">
        <v>0</v>
      </c>
      <c r="BS19" s="52">
        <v>0</v>
      </c>
      <c r="BT19" s="52">
        <v>1.0936000000000945E-2</v>
      </c>
      <c r="BU19" s="52">
        <v>0</v>
      </c>
      <c r="BV19" s="52">
        <v>0</v>
      </c>
      <c r="BW19" s="52">
        <v>0</v>
      </c>
      <c r="BX19" s="52">
        <v>0</v>
      </c>
      <c r="BY19" s="52">
        <v>0</v>
      </c>
      <c r="BZ19" s="52">
        <v>3.9559999999994488E-2</v>
      </c>
      <c r="CA19" s="52">
        <v>1.250093749999992E-2</v>
      </c>
      <c r="CB19" s="52">
        <v>0</v>
      </c>
      <c r="CC19" s="52">
        <v>0</v>
      </c>
      <c r="CD19" s="52">
        <v>0</v>
      </c>
      <c r="CE19" s="52">
        <v>0</v>
      </c>
      <c r="CF19" s="52">
        <v>6.3300000000054979E-4</v>
      </c>
      <c r="CG19" s="52">
        <v>0</v>
      </c>
      <c r="CH19" s="52">
        <v>8.3825000000015137E-4</v>
      </c>
      <c r="CI19" s="52">
        <v>0</v>
      </c>
      <c r="CJ19" s="52">
        <v>0</v>
      </c>
      <c r="CK19" s="52">
        <v>0</v>
      </c>
      <c r="CL19" s="52">
        <v>1.0940000000019268E-3</v>
      </c>
      <c r="CM19" s="52">
        <v>0.15385599999990518</v>
      </c>
      <c r="CN19" s="52">
        <v>2.4259999999998172E-3</v>
      </c>
      <c r="CO19" s="52">
        <v>2.3287999999993758E-2</v>
      </c>
      <c r="CP19" s="52">
        <v>0</v>
      </c>
      <c r="CQ19" s="52">
        <v>0</v>
      </c>
      <c r="CR19" s="52">
        <v>3.3049999999992252E-3</v>
      </c>
      <c r="CS19" s="52">
        <v>0</v>
      </c>
      <c r="CT19" s="52">
        <v>1.5199999999992997E-4</v>
      </c>
      <c r="CU19" s="52">
        <v>0</v>
      </c>
      <c r="CV19" s="52">
        <v>7.190000000001362E-4</v>
      </c>
      <c r="CW19" s="52">
        <v>0</v>
      </c>
      <c r="CX19" s="52">
        <v>0</v>
      </c>
      <c r="CY19" s="52">
        <v>6.5800000000004744E-4</v>
      </c>
      <c r="CZ19" s="52">
        <v>4.8750000000019611E-4</v>
      </c>
      <c r="DA19" s="52">
        <v>1.1724000000000956E-2</v>
      </c>
      <c r="DB19" s="52">
        <v>5.0800000000013057E-3</v>
      </c>
      <c r="DC19" s="52">
        <v>7.9082500000000611E-3</v>
      </c>
      <c r="DD19" s="52">
        <v>1.1962500000000098E-3</v>
      </c>
      <c r="DE19" s="52">
        <v>0</v>
      </c>
      <c r="DF19" s="52">
        <v>0</v>
      </c>
      <c r="DG19" s="52">
        <v>0</v>
      </c>
      <c r="DH19" s="52">
        <v>1.052000000000497E-3</v>
      </c>
      <c r="DI19" s="52">
        <v>0.21100799999999253</v>
      </c>
      <c r="DJ19" s="52">
        <v>0</v>
      </c>
      <c r="DK19" s="52">
        <v>2.8100000000002012E-3</v>
      </c>
      <c r="DL19" s="52">
        <v>5.0467187500000121E-4</v>
      </c>
      <c r="DM19" s="52">
        <v>1.3909999999999201E-3</v>
      </c>
      <c r="DN19" s="52">
        <v>0</v>
      </c>
      <c r="DO19" s="52">
        <v>4.8319999999932861E-3</v>
      </c>
      <c r="DP19" s="52">
        <v>1.6149999999992559E-3</v>
      </c>
      <c r="DQ19" s="52">
        <v>0</v>
      </c>
      <c r="DR19" s="52">
        <v>0</v>
      </c>
      <c r="DS19" s="52">
        <v>8.4000000000003183E-2</v>
      </c>
      <c r="DT19" s="52">
        <v>1.4292500000000707E-2</v>
      </c>
      <c r="DU19" s="52">
        <v>0</v>
      </c>
      <c r="DV19" s="52">
        <v>6.4649999999977226E-4</v>
      </c>
      <c r="DW19" s="52">
        <v>0</v>
      </c>
      <c r="DX19" s="52">
        <v>3.4890000000000754E-3</v>
      </c>
      <c r="DY19" s="52">
        <v>2.0731250000005641E-4</v>
      </c>
      <c r="DZ19" s="52">
        <v>4.1320000000020229E-3</v>
      </c>
      <c r="EA19" s="52">
        <v>0</v>
      </c>
      <c r="EB19" s="52">
        <v>6.7824000000001661E-2</v>
      </c>
      <c r="EC19" s="52">
        <v>2.5360000000006266E-2</v>
      </c>
      <c r="ED19" s="52">
        <v>2.6349999999997209E-4</v>
      </c>
      <c r="EE19" s="52">
        <v>4.9515000000006637E-3</v>
      </c>
      <c r="EF19" s="52">
        <v>0.41093600000021979</v>
      </c>
      <c r="EG19" s="52">
        <v>0</v>
      </c>
      <c r="EH19" s="52">
        <v>8.5759999999481806E-3</v>
      </c>
      <c r="EI19" s="52">
        <v>2.0991999999978361E-2</v>
      </c>
      <c r="EJ19" s="52">
        <v>6.5600000000358705E-3</v>
      </c>
      <c r="EK19" s="52">
        <v>0</v>
      </c>
      <c r="EL19" s="52">
        <v>0.11968000000001666</v>
      </c>
      <c r="EM19" s="52">
        <v>0.14822400000002744</v>
      </c>
      <c r="EN19" s="52">
        <v>0</v>
      </c>
      <c r="EO19" s="52">
        <v>7.6799999999366264E-4</v>
      </c>
      <c r="EP19" s="52">
        <v>0</v>
      </c>
      <c r="EQ19" s="52">
        <v>0</v>
      </c>
      <c r="ER19" s="52">
        <v>0.1014809999999926</v>
      </c>
      <c r="ES19" s="52">
        <v>0</v>
      </c>
      <c r="ET19" s="52">
        <v>0</v>
      </c>
      <c r="EU19" s="52">
        <v>0</v>
      </c>
      <c r="EV19" s="52">
        <v>0</v>
      </c>
      <c r="EW19" s="52">
        <v>0</v>
      </c>
      <c r="EX19" s="52">
        <v>0</v>
      </c>
      <c r="EY19" s="52">
        <v>0</v>
      </c>
      <c r="EZ19" s="52">
        <v>0</v>
      </c>
      <c r="FA19" s="52">
        <v>0</v>
      </c>
      <c r="FB19" s="52">
        <v>0</v>
      </c>
      <c r="FC19" s="52">
        <v>0</v>
      </c>
      <c r="FD19" s="52">
        <v>0</v>
      </c>
      <c r="FE19" s="52">
        <v>0</v>
      </c>
      <c r="FF19" s="52">
        <v>0</v>
      </c>
      <c r="FG19" s="52">
        <v>0</v>
      </c>
      <c r="FH19" s="52">
        <v>0</v>
      </c>
      <c r="FI19" s="52">
        <v>0</v>
      </c>
      <c r="FJ19" s="52">
        <v>0</v>
      </c>
      <c r="FK19" s="52">
        <v>0</v>
      </c>
      <c r="FL19" s="52">
        <v>0</v>
      </c>
      <c r="FM19" s="52">
        <v>0</v>
      </c>
      <c r="FN19" s="52">
        <v>0</v>
      </c>
      <c r="FO19" s="52">
        <v>0</v>
      </c>
      <c r="FP19" s="52">
        <v>0</v>
      </c>
      <c r="FQ19" s="52">
        <v>0</v>
      </c>
      <c r="FR19" s="52">
        <v>0</v>
      </c>
      <c r="FS19" s="52">
        <v>0</v>
      </c>
      <c r="FT19" s="52">
        <v>0</v>
      </c>
      <c r="FU19" s="52">
        <v>0</v>
      </c>
      <c r="FV19" s="52">
        <v>0</v>
      </c>
      <c r="FW19" s="52">
        <v>0</v>
      </c>
      <c r="FX19" s="52">
        <v>0</v>
      </c>
      <c r="FY19" s="52">
        <v>0</v>
      </c>
      <c r="FZ19" s="52">
        <v>0</v>
      </c>
      <c r="GA19" s="52">
        <v>0</v>
      </c>
      <c r="GB19" s="52">
        <v>0</v>
      </c>
      <c r="GC19" s="52">
        <v>0</v>
      </c>
      <c r="GD19" s="52">
        <v>0</v>
      </c>
      <c r="GE19" s="52">
        <v>0</v>
      </c>
      <c r="GF19" s="52">
        <v>0</v>
      </c>
      <c r="GG19" s="52">
        <v>0</v>
      </c>
      <c r="GH19" s="52">
        <v>0</v>
      </c>
      <c r="GI19" s="52">
        <v>0</v>
      </c>
      <c r="GJ19" s="52">
        <v>0</v>
      </c>
      <c r="GK19" s="52">
        <v>0</v>
      </c>
      <c r="GL19" s="52">
        <v>0</v>
      </c>
      <c r="GM19" s="52">
        <v>0</v>
      </c>
      <c r="GN19" s="52">
        <v>0</v>
      </c>
      <c r="GO19" s="52">
        <v>0</v>
      </c>
      <c r="GP19" s="52">
        <v>0</v>
      </c>
      <c r="GQ19" s="52">
        <v>0</v>
      </c>
      <c r="GR19" s="52">
        <v>0</v>
      </c>
      <c r="GS19" s="52">
        <v>0</v>
      </c>
    </row>
    <row r="20" spans="1:201" ht="17.25" customHeight="1" x14ac:dyDescent="0.3">
      <c r="A20" s="155" t="s">
        <v>39</v>
      </c>
      <c r="B20" s="156">
        <v>1107.25</v>
      </c>
      <c r="C20" s="156">
        <v>0</v>
      </c>
      <c r="D20" s="156">
        <v>0.40068400000006932</v>
      </c>
      <c r="E20" s="156">
        <v>0.34076099999998632</v>
      </c>
      <c r="F20" s="156">
        <v>0.3781659999999647</v>
      </c>
      <c r="G20" s="156">
        <v>0</v>
      </c>
      <c r="H20" s="156">
        <v>0</v>
      </c>
      <c r="I20" s="156">
        <v>0</v>
      </c>
      <c r="J20" s="156">
        <v>0</v>
      </c>
      <c r="K20" s="156">
        <v>0</v>
      </c>
      <c r="L20" s="156">
        <v>0</v>
      </c>
      <c r="M20" s="156">
        <v>0</v>
      </c>
      <c r="N20" s="156">
        <v>0</v>
      </c>
      <c r="O20" s="156">
        <v>0</v>
      </c>
      <c r="P20" s="52">
        <v>0</v>
      </c>
      <c r="Q20" s="52">
        <v>0</v>
      </c>
      <c r="R20" s="52">
        <v>0.39321600000039325</v>
      </c>
      <c r="S20" s="52">
        <v>0.32409600000028149</v>
      </c>
      <c r="T20" s="52">
        <v>0.36659199999849079</v>
      </c>
      <c r="U20" s="52">
        <v>2.384800000000098E-2</v>
      </c>
      <c r="V20" s="52">
        <v>5.9019999999989636E-3</v>
      </c>
      <c r="W20" s="52">
        <v>7.4200000000068655E-4</v>
      </c>
      <c r="X20" s="52">
        <v>2.3820000000007724E-3</v>
      </c>
      <c r="Y20" s="52">
        <v>0</v>
      </c>
      <c r="Z20" s="52">
        <v>2.3800000000004928E-3</v>
      </c>
      <c r="AA20" s="52">
        <v>5.2799999999990632E-3</v>
      </c>
      <c r="AB20" s="52">
        <v>5.8439999999997383E-3</v>
      </c>
      <c r="AC20" s="52">
        <v>7.2559999999981528E-3</v>
      </c>
      <c r="AD20" s="52">
        <v>1.6069999999999141E-3</v>
      </c>
      <c r="AE20" s="52">
        <v>1.5799999999996928E-3</v>
      </c>
      <c r="AF20" s="52">
        <v>0</v>
      </c>
      <c r="AG20" s="52">
        <v>4.1064999999997909E-3</v>
      </c>
      <c r="AH20" s="52">
        <v>7.9903999999999087E-2</v>
      </c>
      <c r="AI20" s="52">
        <v>0</v>
      </c>
      <c r="AJ20" s="52">
        <v>1.6084999999996796E-3</v>
      </c>
      <c r="AK20" s="52">
        <v>0</v>
      </c>
      <c r="AL20" s="52">
        <v>1.4421968750000014E-2</v>
      </c>
      <c r="AM20" s="52">
        <v>2.0415999999997325E-2</v>
      </c>
      <c r="AN20" s="52">
        <v>1.5416000000001873E-2</v>
      </c>
      <c r="AO20" s="52">
        <v>5.0760000000025229E-3</v>
      </c>
      <c r="AP20" s="52">
        <v>3.6059999999977776E-3</v>
      </c>
      <c r="AQ20" s="52">
        <v>1.3491999999999393E-2</v>
      </c>
      <c r="AR20" s="52">
        <v>0.21363199999996141</v>
      </c>
      <c r="AS20" s="52">
        <v>2.2675000000003109E-3</v>
      </c>
      <c r="AT20" s="52">
        <v>0</v>
      </c>
      <c r="AU20" s="52">
        <v>4.1399999999995885E-3</v>
      </c>
      <c r="AV20" s="52">
        <v>3.222499999999684E-3</v>
      </c>
      <c r="AW20" s="52">
        <v>6.2015999999971427E-2</v>
      </c>
      <c r="AX20" s="52">
        <v>0</v>
      </c>
      <c r="AY20" s="52">
        <v>3.8990000000005409E-3</v>
      </c>
      <c r="AZ20" s="52">
        <v>0</v>
      </c>
      <c r="BA20" s="52">
        <v>0</v>
      </c>
      <c r="BB20" s="52">
        <v>0</v>
      </c>
      <c r="BC20" s="52">
        <v>0</v>
      </c>
      <c r="BD20" s="52">
        <v>1.5213281249999711E-4</v>
      </c>
      <c r="BE20" s="52">
        <v>4.7959999999989122E-3</v>
      </c>
      <c r="BF20" s="52">
        <v>0</v>
      </c>
      <c r="BG20" s="52">
        <v>4.3999999999932982E-4</v>
      </c>
      <c r="BH20" s="52">
        <v>0</v>
      </c>
      <c r="BI20" s="52">
        <v>0.11417599999998629</v>
      </c>
      <c r="BJ20" s="52">
        <v>0</v>
      </c>
      <c r="BK20" s="52">
        <v>5.5525000000002933E-3</v>
      </c>
      <c r="BL20" s="52">
        <v>0</v>
      </c>
      <c r="BM20" s="52">
        <v>8.5727999999960502E-2</v>
      </c>
      <c r="BN20" s="52">
        <v>0</v>
      </c>
      <c r="BO20" s="52">
        <v>1.6059999999988861E-3</v>
      </c>
      <c r="BP20" s="52">
        <v>0</v>
      </c>
      <c r="BQ20" s="52">
        <v>0</v>
      </c>
      <c r="BR20" s="52">
        <v>0</v>
      </c>
      <c r="BS20" s="52">
        <v>0</v>
      </c>
      <c r="BT20" s="52">
        <v>1.1423999999998102E-2</v>
      </c>
      <c r="BU20" s="52">
        <v>0</v>
      </c>
      <c r="BV20" s="52">
        <v>0</v>
      </c>
      <c r="BW20" s="52">
        <v>0</v>
      </c>
      <c r="BX20" s="52">
        <v>0</v>
      </c>
      <c r="BY20" s="52">
        <v>0</v>
      </c>
      <c r="BZ20" s="52">
        <v>4.843200000000536E-2</v>
      </c>
      <c r="CA20" s="52">
        <v>1.1399500000000007E-2</v>
      </c>
      <c r="CB20" s="52">
        <v>0</v>
      </c>
      <c r="CC20" s="52">
        <v>0</v>
      </c>
      <c r="CD20" s="52">
        <v>0</v>
      </c>
      <c r="CE20" s="52">
        <v>0</v>
      </c>
      <c r="CF20" s="52">
        <v>6.6399999999866566E-4</v>
      </c>
      <c r="CG20" s="52">
        <v>0</v>
      </c>
      <c r="CH20" s="52">
        <v>8.1599999999992789E-4</v>
      </c>
      <c r="CI20" s="52">
        <v>0</v>
      </c>
      <c r="CJ20" s="52">
        <v>0</v>
      </c>
      <c r="CK20" s="52">
        <v>0</v>
      </c>
      <c r="CL20" s="52">
        <v>5.0199999999733791E-4</v>
      </c>
      <c r="CM20" s="52">
        <v>0.14579200000002857</v>
      </c>
      <c r="CN20" s="52">
        <v>2.499000000000251E-3</v>
      </c>
      <c r="CO20" s="52">
        <v>2.1760000000000446E-2</v>
      </c>
      <c r="CP20" s="52">
        <v>0</v>
      </c>
      <c r="CQ20" s="52">
        <v>0</v>
      </c>
      <c r="CR20" s="52">
        <v>4.1790000000005989E-3</v>
      </c>
      <c r="CS20" s="52">
        <v>0</v>
      </c>
      <c r="CT20" s="52">
        <v>1.5199999999992997E-4</v>
      </c>
      <c r="CU20" s="52">
        <v>0</v>
      </c>
      <c r="CV20" s="52">
        <v>6.6124999999983558E-4</v>
      </c>
      <c r="CW20" s="52">
        <v>0</v>
      </c>
      <c r="CX20" s="52">
        <v>0</v>
      </c>
      <c r="CY20" s="52">
        <v>6.5299999999979264E-4</v>
      </c>
      <c r="CZ20" s="52">
        <v>4.9549999999998207E-4</v>
      </c>
      <c r="DA20" s="52">
        <v>1.1496000000001061E-2</v>
      </c>
      <c r="DB20" s="52">
        <v>4.6809999999997132E-3</v>
      </c>
      <c r="DC20" s="52">
        <v>7.7567499999999789E-3</v>
      </c>
      <c r="DD20" s="52">
        <v>1.1730000000000906E-3</v>
      </c>
      <c r="DE20" s="52">
        <v>0</v>
      </c>
      <c r="DF20" s="52">
        <v>0</v>
      </c>
      <c r="DG20" s="52">
        <v>0</v>
      </c>
      <c r="DH20" s="52">
        <v>1.0664999999994151E-3</v>
      </c>
      <c r="DI20" s="52">
        <v>0.20416000000000167</v>
      </c>
      <c r="DJ20" s="52">
        <v>0</v>
      </c>
      <c r="DK20" s="52">
        <v>2.8040000000011389E-3</v>
      </c>
      <c r="DL20" s="52">
        <v>4.9726562499999294E-4</v>
      </c>
      <c r="DM20" s="52">
        <v>1.462999999999326E-3</v>
      </c>
      <c r="DN20" s="52">
        <v>0</v>
      </c>
      <c r="DO20" s="52">
        <v>3.9840000000026521E-3</v>
      </c>
      <c r="DP20" s="52">
        <v>1.812000000001035E-3</v>
      </c>
      <c r="DQ20" s="52">
        <v>0</v>
      </c>
      <c r="DR20" s="52">
        <v>0</v>
      </c>
      <c r="DS20" s="52">
        <v>7.4943999999959487E-2</v>
      </c>
      <c r="DT20" s="52">
        <v>1.7724999999999547E-2</v>
      </c>
      <c r="DU20" s="52">
        <v>0</v>
      </c>
      <c r="DV20" s="52">
        <v>6.3674999999996373E-4</v>
      </c>
      <c r="DW20" s="52">
        <v>0</v>
      </c>
      <c r="DX20" s="52">
        <v>3.540999999998462E-3</v>
      </c>
      <c r="DY20" s="52">
        <v>2.0443749999998762E-4</v>
      </c>
      <c r="DZ20" s="52">
        <v>4.8840000000005546E-3</v>
      </c>
      <c r="EA20" s="52">
        <v>0</v>
      </c>
      <c r="EB20" s="52">
        <v>6.3920000000024402E-2</v>
      </c>
      <c r="EC20" s="52">
        <v>3.0864000000008218E-2</v>
      </c>
      <c r="ED20" s="52">
        <v>2.6349999999997209E-4</v>
      </c>
      <c r="EE20" s="52">
        <v>5.0469999999993576E-3</v>
      </c>
      <c r="EF20" s="52">
        <v>0.39152899999953661</v>
      </c>
      <c r="EG20" s="52">
        <v>0</v>
      </c>
      <c r="EH20" s="52">
        <v>9.1520000000855362E-3</v>
      </c>
      <c r="EI20" s="52">
        <v>1.2992000000053849E-2</v>
      </c>
      <c r="EJ20" s="52">
        <v>6.4959999999700813E-3</v>
      </c>
      <c r="EK20" s="52">
        <v>0</v>
      </c>
      <c r="EL20" s="52">
        <v>0.11161599999991267</v>
      </c>
      <c r="EM20" s="52">
        <v>0.15078399999993053</v>
      </c>
      <c r="EN20" s="52">
        <v>0</v>
      </c>
      <c r="EO20" s="52">
        <v>7.6799999999366264E-4</v>
      </c>
      <c r="EP20" s="52">
        <v>0</v>
      </c>
      <c r="EQ20" s="52">
        <v>0</v>
      </c>
      <c r="ER20" s="52">
        <v>0.10136599999999873</v>
      </c>
      <c r="ES20" s="52">
        <v>0</v>
      </c>
      <c r="ET20" s="52">
        <v>0</v>
      </c>
      <c r="EU20" s="52">
        <v>0</v>
      </c>
      <c r="EV20" s="52">
        <v>0</v>
      </c>
      <c r="EW20" s="52">
        <v>0</v>
      </c>
      <c r="EX20" s="52">
        <v>0</v>
      </c>
      <c r="EY20" s="52">
        <v>0</v>
      </c>
      <c r="EZ20" s="52">
        <v>0</v>
      </c>
      <c r="FA20" s="52">
        <v>0</v>
      </c>
      <c r="FB20" s="52">
        <v>0</v>
      </c>
      <c r="FC20" s="52">
        <v>0</v>
      </c>
      <c r="FD20" s="52">
        <v>0</v>
      </c>
      <c r="FE20" s="52">
        <v>0</v>
      </c>
      <c r="FF20" s="52">
        <v>0</v>
      </c>
      <c r="FG20" s="52">
        <v>0</v>
      </c>
      <c r="FH20" s="52">
        <v>0</v>
      </c>
      <c r="FI20" s="52">
        <v>0</v>
      </c>
      <c r="FJ20" s="52">
        <v>0</v>
      </c>
      <c r="FK20" s="52">
        <v>0</v>
      </c>
      <c r="FL20" s="52">
        <v>0</v>
      </c>
      <c r="FM20" s="52">
        <v>0</v>
      </c>
      <c r="FN20" s="52">
        <v>0</v>
      </c>
      <c r="FO20" s="52">
        <v>0</v>
      </c>
      <c r="FP20" s="52">
        <v>0</v>
      </c>
      <c r="FQ20" s="52">
        <v>0</v>
      </c>
      <c r="FR20" s="52">
        <v>0</v>
      </c>
      <c r="FS20" s="52">
        <v>0</v>
      </c>
      <c r="FT20" s="52">
        <v>0</v>
      </c>
      <c r="FU20" s="52">
        <v>0</v>
      </c>
      <c r="FV20" s="52">
        <v>0</v>
      </c>
      <c r="FW20" s="52">
        <v>0</v>
      </c>
      <c r="FX20" s="52">
        <v>0</v>
      </c>
      <c r="FY20" s="52">
        <v>0</v>
      </c>
      <c r="FZ20" s="52">
        <v>0</v>
      </c>
      <c r="GA20" s="52">
        <v>0</v>
      </c>
      <c r="GB20" s="52">
        <v>0</v>
      </c>
      <c r="GC20" s="52">
        <v>0</v>
      </c>
      <c r="GD20" s="52">
        <v>0</v>
      </c>
      <c r="GE20" s="52">
        <v>0</v>
      </c>
      <c r="GF20" s="52">
        <v>0</v>
      </c>
      <c r="GG20" s="52">
        <v>0</v>
      </c>
      <c r="GH20" s="52">
        <v>0</v>
      </c>
      <c r="GI20" s="52">
        <v>0</v>
      </c>
      <c r="GJ20" s="52">
        <v>0</v>
      </c>
      <c r="GK20" s="52">
        <v>0</v>
      </c>
      <c r="GL20" s="52">
        <v>0</v>
      </c>
      <c r="GM20" s="52">
        <v>0</v>
      </c>
      <c r="GN20" s="52">
        <v>0</v>
      </c>
      <c r="GO20" s="52">
        <v>0</v>
      </c>
      <c r="GP20" s="52">
        <v>0</v>
      </c>
      <c r="GQ20" s="52">
        <v>0</v>
      </c>
      <c r="GR20" s="52">
        <v>0</v>
      </c>
      <c r="GS20" s="52">
        <v>0</v>
      </c>
    </row>
    <row r="21" spans="1:201" ht="17.25" customHeight="1" x14ac:dyDescent="0.3">
      <c r="A21" s="155" t="s">
        <v>40</v>
      </c>
      <c r="B21" s="156">
        <v>1085.5</v>
      </c>
      <c r="C21" s="156">
        <v>0</v>
      </c>
      <c r="D21" s="156">
        <v>0.39025599999990845</v>
      </c>
      <c r="E21" s="156">
        <v>0.3305240000000822</v>
      </c>
      <c r="F21" s="156">
        <v>0.36917800000003353</v>
      </c>
      <c r="G21" s="156">
        <v>0</v>
      </c>
      <c r="H21" s="156">
        <v>0</v>
      </c>
      <c r="I21" s="156">
        <v>0</v>
      </c>
      <c r="J21" s="156">
        <v>0</v>
      </c>
      <c r="K21" s="156">
        <v>0</v>
      </c>
      <c r="L21" s="156">
        <v>0</v>
      </c>
      <c r="M21" s="156">
        <v>0</v>
      </c>
      <c r="N21" s="156">
        <v>0</v>
      </c>
      <c r="O21" s="156">
        <v>0</v>
      </c>
      <c r="P21" s="52">
        <v>0</v>
      </c>
      <c r="Q21" s="52">
        <v>0</v>
      </c>
      <c r="R21" s="52">
        <v>0.37683200000174111</v>
      </c>
      <c r="S21" s="52">
        <v>0.32204799999999523</v>
      </c>
      <c r="T21" s="52">
        <v>0.35635200000251643</v>
      </c>
      <c r="U21" s="52">
        <v>2.2792000000009693E-2</v>
      </c>
      <c r="V21" s="52">
        <v>6.0420000000043217E-3</v>
      </c>
      <c r="W21" s="52">
        <v>7.8599999999973136E-4</v>
      </c>
      <c r="X21" s="52">
        <v>2.3920000000003938E-3</v>
      </c>
      <c r="Y21" s="52">
        <v>0</v>
      </c>
      <c r="Z21" s="52">
        <v>1.3470000000008753E-3</v>
      </c>
      <c r="AA21" s="52">
        <v>5.150000000000432E-3</v>
      </c>
      <c r="AB21" s="52">
        <v>5.9499999999985675E-3</v>
      </c>
      <c r="AC21" s="52">
        <v>7.2820000000000107E-3</v>
      </c>
      <c r="AD21" s="52">
        <v>1.7230000000001411E-3</v>
      </c>
      <c r="AE21" s="52">
        <v>9.5449999999974722E-4</v>
      </c>
      <c r="AF21" s="52">
        <v>0</v>
      </c>
      <c r="AG21" s="52">
        <v>4.2620000000006542E-3</v>
      </c>
      <c r="AH21" s="52">
        <v>8.0640000000016698E-2</v>
      </c>
      <c r="AI21" s="52">
        <v>0</v>
      </c>
      <c r="AJ21" s="52">
        <v>1.467500000000399E-3</v>
      </c>
      <c r="AK21" s="52">
        <v>0</v>
      </c>
      <c r="AL21" s="52">
        <v>1.3902062500000034E-2</v>
      </c>
      <c r="AM21" s="52">
        <v>1.9664000000005899E-2</v>
      </c>
      <c r="AN21" s="52">
        <v>1.5832000000003177E-2</v>
      </c>
      <c r="AO21" s="52">
        <v>5.1399999999972579E-3</v>
      </c>
      <c r="AP21" s="52">
        <v>3.6000000000022681E-3</v>
      </c>
      <c r="AQ21" s="52">
        <v>1.4236000000011018E-2</v>
      </c>
      <c r="AR21" s="52">
        <v>0.201663999999937</v>
      </c>
      <c r="AS21" s="52">
        <v>3.0049999999999244E-3</v>
      </c>
      <c r="AT21" s="52">
        <v>0</v>
      </c>
      <c r="AU21" s="52">
        <v>4.0680000000037353E-3</v>
      </c>
      <c r="AV21" s="52">
        <v>3.2285000000005226E-3</v>
      </c>
      <c r="AW21" s="52">
        <v>5.3888000000029024E-2</v>
      </c>
      <c r="AX21" s="52">
        <v>0</v>
      </c>
      <c r="AY21" s="52">
        <v>3.5389999999999588E-3</v>
      </c>
      <c r="AZ21" s="52">
        <v>0</v>
      </c>
      <c r="BA21" s="52">
        <v>0</v>
      </c>
      <c r="BB21" s="52">
        <v>0</v>
      </c>
      <c r="BC21" s="52">
        <v>0</v>
      </c>
      <c r="BD21" s="52">
        <v>2.0595312500000518E-4</v>
      </c>
      <c r="BE21" s="52">
        <v>4.7959999999989122E-3</v>
      </c>
      <c r="BF21" s="52">
        <v>0</v>
      </c>
      <c r="BG21" s="52">
        <v>4.3999999999932982E-4</v>
      </c>
      <c r="BH21" s="52">
        <v>0</v>
      </c>
      <c r="BI21" s="52">
        <v>0.11244799999997213</v>
      </c>
      <c r="BJ21" s="52">
        <v>0</v>
      </c>
      <c r="BK21" s="52">
        <v>5.5994999999997574E-3</v>
      </c>
      <c r="BL21" s="52">
        <v>0</v>
      </c>
      <c r="BM21" s="52">
        <v>8.636800000004996E-2</v>
      </c>
      <c r="BN21" s="52">
        <v>0</v>
      </c>
      <c r="BO21" s="52">
        <v>1.6020000000018797E-3</v>
      </c>
      <c r="BP21" s="52">
        <v>0</v>
      </c>
      <c r="BQ21" s="52">
        <v>0</v>
      </c>
      <c r="BR21" s="52">
        <v>0</v>
      </c>
      <c r="BS21" s="52">
        <v>0</v>
      </c>
      <c r="BT21" s="52">
        <v>1.1820000000000164E-2</v>
      </c>
      <c r="BU21" s="52">
        <v>0</v>
      </c>
      <c r="BV21" s="52">
        <v>0</v>
      </c>
      <c r="BW21" s="52">
        <v>0</v>
      </c>
      <c r="BX21" s="52">
        <v>0</v>
      </c>
      <c r="BY21" s="52">
        <v>0</v>
      </c>
      <c r="BZ21" s="52">
        <v>5.2896000000004051E-2</v>
      </c>
      <c r="CA21" s="52">
        <v>1.2553312500000025E-2</v>
      </c>
      <c r="CB21" s="52">
        <v>0</v>
      </c>
      <c r="CC21" s="52">
        <v>0</v>
      </c>
      <c r="CD21" s="52">
        <v>0</v>
      </c>
      <c r="CE21" s="52">
        <v>0</v>
      </c>
      <c r="CF21" s="52">
        <v>6.9400000000108264E-4</v>
      </c>
      <c r="CG21" s="52">
        <v>0</v>
      </c>
      <c r="CH21" s="52">
        <v>8.1325000000020964E-4</v>
      </c>
      <c r="CI21" s="52">
        <v>0</v>
      </c>
      <c r="CJ21" s="52">
        <v>0</v>
      </c>
      <c r="CK21" s="52">
        <v>0</v>
      </c>
      <c r="CL21" s="52">
        <v>6.8600000000174077E-4</v>
      </c>
      <c r="CM21" s="52">
        <v>0.14272000000005391</v>
      </c>
      <c r="CN21" s="52">
        <v>2.8150000000000119E-3</v>
      </c>
      <c r="CO21" s="52">
        <v>1.7672000000004573E-2</v>
      </c>
      <c r="CP21" s="52">
        <v>0</v>
      </c>
      <c r="CQ21" s="52">
        <v>0</v>
      </c>
      <c r="CR21" s="52">
        <v>4.6659999999985047E-3</v>
      </c>
      <c r="CS21" s="52">
        <v>0</v>
      </c>
      <c r="CT21" s="52">
        <v>1.5199999999992997E-4</v>
      </c>
      <c r="CU21" s="52">
        <v>0</v>
      </c>
      <c r="CV21" s="52">
        <v>5.366250000000683E-4</v>
      </c>
      <c r="CW21" s="52">
        <v>0</v>
      </c>
      <c r="CX21" s="52">
        <v>0</v>
      </c>
      <c r="CY21" s="52">
        <v>6.6199999999994041E-4</v>
      </c>
      <c r="CZ21" s="52">
        <v>4.9549999999998207E-4</v>
      </c>
      <c r="DA21" s="52">
        <v>1.1668000000000234E-2</v>
      </c>
      <c r="DB21" s="52">
        <v>4.4669999999999987E-3</v>
      </c>
      <c r="DC21" s="52">
        <v>7.978625000000017E-3</v>
      </c>
      <c r="DD21" s="52">
        <v>1.2048749999999941E-3</v>
      </c>
      <c r="DE21" s="52">
        <v>0</v>
      </c>
      <c r="DF21" s="52">
        <v>0</v>
      </c>
      <c r="DG21" s="52">
        <v>0</v>
      </c>
      <c r="DH21" s="52">
        <v>1.052000000000497E-3</v>
      </c>
      <c r="DI21" s="52">
        <v>0.2136960000000272</v>
      </c>
      <c r="DJ21" s="52">
        <v>0</v>
      </c>
      <c r="DK21" s="52">
        <v>2.7739999999987219E-3</v>
      </c>
      <c r="DL21" s="52">
        <v>5.0703124999998406E-4</v>
      </c>
      <c r="DM21" s="52">
        <v>1.5770000000010498E-3</v>
      </c>
      <c r="DN21" s="52">
        <v>0</v>
      </c>
      <c r="DO21" s="52">
        <v>3.4559999999999036E-3</v>
      </c>
      <c r="DP21" s="52">
        <v>1.8560000000000798E-3</v>
      </c>
      <c r="DQ21" s="52">
        <v>0</v>
      </c>
      <c r="DR21" s="52">
        <v>0</v>
      </c>
      <c r="DS21" s="52">
        <v>8.0640000000016698E-2</v>
      </c>
      <c r="DT21" s="52">
        <v>1.5588000000000157E-2</v>
      </c>
      <c r="DU21" s="52">
        <v>0</v>
      </c>
      <c r="DV21" s="52">
        <v>6.4825000000023891E-4</v>
      </c>
      <c r="DW21" s="52">
        <v>0</v>
      </c>
      <c r="DX21" s="52">
        <v>3.5420000000012664E-3</v>
      </c>
      <c r="DY21" s="52">
        <v>2.0825000000002092E-4</v>
      </c>
      <c r="DZ21" s="52">
        <v>4.5739999999980796E-3</v>
      </c>
      <c r="EA21" s="52">
        <v>0</v>
      </c>
      <c r="EB21" s="52">
        <v>6.5695999999974219E-2</v>
      </c>
      <c r="EC21" s="52">
        <v>3.0832000000003745E-2</v>
      </c>
      <c r="ED21" s="52">
        <v>2.5925000000004417E-4</v>
      </c>
      <c r="EE21" s="52">
        <v>7.1180000000001797E-3</v>
      </c>
      <c r="EF21" s="52">
        <v>0.34852000000137195</v>
      </c>
      <c r="EG21" s="52">
        <v>0</v>
      </c>
      <c r="EH21" s="52">
        <v>1.2287999999898602E-2</v>
      </c>
      <c r="EI21" s="52">
        <v>1.9584000000008928E-2</v>
      </c>
      <c r="EJ21" s="52">
        <v>6.4320000000179789E-3</v>
      </c>
      <c r="EK21" s="52">
        <v>0</v>
      </c>
      <c r="EL21" s="52">
        <v>8.5888000000068132E-2</v>
      </c>
      <c r="EM21" s="52">
        <v>0.14822400000002744</v>
      </c>
      <c r="EN21" s="52">
        <v>0</v>
      </c>
      <c r="EO21" s="52">
        <v>7.6799999999366264E-4</v>
      </c>
      <c r="EP21" s="52">
        <v>0</v>
      </c>
      <c r="EQ21" s="52">
        <v>0</v>
      </c>
      <c r="ER21" s="52">
        <v>9.0054000000009182E-2</v>
      </c>
      <c r="ES21" s="52">
        <v>0</v>
      </c>
      <c r="ET21" s="52">
        <v>0</v>
      </c>
      <c r="EU21" s="52">
        <v>0</v>
      </c>
      <c r="EV21" s="52">
        <v>0</v>
      </c>
      <c r="EW21" s="52">
        <v>0</v>
      </c>
      <c r="EX21" s="52">
        <v>0</v>
      </c>
      <c r="EY21" s="52">
        <v>0</v>
      </c>
      <c r="EZ21" s="52">
        <v>0</v>
      </c>
      <c r="FA21" s="52">
        <v>0</v>
      </c>
      <c r="FB21" s="52">
        <v>0</v>
      </c>
      <c r="FC21" s="52">
        <v>0</v>
      </c>
      <c r="FD21" s="52">
        <v>0</v>
      </c>
      <c r="FE21" s="52">
        <v>0</v>
      </c>
      <c r="FF21" s="52">
        <v>0</v>
      </c>
      <c r="FG21" s="52">
        <v>0</v>
      </c>
      <c r="FH21" s="52">
        <v>0</v>
      </c>
      <c r="FI21" s="52">
        <v>0</v>
      </c>
      <c r="FJ21" s="52">
        <v>0</v>
      </c>
      <c r="FK21" s="52">
        <v>0</v>
      </c>
      <c r="FL21" s="52">
        <v>0</v>
      </c>
      <c r="FM21" s="52">
        <v>0</v>
      </c>
      <c r="FN21" s="52">
        <v>0</v>
      </c>
      <c r="FO21" s="52">
        <v>0</v>
      </c>
      <c r="FP21" s="52">
        <v>0</v>
      </c>
      <c r="FQ21" s="52">
        <v>0</v>
      </c>
      <c r="FR21" s="52">
        <v>0</v>
      </c>
      <c r="FS21" s="52">
        <v>0</v>
      </c>
      <c r="FT21" s="52">
        <v>0</v>
      </c>
      <c r="FU21" s="52">
        <v>0</v>
      </c>
      <c r="FV21" s="52">
        <v>0</v>
      </c>
      <c r="FW21" s="52">
        <v>0</v>
      </c>
      <c r="FX21" s="52">
        <v>0</v>
      </c>
      <c r="FY21" s="52">
        <v>0</v>
      </c>
      <c r="FZ21" s="52">
        <v>0</v>
      </c>
      <c r="GA21" s="52">
        <v>0</v>
      </c>
      <c r="GB21" s="52">
        <v>0</v>
      </c>
      <c r="GC21" s="52">
        <v>0</v>
      </c>
      <c r="GD21" s="52">
        <v>0</v>
      </c>
      <c r="GE21" s="52">
        <v>0</v>
      </c>
      <c r="GF21" s="52">
        <v>0</v>
      </c>
      <c r="GG21" s="52">
        <v>0</v>
      </c>
      <c r="GH21" s="52">
        <v>0</v>
      </c>
      <c r="GI21" s="52">
        <v>0</v>
      </c>
      <c r="GJ21" s="52">
        <v>0</v>
      </c>
      <c r="GK21" s="52">
        <v>0</v>
      </c>
      <c r="GL21" s="52">
        <v>0</v>
      </c>
      <c r="GM21" s="52">
        <v>0</v>
      </c>
      <c r="GN21" s="52">
        <v>0</v>
      </c>
      <c r="GO21" s="52">
        <v>0</v>
      </c>
      <c r="GP21" s="52">
        <v>0</v>
      </c>
      <c r="GQ21" s="52">
        <v>0</v>
      </c>
      <c r="GR21" s="52">
        <v>0</v>
      </c>
      <c r="GS21" s="52">
        <v>0</v>
      </c>
    </row>
    <row r="22" spans="1:201" ht="17.25" customHeight="1" x14ac:dyDescent="0.3">
      <c r="A22" s="155" t="s">
        <v>41</v>
      </c>
      <c r="B22" s="156">
        <v>1003.25</v>
      </c>
      <c r="C22" s="156">
        <v>0</v>
      </c>
      <c r="D22" s="156">
        <v>0.36276600000007875</v>
      </c>
      <c r="E22" s="156">
        <v>0.30853499999994938</v>
      </c>
      <c r="F22" s="156">
        <v>0.34270500000002357</v>
      </c>
      <c r="G22" s="156">
        <v>0</v>
      </c>
      <c r="H22" s="156">
        <v>0</v>
      </c>
      <c r="I22" s="156">
        <v>0</v>
      </c>
      <c r="J22" s="156">
        <v>0</v>
      </c>
      <c r="K22" s="156">
        <v>0</v>
      </c>
      <c r="L22" s="156">
        <v>0</v>
      </c>
      <c r="M22" s="156">
        <v>0</v>
      </c>
      <c r="N22" s="156">
        <v>0</v>
      </c>
      <c r="O22" s="156">
        <v>0</v>
      </c>
      <c r="P22" s="52">
        <v>0</v>
      </c>
      <c r="Q22" s="52">
        <v>0</v>
      </c>
      <c r="R22" s="52">
        <v>0.35430400000041118</v>
      </c>
      <c r="S22" s="52">
        <v>0.29849600000034116</v>
      </c>
      <c r="T22" s="52">
        <v>0.33177599999908125</v>
      </c>
      <c r="U22" s="52">
        <v>2.3055999999996857E-2</v>
      </c>
      <c r="V22" s="52">
        <v>5.9959999999961155E-3</v>
      </c>
      <c r="W22" s="52">
        <v>1.2209999999992505E-3</v>
      </c>
      <c r="X22" s="52">
        <v>2.4420000000002773E-3</v>
      </c>
      <c r="Y22" s="52">
        <v>0</v>
      </c>
      <c r="Z22" s="52">
        <v>1.2999999999987466E-3</v>
      </c>
      <c r="AA22" s="52">
        <v>4.8859999999990578E-3</v>
      </c>
      <c r="AB22" s="52">
        <v>6.0339999999996508E-3</v>
      </c>
      <c r="AC22" s="52">
        <v>7.3820000000033303E-3</v>
      </c>
      <c r="AD22" s="52">
        <v>2.9350000000007981E-3</v>
      </c>
      <c r="AE22" s="52">
        <v>9.1900000000055826E-4</v>
      </c>
      <c r="AF22" s="52">
        <v>0</v>
      </c>
      <c r="AG22" s="52">
        <v>3.9124999999993193E-3</v>
      </c>
      <c r="AH22" s="52">
        <v>7.920000000001437E-2</v>
      </c>
      <c r="AI22" s="52">
        <v>0</v>
      </c>
      <c r="AJ22" s="52">
        <v>1.3100000000001444E-3</v>
      </c>
      <c r="AK22" s="52">
        <v>0</v>
      </c>
      <c r="AL22" s="52">
        <v>1.317531249999998E-2</v>
      </c>
      <c r="AM22" s="52">
        <v>2.0368000000004827E-2</v>
      </c>
      <c r="AN22" s="52">
        <v>1.5680000000003247E-2</v>
      </c>
      <c r="AO22" s="52">
        <v>5.0840000000036412E-3</v>
      </c>
      <c r="AP22" s="52">
        <v>3.4439999999982263E-3</v>
      </c>
      <c r="AQ22" s="52">
        <v>1.4172000000002072E-2</v>
      </c>
      <c r="AR22" s="52">
        <v>0.19033600000000206</v>
      </c>
      <c r="AS22" s="52">
        <v>2.1724999999994665E-3</v>
      </c>
      <c r="AT22" s="52">
        <v>0</v>
      </c>
      <c r="AU22" s="52">
        <v>3.7200000000012778E-3</v>
      </c>
      <c r="AV22" s="52">
        <v>2.0324999999994375E-3</v>
      </c>
      <c r="AW22" s="52">
        <v>4.5631999999955042E-2</v>
      </c>
      <c r="AX22" s="52">
        <v>0</v>
      </c>
      <c r="AY22" s="52">
        <v>2.5040000000000617E-3</v>
      </c>
      <c r="AZ22" s="52">
        <v>0</v>
      </c>
      <c r="BA22" s="52">
        <v>0</v>
      </c>
      <c r="BB22" s="52">
        <v>0</v>
      </c>
      <c r="BC22" s="52">
        <v>0</v>
      </c>
      <c r="BD22" s="52">
        <v>1.0023437499999399E-4</v>
      </c>
      <c r="BE22" s="52">
        <v>4.8440000000020689E-3</v>
      </c>
      <c r="BF22" s="52">
        <v>0</v>
      </c>
      <c r="BG22" s="52">
        <v>4.2999999999970839E-4</v>
      </c>
      <c r="BH22" s="52">
        <v>2.1999999999984254E-3</v>
      </c>
      <c r="BI22" s="52">
        <v>0.10950400000001537</v>
      </c>
      <c r="BJ22" s="52">
        <v>0</v>
      </c>
      <c r="BK22" s="52">
        <v>2.2269999999995349E-3</v>
      </c>
      <c r="BL22" s="52">
        <v>0</v>
      </c>
      <c r="BM22" s="52">
        <v>8.095999999994774E-2</v>
      </c>
      <c r="BN22" s="52">
        <v>0</v>
      </c>
      <c r="BO22" s="52">
        <v>1.6280000000001849E-3</v>
      </c>
      <c r="BP22" s="52">
        <v>0</v>
      </c>
      <c r="BQ22" s="52">
        <v>0</v>
      </c>
      <c r="BR22" s="52">
        <v>0</v>
      </c>
      <c r="BS22" s="52">
        <v>0</v>
      </c>
      <c r="BT22" s="52">
        <v>1.1479999999998824E-2</v>
      </c>
      <c r="BU22" s="52">
        <v>0</v>
      </c>
      <c r="BV22" s="52">
        <v>0</v>
      </c>
      <c r="BW22" s="52">
        <v>0</v>
      </c>
      <c r="BX22" s="52">
        <v>0</v>
      </c>
      <c r="BY22" s="52">
        <v>0</v>
      </c>
      <c r="BZ22" s="52">
        <v>4.3799999999990291E-2</v>
      </c>
      <c r="CA22" s="52">
        <v>1.408406250000005E-2</v>
      </c>
      <c r="CB22" s="52">
        <v>0</v>
      </c>
      <c r="CC22" s="52">
        <v>0</v>
      </c>
      <c r="CD22" s="52">
        <v>0</v>
      </c>
      <c r="CE22" s="52">
        <v>0</v>
      </c>
      <c r="CF22" s="52">
        <v>7.4699999999872091E-4</v>
      </c>
      <c r="CG22" s="52">
        <v>0</v>
      </c>
      <c r="CH22" s="52">
        <v>7.8224999999987332E-4</v>
      </c>
      <c r="CI22" s="52">
        <v>0</v>
      </c>
      <c r="CJ22" s="52">
        <v>0</v>
      </c>
      <c r="CK22" s="52">
        <v>0</v>
      </c>
      <c r="CL22" s="52">
        <v>1.0520000000013852E-3</v>
      </c>
      <c r="CM22" s="52">
        <v>0.13593600000012884</v>
      </c>
      <c r="CN22" s="52">
        <v>2.7059999999998752E-3</v>
      </c>
      <c r="CO22" s="52">
        <v>1.688000000000045E-2</v>
      </c>
      <c r="CP22" s="52">
        <v>0</v>
      </c>
      <c r="CQ22" s="52">
        <v>0</v>
      </c>
      <c r="CR22" s="52">
        <v>3.9960000000007767E-3</v>
      </c>
      <c r="CS22" s="52">
        <v>0</v>
      </c>
      <c r="CT22" s="52">
        <v>1.5199999999992997E-4</v>
      </c>
      <c r="CU22" s="52">
        <v>0</v>
      </c>
      <c r="CV22" s="52">
        <v>1.9950000000013013E-4</v>
      </c>
      <c r="CW22" s="52">
        <v>0</v>
      </c>
      <c r="CX22" s="52">
        <v>0</v>
      </c>
      <c r="CY22" s="52">
        <v>6.0400000000004894E-4</v>
      </c>
      <c r="CZ22" s="52">
        <v>4.8549999999991655E-4</v>
      </c>
      <c r="DA22" s="52">
        <v>1.157199999999392E-2</v>
      </c>
      <c r="DB22" s="52">
        <v>4.1990000000016181E-3</v>
      </c>
      <c r="DC22" s="52">
        <v>7.9399999999998361E-3</v>
      </c>
      <c r="DD22" s="52">
        <v>1.1978749999999039E-3</v>
      </c>
      <c r="DE22" s="52">
        <v>0</v>
      </c>
      <c r="DF22" s="52">
        <v>0</v>
      </c>
      <c r="DG22" s="52">
        <v>0</v>
      </c>
      <c r="DH22" s="52">
        <v>1.179500000000111E-3</v>
      </c>
      <c r="DI22" s="52">
        <v>0.16025600000000395</v>
      </c>
      <c r="DJ22" s="52">
        <v>0</v>
      </c>
      <c r="DK22" s="52">
        <v>2.8119999999987044E-3</v>
      </c>
      <c r="DL22" s="52">
        <v>5.0557812500001686E-4</v>
      </c>
      <c r="DM22" s="52">
        <v>1.3760000000004879E-3</v>
      </c>
      <c r="DN22" s="52">
        <v>0</v>
      </c>
      <c r="DO22" s="52">
        <v>3.5680000000013479E-3</v>
      </c>
      <c r="DP22" s="52">
        <v>1.7479999999991946E-3</v>
      </c>
      <c r="DQ22" s="52">
        <v>0</v>
      </c>
      <c r="DR22" s="52">
        <v>0</v>
      </c>
      <c r="DS22" s="52">
        <v>5.5424000000016349E-2</v>
      </c>
      <c r="DT22" s="52">
        <v>1.5886499999999693E-2</v>
      </c>
      <c r="DU22" s="52">
        <v>0</v>
      </c>
      <c r="DV22" s="52">
        <v>6.4724999999965505E-4</v>
      </c>
      <c r="DW22" s="52">
        <v>0</v>
      </c>
      <c r="DX22" s="52">
        <v>3.4919999999996065E-3</v>
      </c>
      <c r="DY22" s="52">
        <v>2.0774999999995103E-4</v>
      </c>
      <c r="DZ22" s="52">
        <v>4.5640000000020109E-3</v>
      </c>
      <c r="EA22" s="52">
        <v>0</v>
      </c>
      <c r="EB22" s="52">
        <v>4.118400000001543E-2</v>
      </c>
      <c r="EC22" s="52">
        <v>2.9759999999981801E-2</v>
      </c>
      <c r="ED22" s="52">
        <v>2.6374999999978499E-4</v>
      </c>
      <c r="EE22" s="52">
        <v>3.9580000000007942E-3</v>
      </c>
      <c r="EF22" s="52">
        <v>0.37750599999981205</v>
      </c>
      <c r="EG22" s="52">
        <v>0</v>
      </c>
      <c r="EH22" s="52">
        <v>1.1648000000036518E-2</v>
      </c>
      <c r="EI22" s="52">
        <v>2.3871999999983018E-2</v>
      </c>
      <c r="EJ22" s="52">
        <v>6.015999999988253E-3</v>
      </c>
      <c r="EK22" s="52">
        <v>0</v>
      </c>
      <c r="EL22" s="52">
        <v>9.6383999999943626E-2</v>
      </c>
      <c r="EM22" s="52">
        <v>0.14719999999988431</v>
      </c>
      <c r="EN22" s="52">
        <v>0</v>
      </c>
      <c r="EO22" s="52">
        <v>7.6799999999366264E-4</v>
      </c>
      <c r="EP22" s="52">
        <v>0</v>
      </c>
      <c r="EQ22" s="52">
        <v>0</v>
      </c>
      <c r="ER22" s="52">
        <v>9.4581999999988398E-2</v>
      </c>
      <c r="ES22" s="52">
        <v>0</v>
      </c>
      <c r="ET22" s="52">
        <v>0</v>
      </c>
      <c r="EU22" s="52">
        <v>0</v>
      </c>
      <c r="EV22" s="52">
        <v>0</v>
      </c>
      <c r="EW22" s="52">
        <v>0</v>
      </c>
      <c r="EX22" s="52">
        <v>0</v>
      </c>
      <c r="EY22" s="52">
        <v>0</v>
      </c>
      <c r="EZ22" s="52">
        <v>0</v>
      </c>
      <c r="FA22" s="52">
        <v>0</v>
      </c>
      <c r="FB22" s="52">
        <v>0</v>
      </c>
      <c r="FC22" s="52">
        <v>0</v>
      </c>
      <c r="FD22" s="52">
        <v>0</v>
      </c>
      <c r="FE22" s="52">
        <v>0</v>
      </c>
      <c r="FF22" s="52">
        <v>0</v>
      </c>
      <c r="FG22" s="52">
        <v>0</v>
      </c>
      <c r="FH22" s="52">
        <v>0</v>
      </c>
      <c r="FI22" s="52">
        <v>0</v>
      </c>
      <c r="FJ22" s="52">
        <v>0</v>
      </c>
      <c r="FK22" s="52">
        <v>0</v>
      </c>
      <c r="FL22" s="52">
        <v>0</v>
      </c>
      <c r="FM22" s="52">
        <v>0</v>
      </c>
      <c r="FN22" s="52">
        <v>0</v>
      </c>
      <c r="FO22" s="52">
        <v>0</v>
      </c>
      <c r="FP22" s="52">
        <v>0</v>
      </c>
      <c r="FQ22" s="52">
        <v>0</v>
      </c>
      <c r="FR22" s="52">
        <v>0</v>
      </c>
      <c r="FS22" s="52">
        <v>0</v>
      </c>
      <c r="FT22" s="52">
        <v>0</v>
      </c>
      <c r="FU22" s="52">
        <v>0</v>
      </c>
      <c r="FV22" s="52">
        <v>0</v>
      </c>
      <c r="FW22" s="52">
        <v>0</v>
      </c>
      <c r="FX22" s="52">
        <v>0</v>
      </c>
      <c r="FY22" s="52">
        <v>0</v>
      </c>
      <c r="FZ22" s="52">
        <v>0</v>
      </c>
      <c r="GA22" s="52">
        <v>0</v>
      </c>
      <c r="GB22" s="52">
        <v>0</v>
      </c>
      <c r="GC22" s="52">
        <v>0</v>
      </c>
      <c r="GD22" s="52">
        <v>0</v>
      </c>
      <c r="GE22" s="52">
        <v>0</v>
      </c>
      <c r="GF22" s="52">
        <v>0</v>
      </c>
      <c r="GG22" s="52">
        <v>0</v>
      </c>
      <c r="GH22" s="52">
        <v>0</v>
      </c>
      <c r="GI22" s="52">
        <v>0</v>
      </c>
      <c r="GJ22" s="52">
        <v>0</v>
      </c>
      <c r="GK22" s="52">
        <v>0</v>
      </c>
      <c r="GL22" s="52">
        <v>0</v>
      </c>
      <c r="GM22" s="52">
        <v>0</v>
      </c>
      <c r="GN22" s="52">
        <v>0</v>
      </c>
      <c r="GO22" s="52">
        <v>0</v>
      </c>
      <c r="GP22" s="52">
        <v>0</v>
      </c>
      <c r="GQ22" s="52">
        <v>0</v>
      </c>
      <c r="GR22" s="52">
        <v>0</v>
      </c>
      <c r="GS22" s="52">
        <v>0</v>
      </c>
    </row>
    <row r="23" spans="1:201" ht="17.25" customHeight="1" x14ac:dyDescent="0.3">
      <c r="A23" s="155" t="s">
        <v>42</v>
      </c>
      <c r="B23" s="156">
        <v>868.75</v>
      </c>
      <c r="C23" s="156">
        <v>0</v>
      </c>
      <c r="D23" s="156">
        <v>0.31314999999983684</v>
      </c>
      <c r="E23" s="156">
        <v>0.26604499999996278</v>
      </c>
      <c r="F23" s="156">
        <v>0.29627999999996746</v>
      </c>
      <c r="G23" s="156">
        <v>0</v>
      </c>
      <c r="H23" s="156">
        <v>0</v>
      </c>
      <c r="I23" s="156">
        <v>0</v>
      </c>
      <c r="J23" s="156">
        <v>0</v>
      </c>
      <c r="K23" s="156">
        <v>0</v>
      </c>
      <c r="L23" s="156">
        <v>0</v>
      </c>
      <c r="M23" s="156">
        <v>0</v>
      </c>
      <c r="N23" s="156">
        <v>0</v>
      </c>
      <c r="O23" s="156">
        <v>0</v>
      </c>
      <c r="P23" s="52">
        <v>0</v>
      </c>
      <c r="Q23" s="52">
        <v>0</v>
      </c>
      <c r="R23" s="52">
        <v>0.30515199999717879</v>
      </c>
      <c r="S23" s="52">
        <v>0.25343999999950029</v>
      </c>
      <c r="T23" s="52">
        <v>0.28467199999795412</v>
      </c>
      <c r="U23" s="52">
        <v>2.0544000000001006E-2</v>
      </c>
      <c r="V23" s="52">
        <v>6.2160000000019977E-3</v>
      </c>
      <c r="W23" s="52">
        <v>7.9600000000112914E-4</v>
      </c>
      <c r="X23" s="52">
        <v>2.3659999999985359E-3</v>
      </c>
      <c r="Y23" s="52">
        <v>0</v>
      </c>
      <c r="Z23" s="52">
        <v>1.300000000000523E-3</v>
      </c>
      <c r="AA23" s="52">
        <v>4.1280000000014638E-3</v>
      </c>
      <c r="AB23" s="52">
        <v>5.9300000000028774E-3</v>
      </c>
      <c r="AC23" s="52">
        <v>7.4259999999988224E-3</v>
      </c>
      <c r="AD23" s="52">
        <v>1.6289999999994365E-3</v>
      </c>
      <c r="AE23" s="52">
        <v>8.9899999999953906E-4</v>
      </c>
      <c r="AF23" s="52">
        <v>0</v>
      </c>
      <c r="AG23" s="52">
        <v>3.1730000000003145E-3</v>
      </c>
      <c r="AH23" s="52">
        <v>6.9791999999949894E-2</v>
      </c>
      <c r="AI23" s="52">
        <v>0</v>
      </c>
      <c r="AJ23" s="52">
        <v>6.284999999994767E-4</v>
      </c>
      <c r="AK23" s="52">
        <v>0</v>
      </c>
      <c r="AL23" s="52">
        <v>8.2645937499999933E-3</v>
      </c>
      <c r="AM23" s="52">
        <v>2.0727999999991198E-2</v>
      </c>
      <c r="AN23" s="52">
        <v>1.5168000000002735E-2</v>
      </c>
      <c r="AO23" s="52">
        <v>5.0759999999954175E-3</v>
      </c>
      <c r="AP23" s="52">
        <v>3.2840000000007308E-3</v>
      </c>
      <c r="AQ23" s="52">
        <v>1.3527999999993767E-2</v>
      </c>
      <c r="AR23" s="52">
        <v>0.16384000000005017</v>
      </c>
      <c r="AS23" s="52">
        <v>1.664999999997363E-4</v>
      </c>
      <c r="AT23" s="52">
        <v>0</v>
      </c>
      <c r="AU23" s="52">
        <v>2.4039999999985184E-3</v>
      </c>
      <c r="AV23" s="52">
        <v>5.1749999999994856E-4</v>
      </c>
      <c r="AW23" s="52">
        <v>3.9103999999952066E-2</v>
      </c>
      <c r="AX23" s="52">
        <v>0</v>
      </c>
      <c r="AY23" s="52">
        <v>2.4234999999999118E-3</v>
      </c>
      <c r="AZ23" s="52">
        <v>0</v>
      </c>
      <c r="BA23" s="52">
        <v>0</v>
      </c>
      <c r="BB23" s="52">
        <v>0</v>
      </c>
      <c r="BC23" s="52">
        <v>0</v>
      </c>
      <c r="BD23" s="52">
        <v>9.8976562500005527E-5</v>
      </c>
      <c r="BE23" s="52">
        <v>5.0080000000001235E-3</v>
      </c>
      <c r="BF23" s="52">
        <v>0</v>
      </c>
      <c r="BG23" s="52">
        <v>4.4000000000110617E-4</v>
      </c>
      <c r="BH23" s="52">
        <v>3.1420000000004222E-3</v>
      </c>
      <c r="BI23" s="52">
        <v>0.1007680000000164</v>
      </c>
      <c r="BJ23" s="52">
        <v>0</v>
      </c>
      <c r="BK23" s="52">
        <v>1.4289999999999026E-3</v>
      </c>
      <c r="BL23" s="52">
        <v>0</v>
      </c>
      <c r="BM23" s="52">
        <v>8.7264000000004671E-2</v>
      </c>
      <c r="BN23" s="52">
        <v>0</v>
      </c>
      <c r="BO23" s="52">
        <v>1.6259999999981289E-3</v>
      </c>
      <c r="BP23" s="52">
        <v>0</v>
      </c>
      <c r="BQ23" s="52">
        <v>0</v>
      </c>
      <c r="BR23" s="52">
        <v>0</v>
      </c>
      <c r="BS23" s="52">
        <v>0</v>
      </c>
      <c r="BT23" s="52">
        <v>1.0592000000002599E-2</v>
      </c>
      <c r="BU23" s="52">
        <v>0</v>
      </c>
      <c r="BV23" s="52">
        <v>0</v>
      </c>
      <c r="BW23" s="52">
        <v>0</v>
      </c>
      <c r="BX23" s="52">
        <v>0</v>
      </c>
      <c r="BY23" s="52">
        <v>0</v>
      </c>
      <c r="BZ23" s="52">
        <v>4.8935999999997648E-2</v>
      </c>
      <c r="CA23" s="52">
        <v>1.8728999999999996E-2</v>
      </c>
      <c r="CB23" s="52">
        <v>0</v>
      </c>
      <c r="CC23" s="52">
        <v>0</v>
      </c>
      <c r="CD23" s="52">
        <v>0</v>
      </c>
      <c r="CE23" s="52">
        <v>0</v>
      </c>
      <c r="CF23" s="52">
        <v>7.0000000000014495E-4</v>
      </c>
      <c r="CG23" s="52">
        <v>0</v>
      </c>
      <c r="CH23" s="52">
        <v>6.3974999999993898E-4</v>
      </c>
      <c r="CI23" s="52">
        <v>0</v>
      </c>
      <c r="CJ23" s="52">
        <v>0</v>
      </c>
      <c r="CK23" s="52">
        <v>0</v>
      </c>
      <c r="CL23" s="52">
        <v>1.1259999999992942E-3</v>
      </c>
      <c r="CM23" s="52">
        <v>0.12608000000000175</v>
      </c>
      <c r="CN23" s="52">
        <v>2.5980000000007664E-3</v>
      </c>
      <c r="CO23" s="52">
        <v>1.7408000000003199E-2</v>
      </c>
      <c r="CP23" s="52">
        <v>0</v>
      </c>
      <c r="CQ23" s="52">
        <v>0</v>
      </c>
      <c r="CR23" s="52">
        <v>3.8909999999994227E-3</v>
      </c>
      <c r="CS23" s="52">
        <v>0</v>
      </c>
      <c r="CT23" s="52">
        <v>1.5199999999992997E-4</v>
      </c>
      <c r="CU23" s="52">
        <v>0</v>
      </c>
      <c r="CV23" s="52">
        <v>0</v>
      </c>
      <c r="CW23" s="52">
        <v>0</v>
      </c>
      <c r="CX23" s="52">
        <v>0</v>
      </c>
      <c r="CY23" s="52">
        <v>6.7000000000017046E-4</v>
      </c>
      <c r="CZ23" s="52">
        <v>4.9700000000019173E-4</v>
      </c>
      <c r="DA23" s="52">
        <v>1.1464000000003693E-2</v>
      </c>
      <c r="DB23" s="52">
        <v>3.2429999999976644E-3</v>
      </c>
      <c r="DC23" s="52">
        <v>7.8562500000001201E-3</v>
      </c>
      <c r="DD23" s="52">
        <v>1.1857500000000964E-3</v>
      </c>
      <c r="DE23" s="52">
        <v>0</v>
      </c>
      <c r="DF23" s="52">
        <v>0</v>
      </c>
      <c r="DG23" s="52">
        <v>0</v>
      </c>
      <c r="DH23" s="52">
        <v>1.1814999999995024E-3</v>
      </c>
      <c r="DI23" s="52">
        <v>0.16070400000000973</v>
      </c>
      <c r="DJ23" s="52">
        <v>0</v>
      </c>
      <c r="DK23" s="52">
        <v>2.808000000001698E-3</v>
      </c>
      <c r="DL23" s="52">
        <v>4.9437499999999135E-4</v>
      </c>
      <c r="DM23" s="52">
        <v>1.0529999999988604E-3</v>
      </c>
      <c r="DN23" s="52">
        <v>0</v>
      </c>
      <c r="DO23" s="52">
        <v>3.4559999999999036E-3</v>
      </c>
      <c r="DP23" s="52">
        <v>7.8099999999992065E-4</v>
      </c>
      <c r="DQ23" s="52">
        <v>0</v>
      </c>
      <c r="DR23" s="52">
        <v>0</v>
      </c>
      <c r="DS23" s="52">
        <v>6.0288000000014108E-2</v>
      </c>
      <c r="DT23" s="52">
        <v>1.5441500000000552E-2</v>
      </c>
      <c r="DU23" s="52">
        <v>0</v>
      </c>
      <c r="DV23" s="52">
        <v>6.1250000000034888E-4</v>
      </c>
      <c r="DW23" s="52">
        <v>0</v>
      </c>
      <c r="DX23" s="52">
        <v>3.5410000000002384E-3</v>
      </c>
      <c r="DY23" s="52">
        <v>2.0506250000007498E-4</v>
      </c>
      <c r="DZ23" s="52">
        <v>4.4819999999994309E-3</v>
      </c>
      <c r="EA23" s="52">
        <v>0</v>
      </c>
      <c r="EB23" s="52">
        <v>4.0928000000008069E-2</v>
      </c>
      <c r="EC23" s="52">
        <v>2.86880000000167E-2</v>
      </c>
      <c r="ED23" s="52">
        <v>2.6425000000029897E-4</v>
      </c>
      <c r="EE23" s="52">
        <v>5.721499999999935E-3</v>
      </c>
      <c r="EF23" s="52">
        <v>0.27698499999951309</v>
      </c>
      <c r="EG23" s="52">
        <v>0</v>
      </c>
      <c r="EH23" s="52">
        <v>7.2959999999966385E-3</v>
      </c>
      <c r="EI23" s="52">
        <v>1.8239999999991596E-2</v>
      </c>
      <c r="EJ23" s="52">
        <v>8.3200000000260843E-4</v>
      </c>
      <c r="EK23" s="52">
        <v>0</v>
      </c>
      <c r="EL23" s="52">
        <v>2.8287999999975E-2</v>
      </c>
      <c r="EM23" s="52">
        <v>0.12134400000013557</v>
      </c>
      <c r="EN23" s="52">
        <v>0</v>
      </c>
      <c r="EO23" s="52">
        <v>7.6799999999366264E-4</v>
      </c>
      <c r="EP23" s="52">
        <v>0</v>
      </c>
      <c r="EQ23" s="52">
        <v>0</v>
      </c>
      <c r="ER23" s="52">
        <v>9.5923000000013303E-2</v>
      </c>
      <c r="ES23" s="52">
        <v>0</v>
      </c>
      <c r="ET23" s="52">
        <v>0</v>
      </c>
      <c r="EU23" s="52">
        <v>0</v>
      </c>
      <c r="EV23" s="52">
        <v>0</v>
      </c>
      <c r="EW23" s="52">
        <v>0</v>
      </c>
      <c r="EX23" s="52">
        <v>0</v>
      </c>
      <c r="EY23" s="52">
        <v>0</v>
      </c>
      <c r="EZ23" s="52">
        <v>0</v>
      </c>
      <c r="FA23" s="52">
        <v>0</v>
      </c>
      <c r="FB23" s="52">
        <v>0</v>
      </c>
      <c r="FC23" s="52">
        <v>0</v>
      </c>
      <c r="FD23" s="52">
        <v>0</v>
      </c>
      <c r="FE23" s="52">
        <v>0</v>
      </c>
      <c r="FF23" s="52">
        <v>0</v>
      </c>
      <c r="FG23" s="52">
        <v>0</v>
      </c>
      <c r="FH23" s="52">
        <v>0</v>
      </c>
      <c r="FI23" s="52">
        <v>0</v>
      </c>
      <c r="FJ23" s="52">
        <v>0</v>
      </c>
      <c r="FK23" s="52">
        <v>0</v>
      </c>
      <c r="FL23" s="52">
        <v>0</v>
      </c>
      <c r="FM23" s="52">
        <v>0</v>
      </c>
      <c r="FN23" s="52">
        <v>0</v>
      </c>
      <c r="FO23" s="52">
        <v>0</v>
      </c>
      <c r="FP23" s="52">
        <v>0</v>
      </c>
      <c r="FQ23" s="52">
        <v>0</v>
      </c>
      <c r="FR23" s="52">
        <v>0</v>
      </c>
      <c r="FS23" s="52">
        <v>0</v>
      </c>
      <c r="FT23" s="52">
        <v>0</v>
      </c>
      <c r="FU23" s="52">
        <v>0</v>
      </c>
      <c r="FV23" s="52">
        <v>0</v>
      </c>
      <c r="FW23" s="52">
        <v>0</v>
      </c>
      <c r="FX23" s="52">
        <v>0</v>
      </c>
      <c r="FY23" s="52">
        <v>0</v>
      </c>
      <c r="FZ23" s="52">
        <v>0</v>
      </c>
      <c r="GA23" s="52">
        <v>0</v>
      </c>
      <c r="GB23" s="52">
        <v>0</v>
      </c>
      <c r="GC23" s="52">
        <v>0</v>
      </c>
      <c r="GD23" s="52">
        <v>0</v>
      </c>
      <c r="GE23" s="52">
        <v>0</v>
      </c>
      <c r="GF23" s="52">
        <v>0</v>
      </c>
      <c r="GG23" s="52">
        <v>0</v>
      </c>
      <c r="GH23" s="52">
        <v>0</v>
      </c>
      <c r="GI23" s="52">
        <v>0</v>
      </c>
      <c r="GJ23" s="52">
        <v>0</v>
      </c>
      <c r="GK23" s="52">
        <v>0</v>
      </c>
      <c r="GL23" s="52">
        <v>0</v>
      </c>
      <c r="GM23" s="52">
        <v>0</v>
      </c>
      <c r="GN23" s="52">
        <v>0</v>
      </c>
      <c r="GO23" s="52">
        <v>0</v>
      </c>
      <c r="GP23" s="52">
        <v>0</v>
      </c>
      <c r="GQ23" s="52">
        <v>0</v>
      </c>
      <c r="GR23" s="52">
        <v>0</v>
      </c>
      <c r="GS23" s="52">
        <v>0</v>
      </c>
    </row>
    <row r="24" spans="1:201" ht="17.25" customHeight="1" x14ac:dyDescent="0.3">
      <c r="A24" s="155" t="s">
        <v>43</v>
      </c>
      <c r="B24" s="156">
        <v>857.5</v>
      </c>
      <c r="C24" s="156">
        <v>0</v>
      </c>
      <c r="D24" s="156">
        <v>0.30852400000014768</v>
      </c>
      <c r="E24" s="156">
        <v>0.26178000000004431</v>
      </c>
      <c r="F24" s="156">
        <v>0.29193499999996675</v>
      </c>
      <c r="G24" s="156">
        <v>0</v>
      </c>
      <c r="H24" s="156">
        <v>0</v>
      </c>
      <c r="I24" s="156">
        <v>0</v>
      </c>
      <c r="J24" s="156">
        <v>0</v>
      </c>
      <c r="K24" s="156">
        <v>0</v>
      </c>
      <c r="L24" s="156">
        <v>0</v>
      </c>
      <c r="M24" s="156">
        <v>0</v>
      </c>
      <c r="N24" s="156">
        <v>0</v>
      </c>
      <c r="O24" s="156">
        <v>0</v>
      </c>
      <c r="P24" s="52">
        <v>0</v>
      </c>
      <c r="Q24" s="52">
        <v>0</v>
      </c>
      <c r="R24" s="52">
        <v>0.29696000000330969</v>
      </c>
      <c r="S24" s="52">
        <v>0.25497600000016973</v>
      </c>
      <c r="T24" s="52">
        <v>0.28262400000312482</v>
      </c>
      <c r="U24" s="52">
        <v>1.944000000000301E-2</v>
      </c>
      <c r="V24" s="52">
        <v>6.5519999999992251E-3</v>
      </c>
      <c r="W24" s="52">
        <v>7.9500000000010118E-4</v>
      </c>
      <c r="X24" s="52">
        <v>2.3550000000014393E-3</v>
      </c>
      <c r="Y24" s="52">
        <v>0</v>
      </c>
      <c r="Z24" s="52">
        <v>1.2799999999995038E-3</v>
      </c>
      <c r="AA24" s="52">
        <v>4.0079999999989013E-3</v>
      </c>
      <c r="AB24" s="52">
        <v>6.0339999999996508E-3</v>
      </c>
      <c r="AC24" s="52">
        <v>7.0160000000001332E-3</v>
      </c>
      <c r="AD24" s="52">
        <v>1.3839999999998298E-3</v>
      </c>
      <c r="AE24" s="52">
        <v>9.0500000000037772E-4</v>
      </c>
      <c r="AF24" s="52">
        <v>0</v>
      </c>
      <c r="AG24" s="52">
        <v>2.9969999999996944E-3</v>
      </c>
      <c r="AH24" s="52">
        <v>6.9312000000024909E-2</v>
      </c>
      <c r="AI24" s="52">
        <v>0</v>
      </c>
      <c r="AJ24" s="52">
        <v>6.4400000000031099E-4</v>
      </c>
      <c r="AK24" s="52">
        <v>0</v>
      </c>
      <c r="AL24" s="52">
        <v>7.0785312500000197E-3</v>
      </c>
      <c r="AM24" s="52">
        <v>2.0672000000004687E-2</v>
      </c>
      <c r="AN24" s="52">
        <v>1.5439999999998122E-2</v>
      </c>
      <c r="AO24" s="52">
        <v>5.0120000000006826E-3</v>
      </c>
      <c r="AP24" s="52">
        <v>3.3600000000006958E-3</v>
      </c>
      <c r="AQ24" s="52">
        <v>1.3620000000003074E-2</v>
      </c>
      <c r="AR24" s="52">
        <v>0.1613439999999855</v>
      </c>
      <c r="AS24" s="52">
        <v>6.0000000000393072E-5</v>
      </c>
      <c r="AT24" s="52">
        <v>0</v>
      </c>
      <c r="AU24" s="52">
        <v>2.3959999999974002E-3</v>
      </c>
      <c r="AV24" s="52">
        <v>5.7200000000001694E-4</v>
      </c>
      <c r="AW24" s="52">
        <v>3.8016000000084205E-2</v>
      </c>
      <c r="AX24" s="52">
        <v>0</v>
      </c>
      <c r="AY24" s="52">
        <v>3.0909999999995108E-3</v>
      </c>
      <c r="AZ24" s="52">
        <v>0</v>
      </c>
      <c r="BA24" s="52">
        <v>0</v>
      </c>
      <c r="BB24" s="52">
        <v>0</v>
      </c>
      <c r="BC24" s="52">
        <v>0</v>
      </c>
      <c r="BD24" s="52">
        <v>1.0117968749999429E-4</v>
      </c>
      <c r="BE24" s="52">
        <v>5.0199999999982481E-3</v>
      </c>
      <c r="BF24" s="52">
        <v>0</v>
      </c>
      <c r="BG24" s="52">
        <v>4.3999999999932982E-4</v>
      </c>
      <c r="BH24" s="52">
        <v>2.2559999999991476E-3</v>
      </c>
      <c r="BI24" s="52">
        <v>9.88479999999754E-2</v>
      </c>
      <c r="BJ24" s="52">
        <v>0</v>
      </c>
      <c r="BK24" s="52">
        <v>1.4755000000006291E-3</v>
      </c>
      <c r="BL24" s="52">
        <v>0</v>
      </c>
      <c r="BM24" s="52">
        <v>0.10147200000000112</v>
      </c>
      <c r="BN24" s="52">
        <v>0</v>
      </c>
      <c r="BO24" s="52">
        <v>1.6040000000003829E-3</v>
      </c>
      <c r="BP24" s="52">
        <v>0</v>
      </c>
      <c r="BQ24" s="52">
        <v>0</v>
      </c>
      <c r="BR24" s="52">
        <v>0</v>
      </c>
      <c r="BS24" s="52">
        <v>0</v>
      </c>
      <c r="BT24" s="52">
        <v>1.1299999999998533E-2</v>
      </c>
      <c r="BU24" s="52">
        <v>0</v>
      </c>
      <c r="BV24" s="52">
        <v>0</v>
      </c>
      <c r="BW24" s="52">
        <v>0</v>
      </c>
      <c r="BX24" s="52">
        <v>0</v>
      </c>
      <c r="BY24" s="52">
        <v>0</v>
      </c>
      <c r="BZ24" s="52">
        <v>5.8160000000000878E-2</v>
      </c>
      <c r="CA24" s="52">
        <v>1.7924624999999916E-2</v>
      </c>
      <c r="CB24" s="52">
        <v>0</v>
      </c>
      <c r="CC24" s="52">
        <v>0</v>
      </c>
      <c r="CD24" s="52">
        <v>0</v>
      </c>
      <c r="CE24" s="52">
        <v>0</v>
      </c>
      <c r="CF24" s="52">
        <v>8.9100000000108537E-4</v>
      </c>
      <c r="CG24" s="52">
        <v>0</v>
      </c>
      <c r="CH24" s="52">
        <v>6.2924999999980358E-4</v>
      </c>
      <c r="CI24" s="52">
        <v>0</v>
      </c>
      <c r="CJ24" s="52">
        <v>0</v>
      </c>
      <c r="CK24" s="52">
        <v>0</v>
      </c>
      <c r="CL24" s="52">
        <v>6.199999999978445E-5</v>
      </c>
      <c r="CM24" s="52">
        <v>0.12876799999980904</v>
      </c>
      <c r="CN24" s="52">
        <v>2.5429999999992958E-3</v>
      </c>
      <c r="CO24" s="52">
        <v>1.7135999999993601E-2</v>
      </c>
      <c r="CP24" s="52">
        <v>0</v>
      </c>
      <c r="CQ24" s="52">
        <v>0</v>
      </c>
      <c r="CR24" s="52">
        <v>4.655000000001408E-3</v>
      </c>
      <c r="CS24" s="52">
        <v>0</v>
      </c>
      <c r="CT24" s="52">
        <v>1.6000000000815362E-4</v>
      </c>
      <c r="CU24" s="52">
        <v>0</v>
      </c>
      <c r="CV24" s="52">
        <v>0</v>
      </c>
      <c r="CW24" s="52">
        <v>0</v>
      </c>
      <c r="CX24" s="52">
        <v>0</v>
      </c>
      <c r="CY24" s="52">
        <v>6.5899999999996517E-4</v>
      </c>
      <c r="CZ24" s="52">
        <v>4.9024999999991437E-4</v>
      </c>
      <c r="DA24" s="52">
        <v>1.1603999999998393E-2</v>
      </c>
      <c r="DB24" s="52">
        <v>3.3820000000019945E-3</v>
      </c>
      <c r="DC24" s="52">
        <v>7.9374999999999307E-3</v>
      </c>
      <c r="DD24" s="52">
        <v>1.1997499999998329E-3</v>
      </c>
      <c r="DE24" s="52">
        <v>0</v>
      </c>
      <c r="DF24" s="52">
        <v>0</v>
      </c>
      <c r="DG24" s="52">
        <v>0</v>
      </c>
      <c r="DH24" s="52">
        <v>1.1584999999998402E-3</v>
      </c>
      <c r="DI24" s="52">
        <v>0.14982399999996687</v>
      </c>
      <c r="DJ24" s="52">
        <v>0</v>
      </c>
      <c r="DK24" s="52">
        <v>2.7679999999996596E-3</v>
      </c>
      <c r="DL24" s="52">
        <v>5.0184375000000836E-4</v>
      </c>
      <c r="DM24" s="52">
        <v>1.0240000000010241E-3</v>
      </c>
      <c r="DN24" s="52">
        <v>0</v>
      </c>
      <c r="DO24" s="52">
        <v>3.4080000000074051E-3</v>
      </c>
      <c r="DP24" s="52">
        <v>7.2049999999990177E-4</v>
      </c>
      <c r="DQ24" s="52">
        <v>0</v>
      </c>
      <c r="DR24" s="52">
        <v>0</v>
      </c>
      <c r="DS24" s="52">
        <v>5.046399999997675E-2</v>
      </c>
      <c r="DT24" s="52">
        <v>1.1110999999999649E-2</v>
      </c>
      <c r="DU24" s="52">
        <v>0</v>
      </c>
      <c r="DV24" s="52">
        <v>2.9624999999988688E-4</v>
      </c>
      <c r="DW24" s="52">
        <v>0</v>
      </c>
      <c r="DX24" s="52">
        <v>3.5749999999996618E-3</v>
      </c>
      <c r="DY24" s="52">
        <v>2.0856249999989807E-4</v>
      </c>
      <c r="DZ24" s="52">
        <v>4.4760000000003686E-3</v>
      </c>
      <c r="EA24" s="52">
        <v>0</v>
      </c>
      <c r="EB24" s="52">
        <v>3.7375999999994747E-2</v>
      </c>
      <c r="EC24" s="52">
        <v>3.1999999999982265E-2</v>
      </c>
      <c r="ED24" s="52">
        <v>2.6049999999999685E-4</v>
      </c>
      <c r="EE24" s="52">
        <v>7.4480000000001212E-3</v>
      </c>
      <c r="EF24" s="52">
        <v>0.26195999999981723</v>
      </c>
      <c r="EG24" s="52">
        <v>0</v>
      </c>
      <c r="EH24" s="52">
        <v>7.4879999999666325E-3</v>
      </c>
      <c r="EI24" s="52">
        <v>1.9519999999943138E-2</v>
      </c>
      <c r="EJ24" s="52">
        <v>0</v>
      </c>
      <c r="EK24" s="52">
        <v>0</v>
      </c>
      <c r="EL24" s="52">
        <v>0</v>
      </c>
      <c r="EM24" s="52">
        <v>0.13823999999976877</v>
      </c>
      <c r="EN24" s="52">
        <v>0</v>
      </c>
      <c r="EO24" s="52">
        <v>7.6799999999366264E-4</v>
      </c>
      <c r="EP24" s="52">
        <v>0</v>
      </c>
      <c r="EQ24" s="52">
        <v>0</v>
      </c>
      <c r="ER24" s="52">
        <v>9.4692999999992367E-2</v>
      </c>
      <c r="ES24" s="52">
        <v>0</v>
      </c>
      <c r="ET24" s="52">
        <v>0</v>
      </c>
      <c r="EU24" s="52">
        <v>0</v>
      </c>
      <c r="EV24" s="52">
        <v>0</v>
      </c>
      <c r="EW24" s="52">
        <v>0</v>
      </c>
      <c r="EX24" s="52">
        <v>0</v>
      </c>
      <c r="EY24" s="52">
        <v>0</v>
      </c>
      <c r="EZ24" s="52">
        <v>0</v>
      </c>
      <c r="FA24" s="52">
        <v>0</v>
      </c>
      <c r="FB24" s="52">
        <v>0</v>
      </c>
      <c r="FC24" s="52">
        <v>0</v>
      </c>
      <c r="FD24" s="52">
        <v>0</v>
      </c>
      <c r="FE24" s="52">
        <v>0</v>
      </c>
      <c r="FF24" s="52">
        <v>0</v>
      </c>
      <c r="FG24" s="52">
        <v>0</v>
      </c>
      <c r="FH24" s="52">
        <v>0</v>
      </c>
      <c r="FI24" s="52">
        <v>0</v>
      </c>
      <c r="FJ24" s="52">
        <v>0</v>
      </c>
      <c r="FK24" s="52">
        <v>0</v>
      </c>
      <c r="FL24" s="52">
        <v>0</v>
      </c>
      <c r="FM24" s="52">
        <v>0</v>
      </c>
      <c r="FN24" s="52">
        <v>0</v>
      </c>
      <c r="FO24" s="52">
        <v>0</v>
      </c>
      <c r="FP24" s="52">
        <v>0</v>
      </c>
      <c r="FQ24" s="52">
        <v>0</v>
      </c>
      <c r="FR24" s="52">
        <v>0</v>
      </c>
      <c r="FS24" s="52">
        <v>0</v>
      </c>
      <c r="FT24" s="52">
        <v>0</v>
      </c>
      <c r="FU24" s="52">
        <v>0</v>
      </c>
      <c r="FV24" s="52">
        <v>0</v>
      </c>
      <c r="FW24" s="52">
        <v>0</v>
      </c>
      <c r="FX24" s="52">
        <v>0</v>
      </c>
      <c r="FY24" s="52">
        <v>0</v>
      </c>
      <c r="FZ24" s="52">
        <v>0</v>
      </c>
      <c r="GA24" s="52">
        <v>0</v>
      </c>
      <c r="GB24" s="52">
        <v>0</v>
      </c>
      <c r="GC24" s="52">
        <v>0</v>
      </c>
      <c r="GD24" s="52">
        <v>0</v>
      </c>
      <c r="GE24" s="52">
        <v>0</v>
      </c>
      <c r="GF24" s="52">
        <v>0</v>
      </c>
      <c r="GG24" s="52">
        <v>0</v>
      </c>
      <c r="GH24" s="52">
        <v>0</v>
      </c>
      <c r="GI24" s="52">
        <v>0</v>
      </c>
      <c r="GJ24" s="52">
        <v>0</v>
      </c>
      <c r="GK24" s="52">
        <v>0</v>
      </c>
      <c r="GL24" s="52">
        <v>0</v>
      </c>
      <c r="GM24" s="52">
        <v>0</v>
      </c>
      <c r="GN24" s="52">
        <v>0</v>
      </c>
      <c r="GO24" s="52">
        <v>0</v>
      </c>
      <c r="GP24" s="52">
        <v>0</v>
      </c>
      <c r="GQ24" s="52">
        <v>0</v>
      </c>
      <c r="GR24" s="52">
        <v>0</v>
      </c>
      <c r="GS24" s="52">
        <v>0</v>
      </c>
    </row>
    <row r="25" spans="1:201" ht="17.25" customHeight="1" x14ac:dyDescent="0.3">
      <c r="A25" s="155" t="s">
        <v>44</v>
      </c>
      <c r="B25" s="156">
        <v>858.75</v>
      </c>
      <c r="C25" s="156">
        <v>0</v>
      </c>
      <c r="D25" s="156">
        <v>0.30866099999991548</v>
      </c>
      <c r="E25" s="156">
        <v>0.26171999999996842</v>
      </c>
      <c r="F25" s="156">
        <v>0.26794599999999491</v>
      </c>
      <c r="G25" s="156">
        <v>0</v>
      </c>
      <c r="H25" s="156">
        <v>0</v>
      </c>
      <c r="I25" s="156">
        <v>0</v>
      </c>
      <c r="J25" s="156">
        <v>0</v>
      </c>
      <c r="K25" s="156">
        <v>0</v>
      </c>
      <c r="L25" s="156">
        <v>0</v>
      </c>
      <c r="M25" s="156">
        <v>0</v>
      </c>
      <c r="N25" s="156">
        <v>0</v>
      </c>
      <c r="O25" s="156">
        <v>0</v>
      </c>
      <c r="P25" s="52">
        <v>0</v>
      </c>
      <c r="Q25" s="52">
        <v>0</v>
      </c>
      <c r="R25" s="52">
        <v>0.29695999999967171</v>
      </c>
      <c r="S25" s="52">
        <v>0.2539520000000266</v>
      </c>
      <c r="T25" s="52">
        <v>0.29081599999699392</v>
      </c>
      <c r="U25" s="52">
        <v>2.0088000000001216E-2</v>
      </c>
      <c r="V25" s="52">
        <v>6.3359999999974548E-3</v>
      </c>
      <c r="W25" s="52">
        <v>7.839999999994518E-4</v>
      </c>
      <c r="X25" s="52">
        <v>2.3809999999997444E-3</v>
      </c>
      <c r="Y25" s="52">
        <v>0</v>
      </c>
      <c r="Z25" s="52">
        <v>1.8270000000004671E-3</v>
      </c>
      <c r="AA25" s="52">
        <v>3.4400000000012199E-3</v>
      </c>
      <c r="AB25" s="52">
        <v>6.1459999999975423E-3</v>
      </c>
      <c r="AC25" s="52">
        <v>6.7920000000007974E-3</v>
      </c>
      <c r="AD25" s="52">
        <v>1.4570000000002636E-3</v>
      </c>
      <c r="AE25" s="52">
        <v>8.960000000000079E-4</v>
      </c>
      <c r="AF25" s="52">
        <v>0</v>
      </c>
      <c r="AG25" s="52">
        <v>2.8969999999999274E-3</v>
      </c>
      <c r="AH25" s="52">
        <v>7.1008000000006177E-2</v>
      </c>
      <c r="AI25" s="52">
        <v>0</v>
      </c>
      <c r="AJ25" s="52">
        <v>6.3049999999975626E-4</v>
      </c>
      <c r="AK25" s="52">
        <v>0</v>
      </c>
      <c r="AL25" s="52">
        <v>8.0896562499999658E-3</v>
      </c>
      <c r="AM25" s="52">
        <v>2.1247999999999934E-2</v>
      </c>
      <c r="AN25" s="52">
        <v>1.5463999999994371E-2</v>
      </c>
      <c r="AO25" s="52">
        <v>5.1520000000024879E-3</v>
      </c>
      <c r="AP25" s="52">
        <v>3.3460000000005152E-3</v>
      </c>
      <c r="AQ25" s="52">
        <v>1.3615999999998962E-2</v>
      </c>
      <c r="AR25" s="52">
        <v>0.15731200000004719</v>
      </c>
      <c r="AS25" s="52">
        <v>6.0999999999644672E-5</v>
      </c>
      <c r="AT25" s="52">
        <v>0</v>
      </c>
      <c r="AU25" s="52">
        <v>2.0039999999994507E-3</v>
      </c>
      <c r="AV25" s="52">
        <v>5.1250000000013785E-4</v>
      </c>
      <c r="AW25" s="52">
        <v>3.8591999999994187E-2</v>
      </c>
      <c r="AX25" s="52">
        <v>0</v>
      </c>
      <c r="AY25" s="52">
        <v>2.8595000000004589E-3</v>
      </c>
      <c r="AZ25" s="52">
        <v>0</v>
      </c>
      <c r="BA25" s="52">
        <v>0</v>
      </c>
      <c r="BB25" s="52">
        <v>0</v>
      </c>
      <c r="BC25" s="52">
        <v>0</v>
      </c>
      <c r="BD25" s="52">
        <v>1.1030468750000688E-4</v>
      </c>
      <c r="BE25" s="52">
        <v>4.8600000000007526E-3</v>
      </c>
      <c r="BF25" s="52">
        <v>0</v>
      </c>
      <c r="BG25" s="52">
        <v>4.3300000000101591E-4</v>
      </c>
      <c r="BH25" s="52">
        <v>0</v>
      </c>
      <c r="BI25" s="52">
        <v>9.8912000000041189E-2</v>
      </c>
      <c r="BJ25" s="52">
        <v>0</v>
      </c>
      <c r="BK25" s="52">
        <v>1.458999999999655E-3</v>
      </c>
      <c r="BL25" s="52">
        <v>0</v>
      </c>
      <c r="BM25" s="52">
        <v>8.6496000000011009E-2</v>
      </c>
      <c r="BN25" s="52">
        <v>0</v>
      </c>
      <c r="BO25" s="52">
        <v>1.6439999999988686E-3</v>
      </c>
      <c r="BP25" s="52">
        <v>0</v>
      </c>
      <c r="BQ25" s="52">
        <v>0</v>
      </c>
      <c r="BR25" s="52">
        <v>0</v>
      </c>
      <c r="BS25" s="52">
        <v>0</v>
      </c>
      <c r="BT25" s="52">
        <v>1.1456000000002575E-2</v>
      </c>
      <c r="BU25" s="52">
        <v>0</v>
      </c>
      <c r="BV25" s="52">
        <v>0</v>
      </c>
      <c r="BW25" s="52">
        <v>0</v>
      </c>
      <c r="BX25" s="52">
        <v>0</v>
      </c>
      <c r="BY25" s="52">
        <v>0</v>
      </c>
      <c r="BZ25" s="52">
        <v>4.6520000000001005E-2</v>
      </c>
      <c r="CA25" s="52">
        <v>1.9332500000000086E-2</v>
      </c>
      <c r="CB25" s="52">
        <v>0</v>
      </c>
      <c r="CC25" s="52">
        <v>0</v>
      </c>
      <c r="CD25" s="52">
        <v>0</v>
      </c>
      <c r="CE25" s="52">
        <v>0</v>
      </c>
      <c r="CF25" s="52">
        <v>6.829999999986569E-4</v>
      </c>
      <c r="CG25" s="52">
        <v>0</v>
      </c>
      <c r="CH25" s="52">
        <v>6.2950000000006057E-4</v>
      </c>
      <c r="CI25" s="52">
        <v>0</v>
      </c>
      <c r="CJ25" s="52">
        <v>0</v>
      </c>
      <c r="CK25" s="52">
        <v>0</v>
      </c>
      <c r="CL25" s="52">
        <v>0</v>
      </c>
      <c r="CM25" s="52">
        <v>0.13196800000014264</v>
      </c>
      <c r="CN25" s="52">
        <v>2.5390000000005131E-3</v>
      </c>
      <c r="CO25" s="52">
        <v>1.7464000000003921E-2</v>
      </c>
      <c r="CP25" s="52">
        <v>0</v>
      </c>
      <c r="CQ25" s="52">
        <v>0</v>
      </c>
      <c r="CR25" s="52">
        <v>5.3879999999999484E-3</v>
      </c>
      <c r="CS25" s="52">
        <v>0</v>
      </c>
      <c r="CT25" s="52">
        <v>1.5199999999992997E-4</v>
      </c>
      <c r="CU25" s="52">
        <v>0</v>
      </c>
      <c r="CV25" s="52">
        <v>0</v>
      </c>
      <c r="CW25" s="52">
        <v>0</v>
      </c>
      <c r="CX25" s="52">
        <v>0</v>
      </c>
      <c r="CY25" s="52">
        <v>6.6600000000005544E-4</v>
      </c>
      <c r="CZ25" s="52">
        <v>4.9874999999977021E-4</v>
      </c>
      <c r="DA25" s="52">
        <v>1.1588000000003262E-2</v>
      </c>
      <c r="DB25" s="52">
        <v>3.7439999999975271E-3</v>
      </c>
      <c r="DC25" s="52">
        <v>7.9751249999999718E-3</v>
      </c>
      <c r="DD25" s="52">
        <v>1.2052500000001576E-3</v>
      </c>
      <c r="DE25" s="52">
        <v>0</v>
      </c>
      <c r="DF25" s="52">
        <v>0</v>
      </c>
      <c r="DG25" s="52">
        <v>0</v>
      </c>
      <c r="DH25" s="52">
        <v>1.1775000000007196E-3</v>
      </c>
      <c r="DI25" s="52">
        <v>0.16006400000003396</v>
      </c>
      <c r="DJ25" s="52">
        <v>0</v>
      </c>
      <c r="DK25" s="52">
        <v>2.8119999999987044E-3</v>
      </c>
      <c r="DL25" s="52">
        <v>4.9453124999998543E-4</v>
      </c>
      <c r="DM25" s="52">
        <v>9.6399999999974284E-4</v>
      </c>
      <c r="DN25" s="52">
        <v>0</v>
      </c>
      <c r="DO25" s="52">
        <v>3.4239999999954307E-3</v>
      </c>
      <c r="DP25" s="52">
        <v>5.6250000000090949E-4</v>
      </c>
      <c r="DQ25" s="52">
        <v>0</v>
      </c>
      <c r="DR25" s="52">
        <v>0</v>
      </c>
      <c r="DS25" s="52">
        <v>5.8176000000003114E-2</v>
      </c>
      <c r="DT25" s="52">
        <v>1.167349999999967E-2</v>
      </c>
      <c r="DU25" s="52">
        <v>0</v>
      </c>
      <c r="DV25" s="52">
        <v>2.9749999999983956E-4</v>
      </c>
      <c r="DW25" s="52">
        <v>0</v>
      </c>
      <c r="DX25" s="52">
        <v>3.5380000000007072E-3</v>
      </c>
      <c r="DY25" s="52">
        <v>2.0900000000001473E-4</v>
      </c>
      <c r="DZ25" s="52">
        <v>4.7779999999981726E-3</v>
      </c>
      <c r="EA25" s="52">
        <v>0</v>
      </c>
      <c r="EB25" s="52">
        <v>4.0495999999990318E-2</v>
      </c>
      <c r="EC25" s="52">
        <v>3.3168000000017628E-2</v>
      </c>
      <c r="ED25" s="52">
        <v>2.6499999999973767E-4</v>
      </c>
      <c r="EE25" s="52">
        <v>8.6549999999991911E-3</v>
      </c>
      <c r="EF25" s="52">
        <v>0.26570700000047509</v>
      </c>
      <c r="EG25" s="52">
        <v>0</v>
      </c>
      <c r="EH25" s="52">
        <v>6.784000000038759E-3</v>
      </c>
      <c r="EI25" s="52">
        <v>1.8624000000045271E-2</v>
      </c>
      <c r="EJ25" s="52">
        <v>0</v>
      </c>
      <c r="EK25" s="52">
        <v>0</v>
      </c>
      <c r="EL25" s="52">
        <v>0</v>
      </c>
      <c r="EM25" s="52">
        <v>0.14131200000019817</v>
      </c>
      <c r="EN25" s="52">
        <v>0</v>
      </c>
      <c r="EO25" s="52">
        <v>7.6799999999366264E-4</v>
      </c>
      <c r="EP25" s="52">
        <v>0</v>
      </c>
      <c r="EQ25" s="52">
        <v>0</v>
      </c>
      <c r="ER25" s="52">
        <v>9.7102000000006683E-2</v>
      </c>
      <c r="ES25" s="52">
        <v>0</v>
      </c>
      <c r="ET25" s="52">
        <v>0</v>
      </c>
      <c r="EU25" s="52">
        <v>0</v>
      </c>
      <c r="EV25" s="52">
        <v>0</v>
      </c>
      <c r="EW25" s="52">
        <v>0</v>
      </c>
      <c r="EX25" s="52">
        <v>0</v>
      </c>
      <c r="EY25" s="52">
        <v>0</v>
      </c>
      <c r="EZ25" s="52">
        <v>0</v>
      </c>
      <c r="FA25" s="52">
        <v>0</v>
      </c>
      <c r="FB25" s="52">
        <v>0</v>
      </c>
      <c r="FC25" s="52">
        <v>0</v>
      </c>
      <c r="FD25" s="52">
        <v>0</v>
      </c>
      <c r="FE25" s="52">
        <v>0</v>
      </c>
      <c r="FF25" s="52">
        <v>0</v>
      </c>
      <c r="FG25" s="52">
        <v>0</v>
      </c>
      <c r="FH25" s="52">
        <v>0</v>
      </c>
      <c r="FI25" s="52">
        <v>0</v>
      </c>
      <c r="FJ25" s="52">
        <v>0</v>
      </c>
      <c r="FK25" s="52">
        <v>0</v>
      </c>
      <c r="FL25" s="52">
        <v>0</v>
      </c>
      <c r="FM25" s="52">
        <v>0</v>
      </c>
      <c r="FN25" s="52">
        <v>0</v>
      </c>
      <c r="FO25" s="52">
        <v>0</v>
      </c>
      <c r="FP25" s="52">
        <v>0</v>
      </c>
      <c r="FQ25" s="52">
        <v>0</v>
      </c>
      <c r="FR25" s="52">
        <v>0</v>
      </c>
      <c r="FS25" s="52">
        <v>0</v>
      </c>
      <c r="FT25" s="52">
        <v>0</v>
      </c>
      <c r="FU25" s="52">
        <v>0</v>
      </c>
      <c r="FV25" s="52">
        <v>0</v>
      </c>
      <c r="FW25" s="52">
        <v>0</v>
      </c>
      <c r="FX25" s="52">
        <v>0</v>
      </c>
      <c r="FY25" s="52">
        <v>0</v>
      </c>
      <c r="FZ25" s="52">
        <v>0</v>
      </c>
      <c r="GA25" s="52">
        <v>0</v>
      </c>
      <c r="GB25" s="52">
        <v>0</v>
      </c>
      <c r="GC25" s="52">
        <v>0</v>
      </c>
      <c r="GD25" s="52">
        <v>0</v>
      </c>
      <c r="GE25" s="52">
        <v>0</v>
      </c>
      <c r="GF25" s="52">
        <v>0</v>
      </c>
      <c r="GG25" s="52">
        <v>0</v>
      </c>
      <c r="GH25" s="52">
        <v>0</v>
      </c>
      <c r="GI25" s="52">
        <v>0</v>
      </c>
      <c r="GJ25" s="52">
        <v>0</v>
      </c>
      <c r="GK25" s="52">
        <v>0</v>
      </c>
      <c r="GL25" s="52">
        <v>0</v>
      </c>
      <c r="GM25" s="52">
        <v>0</v>
      </c>
      <c r="GN25" s="52">
        <v>0</v>
      </c>
      <c r="GO25" s="52">
        <v>0</v>
      </c>
      <c r="GP25" s="52">
        <v>0</v>
      </c>
      <c r="GQ25" s="52">
        <v>0</v>
      </c>
      <c r="GR25" s="52">
        <v>0</v>
      </c>
      <c r="GS25" s="52">
        <v>0</v>
      </c>
    </row>
    <row r="26" spans="1:201" ht="17.25" customHeight="1" x14ac:dyDescent="0.3">
      <c r="A26" s="155" t="s">
        <v>45</v>
      </c>
      <c r="B26" s="156">
        <v>831.875</v>
      </c>
      <c r="C26" s="156">
        <v>0</v>
      </c>
      <c r="D26" s="156">
        <v>0.29946400000005724</v>
      </c>
      <c r="E26" s="156">
        <v>0.25449300000002495</v>
      </c>
      <c r="F26" s="156">
        <v>0.28437999999999874</v>
      </c>
      <c r="G26" s="156">
        <v>0</v>
      </c>
      <c r="H26" s="156">
        <v>0</v>
      </c>
      <c r="I26" s="156">
        <v>0</v>
      </c>
      <c r="J26" s="156">
        <v>0</v>
      </c>
      <c r="K26" s="156">
        <v>0</v>
      </c>
      <c r="L26" s="156">
        <v>0</v>
      </c>
      <c r="M26" s="156">
        <v>0</v>
      </c>
      <c r="N26" s="156">
        <v>0</v>
      </c>
      <c r="O26" s="156">
        <v>0</v>
      </c>
      <c r="P26" s="52">
        <v>0</v>
      </c>
      <c r="Q26" s="52">
        <v>0</v>
      </c>
      <c r="R26" s="52">
        <v>0.29081599999699392</v>
      </c>
      <c r="S26" s="52">
        <v>0.24268800000027113</v>
      </c>
      <c r="T26" s="52">
        <v>0.27648000000044703</v>
      </c>
      <c r="U26" s="52">
        <v>1.8567999999987705E-2</v>
      </c>
      <c r="V26" s="52">
        <v>6.2260000000051718E-3</v>
      </c>
      <c r="W26" s="52">
        <v>5.0000000000061107E-4</v>
      </c>
      <c r="X26" s="52">
        <v>2.4449999999998084E-3</v>
      </c>
      <c r="Y26" s="52">
        <v>0</v>
      </c>
      <c r="Z26" s="52">
        <v>2.3800000000004928E-3</v>
      </c>
      <c r="AA26" s="52">
        <v>3.0639999999984013E-3</v>
      </c>
      <c r="AB26" s="52">
        <v>5.914000000000641E-3</v>
      </c>
      <c r="AC26" s="52">
        <v>6.7659999999989395E-3</v>
      </c>
      <c r="AD26" s="52">
        <v>1.7060000000004294E-3</v>
      </c>
      <c r="AE26" s="52">
        <v>8.8799999999977786E-4</v>
      </c>
      <c r="AF26" s="52">
        <v>0</v>
      </c>
      <c r="AG26" s="52">
        <v>2.4615000000007825E-3</v>
      </c>
      <c r="AH26" s="52">
        <v>6.5247999999996864E-2</v>
      </c>
      <c r="AI26" s="52">
        <v>0</v>
      </c>
      <c r="AJ26" s="52">
        <v>6.0750000000009408E-4</v>
      </c>
      <c r="AK26" s="52">
        <v>0</v>
      </c>
      <c r="AL26" s="52">
        <v>5.7248437500000415E-3</v>
      </c>
      <c r="AM26" s="52">
        <v>2.0296000000001868E-2</v>
      </c>
      <c r="AN26" s="52">
        <v>1.5072000000003527E-2</v>
      </c>
      <c r="AO26" s="52">
        <v>5.1719999999946253E-3</v>
      </c>
      <c r="AP26" s="52">
        <v>3.3019999999979177E-3</v>
      </c>
      <c r="AQ26" s="52">
        <v>1.310399999999845E-2</v>
      </c>
      <c r="AR26" s="52">
        <v>0.15475199999991673</v>
      </c>
      <c r="AS26" s="52">
        <v>6.0000000000393072E-5</v>
      </c>
      <c r="AT26" s="52">
        <v>0</v>
      </c>
      <c r="AU26" s="52">
        <v>1.948000000005834E-3</v>
      </c>
      <c r="AV26" s="52">
        <v>5.959999999998189E-4</v>
      </c>
      <c r="AW26" s="52">
        <v>3.8143999999988409E-2</v>
      </c>
      <c r="AX26" s="52">
        <v>0</v>
      </c>
      <c r="AY26" s="52">
        <v>2.9620000000001312E-3</v>
      </c>
      <c r="AZ26" s="52">
        <v>0</v>
      </c>
      <c r="BA26" s="52">
        <v>0</v>
      </c>
      <c r="BB26" s="52">
        <v>0</v>
      </c>
      <c r="BC26" s="52">
        <v>0</v>
      </c>
      <c r="BD26" s="52">
        <v>1.0033593750000125E-4</v>
      </c>
      <c r="BE26" s="52">
        <v>4.8640000000013117E-3</v>
      </c>
      <c r="BF26" s="52">
        <v>0</v>
      </c>
      <c r="BG26" s="52">
        <v>4.4299999999886097E-4</v>
      </c>
      <c r="BH26" s="52">
        <v>0</v>
      </c>
      <c r="BI26" s="52">
        <v>9.5743999999967855E-2</v>
      </c>
      <c r="BJ26" s="52">
        <v>0</v>
      </c>
      <c r="BK26" s="52">
        <v>1.472000000000584E-3</v>
      </c>
      <c r="BL26" s="52">
        <v>0</v>
      </c>
      <c r="BM26" s="52">
        <v>8.3808000000033189E-2</v>
      </c>
      <c r="BN26" s="52">
        <v>0</v>
      </c>
      <c r="BO26" s="52">
        <v>1.6099999999994452E-3</v>
      </c>
      <c r="BP26" s="52">
        <v>0</v>
      </c>
      <c r="BQ26" s="52">
        <v>0</v>
      </c>
      <c r="BR26" s="52">
        <v>0</v>
      </c>
      <c r="BS26" s="52">
        <v>0</v>
      </c>
      <c r="BT26" s="52">
        <v>1.1371999999994387E-2</v>
      </c>
      <c r="BU26" s="52">
        <v>0</v>
      </c>
      <c r="BV26" s="52">
        <v>0</v>
      </c>
      <c r="BW26" s="52">
        <v>0</v>
      </c>
      <c r="BX26" s="52">
        <v>0</v>
      </c>
      <c r="BY26" s="52">
        <v>0</v>
      </c>
      <c r="BZ26" s="52">
        <v>4.8215999999996484E-2</v>
      </c>
      <c r="CA26" s="52">
        <v>1.395706249999995E-2</v>
      </c>
      <c r="CB26" s="52">
        <v>0</v>
      </c>
      <c r="CC26" s="52">
        <v>0</v>
      </c>
      <c r="CD26" s="52">
        <v>0</v>
      </c>
      <c r="CE26" s="52">
        <v>0</v>
      </c>
      <c r="CF26" s="52">
        <v>6.3200000000129819E-4</v>
      </c>
      <c r="CG26" s="52">
        <v>0</v>
      </c>
      <c r="CH26" s="52">
        <v>6.3925000000031318E-4</v>
      </c>
      <c r="CI26" s="52">
        <v>0</v>
      </c>
      <c r="CJ26" s="52">
        <v>0</v>
      </c>
      <c r="CK26" s="52">
        <v>0</v>
      </c>
      <c r="CL26" s="52">
        <v>4.5799999999829311E-4</v>
      </c>
      <c r="CM26" s="52">
        <v>0.13184000000001106</v>
      </c>
      <c r="CN26" s="52">
        <v>2.5449999999995754E-3</v>
      </c>
      <c r="CO26" s="52">
        <v>1.7511999999996419E-2</v>
      </c>
      <c r="CP26" s="52">
        <v>0</v>
      </c>
      <c r="CQ26" s="52">
        <v>0</v>
      </c>
      <c r="CR26" s="52">
        <v>5.8949999999988734E-3</v>
      </c>
      <c r="CS26" s="52">
        <v>0</v>
      </c>
      <c r="CT26" s="52">
        <v>1.2559999999979254E-3</v>
      </c>
      <c r="CU26" s="52">
        <v>0</v>
      </c>
      <c r="CV26" s="52">
        <v>0</v>
      </c>
      <c r="CW26" s="52">
        <v>0</v>
      </c>
      <c r="CX26" s="52">
        <v>0</v>
      </c>
      <c r="CY26" s="52">
        <v>6.5899999999996517E-4</v>
      </c>
      <c r="CZ26" s="52">
        <v>4.8925000000021868E-4</v>
      </c>
      <c r="DA26" s="52">
        <v>1.1411999999999978E-2</v>
      </c>
      <c r="DB26" s="52">
        <v>3.852000000001965E-3</v>
      </c>
      <c r="DC26" s="52">
        <v>7.9396250000001167E-3</v>
      </c>
      <c r="DD26" s="52">
        <v>1.2036250000000415E-3</v>
      </c>
      <c r="DE26" s="52">
        <v>0</v>
      </c>
      <c r="DF26" s="52">
        <v>0</v>
      </c>
      <c r="DG26" s="52">
        <v>0</v>
      </c>
      <c r="DH26" s="52">
        <v>1.1820000000000164E-3</v>
      </c>
      <c r="DI26" s="52">
        <v>0.13267199999995682</v>
      </c>
      <c r="DJ26" s="52">
        <v>0</v>
      </c>
      <c r="DK26" s="52">
        <v>2.7660000000011564E-3</v>
      </c>
      <c r="DL26" s="52">
        <v>5.0239062500001541E-4</v>
      </c>
      <c r="DM26" s="52">
        <v>9.7500000000039222E-4</v>
      </c>
      <c r="DN26" s="52">
        <v>0</v>
      </c>
      <c r="DO26" s="52">
        <v>3.4559999999999036E-3</v>
      </c>
      <c r="DP26" s="52">
        <v>6.8800000000024397E-4</v>
      </c>
      <c r="DQ26" s="52">
        <v>0</v>
      </c>
      <c r="DR26" s="52">
        <v>0</v>
      </c>
      <c r="DS26" s="52">
        <v>4.278399999998328E-2</v>
      </c>
      <c r="DT26" s="52">
        <v>1.0983000000000409E-2</v>
      </c>
      <c r="DU26" s="52">
        <v>0</v>
      </c>
      <c r="DV26" s="52">
        <v>2.9150000000033316E-4</v>
      </c>
      <c r="DW26" s="52">
        <v>0</v>
      </c>
      <c r="DX26" s="52">
        <v>3.5439999999997696E-3</v>
      </c>
      <c r="DY26" s="52">
        <v>2.0575000000000454E-4</v>
      </c>
      <c r="DZ26" s="52">
        <v>4.0960000000005437E-3</v>
      </c>
      <c r="EA26" s="52">
        <v>0</v>
      </c>
      <c r="EB26" s="52">
        <v>3.5120000000006257E-2</v>
      </c>
      <c r="EC26" s="52">
        <v>2.9215999999991027E-2</v>
      </c>
      <c r="ED26" s="52">
        <v>2.6474999999992477E-4</v>
      </c>
      <c r="EE26" s="52">
        <v>7.1360000000009194E-3</v>
      </c>
      <c r="EF26" s="52">
        <v>0.27086500000041269</v>
      </c>
      <c r="EG26" s="52">
        <v>0</v>
      </c>
      <c r="EH26" s="52">
        <v>9.2160000000376385E-3</v>
      </c>
      <c r="EI26" s="52">
        <v>1.721599999996215E-2</v>
      </c>
      <c r="EJ26" s="52">
        <v>0</v>
      </c>
      <c r="EK26" s="52">
        <v>0</v>
      </c>
      <c r="EL26" s="52">
        <v>0</v>
      </c>
      <c r="EM26" s="52">
        <v>0.14310399999976653</v>
      </c>
      <c r="EN26" s="52">
        <v>0</v>
      </c>
      <c r="EO26" s="52">
        <v>7.6799999999366264E-4</v>
      </c>
      <c r="EP26" s="52">
        <v>0</v>
      </c>
      <c r="EQ26" s="52">
        <v>0</v>
      </c>
      <c r="ER26" s="52">
        <v>9.9463999999983344E-2</v>
      </c>
      <c r="ES26" s="52">
        <v>0</v>
      </c>
      <c r="ET26" s="52">
        <v>0</v>
      </c>
      <c r="EU26" s="52">
        <v>0</v>
      </c>
      <c r="EV26" s="52">
        <v>0</v>
      </c>
      <c r="EW26" s="52">
        <v>0</v>
      </c>
      <c r="EX26" s="52">
        <v>0</v>
      </c>
      <c r="EY26" s="52">
        <v>0</v>
      </c>
      <c r="EZ26" s="52">
        <v>0</v>
      </c>
      <c r="FA26" s="52">
        <v>0</v>
      </c>
      <c r="FB26" s="52">
        <v>0</v>
      </c>
      <c r="FC26" s="52">
        <v>0</v>
      </c>
      <c r="FD26" s="52">
        <v>0</v>
      </c>
      <c r="FE26" s="52">
        <v>0</v>
      </c>
      <c r="FF26" s="52">
        <v>0</v>
      </c>
      <c r="FG26" s="52">
        <v>0</v>
      </c>
      <c r="FH26" s="52">
        <v>0</v>
      </c>
      <c r="FI26" s="52">
        <v>0</v>
      </c>
      <c r="FJ26" s="52">
        <v>0</v>
      </c>
      <c r="FK26" s="52">
        <v>0</v>
      </c>
      <c r="FL26" s="52">
        <v>0</v>
      </c>
      <c r="FM26" s="52">
        <v>0</v>
      </c>
      <c r="FN26" s="52">
        <v>0</v>
      </c>
      <c r="FO26" s="52">
        <v>0</v>
      </c>
      <c r="FP26" s="52">
        <v>0</v>
      </c>
      <c r="FQ26" s="52">
        <v>0</v>
      </c>
      <c r="FR26" s="52">
        <v>0</v>
      </c>
      <c r="FS26" s="52">
        <v>0</v>
      </c>
      <c r="FT26" s="52">
        <v>0</v>
      </c>
      <c r="FU26" s="52">
        <v>0</v>
      </c>
      <c r="FV26" s="52">
        <v>0</v>
      </c>
      <c r="FW26" s="52">
        <v>0</v>
      </c>
      <c r="FX26" s="52">
        <v>0</v>
      </c>
      <c r="FY26" s="52">
        <v>0</v>
      </c>
      <c r="FZ26" s="52">
        <v>0</v>
      </c>
      <c r="GA26" s="52">
        <v>0</v>
      </c>
      <c r="GB26" s="52">
        <v>0</v>
      </c>
      <c r="GC26" s="52">
        <v>0</v>
      </c>
      <c r="GD26" s="52">
        <v>0</v>
      </c>
      <c r="GE26" s="52">
        <v>0</v>
      </c>
      <c r="GF26" s="52">
        <v>0</v>
      </c>
      <c r="GG26" s="52">
        <v>0</v>
      </c>
      <c r="GH26" s="52">
        <v>0</v>
      </c>
      <c r="GI26" s="52">
        <v>0</v>
      </c>
      <c r="GJ26" s="52">
        <v>0</v>
      </c>
      <c r="GK26" s="52">
        <v>0</v>
      </c>
      <c r="GL26" s="52">
        <v>0</v>
      </c>
      <c r="GM26" s="52">
        <v>0</v>
      </c>
      <c r="GN26" s="52">
        <v>0</v>
      </c>
      <c r="GO26" s="52">
        <v>0</v>
      </c>
      <c r="GP26" s="52">
        <v>0</v>
      </c>
      <c r="GQ26" s="52">
        <v>0</v>
      </c>
      <c r="GR26" s="52">
        <v>0</v>
      </c>
      <c r="GS26" s="52">
        <v>0</v>
      </c>
    </row>
    <row r="27" spans="1:201" ht="17.25" customHeight="1" x14ac:dyDescent="0.3">
      <c r="A27" s="155" t="s">
        <v>46</v>
      </c>
      <c r="B27" s="156">
        <v>880.625</v>
      </c>
      <c r="C27" s="156">
        <v>0</v>
      </c>
      <c r="D27" s="156">
        <v>0.31636399999990772</v>
      </c>
      <c r="E27" s="156">
        <v>0.2681880000000092</v>
      </c>
      <c r="F27" s="156">
        <v>0.29737800000003745</v>
      </c>
      <c r="G27" s="156">
        <v>0</v>
      </c>
      <c r="H27" s="156">
        <v>0</v>
      </c>
      <c r="I27" s="156">
        <v>0</v>
      </c>
      <c r="J27" s="156">
        <v>0</v>
      </c>
      <c r="K27" s="156">
        <v>0</v>
      </c>
      <c r="L27" s="156">
        <v>0</v>
      </c>
      <c r="M27" s="156">
        <v>0</v>
      </c>
      <c r="N27" s="156">
        <v>0</v>
      </c>
      <c r="O27" s="156">
        <v>0</v>
      </c>
      <c r="P27" s="52">
        <v>0</v>
      </c>
      <c r="Q27" s="52">
        <v>0</v>
      </c>
      <c r="R27" s="52">
        <v>0.31334400000196183</v>
      </c>
      <c r="S27" s="52">
        <v>0.26112000000011903</v>
      </c>
      <c r="T27" s="52">
        <v>0.28876800000216463</v>
      </c>
      <c r="U27" s="52">
        <v>1.9472000000007483E-2</v>
      </c>
      <c r="V27" s="52">
        <v>6.6419999999993706E-3</v>
      </c>
      <c r="W27" s="52">
        <v>4.6199999999885222E-4</v>
      </c>
      <c r="X27" s="52">
        <v>2.3269999999993018E-3</v>
      </c>
      <c r="Y27" s="52">
        <v>0</v>
      </c>
      <c r="Z27" s="52">
        <v>2.3780000000002133E-3</v>
      </c>
      <c r="AA27" s="52">
        <v>3.1060000000024957E-3</v>
      </c>
      <c r="AB27" s="52">
        <v>5.9940000000011651E-3</v>
      </c>
      <c r="AC27" s="52">
        <v>6.5840000000001453E-3</v>
      </c>
      <c r="AD27" s="52">
        <v>1.3799999999992707E-3</v>
      </c>
      <c r="AE27" s="52">
        <v>8.955000000003821E-4</v>
      </c>
      <c r="AF27" s="52">
        <v>0</v>
      </c>
      <c r="AG27" s="52">
        <v>2.3839999999992756E-3</v>
      </c>
      <c r="AH27" s="52">
        <v>6.9279999999992015E-2</v>
      </c>
      <c r="AI27" s="52">
        <v>0</v>
      </c>
      <c r="AJ27" s="52">
        <v>6.0799999999971988E-4</v>
      </c>
      <c r="AK27" s="52">
        <v>0</v>
      </c>
      <c r="AL27" s="52">
        <v>7.9523437499999794E-3</v>
      </c>
      <c r="AM27" s="52">
        <v>1.9887999999994577E-2</v>
      </c>
      <c r="AN27" s="52">
        <v>1.5336000000004901E-2</v>
      </c>
      <c r="AO27" s="52">
        <v>4.9800000000033151E-3</v>
      </c>
      <c r="AP27" s="52">
        <v>3.3400000000014529E-3</v>
      </c>
      <c r="AQ27" s="52">
        <v>1.3251999999994268E-2</v>
      </c>
      <c r="AR27" s="52">
        <v>0.15340800000001309</v>
      </c>
      <c r="AS27" s="52">
        <v>6.150000000015865E-5</v>
      </c>
      <c r="AT27" s="52">
        <v>0</v>
      </c>
      <c r="AU27" s="52">
        <v>1.9119999999972492E-3</v>
      </c>
      <c r="AV27" s="52">
        <v>5.2050000000036789E-4</v>
      </c>
      <c r="AW27" s="52">
        <v>3.9359999999987849E-2</v>
      </c>
      <c r="AX27" s="52">
        <v>0</v>
      </c>
      <c r="AY27" s="52">
        <v>1.9504999999995221E-3</v>
      </c>
      <c r="AZ27" s="52">
        <v>0</v>
      </c>
      <c r="BA27" s="52">
        <v>0</v>
      </c>
      <c r="BB27" s="52">
        <v>0</v>
      </c>
      <c r="BC27" s="52">
        <v>0</v>
      </c>
      <c r="BD27" s="52">
        <v>3.6941406249998976E-4</v>
      </c>
      <c r="BE27" s="52">
        <v>5.0299999999978695E-3</v>
      </c>
      <c r="BF27" s="52">
        <v>0</v>
      </c>
      <c r="BG27" s="52">
        <v>4.4500000000091688E-4</v>
      </c>
      <c r="BH27" s="52">
        <v>0</v>
      </c>
      <c r="BI27" s="52">
        <v>9.7151999999994132E-2</v>
      </c>
      <c r="BJ27" s="52">
        <v>0</v>
      </c>
      <c r="BK27" s="52">
        <v>1.4659999999997453E-3</v>
      </c>
      <c r="BL27" s="52">
        <v>0</v>
      </c>
      <c r="BM27" s="52">
        <v>8.9887999999973545E-2</v>
      </c>
      <c r="BN27" s="52">
        <v>0</v>
      </c>
      <c r="BO27" s="52">
        <v>1.6440000000024213E-3</v>
      </c>
      <c r="BP27" s="52">
        <v>0</v>
      </c>
      <c r="BQ27" s="52">
        <v>0</v>
      </c>
      <c r="BR27" s="52">
        <v>0</v>
      </c>
      <c r="BS27" s="52">
        <v>0</v>
      </c>
      <c r="BT27" s="52">
        <v>1.092400000000282E-2</v>
      </c>
      <c r="BU27" s="52">
        <v>0</v>
      </c>
      <c r="BV27" s="52">
        <v>0</v>
      </c>
      <c r="BW27" s="52">
        <v>0</v>
      </c>
      <c r="BX27" s="52">
        <v>0</v>
      </c>
      <c r="BY27" s="52">
        <v>0</v>
      </c>
      <c r="BZ27" s="52">
        <v>4.8376000000004638E-2</v>
      </c>
      <c r="CA27" s="52">
        <v>1.8380249999999987E-2</v>
      </c>
      <c r="CB27" s="52">
        <v>0</v>
      </c>
      <c r="CC27" s="52">
        <v>0</v>
      </c>
      <c r="CD27" s="52">
        <v>0</v>
      </c>
      <c r="CE27" s="52">
        <v>0</v>
      </c>
      <c r="CF27" s="52">
        <v>4.4499999999914053E-4</v>
      </c>
      <c r="CG27" s="52">
        <v>0</v>
      </c>
      <c r="CH27" s="52">
        <v>6.27750000000038E-4</v>
      </c>
      <c r="CI27" s="52">
        <v>0</v>
      </c>
      <c r="CJ27" s="52">
        <v>0</v>
      </c>
      <c r="CK27" s="52">
        <v>0</v>
      </c>
      <c r="CL27" s="52">
        <v>7.4000000001461785E-5</v>
      </c>
      <c r="CM27" s="52">
        <v>0.14771199999995588</v>
      </c>
      <c r="CN27" s="52">
        <v>2.5040000000000617E-3</v>
      </c>
      <c r="CO27" s="52">
        <v>1.7191999999994323E-2</v>
      </c>
      <c r="CP27" s="52">
        <v>0</v>
      </c>
      <c r="CQ27" s="52">
        <v>0</v>
      </c>
      <c r="CR27" s="52">
        <v>5.8460000000000178E-3</v>
      </c>
      <c r="CS27" s="52">
        <v>0</v>
      </c>
      <c r="CT27" s="52">
        <v>2.1360000000001378E-2</v>
      </c>
      <c r="CU27" s="52">
        <v>0</v>
      </c>
      <c r="CV27" s="52">
        <v>0</v>
      </c>
      <c r="CW27" s="52">
        <v>0</v>
      </c>
      <c r="CX27" s="52">
        <v>0</v>
      </c>
      <c r="CY27" s="52">
        <v>6.7100000000008819E-4</v>
      </c>
      <c r="CZ27" s="52">
        <v>4.9999999999972289E-4</v>
      </c>
      <c r="DA27" s="52">
        <v>1.151999999999731E-2</v>
      </c>
      <c r="DB27" s="52">
        <v>3.8559999999989714E-3</v>
      </c>
      <c r="DC27" s="52">
        <v>1.8642499999999007E-3</v>
      </c>
      <c r="DD27" s="52">
        <v>1.203249999999878E-3</v>
      </c>
      <c r="DE27" s="52">
        <v>0</v>
      </c>
      <c r="DF27" s="52">
        <v>0</v>
      </c>
      <c r="DG27" s="52">
        <v>0</v>
      </c>
      <c r="DH27" s="52">
        <v>6.2249999999952621E-4</v>
      </c>
      <c r="DI27" s="52">
        <v>0.15635200000008354</v>
      </c>
      <c r="DJ27" s="52">
        <v>0</v>
      </c>
      <c r="DK27" s="52">
        <v>2.8199999999998226E-3</v>
      </c>
      <c r="DL27" s="52">
        <v>4.9723437499998857E-4</v>
      </c>
      <c r="DM27" s="52">
        <v>9.9099999999907595E-4</v>
      </c>
      <c r="DN27" s="52">
        <v>0</v>
      </c>
      <c r="DO27" s="52">
        <v>3.3919999999909578E-3</v>
      </c>
      <c r="DP27" s="52">
        <v>6.294999999987283E-4</v>
      </c>
      <c r="DQ27" s="52">
        <v>0</v>
      </c>
      <c r="DR27" s="52">
        <v>0</v>
      </c>
      <c r="DS27" s="52">
        <v>5.4623999999989792E-2</v>
      </c>
      <c r="DT27" s="52">
        <v>1.1876499999999623E-2</v>
      </c>
      <c r="DU27" s="52">
        <v>0</v>
      </c>
      <c r="DV27" s="52">
        <v>2.9749999999983956E-4</v>
      </c>
      <c r="DW27" s="52">
        <v>0</v>
      </c>
      <c r="DX27" s="52">
        <v>3.5709999999991027E-3</v>
      </c>
      <c r="DY27" s="52">
        <v>2.0981250000007279E-4</v>
      </c>
      <c r="DZ27" s="52">
        <v>4.9139999999994188E-3</v>
      </c>
      <c r="EA27" s="52">
        <v>0</v>
      </c>
      <c r="EB27" s="52">
        <v>4.0079999999989013E-2</v>
      </c>
      <c r="EC27" s="52">
        <v>3.3184000000005653E-2</v>
      </c>
      <c r="ED27" s="52">
        <v>2.6075000000025383E-4</v>
      </c>
      <c r="EE27" s="52">
        <v>3.2879999999995135E-3</v>
      </c>
      <c r="EF27" s="52">
        <v>0.27581299999928888</v>
      </c>
      <c r="EG27" s="52">
        <v>0</v>
      </c>
      <c r="EH27" s="52">
        <v>7.0399999999608553E-3</v>
      </c>
      <c r="EI27" s="52">
        <v>1.555200000007062E-2</v>
      </c>
      <c r="EJ27" s="52">
        <v>0</v>
      </c>
      <c r="EK27" s="52">
        <v>0</v>
      </c>
      <c r="EL27" s="52">
        <v>0</v>
      </c>
      <c r="EM27" s="52">
        <v>0.15078400000038528</v>
      </c>
      <c r="EN27" s="52">
        <v>0</v>
      </c>
      <c r="EO27" s="52">
        <v>7.6799999999366264E-4</v>
      </c>
      <c r="EP27" s="52">
        <v>0</v>
      </c>
      <c r="EQ27" s="52">
        <v>0</v>
      </c>
      <c r="ER27" s="52">
        <v>9.2601000000016143E-2</v>
      </c>
      <c r="ES27" s="52">
        <v>0</v>
      </c>
      <c r="ET27" s="52">
        <v>0</v>
      </c>
      <c r="EU27" s="52">
        <v>0</v>
      </c>
      <c r="EV27" s="52">
        <v>0</v>
      </c>
      <c r="EW27" s="52">
        <v>0</v>
      </c>
      <c r="EX27" s="52">
        <v>0</v>
      </c>
      <c r="EY27" s="52">
        <v>0</v>
      </c>
      <c r="EZ27" s="52">
        <v>0</v>
      </c>
      <c r="FA27" s="52">
        <v>0</v>
      </c>
      <c r="FB27" s="52">
        <v>0</v>
      </c>
      <c r="FC27" s="52">
        <v>0</v>
      </c>
      <c r="FD27" s="52">
        <v>0</v>
      </c>
      <c r="FE27" s="52">
        <v>0</v>
      </c>
      <c r="FF27" s="52">
        <v>0</v>
      </c>
      <c r="FG27" s="52">
        <v>0</v>
      </c>
      <c r="FH27" s="52">
        <v>0</v>
      </c>
      <c r="FI27" s="52">
        <v>0</v>
      </c>
      <c r="FJ27" s="52">
        <v>0</v>
      </c>
      <c r="FK27" s="52">
        <v>0</v>
      </c>
      <c r="FL27" s="52">
        <v>0</v>
      </c>
      <c r="FM27" s="52">
        <v>0</v>
      </c>
      <c r="FN27" s="52">
        <v>0</v>
      </c>
      <c r="FO27" s="52">
        <v>0</v>
      </c>
      <c r="FP27" s="52">
        <v>0</v>
      </c>
      <c r="FQ27" s="52">
        <v>0</v>
      </c>
      <c r="FR27" s="52">
        <v>0</v>
      </c>
      <c r="FS27" s="52">
        <v>0</v>
      </c>
      <c r="FT27" s="52">
        <v>0</v>
      </c>
      <c r="FU27" s="52">
        <v>0</v>
      </c>
      <c r="FV27" s="52">
        <v>0</v>
      </c>
      <c r="FW27" s="52">
        <v>0</v>
      </c>
      <c r="FX27" s="52">
        <v>0</v>
      </c>
      <c r="FY27" s="52">
        <v>0</v>
      </c>
      <c r="FZ27" s="52">
        <v>0</v>
      </c>
      <c r="GA27" s="52">
        <v>0</v>
      </c>
      <c r="GB27" s="52">
        <v>0</v>
      </c>
      <c r="GC27" s="52">
        <v>0</v>
      </c>
      <c r="GD27" s="52">
        <v>0</v>
      </c>
      <c r="GE27" s="52">
        <v>0</v>
      </c>
      <c r="GF27" s="52">
        <v>0</v>
      </c>
      <c r="GG27" s="52">
        <v>0</v>
      </c>
      <c r="GH27" s="52">
        <v>0</v>
      </c>
      <c r="GI27" s="52">
        <v>0</v>
      </c>
      <c r="GJ27" s="52">
        <v>0</v>
      </c>
      <c r="GK27" s="52">
        <v>0</v>
      </c>
      <c r="GL27" s="52">
        <v>0</v>
      </c>
      <c r="GM27" s="52">
        <v>0</v>
      </c>
      <c r="GN27" s="52">
        <v>0</v>
      </c>
      <c r="GO27" s="52">
        <v>0</v>
      </c>
      <c r="GP27" s="52">
        <v>0</v>
      </c>
      <c r="GQ27" s="52">
        <v>0</v>
      </c>
      <c r="GR27" s="52">
        <v>0</v>
      </c>
      <c r="GS27" s="52">
        <v>0</v>
      </c>
    </row>
    <row r="28" spans="1:201" ht="17.25" customHeight="1" x14ac:dyDescent="0.3">
      <c r="A28" s="155" t="s">
        <v>47</v>
      </c>
      <c r="B28" s="156">
        <v>877.75</v>
      </c>
      <c r="C28" s="156">
        <v>0</v>
      </c>
      <c r="D28" s="156">
        <v>0.2897570000000087</v>
      </c>
      <c r="E28" s="156">
        <v>0.26807399999995596</v>
      </c>
      <c r="F28" s="156">
        <v>0.29977000000002363</v>
      </c>
      <c r="G28" s="156">
        <v>0</v>
      </c>
      <c r="H28" s="156">
        <v>0</v>
      </c>
      <c r="I28" s="156">
        <v>0</v>
      </c>
      <c r="J28" s="156">
        <v>0</v>
      </c>
      <c r="K28" s="156">
        <v>0</v>
      </c>
      <c r="L28" s="156">
        <v>0</v>
      </c>
      <c r="M28" s="156">
        <v>0</v>
      </c>
      <c r="N28" s="156">
        <v>0</v>
      </c>
      <c r="O28" s="156">
        <v>9.9999999747524271E-7</v>
      </c>
      <c r="P28" s="52">
        <v>0</v>
      </c>
      <c r="Q28" s="52">
        <v>0</v>
      </c>
      <c r="R28" s="52">
        <v>0.30105600000024424</v>
      </c>
      <c r="S28" s="52">
        <v>0.25958399999944959</v>
      </c>
      <c r="T28" s="52">
        <v>0.29286399999909918</v>
      </c>
      <c r="U28" s="52">
        <v>1.9391999999996301E-2</v>
      </c>
      <c r="V28" s="52">
        <v>6.1040000000005534E-3</v>
      </c>
      <c r="W28" s="52">
        <v>4.5600000000156626E-4</v>
      </c>
      <c r="X28" s="52">
        <v>2.3580000000009704E-3</v>
      </c>
      <c r="Y28" s="52">
        <v>0</v>
      </c>
      <c r="Z28" s="52">
        <v>2.3389999999992028E-3</v>
      </c>
      <c r="AA28" s="52">
        <v>3.0219999999978597E-3</v>
      </c>
      <c r="AB28" s="52">
        <v>5.990000000000606E-3</v>
      </c>
      <c r="AC28" s="52">
        <v>6.8079999999994811E-3</v>
      </c>
      <c r="AD28" s="52">
        <v>1.3299999999993872E-3</v>
      </c>
      <c r="AE28" s="52">
        <v>9.5899999999993213E-4</v>
      </c>
      <c r="AF28" s="52">
        <v>0</v>
      </c>
      <c r="AG28" s="52">
        <v>2.2640000000002658E-3</v>
      </c>
      <c r="AH28" s="52">
        <v>6.8159999999977572E-2</v>
      </c>
      <c r="AI28" s="52">
        <v>0</v>
      </c>
      <c r="AJ28" s="52">
        <v>6.4500000000045077E-4</v>
      </c>
      <c r="AK28" s="52">
        <v>0</v>
      </c>
      <c r="AL28" s="52">
        <v>6.8635624999999756E-3</v>
      </c>
      <c r="AM28" s="52">
        <v>2.080800000000238E-2</v>
      </c>
      <c r="AN28" s="52">
        <v>1.53839999999974E-2</v>
      </c>
      <c r="AO28" s="52">
        <v>5.1479999999983761E-3</v>
      </c>
      <c r="AP28" s="52">
        <v>3.3020000000014704E-3</v>
      </c>
      <c r="AQ28" s="52">
        <v>1.277200000001244E-2</v>
      </c>
      <c r="AR28" s="52">
        <v>0.15545600000007198</v>
      </c>
      <c r="AS28" s="52">
        <v>6.150000000015865E-5</v>
      </c>
      <c r="AT28" s="52">
        <v>0</v>
      </c>
      <c r="AU28" s="52">
        <v>1.9119999999972492E-3</v>
      </c>
      <c r="AV28" s="52">
        <v>3.0850000000004485E-4</v>
      </c>
      <c r="AW28" s="52">
        <v>3.8207999999940512E-2</v>
      </c>
      <c r="AX28" s="52">
        <v>0</v>
      </c>
      <c r="AY28" s="52">
        <v>1.8640000000003099E-3</v>
      </c>
      <c r="AZ28" s="52">
        <v>0</v>
      </c>
      <c r="BA28" s="52">
        <v>0</v>
      </c>
      <c r="BB28" s="52">
        <v>0</v>
      </c>
      <c r="BC28" s="52">
        <v>0</v>
      </c>
      <c r="BD28" s="52">
        <v>1.257500000000078E-4</v>
      </c>
      <c r="BE28" s="52">
        <v>4.9480000000023949E-3</v>
      </c>
      <c r="BF28" s="52">
        <v>0</v>
      </c>
      <c r="BG28" s="52">
        <v>4.4499999999914053E-4</v>
      </c>
      <c r="BH28" s="52">
        <v>0</v>
      </c>
      <c r="BI28" s="52">
        <v>9.6064000000012584E-2</v>
      </c>
      <c r="BJ28" s="52">
        <v>0</v>
      </c>
      <c r="BK28" s="52">
        <v>1.4570000000002636E-3</v>
      </c>
      <c r="BL28" s="52">
        <v>0</v>
      </c>
      <c r="BM28" s="52">
        <v>8.3935999999994237E-2</v>
      </c>
      <c r="BN28" s="52">
        <v>0</v>
      </c>
      <c r="BO28" s="52">
        <v>1.0587999999998488E-2</v>
      </c>
      <c r="BP28" s="52">
        <v>0</v>
      </c>
      <c r="BQ28" s="52">
        <v>0</v>
      </c>
      <c r="BR28" s="52">
        <v>0</v>
      </c>
      <c r="BS28" s="52">
        <v>0</v>
      </c>
      <c r="BT28" s="52">
        <v>1.1048000000002389E-2</v>
      </c>
      <c r="BU28" s="52">
        <v>0</v>
      </c>
      <c r="BV28" s="52">
        <v>0</v>
      </c>
      <c r="BW28" s="52">
        <v>0</v>
      </c>
      <c r="BX28" s="52">
        <v>0</v>
      </c>
      <c r="BY28" s="52">
        <v>0</v>
      </c>
      <c r="BZ28" s="52">
        <v>4.2448000000007369E-2</v>
      </c>
      <c r="CA28" s="52">
        <v>1.4085312500000002E-2</v>
      </c>
      <c r="CB28" s="52">
        <v>0</v>
      </c>
      <c r="CC28" s="52">
        <v>0</v>
      </c>
      <c r="CD28" s="52">
        <v>0</v>
      </c>
      <c r="CE28" s="52">
        <v>0</v>
      </c>
      <c r="CF28" s="52">
        <v>4.6600000000118769E-4</v>
      </c>
      <c r="CG28" s="52">
        <v>0</v>
      </c>
      <c r="CH28" s="52">
        <v>6.3799999999991641E-4</v>
      </c>
      <c r="CI28" s="52">
        <v>0</v>
      </c>
      <c r="CJ28" s="52">
        <v>0</v>
      </c>
      <c r="CK28" s="52">
        <v>0</v>
      </c>
      <c r="CL28" s="52">
        <v>3.6599999999964439E-4</v>
      </c>
      <c r="CM28" s="52">
        <v>0.15603199999986828</v>
      </c>
      <c r="CN28" s="52">
        <v>2.5399999999997647E-3</v>
      </c>
      <c r="CO28" s="52">
        <v>1.7472000000012144E-2</v>
      </c>
      <c r="CP28" s="52">
        <v>0</v>
      </c>
      <c r="CQ28" s="52">
        <v>0</v>
      </c>
      <c r="CR28" s="52">
        <v>5.5790000000008888E-3</v>
      </c>
      <c r="CS28" s="52">
        <v>0</v>
      </c>
      <c r="CT28" s="52">
        <v>2.0807999999988169E-2</v>
      </c>
      <c r="CU28" s="52">
        <v>0</v>
      </c>
      <c r="CV28" s="52">
        <v>0</v>
      </c>
      <c r="CW28" s="52">
        <v>0</v>
      </c>
      <c r="CX28" s="52">
        <v>0</v>
      </c>
      <c r="CY28" s="52">
        <v>6.7799999999973437E-4</v>
      </c>
      <c r="CZ28" s="52">
        <v>2.5335000000001884E-3</v>
      </c>
      <c r="DA28" s="52">
        <v>1.1540000000003658E-2</v>
      </c>
      <c r="DB28" s="52">
        <v>3.8529999999994402E-3</v>
      </c>
      <c r="DC28" s="52">
        <v>0</v>
      </c>
      <c r="DD28" s="52">
        <v>1.2243750000000553E-3</v>
      </c>
      <c r="DE28" s="52">
        <v>0</v>
      </c>
      <c r="DF28" s="52">
        <v>0</v>
      </c>
      <c r="DG28" s="52">
        <v>0</v>
      </c>
      <c r="DH28" s="52">
        <v>4.4749999999993406E-4</v>
      </c>
      <c r="DI28" s="52">
        <v>0.14611199999990276</v>
      </c>
      <c r="DJ28" s="52">
        <v>0</v>
      </c>
      <c r="DK28" s="52">
        <v>2.8240000000003818E-3</v>
      </c>
      <c r="DL28" s="52">
        <v>4.8471875000000164E-4</v>
      </c>
      <c r="DM28" s="52">
        <v>9.7399999999936426E-4</v>
      </c>
      <c r="DN28" s="52">
        <v>0</v>
      </c>
      <c r="DO28" s="52">
        <v>3.4239999999954307E-3</v>
      </c>
      <c r="DP28" s="52">
        <v>6.3100000000027023E-4</v>
      </c>
      <c r="DQ28" s="52">
        <v>0</v>
      </c>
      <c r="DR28" s="52">
        <v>0</v>
      </c>
      <c r="DS28" s="52">
        <v>5.0080000000036762E-2</v>
      </c>
      <c r="DT28" s="52">
        <v>1.4590000000000103E-2</v>
      </c>
      <c r="DU28" s="52">
        <v>0</v>
      </c>
      <c r="DV28" s="52">
        <v>2.9725000000002666E-4</v>
      </c>
      <c r="DW28" s="52">
        <v>0</v>
      </c>
      <c r="DX28" s="52">
        <v>3.58300000000078E-3</v>
      </c>
      <c r="DY28" s="52">
        <v>2.0624999999996341E-4</v>
      </c>
      <c r="DZ28" s="52">
        <v>4.4220000000017023E-3</v>
      </c>
      <c r="EA28" s="52">
        <v>0</v>
      </c>
      <c r="EB28" s="52">
        <v>3.9007999999995491E-2</v>
      </c>
      <c r="EC28" s="52">
        <v>2.7967999999987114E-2</v>
      </c>
      <c r="ED28" s="52">
        <v>2.6524999999999466E-4</v>
      </c>
      <c r="EE28" s="52">
        <v>7.9130000000002809E-3</v>
      </c>
      <c r="EF28" s="52">
        <v>0.25238499999977648</v>
      </c>
      <c r="EG28" s="52">
        <v>0</v>
      </c>
      <c r="EH28" s="52">
        <v>6.6560000000208674E-3</v>
      </c>
      <c r="EI28" s="52">
        <v>1.5807999999992717E-2</v>
      </c>
      <c r="EJ28" s="52">
        <v>0</v>
      </c>
      <c r="EK28" s="52">
        <v>0</v>
      </c>
      <c r="EL28" s="52">
        <v>0</v>
      </c>
      <c r="EM28" s="52">
        <v>0.14694399999962116</v>
      </c>
      <c r="EN28" s="52">
        <v>0</v>
      </c>
      <c r="EO28" s="52">
        <v>7.6799999999366264E-4</v>
      </c>
      <c r="EP28" s="52">
        <v>0</v>
      </c>
      <c r="EQ28" s="52">
        <v>0</v>
      </c>
      <c r="ER28" s="52">
        <v>0.10254100000000221</v>
      </c>
      <c r="ES28" s="52">
        <v>0</v>
      </c>
      <c r="ET28" s="52">
        <v>0</v>
      </c>
      <c r="EU28" s="52">
        <v>0</v>
      </c>
      <c r="EV28" s="52">
        <v>0</v>
      </c>
      <c r="EW28" s="52">
        <v>0</v>
      </c>
      <c r="EX28" s="52">
        <v>0</v>
      </c>
      <c r="EY28" s="52">
        <v>0</v>
      </c>
      <c r="EZ28" s="52">
        <v>0</v>
      </c>
      <c r="FA28" s="52">
        <v>0</v>
      </c>
      <c r="FB28" s="52">
        <v>0</v>
      </c>
      <c r="FC28" s="52">
        <v>0</v>
      </c>
      <c r="FD28" s="52">
        <v>0</v>
      </c>
      <c r="FE28" s="52">
        <v>0</v>
      </c>
      <c r="FF28" s="52">
        <v>0</v>
      </c>
      <c r="FG28" s="52">
        <v>0</v>
      </c>
      <c r="FH28" s="52">
        <v>0</v>
      </c>
      <c r="FI28" s="52">
        <v>0</v>
      </c>
      <c r="FJ28" s="52">
        <v>0</v>
      </c>
      <c r="FK28" s="52">
        <v>0</v>
      </c>
      <c r="FL28" s="52">
        <v>0</v>
      </c>
      <c r="FM28" s="52">
        <v>0</v>
      </c>
      <c r="FN28" s="52">
        <v>0</v>
      </c>
      <c r="FO28" s="52">
        <v>0</v>
      </c>
      <c r="FP28" s="52">
        <v>0</v>
      </c>
      <c r="FQ28" s="52">
        <v>0</v>
      </c>
      <c r="FR28" s="52">
        <v>0</v>
      </c>
      <c r="FS28" s="52">
        <v>0</v>
      </c>
      <c r="FT28" s="52">
        <v>0</v>
      </c>
      <c r="FU28" s="52">
        <v>0</v>
      </c>
      <c r="FV28" s="52">
        <v>0</v>
      </c>
      <c r="FW28" s="52">
        <v>0</v>
      </c>
      <c r="FX28" s="52">
        <v>0</v>
      </c>
      <c r="FY28" s="52">
        <v>0</v>
      </c>
      <c r="FZ28" s="52">
        <v>0</v>
      </c>
      <c r="GA28" s="52">
        <v>0</v>
      </c>
      <c r="GB28" s="52">
        <v>0</v>
      </c>
      <c r="GC28" s="52">
        <v>0</v>
      </c>
      <c r="GD28" s="52">
        <v>0</v>
      </c>
      <c r="GE28" s="52">
        <v>0</v>
      </c>
      <c r="GF28" s="52">
        <v>0</v>
      </c>
      <c r="GG28" s="52">
        <v>0</v>
      </c>
      <c r="GH28" s="52">
        <v>0</v>
      </c>
      <c r="GI28" s="52">
        <v>0</v>
      </c>
      <c r="GJ28" s="52">
        <v>0</v>
      </c>
      <c r="GK28" s="52">
        <v>0</v>
      </c>
      <c r="GL28" s="52">
        <v>0</v>
      </c>
      <c r="GM28" s="52">
        <v>0</v>
      </c>
      <c r="GN28" s="52">
        <v>0</v>
      </c>
      <c r="GO28" s="52">
        <v>0</v>
      </c>
      <c r="GP28" s="52">
        <v>0</v>
      </c>
      <c r="GQ28" s="52">
        <v>0</v>
      </c>
      <c r="GR28" s="52">
        <v>0</v>
      </c>
      <c r="GS28" s="52">
        <v>0</v>
      </c>
    </row>
    <row r="29" spans="1:201" ht="17.25" customHeight="1" x14ac:dyDescent="0.3">
      <c r="A29" s="155" t="s">
        <v>48</v>
      </c>
      <c r="B29" s="156">
        <v>885.25</v>
      </c>
      <c r="C29" s="156">
        <v>0</v>
      </c>
      <c r="D29" s="156">
        <v>0.31944200000009459</v>
      </c>
      <c r="E29" s="156">
        <v>0.27018500000002632</v>
      </c>
      <c r="F29" s="156">
        <v>0.30245700000000397</v>
      </c>
      <c r="G29" s="156">
        <v>0</v>
      </c>
      <c r="H29" s="156">
        <v>0</v>
      </c>
      <c r="I29" s="156">
        <v>0</v>
      </c>
      <c r="J29" s="156">
        <v>0</v>
      </c>
      <c r="K29" s="156">
        <v>0</v>
      </c>
      <c r="L29" s="156">
        <v>0</v>
      </c>
      <c r="M29" s="156">
        <v>0</v>
      </c>
      <c r="N29" s="156">
        <v>1.1707000000001244E-2</v>
      </c>
      <c r="O29" s="156">
        <v>1.2766999999939799E-2</v>
      </c>
      <c r="P29" s="52">
        <v>3.2000000000209639E-4</v>
      </c>
      <c r="Q29" s="52">
        <v>0</v>
      </c>
      <c r="R29" s="52">
        <v>0.30924799999775132</v>
      </c>
      <c r="S29" s="52">
        <v>0.25804799999968964</v>
      </c>
      <c r="T29" s="52">
        <v>0.29491200000120443</v>
      </c>
      <c r="U29" s="52">
        <v>1.8352000000007251E-2</v>
      </c>
      <c r="V29" s="52">
        <v>5.9079999999980259E-3</v>
      </c>
      <c r="W29" s="52">
        <v>4.6299999999988017E-4</v>
      </c>
      <c r="X29" s="52">
        <v>2.3719999999993746E-3</v>
      </c>
      <c r="Y29" s="52">
        <v>0</v>
      </c>
      <c r="Z29" s="52">
        <v>2.3789999999994649E-3</v>
      </c>
      <c r="AA29" s="52">
        <v>3.1520000000000437E-3</v>
      </c>
      <c r="AB29" s="52">
        <v>5.8620000000004779E-3</v>
      </c>
      <c r="AC29" s="52">
        <v>3.8899999999983947E-3</v>
      </c>
      <c r="AD29" s="52">
        <v>2.0459999999999923E-3</v>
      </c>
      <c r="AE29" s="52">
        <v>1.9729999999995584E-3</v>
      </c>
      <c r="AF29" s="52">
        <v>0</v>
      </c>
      <c r="AG29" s="52">
        <v>2.5320000000004228E-3</v>
      </c>
      <c r="AH29" s="52">
        <v>6.5760000000011587E-2</v>
      </c>
      <c r="AI29" s="52">
        <v>0</v>
      </c>
      <c r="AJ29" s="52">
        <v>6.6499999999969361E-4</v>
      </c>
      <c r="AK29" s="52">
        <v>0</v>
      </c>
      <c r="AL29" s="52">
        <v>6.0140625000000281E-3</v>
      </c>
      <c r="AM29" s="52">
        <v>2.0616000000003964E-2</v>
      </c>
      <c r="AN29" s="52">
        <v>1.4879999999990901E-2</v>
      </c>
      <c r="AO29" s="52">
        <v>5.0840000000036412E-3</v>
      </c>
      <c r="AP29" s="52">
        <v>3.3759999999993795E-3</v>
      </c>
      <c r="AQ29" s="52">
        <v>1.3127999999994699E-2</v>
      </c>
      <c r="AR29" s="52">
        <v>0.15737599999999929</v>
      </c>
      <c r="AS29" s="52">
        <v>6.599999999998829E-4</v>
      </c>
      <c r="AT29" s="52">
        <v>0</v>
      </c>
      <c r="AU29" s="52">
        <v>2.1040000000027703E-3</v>
      </c>
      <c r="AV29" s="52">
        <v>7.0000000000014495E-5</v>
      </c>
      <c r="AW29" s="52">
        <v>3.8016000000084205E-2</v>
      </c>
      <c r="AX29" s="52">
        <v>0</v>
      </c>
      <c r="AY29" s="52">
        <v>2.7995000000000658E-3</v>
      </c>
      <c r="AZ29" s="52">
        <v>2.4999999999053557E-6</v>
      </c>
      <c r="BA29" s="52">
        <v>0</v>
      </c>
      <c r="BB29" s="52">
        <v>0</v>
      </c>
      <c r="BC29" s="52">
        <v>0</v>
      </c>
      <c r="BD29" s="52">
        <v>1.0088281249999442E-4</v>
      </c>
      <c r="BE29" s="52">
        <v>5.0359999999969318E-3</v>
      </c>
      <c r="BF29" s="52">
        <v>0</v>
      </c>
      <c r="BG29" s="52">
        <v>4.7499999999978115E-4</v>
      </c>
      <c r="BH29" s="52">
        <v>0</v>
      </c>
      <c r="BI29" s="52">
        <v>9.5232000000009975E-2</v>
      </c>
      <c r="BJ29" s="52">
        <v>0</v>
      </c>
      <c r="BK29" s="52">
        <v>3.6274999999994506E-3</v>
      </c>
      <c r="BL29" s="52">
        <v>0</v>
      </c>
      <c r="BM29" s="52">
        <v>7.7951999999982036E-2</v>
      </c>
      <c r="BN29" s="52">
        <v>0</v>
      </c>
      <c r="BO29" s="52">
        <v>1.8032000000001602E-2</v>
      </c>
      <c r="BP29" s="52">
        <v>0</v>
      </c>
      <c r="BQ29" s="52">
        <v>0</v>
      </c>
      <c r="BR29" s="52">
        <v>0</v>
      </c>
      <c r="BS29" s="52">
        <v>0</v>
      </c>
      <c r="BT29" s="52">
        <v>1.1403999999998859E-2</v>
      </c>
      <c r="BU29" s="52">
        <v>0</v>
      </c>
      <c r="BV29" s="52">
        <v>0</v>
      </c>
      <c r="BW29" s="52">
        <v>0</v>
      </c>
      <c r="BX29" s="52">
        <v>0</v>
      </c>
      <c r="BY29" s="52">
        <v>0</v>
      </c>
      <c r="BZ29" s="52">
        <v>2.7407999999994104E-2</v>
      </c>
      <c r="CA29" s="52">
        <v>1.5595374999999967E-2</v>
      </c>
      <c r="CB29" s="52">
        <v>0</v>
      </c>
      <c r="CC29" s="52">
        <v>0</v>
      </c>
      <c r="CD29" s="52">
        <v>0</v>
      </c>
      <c r="CE29" s="52">
        <v>0</v>
      </c>
      <c r="CF29" s="52">
        <v>4.6099999999960062E-4</v>
      </c>
      <c r="CG29" s="52">
        <v>0</v>
      </c>
      <c r="CH29" s="52">
        <v>6.2924999999980358E-4</v>
      </c>
      <c r="CI29" s="52">
        <v>0</v>
      </c>
      <c r="CJ29" s="52">
        <v>0</v>
      </c>
      <c r="CK29" s="52">
        <v>0</v>
      </c>
      <c r="CL29" s="52">
        <v>5.3000000000125169E-4</v>
      </c>
      <c r="CM29" s="52">
        <v>0.15360000000009677</v>
      </c>
      <c r="CN29" s="52">
        <v>2.5150000000007111E-3</v>
      </c>
      <c r="CO29" s="52">
        <v>1.6951999999989198E-2</v>
      </c>
      <c r="CP29" s="52">
        <v>0</v>
      </c>
      <c r="CQ29" s="52">
        <v>0</v>
      </c>
      <c r="CR29" s="52">
        <v>5.7639999999992142E-3</v>
      </c>
      <c r="CS29" s="52">
        <v>0</v>
      </c>
      <c r="CT29" s="52">
        <v>2.1040000000013492E-2</v>
      </c>
      <c r="CU29" s="52">
        <v>0</v>
      </c>
      <c r="CV29" s="52">
        <v>3.074999999985728E-5</v>
      </c>
      <c r="CW29" s="52">
        <v>0</v>
      </c>
      <c r="CX29" s="52">
        <v>0</v>
      </c>
      <c r="CY29" s="52">
        <v>6.5600000000021197E-4</v>
      </c>
      <c r="CZ29" s="52">
        <v>1.3637499999998859E-3</v>
      </c>
      <c r="DA29" s="52">
        <v>1.1323999999994783E-2</v>
      </c>
      <c r="DB29" s="52">
        <v>4.4050000000002143E-3</v>
      </c>
      <c r="DC29" s="52">
        <v>0</v>
      </c>
      <c r="DD29" s="52">
        <v>1.1823749999999578E-3</v>
      </c>
      <c r="DE29" s="52">
        <v>0</v>
      </c>
      <c r="DF29" s="52">
        <v>0</v>
      </c>
      <c r="DG29" s="52">
        <v>0</v>
      </c>
      <c r="DH29" s="52">
        <v>4.3850000000045242E-4</v>
      </c>
      <c r="DI29" s="52">
        <v>0.14656000000002223</v>
      </c>
      <c r="DJ29" s="52">
        <v>0</v>
      </c>
      <c r="DK29" s="52">
        <v>2.7760000000007778E-3</v>
      </c>
      <c r="DL29" s="52">
        <v>6.4335937500001328E-4</v>
      </c>
      <c r="DM29" s="52">
        <v>9.8900000000057275E-4</v>
      </c>
      <c r="DN29" s="52">
        <v>0</v>
      </c>
      <c r="DO29" s="52">
        <v>3.4559999999999036E-3</v>
      </c>
      <c r="DP29" s="52">
        <v>6.2450000000069394E-4</v>
      </c>
      <c r="DQ29" s="52">
        <v>0</v>
      </c>
      <c r="DR29" s="52">
        <v>0</v>
      </c>
      <c r="DS29" s="52">
        <v>4.7359999999969205E-2</v>
      </c>
      <c r="DT29" s="52">
        <v>1.37135000000006E-2</v>
      </c>
      <c r="DU29" s="52">
        <v>0</v>
      </c>
      <c r="DV29" s="52">
        <v>2.9125000000007617E-4</v>
      </c>
      <c r="DW29" s="52">
        <v>0</v>
      </c>
      <c r="DX29" s="52">
        <v>3.5150000000001569E-3</v>
      </c>
      <c r="DY29" s="52">
        <v>2.0968749999994429E-4</v>
      </c>
      <c r="DZ29" s="52">
        <v>3.8079999999993674E-3</v>
      </c>
      <c r="EA29" s="52">
        <v>0</v>
      </c>
      <c r="EB29" s="52">
        <v>3.9296000000007325E-2</v>
      </c>
      <c r="EC29" s="52">
        <v>2.955199999999536E-2</v>
      </c>
      <c r="ED29" s="52">
        <v>2.6499999999973767E-4</v>
      </c>
      <c r="EE29" s="52">
        <v>4.4899999999987728E-3</v>
      </c>
      <c r="EF29" s="52">
        <v>0.31246499999997468</v>
      </c>
      <c r="EG29" s="52">
        <v>0</v>
      </c>
      <c r="EH29" s="52">
        <v>6.3999999999850843E-3</v>
      </c>
      <c r="EI29" s="52">
        <v>1.7663999999967928E-2</v>
      </c>
      <c r="EJ29" s="52">
        <v>1.151999999990494E-3</v>
      </c>
      <c r="EK29" s="52">
        <v>0</v>
      </c>
      <c r="EL29" s="52">
        <v>4.2112000000088301E-2</v>
      </c>
      <c r="EM29" s="52">
        <v>0.14924800000017058</v>
      </c>
      <c r="EN29" s="52">
        <v>0</v>
      </c>
      <c r="EO29" s="52">
        <v>7.6799999999366264E-4</v>
      </c>
      <c r="EP29" s="52">
        <v>0</v>
      </c>
      <c r="EQ29" s="52">
        <v>0</v>
      </c>
      <c r="ER29" s="52">
        <v>0.10042799999999374</v>
      </c>
      <c r="ES29" s="52">
        <v>0</v>
      </c>
      <c r="ET29" s="52">
        <v>0</v>
      </c>
      <c r="EU29" s="52">
        <v>0</v>
      </c>
      <c r="EV29" s="52">
        <v>0</v>
      </c>
      <c r="EW29" s="52">
        <v>0</v>
      </c>
      <c r="EX29" s="52">
        <v>0</v>
      </c>
      <c r="EY29" s="52">
        <v>0</v>
      </c>
      <c r="EZ29" s="52">
        <v>0</v>
      </c>
      <c r="FA29" s="52">
        <v>0</v>
      </c>
      <c r="FB29" s="52">
        <v>0</v>
      </c>
      <c r="FC29" s="52">
        <v>0</v>
      </c>
      <c r="FD29" s="52">
        <v>0</v>
      </c>
      <c r="FE29" s="52">
        <v>0</v>
      </c>
      <c r="FF29" s="52">
        <v>0</v>
      </c>
      <c r="FG29" s="52">
        <v>0</v>
      </c>
      <c r="FH29" s="52">
        <v>0</v>
      </c>
      <c r="FI29" s="52">
        <v>0</v>
      </c>
      <c r="FJ29" s="52">
        <v>0</v>
      </c>
      <c r="FK29" s="52">
        <v>0</v>
      </c>
      <c r="FL29" s="52">
        <v>0</v>
      </c>
      <c r="FM29" s="52">
        <v>0</v>
      </c>
      <c r="FN29" s="52">
        <v>0</v>
      </c>
      <c r="FO29" s="52">
        <v>0</v>
      </c>
      <c r="FP29" s="52">
        <v>0</v>
      </c>
      <c r="FQ29" s="52">
        <v>0</v>
      </c>
      <c r="FR29" s="52">
        <v>0</v>
      </c>
      <c r="FS29" s="52">
        <v>0</v>
      </c>
      <c r="FT29" s="52">
        <v>0</v>
      </c>
      <c r="FU29" s="52">
        <v>0</v>
      </c>
      <c r="FV29" s="52">
        <v>0</v>
      </c>
      <c r="FW29" s="52">
        <v>0</v>
      </c>
      <c r="FX29" s="52">
        <v>0</v>
      </c>
      <c r="FY29" s="52">
        <v>0</v>
      </c>
      <c r="FZ29" s="52">
        <v>0</v>
      </c>
      <c r="GA29" s="52">
        <v>0</v>
      </c>
      <c r="GB29" s="52">
        <v>0</v>
      </c>
      <c r="GC29" s="52">
        <v>0</v>
      </c>
      <c r="GD29" s="52">
        <v>0</v>
      </c>
      <c r="GE29" s="52">
        <v>0</v>
      </c>
      <c r="GF29" s="52">
        <v>0</v>
      </c>
      <c r="GG29" s="52">
        <v>0</v>
      </c>
      <c r="GH29" s="52">
        <v>0</v>
      </c>
      <c r="GI29" s="52">
        <v>0</v>
      </c>
      <c r="GJ29" s="52">
        <v>0</v>
      </c>
      <c r="GK29" s="52">
        <v>0</v>
      </c>
      <c r="GL29" s="52">
        <v>0</v>
      </c>
      <c r="GM29" s="52">
        <v>0</v>
      </c>
      <c r="GN29" s="52">
        <v>0</v>
      </c>
      <c r="GO29" s="52">
        <v>0</v>
      </c>
      <c r="GP29" s="52">
        <v>0</v>
      </c>
      <c r="GQ29" s="52">
        <v>0</v>
      </c>
      <c r="GR29" s="52">
        <v>0</v>
      </c>
      <c r="GS29" s="52">
        <v>0</v>
      </c>
    </row>
    <row r="30" spans="1:201" ht="17.25" customHeight="1" x14ac:dyDescent="0.3">
      <c r="A30" s="155" t="s">
        <v>49</v>
      </c>
      <c r="B30" s="156">
        <v>1003.25</v>
      </c>
      <c r="C30" s="156">
        <v>0</v>
      </c>
      <c r="D30" s="156">
        <v>0.35331899999994221</v>
      </c>
      <c r="E30" s="156">
        <v>0.30475300000000516</v>
      </c>
      <c r="F30" s="156">
        <v>0.33557999999993626</v>
      </c>
      <c r="G30" s="156">
        <v>0</v>
      </c>
      <c r="H30" s="156">
        <v>0</v>
      </c>
      <c r="I30" s="156">
        <v>0</v>
      </c>
      <c r="J30" s="156">
        <v>0</v>
      </c>
      <c r="K30" s="156">
        <v>0</v>
      </c>
      <c r="L30" s="156">
        <v>0</v>
      </c>
      <c r="M30" s="156">
        <v>0</v>
      </c>
      <c r="N30" s="156">
        <v>3.7332999999989624E-2</v>
      </c>
      <c r="O30" s="156">
        <v>3.9156000000161839E-2</v>
      </c>
      <c r="P30" s="52">
        <v>1.082999999994172E-3</v>
      </c>
      <c r="Q30" s="52">
        <v>0</v>
      </c>
      <c r="R30" s="52">
        <v>0.3522560000019439</v>
      </c>
      <c r="S30" s="52">
        <v>0.29644800000005489</v>
      </c>
      <c r="T30" s="52">
        <v>0.33587199999965378</v>
      </c>
      <c r="U30" s="52">
        <v>2.3119999999991592E-2</v>
      </c>
      <c r="V30" s="52">
        <v>5.2439999999975839E-3</v>
      </c>
      <c r="W30" s="52">
        <v>2.8869999999994178E-3</v>
      </c>
      <c r="X30" s="52">
        <v>2.458999999999989E-3</v>
      </c>
      <c r="Y30" s="52">
        <v>0</v>
      </c>
      <c r="Z30" s="52">
        <v>2.3770000000009617E-3</v>
      </c>
      <c r="AA30" s="52">
        <v>4.7239999999995064E-3</v>
      </c>
      <c r="AB30" s="52">
        <v>6.0599999999979559E-3</v>
      </c>
      <c r="AC30" s="52">
        <v>1.0080000000023404E-3</v>
      </c>
      <c r="AD30" s="52">
        <v>2.48700000000035E-3</v>
      </c>
      <c r="AE30" s="52">
        <v>2.502999999999922E-3</v>
      </c>
      <c r="AF30" s="52">
        <v>0</v>
      </c>
      <c r="AG30" s="52">
        <v>2.7884999999994164E-3</v>
      </c>
      <c r="AH30" s="52">
        <v>8.4224000000006072E-2</v>
      </c>
      <c r="AI30" s="52">
        <v>0</v>
      </c>
      <c r="AJ30" s="52">
        <v>1.2629999999997921E-3</v>
      </c>
      <c r="AK30" s="52">
        <v>0</v>
      </c>
      <c r="AL30" s="52">
        <v>1.2055406250000011E-2</v>
      </c>
      <c r="AM30" s="52">
        <v>2.1335999999990918E-2</v>
      </c>
      <c r="AN30" s="52">
        <v>1.708000000000709E-2</v>
      </c>
      <c r="AO30" s="52">
        <v>8.0919999999977676E-3</v>
      </c>
      <c r="AP30" s="52">
        <v>3.9359999999994955E-3</v>
      </c>
      <c r="AQ30" s="52">
        <v>1.3891999999998461E-2</v>
      </c>
      <c r="AR30" s="52">
        <v>0.20780799999999999</v>
      </c>
      <c r="AS30" s="52">
        <v>2.6674999999993787E-3</v>
      </c>
      <c r="AT30" s="52">
        <v>0</v>
      </c>
      <c r="AU30" s="52">
        <v>2.4119999999996367E-3</v>
      </c>
      <c r="AV30" s="52">
        <v>5.4499999999979565E-4</v>
      </c>
      <c r="AW30" s="52">
        <v>6.4127999999982421E-2</v>
      </c>
      <c r="AX30" s="52">
        <v>0</v>
      </c>
      <c r="AY30" s="52">
        <v>3.3775000000000333E-3</v>
      </c>
      <c r="AZ30" s="52">
        <v>0</v>
      </c>
      <c r="BA30" s="52">
        <v>0</v>
      </c>
      <c r="BB30" s="52">
        <v>0</v>
      </c>
      <c r="BC30" s="52">
        <v>0</v>
      </c>
      <c r="BD30" s="52">
        <v>9.9500000000002364E-5</v>
      </c>
      <c r="BE30" s="52">
        <v>5.0080000000001235E-3</v>
      </c>
      <c r="BF30" s="52">
        <v>0</v>
      </c>
      <c r="BG30" s="52">
        <v>6.0700000000046828E-4</v>
      </c>
      <c r="BH30" s="52">
        <v>0</v>
      </c>
      <c r="BI30" s="52">
        <v>0.11283199999996896</v>
      </c>
      <c r="BJ30" s="52">
        <v>1.699999999971169E-5</v>
      </c>
      <c r="BK30" s="52">
        <v>5.5364999999998332E-3</v>
      </c>
      <c r="BL30" s="52">
        <v>0</v>
      </c>
      <c r="BM30" s="52">
        <v>0.11043200000000297</v>
      </c>
      <c r="BN30" s="52">
        <v>0</v>
      </c>
      <c r="BO30" s="52">
        <v>4.7532000000000352E-2</v>
      </c>
      <c r="BP30" s="52">
        <v>0</v>
      </c>
      <c r="BQ30" s="52">
        <v>0</v>
      </c>
      <c r="BR30" s="52">
        <v>0</v>
      </c>
      <c r="BS30" s="52">
        <v>0</v>
      </c>
      <c r="BT30" s="52">
        <v>1.1431999999999221E-2</v>
      </c>
      <c r="BU30" s="52">
        <v>0</v>
      </c>
      <c r="BV30" s="52">
        <v>0</v>
      </c>
      <c r="BW30" s="52">
        <v>0</v>
      </c>
      <c r="BX30" s="52">
        <v>0</v>
      </c>
      <c r="BY30" s="52">
        <v>0</v>
      </c>
      <c r="BZ30" s="52">
        <v>3.003200000000561E-2</v>
      </c>
      <c r="CA30" s="52">
        <v>1.8173687500000035E-2</v>
      </c>
      <c r="CB30" s="52">
        <v>0</v>
      </c>
      <c r="CC30" s="52">
        <v>0</v>
      </c>
      <c r="CD30" s="52">
        <v>0</v>
      </c>
      <c r="CE30" s="52">
        <v>0</v>
      </c>
      <c r="CF30" s="52">
        <v>8.1400000000009243E-4</v>
      </c>
      <c r="CG30" s="52">
        <v>0</v>
      </c>
      <c r="CH30" s="52">
        <v>6.3775000000010351E-4</v>
      </c>
      <c r="CI30" s="52">
        <v>0</v>
      </c>
      <c r="CJ30" s="52">
        <v>0</v>
      </c>
      <c r="CK30" s="52">
        <v>0</v>
      </c>
      <c r="CL30" s="52">
        <v>1.1659999999977799E-3</v>
      </c>
      <c r="CM30" s="52">
        <v>0.17382399999996778</v>
      </c>
      <c r="CN30" s="52">
        <v>2.1520000000005979E-3</v>
      </c>
      <c r="CO30" s="52">
        <v>1.6952000000003409E-2</v>
      </c>
      <c r="CP30" s="52">
        <v>0</v>
      </c>
      <c r="CQ30" s="52">
        <v>0</v>
      </c>
      <c r="CR30" s="52">
        <v>5.964999999999776E-3</v>
      </c>
      <c r="CS30" s="52">
        <v>0</v>
      </c>
      <c r="CT30" s="52">
        <v>1.7399999999994975E-2</v>
      </c>
      <c r="CU30" s="52">
        <v>0</v>
      </c>
      <c r="CV30" s="52">
        <v>7.8025000000003786E-4</v>
      </c>
      <c r="CW30" s="52">
        <v>7.6559999999972206E-3</v>
      </c>
      <c r="CX30" s="52">
        <v>0</v>
      </c>
      <c r="CY30" s="52">
        <v>3.4299999999976016E-4</v>
      </c>
      <c r="CZ30" s="52">
        <v>1.2285000000002988E-3</v>
      </c>
      <c r="DA30" s="52">
        <v>1.1496000000001061E-2</v>
      </c>
      <c r="DB30" s="52">
        <v>4.5650000000012625E-3</v>
      </c>
      <c r="DC30" s="52">
        <v>4.0127500000000094E-3</v>
      </c>
      <c r="DD30" s="52">
        <v>1.1894999999999545E-3</v>
      </c>
      <c r="DE30" s="52">
        <v>0</v>
      </c>
      <c r="DF30" s="52">
        <v>0</v>
      </c>
      <c r="DG30" s="52">
        <v>1.6119999999997248E-3</v>
      </c>
      <c r="DH30" s="52">
        <v>7.8999999999940229E-4</v>
      </c>
      <c r="DI30" s="52">
        <v>0.22233600000004117</v>
      </c>
      <c r="DJ30" s="52">
        <v>0</v>
      </c>
      <c r="DK30" s="52">
        <v>2.8140000000007603E-3</v>
      </c>
      <c r="DL30" s="52">
        <v>1.1157031249999783E-3</v>
      </c>
      <c r="DM30" s="52">
        <v>1.4870000000009043E-3</v>
      </c>
      <c r="DN30" s="52">
        <v>0</v>
      </c>
      <c r="DO30" s="52">
        <v>1.1136000000021795E-2</v>
      </c>
      <c r="DP30" s="52">
        <v>2.1865000000005352E-3</v>
      </c>
      <c r="DQ30" s="52">
        <v>0</v>
      </c>
      <c r="DR30" s="52">
        <v>0</v>
      </c>
      <c r="DS30" s="52">
        <v>7.4048000000004777E-2</v>
      </c>
      <c r="DT30" s="52">
        <v>1.7226999999999215E-2</v>
      </c>
      <c r="DU30" s="52">
        <v>3.8600000000066359E-4</v>
      </c>
      <c r="DV30" s="52">
        <v>5.8374999999966093E-4</v>
      </c>
      <c r="DW30" s="52">
        <v>0</v>
      </c>
      <c r="DX30" s="52">
        <v>3.5439999999997696E-3</v>
      </c>
      <c r="DY30" s="52">
        <v>1.5940625000000486E-3</v>
      </c>
      <c r="DZ30" s="52">
        <v>3.209999999999269E-3</v>
      </c>
      <c r="EA30" s="52">
        <v>0</v>
      </c>
      <c r="EB30" s="52">
        <v>5.8719999999993888E-2</v>
      </c>
      <c r="EC30" s="52">
        <v>3.6560000000008586E-2</v>
      </c>
      <c r="ED30" s="52">
        <v>4.2310000000003178E-3</v>
      </c>
      <c r="EE30" s="52">
        <v>5.5645000000001943E-3</v>
      </c>
      <c r="EF30" s="52">
        <v>0.30170600000019476</v>
      </c>
      <c r="EG30" s="52">
        <v>0</v>
      </c>
      <c r="EH30" s="52">
        <v>1.100799999994706E-2</v>
      </c>
      <c r="EI30" s="52">
        <v>1.4783999999963271E-2</v>
      </c>
      <c r="EJ30" s="52">
        <v>1.8239999999991596E-3</v>
      </c>
      <c r="EK30" s="52">
        <v>0</v>
      </c>
      <c r="EL30" s="52">
        <v>0.12851200000000063</v>
      </c>
      <c r="EM30" s="52">
        <v>3.763200000003053E-2</v>
      </c>
      <c r="EN30" s="52">
        <v>0</v>
      </c>
      <c r="EO30" s="52">
        <v>7.0400000004156027E-4</v>
      </c>
      <c r="EP30" s="52">
        <v>0</v>
      </c>
      <c r="EQ30" s="52">
        <v>0</v>
      </c>
      <c r="ER30" s="52">
        <v>0.10264500000000965</v>
      </c>
      <c r="ES30" s="52">
        <v>0</v>
      </c>
      <c r="ET30" s="52">
        <v>0</v>
      </c>
      <c r="EU30" s="52">
        <v>0</v>
      </c>
      <c r="EV30" s="52">
        <v>0</v>
      </c>
      <c r="EW30" s="52">
        <v>0</v>
      </c>
      <c r="EX30" s="52">
        <v>0</v>
      </c>
      <c r="EY30" s="52">
        <v>0</v>
      </c>
      <c r="EZ30" s="52">
        <v>0</v>
      </c>
      <c r="FA30" s="52">
        <v>0</v>
      </c>
      <c r="FB30" s="52">
        <v>0</v>
      </c>
      <c r="FC30" s="52">
        <v>0</v>
      </c>
      <c r="FD30" s="52">
        <v>0</v>
      </c>
      <c r="FE30" s="52">
        <v>0</v>
      </c>
      <c r="FF30" s="52">
        <v>0</v>
      </c>
      <c r="FG30" s="52">
        <v>0</v>
      </c>
      <c r="FH30" s="52">
        <v>0</v>
      </c>
      <c r="FI30" s="52">
        <v>0</v>
      </c>
      <c r="FJ30" s="52">
        <v>0</v>
      </c>
      <c r="FK30" s="52">
        <v>0</v>
      </c>
      <c r="FL30" s="52">
        <v>0</v>
      </c>
      <c r="FM30" s="52">
        <v>0</v>
      </c>
      <c r="FN30" s="52">
        <v>0</v>
      </c>
      <c r="FO30" s="52">
        <v>0</v>
      </c>
      <c r="FP30" s="52">
        <v>0</v>
      </c>
      <c r="FQ30" s="52">
        <v>0</v>
      </c>
      <c r="FR30" s="52">
        <v>0</v>
      </c>
      <c r="FS30" s="52">
        <v>0</v>
      </c>
      <c r="FT30" s="52">
        <v>0</v>
      </c>
      <c r="FU30" s="52">
        <v>0</v>
      </c>
      <c r="FV30" s="52">
        <v>0</v>
      </c>
      <c r="FW30" s="52">
        <v>0</v>
      </c>
      <c r="FX30" s="52">
        <v>0</v>
      </c>
      <c r="FY30" s="52">
        <v>0</v>
      </c>
      <c r="FZ30" s="52">
        <v>0</v>
      </c>
      <c r="GA30" s="52">
        <v>0</v>
      </c>
      <c r="GB30" s="52">
        <v>0</v>
      </c>
      <c r="GC30" s="52">
        <v>0</v>
      </c>
      <c r="GD30" s="52">
        <v>0</v>
      </c>
      <c r="GE30" s="52">
        <v>0</v>
      </c>
      <c r="GF30" s="52">
        <v>0</v>
      </c>
      <c r="GG30" s="52">
        <v>0</v>
      </c>
      <c r="GH30" s="52">
        <v>0</v>
      </c>
      <c r="GI30" s="52">
        <v>0</v>
      </c>
      <c r="GJ30" s="52">
        <v>0</v>
      </c>
      <c r="GK30" s="52">
        <v>0</v>
      </c>
      <c r="GL30" s="52">
        <v>0</v>
      </c>
      <c r="GM30" s="52">
        <v>0</v>
      </c>
      <c r="GN30" s="52">
        <v>0</v>
      </c>
      <c r="GO30" s="52">
        <v>0</v>
      </c>
      <c r="GP30" s="52">
        <v>0</v>
      </c>
      <c r="GQ30" s="52">
        <v>0</v>
      </c>
      <c r="GR30" s="52">
        <v>0</v>
      </c>
      <c r="GS30" s="52">
        <v>0</v>
      </c>
    </row>
    <row r="31" spans="1:201" ht="17.25" customHeight="1" x14ac:dyDescent="0.25">
      <c r="A31" s="157" t="s">
        <v>50</v>
      </c>
      <c r="B31" s="158">
        <f>SUM(B7:B30)</f>
        <v>22303.375</v>
      </c>
      <c r="C31" s="158">
        <f t="shared" ref="C31:O31" si="0">SUM(C7:C30)</f>
        <v>0</v>
      </c>
      <c r="D31" s="158">
        <f t="shared" si="0"/>
        <v>7.9670260000000326</v>
      </c>
      <c r="E31" s="158">
        <f t="shared" si="0"/>
        <v>6.7715319999999792</v>
      </c>
      <c r="F31" s="158">
        <f t="shared" si="0"/>
        <v>7.5752009999999927</v>
      </c>
      <c r="G31" s="158">
        <f t="shared" si="0"/>
        <v>0</v>
      </c>
      <c r="H31" s="158">
        <f t="shared" si="0"/>
        <v>0</v>
      </c>
      <c r="I31" s="158">
        <f t="shared" si="0"/>
        <v>0</v>
      </c>
      <c r="J31" s="158">
        <f t="shared" si="0"/>
        <v>0</v>
      </c>
      <c r="K31" s="158">
        <f t="shared" si="0"/>
        <v>0</v>
      </c>
      <c r="L31" s="158">
        <f t="shared" si="0"/>
        <v>0</v>
      </c>
      <c r="M31" s="158">
        <f t="shared" si="0"/>
        <v>0</v>
      </c>
      <c r="N31" s="158">
        <f t="shared" si="0"/>
        <v>2.3386729999999716</v>
      </c>
      <c r="O31" s="158">
        <f t="shared" si="0"/>
        <v>2.4217680000000428</v>
      </c>
    </row>
  </sheetData>
  <pageMargins left="0.7" right="0.7" top="0.75" bottom="0.75" header="0.3" footer="0.3"/>
  <pageSetup orientation="portrait" horizontalDpi="360" verticalDpi="360" r:id="rId1"/>
  <headerFooter>
    <oddHeader>&amp;C&amp;"Calibri"&amp;10&amp;KFF0000 CONFIDENTIAL&amp;1#_x000D_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640E-62EF-4EAC-AB59-782A71189A98}">
  <sheetPr codeName="Sheet35"/>
  <dimension ref="A2:D103"/>
  <sheetViews>
    <sheetView workbookViewId="0">
      <selection activeCell="D3" sqref="D3"/>
    </sheetView>
  </sheetViews>
  <sheetFormatPr defaultRowHeight="12.5" x14ac:dyDescent="0.25"/>
  <sheetData>
    <row r="2" spans="1:4" x14ac:dyDescent="0.25">
      <c r="C2" t="s">
        <v>722</v>
      </c>
      <c r="D2" s="93">
        <f>Monthly_kWh!ES40</f>
        <v>20</v>
      </c>
    </row>
    <row r="7" spans="1:4" x14ac:dyDescent="0.25">
      <c r="A7" s="176">
        <v>0.77083333333333337</v>
      </c>
      <c r="C7">
        <v>0</v>
      </c>
    </row>
    <row r="8" spans="1:4" x14ac:dyDescent="0.25">
      <c r="A8" s="176">
        <v>0.78125</v>
      </c>
      <c r="C8">
        <v>0</v>
      </c>
      <c r="D8">
        <v>0</v>
      </c>
    </row>
    <row r="9" spans="1:4" x14ac:dyDescent="0.25">
      <c r="A9" s="176">
        <v>0.79166666666666663</v>
      </c>
      <c r="C9">
        <v>0</v>
      </c>
      <c r="D9">
        <v>0</v>
      </c>
    </row>
    <row r="10" spans="1:4" x14ac:dyDescent="0.25">
      <c r="A10" s="176">
        <v>0.80208333333333337</v>
      </c>
      <c r="C10">
        <v>0</v>
      </c>
      <c r="D10">
        <v>0</v>
      </c>
    </row>
    <row r="11" spans="1:4" x14ac:dyDescent="0.25">
      <c r="A11" s="176">
        <v>0.8125</v>
      </c>
      <c r="C11">
        <v>0</v>
      </c>
      <c r="D11">
        <v>0</v>
      </c>
    </row>
    <row r="12" spans="1:4" x14ac:dyDescent="0.25">
      <c r="A12" s="176">
        <v>0.82291666666666663</v>
      </c>
      <c r="C12">
        <v>0</v>
      </c>
      <c r="D12">
        <v>0</v>
      </c>
    </row>
    <row r="13" spans="1:4" x14ac:dyDescent="0.25">
      <c r="A13" s="176">
        <v>0.83333333333333337</v>
      </c>
      <c r="C13">
        <v>0</v>
      </c>
      <c r="D13">
        <v>0</v>
      </c>
    </row>
    <row r="14" spans="1:4" x14ac:dyDescent="0.25">
      <c r="A14" s="176">
        <v>0.84375</v>
      </c>
      <c r="C14">
        <v>0</v>
      </c>
      <c r="D14">
        <v>0</v>
      </c>
    </row>
    <row r="15" spans="1:4" x14ac:dyDescent="0.25">
      <c r="A15" s="176">
        <v>0.85416666666666663</v>
      </c>
      <c r="C15">
        <v>0</v>
      </c>
      <c r="D15">
        <v>0</v>
      </c>
    </row>
    <row r="16" spans="1:4" x14ac:dyDescent="0.25">
      <c r="A16" s="176">
        <v>0.86458333333333337</v>
      </c>
      <c r="C16">
        <v>0</v>
      </c>
      <c r="D16">
        <v>0</v>
      </c>
    </row>
    <row r="17" spans="1:4" x14ac:dyDescent="0.25">
      <c r="A17" s="176">
        <v>0.875</v>
      </c>
      <c r="C17">
        <v>0</v>
      </c>
      <c r="D17">
        <v>0</v>
      </c>
    </row>
    <row r="18" spans="1:4" x14ac:dyDescent="0.25">
      <c r="A18" s="176">
        <v>0.88541666666666663</v>
      </c>
      <c r="C18">
        <v>0</v>
      </c>
      <c r="D18">
        <v>0</v>
      </c>
    </row>
    <row r="19" spans="1:4" x14ac:dyDescent="0.25">
      <c r="A19" s="176">
        <v>0.89583333333333337</v>
      </c>
      <c r="C19">
        <v>0</v>
      </c>
      <c r="D19">
        <v>0</v>
      </c>
    </row>
    <row r="20" spans="1:4" x14ac:dyDescent="0.25">
      <c r="A20" s="176">
        <v>0.90625</v>
      </c>
      <c r="C20">
        <v>0</v>
      </c>
      <c r="D20">
        <v>0</v>
      </c>
    </row>
    <row r="21" spans="1:4" x14ac:dyDescent="0.25">
      <c r="A21" s="176">
        <v>0.91666666666666663</v>
      </c>
      <c r="C21">
        <v>0</v>
      </c>
      <c r="D21">
        <v>0</v>
      </c>
    </row>
    <row r="22" spans="1:4" x14ac:dyDescent="0.25">
      <c r="A22" s="176">
        <v>0.92708333333333337</v>
      </c>
      <c r="C22">
        <v>0</v>
      </c>
      <c r="D22">
        <v>0</v>
      </c>
    </row>
    <row r="23" spans="1:4" x14ac:dyDescent="0.25">
      <c r="A23" s="176">
        <v>0.9375</v>
      </c>
      <c r="C23">
        <v>0</v>
      </c>
      <c r="D23">
        <v>0</v>
      </c>
    </row>
    <row r="24" spans="1:4" x14ac:dyDescent="0.25">
      <c r="A24" s="176">
        <v>0.94791666666666663</v>
      </c>
      <c r="C24">
        <v>0</v>
      </c>
      <c r="D24">
        <v>0</v>
      </c>
    </row>
    <row r="25" spans="1:4" x14ac:dyDescent="0.25">
      <c r="A25" s="176">
        <v>0.95833333333333337</v>
      </c>
      <c r="C25">
        <v>0</v>
      </c>
      <c r="D25">
        <v>0</v>
      </c>
    </row>
    <row r="26" spans="1:4" x14ac:dyDescent="0.25">
      <c r="A26" s="176">
        <v>0.96875</v>
      </c>
      <c r="C26">
        <v>0</v>
      </c>
      <c r="D26">
        <v>0</v>
      </c>
    </row>
    <row r="27" spans="1:4" x14ac:dyDescent="0.25">
      <c r="A27" s="176">
        <v>0.97916666666666663</v>
      </c>
      <c r="C27">
        <v>0</v>
      </c>
      <c r="D27">
        <v>0</v>
      </c>
    </row>
    <row r="28" spans="1:4" x14ac:dyDescent="0.25">
      <c r="A28" s="176">
        <v>0.98958333333333337</v>
      </c>
      <c r="C28">
        <v>0</v>
      </c>
      <c r="D28">
        <v>0</v>
      </c>
    </row>
    <row r="29" spans="1:4" x14ac:dyDescent="0.25">
      <c r="A29" s="176">
        <v>0</v>
      </c>
      <c r="C29">
        <v>0</v>
      </c>
      <c r="D29">
        <v>0</v>
      </c>
    </row>
    <row r="30" spans="1:4" x14ac:dyDescent="0.25">
      <c r="A30" s="176">
        <v>1.0416666666666666E-2</v>
      </c>
      <c r="C30">
        <v>0</v>
      </c>
      <c r="D30">
        <v>0</v>
      </c>
    </row>
    <row r="31" spans="1:4" x14ac:dyDescent="0.25">
      <c r="A31" s="176">
        <v>2.0833333333333332E-2</v>
      </c>
      <c r="C31">
        <v>0</v>
      </c>
      <c r="D31">
        <v>0</v>
      </c>
    </row>
    <row r="32" spans="1:4" x14ac:dyDescent="0.25">
      <c r="A32" s="176">
        <v>3.125E-2</v>
      </c>
      <c r="C32">
        <v>0</v>
      </c>
      <c r="D32">
        <v>0</v>
      </c>
    </row>
    <row r="33" spans="1:4" x14ac:dyDescent="0.25">
      <c r="A33" s="176">
        <v>4.1666666666666664E-2</v>
      </c>
      <c r="C33">
        <v>0</v>
      </c>
      <c r="D33">
        <v>0</v>
      </c>
    </row>
    <row r="34" spans="1:4" x14ac:dyDescent="0.25">
      <c r="A34" s="176">
        <v>5.2083333333333336E-2</v>
      </c>
      <c r="C34">
        <v>0</v>
      </c>
      <c r="D34">
        <v>0</v>
      </c>
    </row>
    <row r="35" spans="1:4" x14ac:dyDescent="0.25">
      <c r="A35" s="176">
        <v>6.25E-2</v>
      </c>
      <c r="C35">
        <v>0</v>
      </c>
      <c r="D35">
        <v>0</v>
      </c>
    </row>
    <row r="36" spans="1:4" x14ac:dyDescent="0.25">
      <c r="A36" s="176">
        <v>7.2916666666666671E-2</v>
      </c>
      <c r="C36">
        <v>0</v>
      </c>
      <c r="D36">
        <v>0</v>
      </c>
    </row>
    <row r="37" spans="1:4" x14ac:dyDescent="0.25">
      <c r="A37" s="176">
        <v>8.3333333333333329E-2</v>
      </c>
      <c r="C37">
        <v>0</v>
      </c>
      <c r="D37">
        <v>0</v>
      </c>
    </row>
    <row r="38" spans="1:4" x14ac:dyDescent="0.25">
      <c r="A38" s="176">
        <v>9.375E-2</v>
      </c>
      <c r="C38">
        <v>0</v>
      </c>
      <c r="D38">
        <v>0</v>
      </c>
    </row>
    <row r="39" spans="1:4" x14ac:dyDescent="0.25">
      <c r="A39" s="176">
        <v>0.10416666666666667</v>
      </c>
      <c r="C39">
        <v>0</v>
      </c>
      <c r="D39">
        <v>0</v>
      </c>
    </row>
    <row r="40" spans="1:4" x14ac:dyDescent="0.25">
      <c r="A40" s="176">
        <v>0.11458333333333333</v>
      </c>
      <c r="C40">
        <v>0</v>
      </c>
      <c r="D40">
        <v>0</v>
      </c>
    </row>
    <row r="41" spans="1:4" x14ac:dyDescent="0.25">
      <c r="A41" s="176">
        <v>0.125</v>
      </c>
      <c r="C41">
        <v>0</v>
      </c>
      <c r="D41">
        <v>0</v>
      </c>
    </row>
    <row r="42" spans="1:4" x14ac:dyDescent="0.25">
      <c r="A42" s="176">
        <v>0.13541666666666666</v>
      </c>
      <c r="C42">
        <v>0</v>
      </c>
      <c r="D42">
        <v>0</v>
      </c>
    </row>
    <row r="43" spans="1:4" x14ac:dyDescent="0.25">
      <c r="A43" s="176">
        <v>0.14583333333333334</v>
      </c>
      <c r="C43">
        <v>0</v>
      </c>
      <c r="D43">
        <v>0</v>
      </c>
    </row>
    <row r="44" spans="1:4" x14ac:dyDescent="0.25">
      <c r="A44" s="176">
        <v>0.15625</v>
      </c>
      <c r="C44">
        <v>0</v>
      </c>
      <c r="D44">
        <v>0</v>
      </c>
    </row>
    <row r="45" spans="1:4" x14ac:dyDescent="0.25">
      <c r="A45" s="176">
        <v>0.16666666666666666</v>
      </c>
      <c r="C45">
        <v>0</v>
      </c>
      <c r="D45">
        <v>0</v>
      </c>
    </row>
    <row r="46" spans="1:4" x14ac:dyDescent="0.25">
      <c r="A46" s="176">
        <v>0.17708333333333334</v>
      </c>
      <c r="C46">
        <v>0</v>
      </c>
      <c r="D46">
        <v>0</v>
      </c>
    </row>
    <row r="47" spans="1:4" x14ac:dyDescent="0.25">
      <c r="A47" s="176">
        <v>0.1875</v>
      </c>
      <c r="C47">
        <v>0</v>
      </c>
      <c r="D47">
        <v>0</v>
      </c>
    </row>
    <row r="48" spans="1:4" x14ac:dyDescent="0.25">
      <c r="A48" s="176">
        <v>0.19791666666666666</v>
      </c>
      <c r="C48">
        <v>0</v>
      </c>
      <c r="D48">
        <v>0</v>
      </c>
    </row>
    <row r="49" spans="1:4" x14ac:dyDescent="0.25">
      <c r="A49" s="176">
        <v>0.20833333333333334</v>
      </c>
      <c r="C49">
        <v>0</v>
      </c>
      <c r="D49">
        <v>0</v>
      </c>
    </row>
    <row r="50" spans="1:4" x14ac:dyDescent="0.25">
      <c r="A50" s="176">
        <v>0.21875</v>
      </c>
      <c r="C50">
        <v>0</v>
      </c>
      <c r="D50">
        <v>0</v>
      </c>
    </row>
    <row r="51" spans="1:4" x14ac:dyDescent="0.25">
      <c r="A51" s="176">
        <v>0.22916666666666666</v>
      </c>
      <c r="C51">
        <v>0</v>
      </c>
      <c r="D51">
        <v>0</v>
      </c>
    </row>
    <row r="52" spans="1:4" x14ac:dyDescent="0.25">
      <c r="A52" s="176">
        <v>0.23958333333333334</v>
      </c>
      <c r="C52">
        <v>0</v>
      </c>
      <c r="D52">
        <v>0</v>
      </c>
    </row>
    <row r="53" spans="1:4" x14ac:dyDescent="0.25">
      <c r="A53" s="176">
        <v>0.25</v>
      </c>
      <c r="C53">
        <v>0</v>
      </c>
      <c r="D53">
        <v>0</v>
      </c>
    </row>
    <row r="54" spans="1:4" x14ac:dyDescent="0.25">
      <c r="A54" s="176">
        <v>0.26041666666666669</v>
      </c>
      <c r="C54">
        <v>0</v>
      </c>
      <c r="D54">
        <v>0</v>
      </c>
    </row>
    <row r="55" spans="1:4" x14ac:dyDescent="0.25">
      <c r="A55" s="176">
        <v>0.27083333333333331</v>
      </c>
      <c r="C55">
        <v>0</v>
      </c>
      <c r="D55">
        <v>0</v>
      </c>
    </row>
    <row r="56" spans="1:4" x14ac:dyDescent="0.25">
      <c r="A56" s="176">
        <v>0.28125</v>
      </c>
      <c r="C56">
        <v>0</v>
      </c>
      <c r="D56">
        <v>0</v>
      </c>
    </row>
    <row r="57" spans="1:4" x14ac:dyDescent="0.25">
      <c r="A57" s="176">
        <v>0.29166666666666669</v>
      </c>
      <c r="C57">
        <v>0</v>
      </c>
      <c r="D57">
        <v>0</v>
      </c>
    </row>
    <row r="58" spans="1:4" x14ac:dyDescent="0.25">
      <c r="A58" s="176">
        <v>0.30208333333333331</v>
      </c>
      <c r="C58">
        <v>0</v>
      </c>
      <c r="D58">
        <v>0</v>
      </c>
    </row>
    <row r="59" spans="1:4" x14ac:dyDescent="0.25">
      <c r="A59" s="176">
        <v>0.3125</v>
      </c>
      <c r="C59">
        <v>0</v>
      </c>
      <c r="D59">
        <v>0</v>
      </c>
    </row>
    <row r="60" spans="1:4" x14ac:dyDescent="0.25">
      <c r="A60" s="176">
        <v>0.32291666666666669</v>
      </c>
      <c r="C60">
        <v>0</v>
      </c>
      <c r="D60">
        <v>0</v>
      </c>
    </row>
    <row r="61" spans="1:4" x14ac:dyDescent="0.25">
      <c r="A61" s="176">
        <v>0.33333333333333331</v>
      </c>
      <c r="C61">
        <v>0</v>
      </c>
      <c r="D61">
        <v>0</v>
      </c>
    </row>
    <row r="62" spans="1:4" x14ac:dyDescent="0.25">
      <c r="A62" s="176">
        <v>0.34375</v>
      </c>
      <c r="C62">
        <v>0</v>
      </c>
      <c r="D62">
        <v>0</v>
      </c>
    </row>
    <row r="63" spans="1:4" x14ac:dyDescent="0.25">
      <c r="A63" s="176">
        <v>0.35416666666666669</v>
      </c>
      <c r="C63">
        <v>0</v>
      </c>
      <c r="D63">
        <v>0</v>
      </c>
    </row>
    <row r="64" spans="1:4" x14ac:dyDescent="0.25">
      <c r="A64" s="176">
        <v>0.36458333333333331</v>
      </c>
      <c r="C64">
        <v>0</v>
      </c>
      <c r="D64">
        <v>0</v>
      </c>
    </row>
    <row r="65" spans="1:4" x14ac:dyDescent="0.25">
      <c r="A65" s="176">
        <v>0.375</v>
      </c>
      <c r="C65">
        <v>0</v>
      </c>
      <c r="D65">
        <v>0</v>
      </c>
    </row>
    <row r="66" spans="1:4" x14ac:dyDescent="0.25">
      <c r="A66" s="176">
        <v>0.38541666666666669</v>
      </c>
      <c r="C66">
        <v>0</v>
      </c>
      <c r="D66">
        <v>0</v>
      </c>
    </row>
    <row r="67" spans="1:4" x14ac:dyDescent="0.25">
      <c r="A67" s="176">
        <v>0.39583333333333331</v>
      </c>
      <c r="C67">
        <v>0</v>
      </c>
      <c r="D67">
        <v>0</v>
      </c>
    </row>
    <row r="68" spans="1:4" x14ac:dyDescent="0.25">
      <c r="A68" s="176">
        <v>0.40625</v>
      </c>
      <c r="C68">
        <v>0</v>
      </c>
      <c r="D68">
        <v>0</v>
      </c>
    </row>
    <row r="69" spans="1:4" x14ac:dyDescent="0.25">
      <c r="A69" s="176">
        <v>0.41666666666666669</v>
      </c>
      <c r="C69">
        <v>0</v>
      </c>
      <c r="D69">
        <v>0</v>
      </c>
    </row>
    <row r="70" spans="1:4" x14ac:dyDescent="0.25">
      <c r="A70" s="176">
        <v>0.42708333333333331</v>
      </c>
      <c r="C70">
        <v>0</v>
      </c>
      <c r="D70">
        <v>0</v>
      </c>
    </row>
    <row r="71" spans="1:4" x14ac:dyDescent="0.25">
      <c r="A71" s="176">
        <v>0.4375</v>
      </c>
      <c r="C71">
        <v>0</v>
      </c>
      <c r="D71">
        <v>0</v>
      </c>
    </row>
    <row r="72" spans="1:4" x14ac:dyDescent="0.25">
      <c r="A72" s="176">
        <v>0.44791666666666669</v>
      </c>
      <c r="C72">
        <v>0</v>
      </c>
      <c r="D72">
        <v>0</v>
      </c>
    </row>
    <row r="73" spans="1:4" x14ac:dyDescent="0.25">
      <c r="A73" s="176">
        <v>0.45833333333333331</v>
      </c>
      <c r="C73">
        <v>0</v>
      </c>
      <c r="D73">
        <v>0</v>
      </c>
    </row>
    <row r="74" spans="1:4" x14ac:dyDescent="0.25">
      <c r="A74" s="176">
        <v>0.46875</v>
      </c>
      <c r="C74">
        <v>0</v>
      </c>
      <c r="D74">
        <v>0</v>
      </c>
    </row>
    <row r="75" spans="1:4" x14ac:dyDescent="0.25">
      <c r="A75" s="176">
        <v>0.47916666666666669</v>
      </c>
      <c r="C75">
        <v>0</v>
      </c>
      <c r="D75">
        <v>0</v>
      </c>
    </row>
    <row r="76" spans="1:4" x14ac:dyDescent="0.25">
      <c r="A76" s="176">
        <v>0.48958333333333331</v>
      </c>
      <c r="C76">
        <v>0</v>
      </c>
      <c r="D76">
        <v>0</v>
      </c>
    </row>
    <row r="77" spans="1:4" x14ac:dyDescent="0.25">
      <c r="A77" s="176">
        <v>0.5</v>
      </c>
      <c r="C77">
        <v>0</v>
      </c>
      <c r="D77">
        <v>0</v>
      </c>
    </row>
    <row r="78" spans="1:4" x14ac:dyDescent="0.25">
      <c r="A78" s="176">
        <v>0.51041666666666663</v>
      </c>
      <c r="C78">
        <v>0</v>
      </c>
      <c r="D78">
        <v>0</v>
      </c>
    </row>
    <row r="79" spans="1:4" x14ac:dyDescent="0.25">
      <c r="A79" s="176">
        <v>0.52083333333333337</v>
      </c>
      <c r="C79">
        <v>0</v>
      </c>
      <c r="D79">
        <v>0</v>
      </c>
    </row>
    <row r="80" spans="1:4" x14ac:dyDescent="0.25">
      <c r="A80" s="176">
        <v>0.53125</v>
      </c>
      <c r="C80">
        <v>0</v>
      </c>
      <c r="D80">
        <v>0</v>
      </c>
    </row>
    <row r="81" spans="1:4" x14ac:dyDescent="0.25">
      <c r="A81" s="176">
        <v>0.54166666666666663</v>
      </c>
      <c r="C81">
        <v>0</v>
      </c>
      <c r="D81">
        <v>0</v>
      </c>
    </row>
    <row r="82" spans="1:4" x14ac:dyDescent="0.25">
      <c r="A82" s="176">
        <v>0.55208333333333337</v>
      </c>
      <c r="C82">
        <v>0</v>
      </c>
      <c r="D82">
        <v>0</v>
      </c>
    </row>
    <row r="83" spans="1:4" x14ac:dyDescent="0.25">
      <c r="A83" s="176">
        <v>0.5625</v>
      </c>
      <c r="C83">
        <v>0</v>
      </c>
      <c r="D83">
        <v>0</v>
      </c>
    </row>
    <row r="84" spans="1:4" x14ac:dyDescent="0.25">
      <c r="A84" s="176">
        <v>0.57291666666666663</v>
      </c>
      <c r="C84">
        <v>0</v>
      </c>
      <c r="D84">
        <v>0</v>
      </c>
    </row>
    <row r="85" spans="1:4" x14ac:dyDescent="0.25">
      <c r="A85" s="176">
        <v>0.58333333333333337</v>
      </c>
      <c r="C85">
        <v>0</v>
      </c>
      <c r="D85">
        <v>0</v>
      </c>
    </row>
    <row r="86" spans="1:4" x14ac:dyDescent="0.25">
      <c r="A86" s="176">
        <v>0.59375</v>
      </c>
      <c r="C86">
        <v>0</v>
      </c>
      <c r="D86">
        <v>0</v>
      </c>
    </row>
    <row r="87" spans="1:4" x14ac:dyDescent="0.25">
      <c r="A87" s="176">
        <v>0.60416666666666663</v>
      </c>
      <c r="C87">
        <v>0</v>
      </c>
      <c r="D87">
        <v>0</v>
      </c>
    </row>
    <row r="88" spans="1:4" x14ac:dyDescent="0.25">
      <c r="A88" s="176">
        <v>0.61458333333333337</v>
      </c>
      <c r="C88">
        <v>0</v>
      </c>
      <c r="D88">
        <v>0</v>
      </c>
    </row>
    <row r="89" spans="1:4" x14ac:dyDescent="0.25">
      <c r="A89" s="176">
        <v>0.625</v>
      </c>
      <c r="C89">
        <v>0</v>
      </c>
      <c r="D89">
        <v>0</v>
      </c>
    </row>
    <row r="90" spans="1:4" x14ac:dyDescent="0.25">
      <c r="A90" s="176">
        <v>0.63541666666666663</v>
      </c>
      <c r="C90">
        <v>0</v>
      </c>
      <c r="D90">
        <v>0</v>
      </c>
    </row>
    <row r="91" spans="1:4" x14ac:dyDescent="0.25">
      <c r="A91" s="176">
        <v>0.64583333333333337</v>
      </c>
      <c r="C91">
        <v>0</v>
      </c>
      <c r="D91">
        <v>0</v>
      </c>
    </row>
    <row r="92" spans="1:4" x14ac:dyDescent="0.25">
      <c r="A92" s="176">
        <v>0.65625</v>
      </c>
      <c r="C92">
        <v>0</v>
      </c>
      <c r="D92">
        <v>0</v>
      </c>
    </row>
    <row r="93" spans="1:4" x14ac:dyDescent="0.25">
      <c r="A93" s="176">
        <v>0.66666666666666663</v>
      </c>
      <c r="C93">
        <v>0</v>
      </c>
      <c r="D93">
        <v>0</v>
      </c>
    </row>
    <row r="94" spans="1:4" x14ac:dyDescent="0.25">
      <c r="A94" s="176">
        <v>0.67708333333333337</v>
      </c>
      <c r="C94">
        <v>0</v>
      </c>
      <c r="D94">
        <v>0</v>
      </c>
    </row>
    <row r="95" spans="1:4" x14ac:dyDescent="0.25">
      <c r="A95" s="176">
        <v>0.6875</v>
      </c>
      <c r="C95">
        <v>0</v>
      </c>
      <c r="D95">
        <v>0</v>
      </c>
    </row>
    <row r="96" spans="1:4" x14ac:dyDescent="0.25">
      <c r="A96" s="176">
        <v>0.69791666666666663</v>
      </c>
      <c r="C96">
        <v>0</v>
      </c>
      <c r="D96">
        <v>0</v>
      </c>
    </row>
    <row r="97" spans="1:4" x14ac:dyDescent="0.25">
      <c r="A97" s="176">
        <v>0.70833333333333337</v>
      </c>
      <c r="C97">
        <v>0</v>
      </c>
      <c r="D97">
        <v>0</v>
      </c>
    </row>
    <row r="98" spans="1:4" x14ac:dyDescent="0.25">
      <c r="A98" s="176">
        <v>0.71875</v>
      </c>
      <c r="C98">
        <v>0</v>
      </c>
      <c r="D98">
        <v>0</v>
      </c>
    </row>
    <row r="99" spans="1:4" x14ac:dyDescent="0.25">
      <c r="A99" s="176">
        <v>0.72916666666666663</v>
      </c>
      <c r="C99">
        <v>0</v>
      </c>
      <c r="D99">
        <v>0</v>
      </c>
    </row>
    <row r="100" spans="1:4" x14ac:dyDescent="0.25">
      <c r="A100" s="176">
        <v>0.73958333333333337</v>
      </c>
      <c r="C100">
        <v>0</v>
      </c>
      <c r="D100">
        <v>0</v>
      </c>
    </row>
    <row r="101" spans="1:4" x14ac:dyDescent="0.25">
      <c r="A101" s="176">
        <v>0.75</v>
      </c>
      <c r="C101">
        <v>0</v>
      </c>
      <c r="D101">
        <v>0</v>
      </c>
    </row>
    <row r="102" spans="1:4" x14ac:dyDescent="0.25">
      <c r="A102" s="176">
        <v>0.76041666666666663</v>
      </c>
      <c r="C102">
        <v>0</v>
      </c>
      <c r="D102">
        <v>0</v>
      </c>
    </row>
    <row r="103" spans="1:4" x14ac:dyDescent="0.25">
      <c r="A103" s="176">
        <v>0.77083333333333337</v>
      </c>
      <c r="C103">
        <v>0</v>
      </c>
      <c r="D103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2"/>
  <dimension ref="A3:GS40"/>
  <sheetViews>
    <sheetView workbookViewId="0">
      <selection activeCell="D33" sqref="D33"/>
    </sheetView>
  </sheetViews>
  <sheetFormatPr defaultColWidth="17.54296875" defaultRowHeight="12.5" x14ac:dyDescent="0.25"/>
  <cols>
    <col min="1" max="1" width="17.54296875" style="83"/>
    <col min="2" max="2" width="17.54296875" customWidth="1"/>
    <col min="148" max="151" width="0" hidden="1" customWidth="1"/>
  </cols>
  <sheetData>
    <row r="3" spans="1:201" ht="4" customHeight="1" thickBot="1" x14ac:dyDescent="0.3"/>
    <row r="4" spans="1:201" ht="13" hidden="1" thickBot="1" x14ac:dyDescent="0.3"/>
    <row r="5" spans="1:201" ht="31" customHeight="1" x14ac:dyDescent="0.25">
      <c r="A5" s="84"/>
      <c r="B5" s="305" t="str">
        <f>'Feeder Names'!D1&amp; " - " &amp;"Monthly Consumption Report"</f>
        <v xml:space="preserve"> - Monthly Consumption Report</v>
      </c>
      <c r="C5" s="306"/>
      <c r="D5" s="306"/>
      <c r="E5" s="306"/>
      <c r="F5" s="306"/>
      <c r="G5" s="306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  <c r="AD5" s="92"/>
      <c r="AE5" s="92"/>
      <c r="AF5" s="92"/>
      <c r="AG5" s="92"/>
      <c r="AH5" s="92"/>
      <c r="AI5" s="92"/>
      <c r="AJ5" s="92"/>
      <c r="AK5" s="92"/>
      <c r="AL5" s="92"/>
      <c r="AM5" s="92"/>
      <c r="AN5" s="92"/>
      <c r="AO5" s="92"/>
      <c r="AP5" s="92"/>
      <c r="AQ5" s="92"/>
      <c r="AR5" s="92"/>
      <c r="AS5" s="92"/>
      <c r="AT5" s="92"/>
      <c r="AU5" s="92"/>
      <c r="AV5" s="92"/>
      <c r="AW5" s="92"/>
      <c r="AX5" s="92"/>
      <c r="AY5" s="92"/>
      <c r="AZ5" s="92"/>
      <c r="BA5" s="92"/>
      <c r="BB5" s="92"/>
      <c r="BC5" s="92"/>
      <c r="BD5" s="92"/>
      <c r="BE5" s="92"/>
      <c r="BF5" s="92"/>
      <c r="BG5" s="92"/>
      <c r="BH5" s="92"/>
      <c r="BI5" s="92"/>
      <c r="BJ5" s="92"/>
      <c r="BK5" s="92"/>
      <c r="BL5" s="92"/>
      <c r="BM5" s="92"/>
      <c r="BN5" s="92"/>
      <c r="BO5" s="92"/>
      <c r="BP5" s="92"/>
      <c r="BQ5" s="92"/>
      <c r="BR5" s="92"/>
      <c r="BS5" s="92"/>
      <c r="BT5" s="92"/>
      <c r="BU5" s="92"/>
      <c r="BV5" s="92"/>
      <c r="BW5" s="92"/>
      <c r="BX5" s="92"/>
      <c r="BY5" s="92"/>
      <c r="BZ5" s="92"/>
      <c r="CA5" s="92"/>
      <c r="CB5" s="92"/>
      <c r="CC5" s="92"/>
      <c r="CD5" s="92"/>
      <c r="CE5" s="92"/>
      <c r="CF5" s="92"/>
      <c r="CG5" s="92"/>
      <c r="CH5" s="92"/>
      <c r="CI5" s="92"/>
      <c r="CJ5" s="92"/>
      <c r="CK5" s="92"/>
      <c r="CL5" s="92"/>
      <c r="CM5" s="92"/>
      <c r="CN5" s="92"/>
      <c r="CO5" s="92"/>
      <c r="CP5" s="92"/>
      <c r="CQ5" s="92"/>
      <c r="CR5" s="304"/>
      <c r="CS5" s="304"/>
      <c r="CT5" s="304"/>
      <c r="CU5" s="304"/>
      <c r="CV5" s="304"/>
    </row>
    <row r="6" spans="1:201" s="86" customFormat="1" ht="65" x14ac:dyDescent="0.3">
      <c r="A6" s="85" t="e">
        <f>#REF!</f>
        <v>#REF!</v>
      </c>
      <c r="B6" s="33" t="s">
        <v>238</v>
      </c>
      <c r="C6" s="33" t="s">
        <v>239</v>
      </c>
      <c r="D6" s="33" t="s">
        <v>240</v>
      </c>
      <c r="E6" s="33" t="s">
        <v>241</v>
      </c>
      <c r="F6" s="33" t="s">
        <v>242</v>
      </c>
      <c r="G6" s="33" t="s">
        <v>243</v>
      </c>
      <c r="H6" s="33" t="s">
        <v>248</v>
      </c>
      <c r="I6" s="33" t="s">
        <v>247</v>
      </c>
      <c r="J6" s="33" t="s">
        <v>246</v>
      </c>
      <c r="K6" s="33" t="s">
        <v>245</v>
      </c>
      <c r="L6" s="33" t="s">
        <v>244</v>
      </c>
      <c r="M6" s="33" t="s">
        <v>249</v>
      </c>
      <c r="N6" s="33" t="s">
        <v>250</v>
      </c>
      <c r="O6" s="33" t="s">
        <v>251</v>
      </c>
      <c r="P6" s="33" t="s">
        <v>252</v>
      </c>
      <c r="Q6" s="33" t="s">
        <v>253</v>
      </c>
      <c r="R6" s="33" t="s">
        <v>254</v>
      </c>
      <c r="S6" s="33" t="s">
        <v>255</v>
      </c>
      <c r="T6" s="33" t="s">
        <v>256</v>
      </c>
      <c r="U6" s="33" t="s">
        <v>138</v>
      </c>
      <c r="V6" s="33" t="s">
        <v>139</v>
      </c>
      <c r="W6" s="33" t="s">
        <v>140</v>
      </c>
      <c r="X6" s="33" t="s">
        <v>141</v>
      </c>
      <c r="Y6" s="33" t="s">
        <v>142</v>
      </c>
      <c r="Z6" s="33" t="s">
        <v>143</v>
      </c>
      <c r="AA6" s="33" t="s">
        <v>144</v>
      </c>
      <c r="AB6" s="33" t="s">
        <v>145</v>
      </c>
      <c r="AC6" s="33" t="s">
        <v>146</v>
      </c>
      <c r="AD6" s="33" t="s">
        <v>147</v>
      </c>
      <c r="AE6" s="33" t="s">
        <v>148</v>
      </c>
      <c r="AF6" s="33" t="s">
        <v>149</v>
      </c>
      <c r="AG6" s="33" t="s">
        <v>150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257</v>
      </c>
      <c r="AS6" s="33" t="s">
        <v>258</v>
      </c>
      <c r="AT6" s="33" t="s">
        <v>259</v>
      </c>
      <c r="AU6" s="33" t="s">
        <v>260</v>
      </c>
      <c r="AV6" s="33" t="s">
        <v>261</v>
      </c>
      <c r="AW6" s="33" t="s">
        <v>262</v>
      </c>
      <c r="AX6" s="33" t="s">
        <v>263</v>
      </c>
      <c r="AY6" s="33" t="s">
        <v>264</v>
      </c>
      <c r="AZ6" s="33" t="s">
        <v>265</v>
      </c>
      <c r="BA6" s="33" t="s">
        <v>266</v>
      </c>
      <c r="BB6" s="33" t="s">
        <v>267</v>
      </c>
      <c r="BC6" s="33" t="s">
        <v>268</v>
      </c>
      <c r="BD6" s="33" t="s">
        <v>269</v>
      </c>
      <c r="BE6" s="33" t="s">
        <v>270</v>
      </c>
      <c r="BF6" s="33" t="s">
        <v>271</v>
      </c>
      <c r="BG6" s="33" t="s">
        <v>272</v>
      </c>
      <c r="BH6" s="33" t="s">
        <v>273</v>
      </c>
      <c r="BI6" s="33" t="s">
        <v>274</v>
      </c>
      <c r="BJ6" s="33" t="s">
        <v>275</v>
      </c>
      <c r="BK6" s="33" t="s">
        <v>276</v>
      </c>
      <c r="BL6" s="33" t="s">
        <v>277</v>
      </c>
      <c r="BM6" s="33" t="s">
        <v>278</v>
      </c>
      <c r="BN6" s="33" t="s">
        <v>279</v>
      </c>
      <c r="BO6" s="33" t="s">
        <v>280</v>
      </c>
      <c r="BP6" s="33" t="s">
        <v>281</v>
      </c>
      <c r="BQ6" s="33" t="s">
        <v>282</v>
      </c>
      <c r="BR6" s="33" t="s">
        <v>283</v>
      </c>
      <c r="BS6" s="33" t="s">
        <v>284</v>
      </c>
      <c r="BT6" s="33" t="s">
        <v>285</v>
      </c>
      <c r="BU6" s="33" t="s">
        <v>286</v>
      </c>
      <c r="BV6" s="33" t="s">
        <v>287</v>
      </c>
      <c r="BW6" s="33" t="s">
        <v>288</v>
      </c>
      <c r="BX6" s="33" t="s">
        <v>289</v>
      </c>
      <c r="BY6" s="33" t="s">
        <v>290</v>
      </c>
      <c r="BZ6" s="33" t="s">
        <v>291</v>
      </c>
      <c r="CA6" s="33" t="s">
        <v>292</v>
      </c>
      <c r="CB6" s="33" t="s">
        <v>293</v>
      </c>
      <c r="CC6" s="33" t="s">
        <v>294</v>
      </c>
      <c r="CD6" s="33" t="s">
        <v>295</v>
      </c>
      <c r="CE6" s="33" t="s">
        <v>296</v>
      </c>
      <c r="CF6" s="33" t="s">
        <v>297</v>
      </c>
      <c r="CG6" s="33" t="s">
        <v>298</v>
      </c>
      <c r="CH6" s="33" t="s">
        <v>299</v>
      </c>
      <c r="CI6" s="33" t="s">
        <v>300</v>
      </c>
      <c r="CJ6" s="33" t="s">
        <v>301</v>
      </c>
      <c r="CK6" s="33" t="s">
        <v>302</v>
      </c>
      <c r="CL6" s="33" t="s">
        <v>303</v>
      </c>
      <c r="CM6" s="33" t="s">
        <v>304</v>
      </c>
      <c r="CN6" s="33" t="s">
        <v>305</v>
      </c>
      <c r="CO6" s="33" t="s">
        <v>306</v>
      </c>
      <c r="CP6" s="33" t="s">
        <v>307</v>
      </c>
      <c r="CQ6" s="33" t="s">
        <v>308</v>
      </c>
      <c r="CR6" s="33" t="s">
        <v>309</v>
      </c>
      <c r="CS6" s="33" t="s">
        <v>310</v>
      </c>
      <c r="CT6" s="33" t="s">
        <v>311</v>
      </c>
      <c r="CU6" s="33" t="s">
        <v>312</v>
      </c>
      <c r="CV6" s="33" t="s">
        <v>313</v>
      </c>
      <c r="CW6" s="33" t="s">
        <v>314</v>
      </c>
      <c r="CX6" s="33" t="s">
        <v>315</v>
      </c>
      <c r="CY6" s="33" t="s">
        <v>316</v>
      </c>
      <c r="CZ6" s="33" t="s">
        <v>317</v>
      </c>
      <c r="DA6" s="33" t="s">
        <v>318</v>
      </c>
      <c r="DB6" s="33" t="s">
        <v>319</v>
      </c>
      <c r="DC6" s="33" t="s">
        <v>320</v>
      </c>
      <c r="DD6" s="33" t="s">
        <v>321</v>
      </c>
      <c r="DE6" s="33" t="s">
        <v>322</v>
      </c>
      <c r="DF6" s="33" t="s">
        <v>323</v>
      </c>
      <c r="DG6" s="33" t="s">
        <v>324</v>
      </c>
      <c r="DH6" s="33" t="s">
        <v>325</v>
      </c>
      <c r="DI6" s="33" t="s">
        <v>326</v>
      </c>
      <c r="DJ6" s="33" t="s">
        <v>327</v>
      </c>
      <c r="DK6" s="33" t="s">
        <v>328</v>
      </c>
      <c r="DL6" s="33" t="s">
        <v>329</v>
      </c>
      <c r="DM6" s="33" t="s">
        <v>330</v>
      </c>
      <c r="DN6" s="33" t="s">
        <v>331</v>
      </c>
      <c r="DO6" s="33" t="s">
        <v>332</v>
      </c>
      <c r="DP6" s="33" t="s">
        <v>333</v>
      </c>
      <c r="DQ6" s="33" t="s">
        <v>334</v>
      </c>
      <c r="DR6" s="33" t="s">
        <v>335</v>
      </c>
      <c r="DS6" s="33" t="s">
        <v>336</v>
      </c>
      <c r="DT6" s="33" t="s">
        <v>337</v>
      </c>
      <c r="DU6" s="33" t="s">
        <v>338</v>
      </c>
      <c r="DV6" s="33" t="s">
        <v>339</v>
      </c>
      <c r="DW6" s="33" t="s">
        <v>340</v>
      </c>
      <c r="DX6" s="33" t="s">
        <v>341</v>
      </c>
      <c r="DY6" s="33" t="s">
        <v>342</v>
      </c>
      <c r="DZ6" s="33" t="s">
        <v>343</v>
      </c>
      <c r="EA6" s="33" t="s">
        <v>344</v>
      </c>
      <c r="EB6" s="33" t="s">
        <v>345</v>
      </c>
      <c r="EC6" s="33" t="s">
        <v>346</v>
      </c>
      <c r="ED6" s="33" t="s">
        <v>347</v>
      </c>
      <c r="EE6" s="33" t="s">
        <v>348</v>
      </c>
      <c r="EF6" s="33" t="s">
        <v>349</v>
      </c>
      <c r="EG6" s="33" t="s">
        <v>350</v>
      </c>
      <c r="EH6" s="33" t="s">
        <v>351</v>
      </c>
      <c r="EI6" s="33" t="s">
        <v>352</v>
      </c>
      <c r="EJ6" s="33" t="s">
        <v>353</v>
      </c>
      <c r="EK6" s="33" t="s">
        <v>354</v>
      </c>
      <c r="EL6" s="33" t="s">
        <v>355</v>
      </c>
      <c r="EM6" s="33" t="s">
        <v>356</v>
      </c>
      <c r="EN6" s="33" t="s">
        <v>357</v>
      </c>
      <c r="EO6" s="33" t="s">
        <v>358</v>
      </c>
      <c r="EP6" s="33" t="s">
        <v>359</v>
      </c>
      <c r="EQ6" s="33" t="str">
        <f>'Feeder Names'!ET3</f>
        <v>MLTP5.SPARE-6</v>
      </c>
    </row>
    <row r="7" spans="1:201" s="30" customFormat="1" ht="13" x14ac:dyDescent="0.25">
      <c r="A7" s="87">
        <v>1</v>
      </c>
      <c r="B7" s="128">
        <v>19.095375000000001</v>
      </c>
      <c r="C7" s="128">
        <v>0</v>
      </c>
      <c r="D7" s="128">
        <v>7.8006179999999903</v>
      </c>
      <c r="E7" s="128">
        <v>6.5496829999999902</v>
      </c>
      <c r="F7" s="128">
        <v>7.3624780000000101</v>
      </c>
      <c r="G7" s="128">
        <v>2.4491809999999998</v>
      </c>
      <c r="H7" s="128">
        <v>1.1306940000000001</v>
      </c>
      <c r="I7" s="128">
        <v>2.9304000000000201E-2</v>
      </c>
      <c r="J7" s="128">
        <v>1.9365E-2</v>
      </c>
      <c r="K7" s="128">
        <v>0</v>
      </c>
      <c r="L7" s="128">
        <v>1.1772590000000001</v>
      </c>
      <c r="M7" s="128">
        <v>2.4356</v>
      </c>
      <c r="N7" s="128">
        <v>3.0835920000000101</v>
      </c>
      <c r="O7" s="128">
        <v>4.4081350000000201</v>
      </c>
      <c r="P7" s="128">
        <v>0.31327100000000002</v>
      </c>
      <c r="Q7" s="128">
        <v>0</v>
      </c>
      <c r="R7" s="128">
        <v>7.6124159999999401</v>
      </c>
      <c r="S7" s="128">
        <v>6.36057600000004</v>
      </c>
      <c r="T7" s="128">
        <v>7.1720959999984197</v>
      </c>
      <c r="U7" s="128">
        <v>0.488452000000002</v>
      </c>
      <c r="V7" s="128">
        <v>0.12542200000000001</v>
      </c>
      <c r="W7" s="128">
        <v>6.9478000000000206E-2</v>
      </c>
      <c r="X7" s="128">
        <v>7.6923000000000699E-2</v>
      </c>
      <c r="Y7" s="128">
        <v>0</v>
      </c>
      <c r="Z7" s="128">
        <v>4.5669999999999399E-2</v>
      </c>
      <c r="AA7" s="128">
        <v>0.117824000000002</v>
      </c>
      <c r="AB7" s="128">
        <v>0.155553999999999</v>
      </c>
      <c r="AC7" s="128">
        <v>0.121901999999999</v>
      </c>
      <c r="AD7" s="128">
        <v>4.8970999999999897E-2</v>
      </c>
      <c r="AE7" s="128">
        <v>7.5290000000001198E-3</v>
      </c>
      <c r="AF7" s="128">
        <v>0</v>
      </c>
      <c r="AG7" s="128">
        <v>1.4335000000000001E-2</v>
      </c>
      <c r="AH7" s="128">
        <v>1.90896000000004</v>
      </c>
      <c r="AI7" s="128">
        <v>0</v>
      </c>
      <c r="AJ7" s="128">
        <v>2.9724000000000299E-2</v>
      </c>
      <c r="AK7" s="128">
        <v>0</v>
      </c>
      <c r="AL7" s="128">
        <v>0.29877600000000398</v>
      </c>
      <c r="AM7" s="128">
        <v>0.50517200000000195</v>
      </c>
      <c r="AN7" s="128">
        <v>0.40038800000000002</v>
      </c>
      <c r="AO7" s="128">
        <v>0.13717399999999799</v>
      </c>
      <c r="AP7" s="128">
        <v>8.4936999999999999E-2</v>
      </c>
      <c r="AQ7" s="128">
        <v>0.323052000000004</v>
      </c>
      <c r="AR7" s="128">
        <v>5.1399680000000103</v>
      </c>
      <c r="AS7" s="128">
        <v>5.3467500000000001E-2</v>
      </c>
      <c r="AT7" s="128">
        <v>0</v>
      </c>
      <c r="AU7" s="128">
        <v>4.3623999999994098E-2</v>
      </c>
      <c r="AV7" s="128">
        <v>1.99400000000001E-2</v>
      </c>
      <c r="AW7" s="128">
        <v>2.0004480000000102</v>
      </c>
      <c r="AX7" s="128">
        <v>0</v>
      </c>
      <c r="AY7" s="128">
        <v>6.1205999999999899E-2</v>
      </c>
      <c r="AZ7" s="128">
        <v>5.9999999999504902E-6</v>
      </c>
      <c r="BA7" s="128">
        <v>0</v>
      </c>
      <c r="BB7" s="128">
        <v>0</v>
      </c>
      <c r="BC7" s="128">
        <v>0</v>
      </c>
      <c r="BD7" s="128">
        <v>4.09087499999994E-3</v>
      </c>
      <c r="BE7" s="128">
        <v>0.26000799999999902</v>
      </c>
      <c r="BF7" s="128">
        <v>0</v>
      </c>
      <c r="BG7" s="128">
        <v>1.9549999999998801E-2</v>
      </c>
      <c r="BH7" s="128">
        <v>6.4395999999998593E-2</v>
      </c>
      <c r="BI7" s="128">
        <v>2.3321919999999898</v>
      </c>
      <c r="BJ7" s="128">
        <v>2.8700000000014798E-4</v>
      </c>
      <c r="BK7" s="128">
        <v>6.2844000000000094E-2</v>
      </c>
      <c r="BL7" s="128">
        <v>0.23453999999998101</v>
      </c>
      <c r="BM7" s="128">
        <v>1.79214400000001</v>
      </c>
      <c r="BN7" s="128">
        <v>0</v>
      </c>
      <c r="BO7" s="128">
        <v>3.9108874999999897E-2</v>
      </c>
      <c r="BP7" s="128">
        <v>0</v>
      </c>
      <c r="BQ7" s="128">
        <v>0</v>
      </c>
      <c r="BR7" s="128">
        <v>6.7932812500000102E-3</v>
      </c>
      <c r="BS7" s="128">
        <v>0</v>
      </c>
      <c r="BT7" s="128">
        <v>0.26557199999999898</v>
      </c>
      <c r="BU7" s="128">
        <v>1.0176749999999801E-2</v>
      </c>
      <c r="BV7" s="128">
        <v>0</v>
      </c>
      <c r="BW7" s="128">
        <v>0</v>
      </c>
      <c r="BX7" s="128">
        <v>9.6188437499999894E-3</v>
      </c>
      <c r="BY7" s="128">
        <v>0</v>
      </c>
      <c r="BZ7" s="128">
        <v>1.0216799999999999</v>
      </c>
      <c r="CA7" s="128">
        <v>0.285911999999996</v>
      </c>
      <c r="CB7" s="128">
        <v>0</v>
      </c>
      <c r="CC7" s="128">
        <v>0</v>
      </c>
      <c r="CD7" s="128">
        <v>0</v>
      </c>
      <c r="CE7" s="128">
        <v>0</v>
      </c>
      <c r="CF7" s="128">
        <v>4.3808999999999501E-2</v>
      </c>
      <c r="CG7" s="128">
        <v>0</v>
      </c>
      <c r="CH7" s="128">
        <v>0</v>
      </c>
      <c r="CI7" s="128">
        <v>0</v>
      </c>
      <c r="CJ7" s="128">
        <v>0</v>
      </c>
      <c r="CK7" s="128">
        <v>0</v>
      </c>
      <c r="CL7" s="128">
        <v>3.3316800000000102</v>
      </c>
      <c r="CM7" s="128">
        <v>4.6567679999999401</v>
      </c>
      <c r="CN7" s="128">
        <v>3.7720499999999803E-2</v>
      </c>
      <c r="CO7" s="128">
        <v>0.83268599999999504</v>
      </c>
      <c r="CP7" s="128">
        <v>0</v>
      </c>
      <c r="CQ7" s="128">
        <v>1.8749999997069701E-7</v>
      </c>
      <c r="CR7" s="128">
        <v>9.2192500000000302E-2</v>
      </c>
      <c r="CS7" s="128">
        <v>0</v>
      </c>
      <c r="CT7" s="128">
        <v>0.19378400000000101</v>
      </c>
      <c r="CU7" s="128">
        <v>0</v>
      </c>
      <c r="CV7" s="128">
        <v>2.1271124999999901E-2</v>
      </c>
      <c r="CW7" s="128">
        <v>0</v>
      </c>
      <c r="CX7" s="128">
        <v>0.25104399999999999</v>
      </c>
      <c r="CY7" s="128">
        <v>1.5100000000000099E-2</v>
      </c>
      <c r="CZ7" s="128">
        <v>1.09231249999997E-2</v>
      </c>
      <c r="DA7" s="128">
        <v>0.37706800000000101</v>
      </c>
      <c r="DB7" s="128">
        <v>0.137928</v>
      </c>
      <c r="DC7" s="128">
        <v>3.9072000000004402E-2</v>
      </c>
      <c r="DD7" s="128">
        <v>2.4585999999999299E-2</v>
      </c>
      <c r="DE7" s="128">
        <v>0</v>
      </c>
      <c r="DF7" s="128">
        <v>0</v>
      </c>
      <c r="DG7" s="128">
        <v>0</v>
      </c>
      <c r="DH7" s="128">
        <v>0.83674000000002002</v>
      </c>
      <c r="DI7" s="128">
        <v>5.0569280000000303</v>
      </c>
      <c r="DJ7" s="128">
        <v>0</v>
      </c>
      <c r="DK7" s="128">
        <v>6.4578000000000899E-2</v>
      </c>
      <c r="DL7" s="128">
        <v>1.93250000000003E-2</v>
      </c>
      <c r="DM7" s="128">
        <v>4.8429000000000499E-2</v>
      </c>
      <c r="DN7" s="128">
        <v>1.4793749999997299E-4</v>
      </c>
      <c r="DO7" s="128">
        <v>0.74551999999999896</v>
      </c>
      <c r="DP7" s="128">
        <v>4.43825000000002E-2</v>
      </c>
      <c r="DQ7" s="128">
        <v>0</v>
      </c>
      <c r="DR7" s="128">
        <v>0</v>
      </c>
      <c r="DS7" s="128">
        <v>1.4302400000000299</v>
      </c>
      <c r="DT7" s="128">
        <v>0.40287999999999602</v>
      </c>
      <c r="DU7" s="128">
        <v>1.7873000000001599E-2</v>
      </c>
      <c r="DV7" s="128">
        <v>5.0045000000000801E-3</v>
      </c>
      <c r="DW7" s="128">
        <v>0</v>
      </c>
      <c r="DX7" s="128">
        <v>0.20585724999999999</v>
      </c>
      <c r="DY7" s="128">
        <v>9.7473203125000001E-3</v>
      </c>
      <c r="DZ7" s="128">
        <v>7.8861999999997295E-2</v>
      </c>
      <c r="EA7" s="128">
        <v>1.8553750000001E-3</v>
      </c>
      <c r="EB7" s="128">
        <v>1.3737599999999801</v>
      </c>
      <c r="EC7" s="128">
        <v>0.63464000000001897</v>
      </c>
      <c r="ED7" s="128">
        <v>3.0183749999999999E-2</v>
      </c>
      <c r="EE7" s="128">
        <v>7.2121600000000399</v>
      </c>
      <c r="EF7" s="128">
        <v>10.8305730000002</v>
      </c>
      <c r="EG7" s="128">
        <v>0</v>
      </c>
      <c r="EH7" s="128">
        <v>0.54335999999989304</v>
      </c>
      <c r="EI7" s="128">
        <v>0.47455999999999698</v>
      </c>
      <c r="EJ7" s="128">
        <v>4.2623999999989302E-2</v>
      </c>
      <c r="EK7" s="128">
        <v>0</v>
      </c>
      <c r="EL7" s="128">
        <v>1.9133440000000499</v>
      </c>
      <c r="EM7" s="128">
        <v>2.05798400000003</v>
      </c>
      <c r="EN7" s="128">
        <v>3.58297599999969</v>
      </c>
      <c r="EO7" s="128">
        <v>1.8111999999973701E-2</v>
      </c>
      <c r="EP7" s="128">
        <v>0</v>
      </c>
      <c r="EQ7" s="128">
        <v>0</v>
      </c>
      <c r="ER7" s="129">
        <v>0</v>
      </c>
      <c r="ES7" s="129">
        <v>0</v>
      </c>
      <c r="ET7" s="129">
        <v>0</v>
      </c>
      <c r="EU7" s="129">
        <v>0</v>
      </c>
      <c r="EV7" s="129">
        <v>0</v>
      </c>
      <c r="EW7" s="129">
        <v>0</v>
      </c>
      <c r="EX7" s="129">
        <v>0</v>
      </c>
      <c r="EY7" s="129">
        <v>0</v>
      </c>
      <c r="EZ7" s="129">
        <v>0</v>
      </c>
      <c r="FA7" s="129">
        <v>0</v>
      </c>
      <c r="FB7" s="129">
        <v>0</v>
      </c>
      <c r="FC7" s="129">
        <v>0</v>
      </c>
      <c r="FD7" s="129">
        <v>0</v>
      </c>
      <c r="FE7" s="129">
        <v>0</v>
      </c>
      <c r="FF7" s="129">
        <v>0</v>
      </c>
      <c r="FG7" s="129">
        <v>0</v>
      </c>
      <c r="FH7" s="129">
        <v>0</v>
      </c>
      <c r="FI7" s="129">
        <v>0</v>
      </c>
      <c r="FJ7" s="129">
        <v>0</v>
      </c>
      <c r="FK7" s="129">
        <v>0</v>
      </c>
      <c r="FL7" s="129">
        <v>0</v>
      </c>
      <c r="FM7" s="129">
        <v>0</v>
      </c>
      <c r="FN7" s="129">
        <v>0</v>
      </c>
      <c r="FO7" s="129">
        <v>0</v>
      </c>
      <c r="FP7" s="129">
        <v>0</v>
      </c>
      <c r="FQ7" s="129">
        <v>0</v>
      </c>
      <c r="FR7" s="129">
        <v>0</v>
      </c>
      <c r="FS7" s="129">
        <v>0</v>
      </c>
      <c r="FT7" s="129">
        <v>0</v>
      </c>
      <c r="FU7" s="129">
        <v>0</v>
      </c>
      <c r="FV7" s="129">
        <v>0</v>
      </c>
      <c r="FW7" s="129">
        <v>0</v>
      </c>
      <c r="FX7" s="129">
        <v>0</v>
      </c>
      <c r="FY7" s="129">
        <v>0</v>
      </c>
      <c r="FZ7" s="129">
        <v>0</v>
      </c>
      <c r="GA7" s="129">
        <v>0</v>
      </c>
      <c r="GB7" s="129">
        <v>0</v>
      </c>
      <c r="GC7" s="129">
        <v>0</v>
      </c>
      <c r="GD7" s="129">
        <v>0</v>
      </c>
      <c r="GE7" s="129">
        <v>0</v>
      </c>
      <c r="GF7" s="129">
        <v>0</v>
      </c>
      <c r="GG7" s="129">
        <v>0</v>
      </c>
      <c r="GH7" s="129">
        <v>0</v>
      </c>
      <c r="GI7" s="129">
        <v>0</v>
      </c>
      <c r="GJ7" s="129">
        <v>0</v>
      </c>
      <c r="GK7" s="129">
        <v>0</v>
      </c>
      <c r="GL7" s="129">
        <v>0</v>
      </c>
      <c r="GM7" s="129">
        <v>0</v>
      </c>
      <c r="GN7" s="129">
        <v>0</v>
      </c>
      <c r="GO7" s="129">
        <v>0</v>
      </c>
      <c r="GP7" s="129">
        <v>0</v>
      </c>
      <c r="GQ7" s="129">
        <v>0</v>
      </c>
      <c r="GR7" s="129">
        <v>0</v>
      </c>
      <c r="GS7" s="129">
        <v>0</v>
      </c>
    </row>
    <row r="8" spans="1:201" s="30" customFormat="1" ht="13" x14ac:dyDescent="0.25">
      <c r="A8" s="87">
        <v>2</v>
      </c>
      <c r="B8" s="128">
        <v>15.8261875</v>
      </c>
      <c r="C8" s="128">
        <v>0</v>
      </c>
      <c r="D8" s="128">
        <v>6.6648120000000404</v>
      </c>
      <c r="E8" s="128">
        <v>5.5844830000000103</v>
      </c>
      <c r="F8" s="128">
        <v>6.2918369999999904</v>
      </c>
      <c r="G8" s="128">
        <v>2.7094469999999999</v>
      </c>
      <c r="H8" s="128">
        <v>1.080525</v>
      </c>
      <c r="I8" s="128">
        <v>6.8312999999999804E-2</v>
      </c>
      <c r="J8" s="128">
        <v>7.7648999999999996E-2</v>
      </c>
      <c r="K8" s="128">
        <v>0.250359</v>
      </c>
      <c r="L8" s="128">
        <v>1.1146879999999999</v>
      </c>
      <c r="M8" s="128">
        <v>2.7063389999999998</v>
      </c>
      <c r="N8" s="128">
        <v>2.7832300000000001</v>
      </c>
      <c r="O8" s="128">
        <v>3.0761509999999799</v>
      </c>
      <c r="P8" s="128">
        <v>0.21473899999999799</v>
      </c>
      <c r="Q8" s="128">
        <v>0</v>
      </c>
      <c r="R8" s="128">
        <v>6.4983040000006396</v>
      </c>
      <c r="S8" s="128">
        <v>5.4323199999998897</v>
      </c>
      <c r="T8" s="128">
        <v>6.12147200000254</v>
      </c>
      <c r="U8" s="128">
        <v>0.53370399999999996</v>
      </c>
      <c r="V8" s="128">
        <v>0.12715800000000099</v>
      </c>
      <c r="W8" s="128">
        <v>7.7626999999999696E-2</v>
      </c>
      <c r="X8" s="128">
        <v>7.3416999999999205E-2</v>
      </c>
      <c r="Y8" s="128">
        <v>0</v>
      </c>
      <c r="Z8" s="128">
        <v>3.8316000000000003E-2</v>
      </c>
      <c r="AA8" s="128">
        <v>0.115174</v>
      </c>
      <c r="AB8" s="128">
        <v>0.14139000000000099</v>
      </c>
      <c r="AC8" s="128">
        <v>8.0296000000000603E-2</v>
      </c>
      <c r="AD8" s="128">
        <v>4.2485999999999399E-2</v>
      </c>
      <c r="AE8" s="128">
        <v>3.7666999999999902E-2</v>
      </c>
      <c r="AF8" s="128">
        <v>0</v>
      </c>
      <c r="AG8" s="128">
        <v>1.3599499999999799E-2</v>
      </c>
      <c r="AH8" s="128">
        <v>1.92073599999998</v>
      </c>
      <c r="AI8" s="128">
        <v>0</v>
      </c>
      <c r="AJ8" s="128">
        <v>3.575325E-2</v>
      </c>
      <c r="AK8" s="128">
        <v>0</v>
      </c>
      <c r="AL8" s="128">
        <v>0.300287999999995</v>
      </c>
      <c r="AM8" s="128">
        <v>0.51435999999999604</v>
      </c>
      <c r="AN8" s="128">
        <v>0.396535999999998</v>
      </c>
      <c r="AO8" s="128">
        <v>0.132912000000001</v>
      </c>
      <c r="AP8" s="128">
        <v>8.2449999999999704E-2</v>
      </c>
      <c r="AQ8" s="128">
        <v>0.32466399999999901</v>
      </c>
      <c r="AR8" s="128">
        <v>4.8979520000000303</v>
      </c>
      <c r="AS8" s="128">
        <v>3.4028000000000197E-2</v>
      </c>
      <c r="AT8" s="128">
        <v>0</v>
      </c>
      <c r="AU8" s="128">
        <v>4.5824000000003202E-2</v>
      </c>
      <c r="AV8" s="128">
        <v>3.0875499999999601E-2</v>
      </c>
      <c r="AW8" s="128">
        <v>1.6640640000000499</v>
      </c>
      <c r="AX8" s="128">
        <v>0</v>
      </c>
      <c r="AY8" s="128">
        <v>5.8067250000000098E-2</v>
      </c>
      <c r="AZ8" s="128">
        <v>2.4999999999053599E-6</v>
      </c>
      <c r="BA8" s="128">
        <v>0</v>
      </c>
      <c r="BB8" s="128">
        <v>0</v>
      </c>
      <c r="BC8" s="128">
        <v>0</v>
      </c>
      <c r="BD8" s="128">
        <v>4.7729999999999197E-3</v>
      </c>
      <c r="BE8" s="128">
        <v>0.28845399999999999</v>
      </c>
      <c r="BF8" s="128">
        <v>0</v>
      </c>
      <c r="BG8" s="128">
        <v>2.4046000000000199E-2</v>
      </c>
      <c r="BH8" s="128">
        <v>9.4462000000000004E-2</v>
      </c>
      <c r="BI8" s="128">
        <v>2.3980320000000002</v>
      </c>
      <c r="BJ8" s="128">
        <v>6.3000000000812406E-5</v>
      </c>
      <c r="BK8" s="128">
        <v>4.0258500000000197E-2</v>
      </c>
      <c r="BL8" s="128">
        <v>8.5400000000390702E-3</v>
      </c>
      <c r="BM8" s="128">
        <v>1.7916639999999999</v>
      </c>
      <c r="BN8" s="128">
        <v>0</v>
      </c>
      <c r="BO8" s="128">
        <v>3.3137875000000198E-2</v>
      </c>
      <c r="BP8" s="128">
        <v>0</v>
      </c>
      <c r="BQ8" s="128">
        <v>0</v>
      </c>
      <c r="BR8" s="128">
        <v>8.7319687500000392E-3</v>
      </c>
      <c r="BS8" s="128">
        <v>0</v>
      </c>
      <c r="BT8" s="128">
        <v>0.26413600000000098</v>
      </c>
      <c r="BU8" s="128">
        <v>1.6742750000000101E-2</v>
      </c>
      <c r="BV8" s="128">
        <v>0</v>
      </c>
      <c r="BW8" s="128">
        <v>0</v>
      </c>
      <c r="BX8" s="128">
        <v>9.8023125000000193E-3</v>
      </c>
      <c r="BY8" s="128">
        <v>0</v>
      </c>
      <c r="BZ8" s="128">
        <v>1.0078800000000001</v>
      </c>
      <c r="CA8" s="128">
        <v>0.27721599999999602</v>
      </c>
      <c r="CB8" s="128">
        <v>0</v>
      </c>
      <c r="CC8" s="128">
        <v>0</v>
      </c>
      <c r="CD8" s="128">
        <v>0</v>
      </c>
      <c r="CE8" s="128">
        <v>0</v>
      </c>
      <c r="CF8" s="128">
        <v>3.2171999999999201E-2</v>
      </c>
      <c r="CG8" s="128">
        <v>0</v>
      </c>
      <c r="CH8" s="128">
        <v>1.8652500000002599E-3</v>
      </c>
      <c r="CI8" s="128">
        <v>0</v>
      </c>
      <c r="CJ8" s="128">
        <v>0</v>
      </c>
      <c r="CK8" s="128">
        <v>0</v>
      </c>
      <c r="CL8" s="128">
        <v>2.5037599999999398</v>
      </c>
      <c r="CM8" s="128">
        <v>3.5623680000001099</v>
      </c>
      <c r="CN8" s="128">
        <v>3.5906999999999897E-2</v>
      </c>
      <c r="CO8" s="128">
        <v>0.55154200000000497</v>
      </c>
      <c r="CP8" s="128">
        <v>0</v>
      </c>
      <c r="CQ8" s="128">
        <v>2.8125000001155698E-7</v>
      </c>
      <c r="CR8" s="128">
        <v>8.8327999999999698E-2</v>
      </c>
      <c r="CS8" s="128">
        <v>0</v>
      </c>
      <c r="CT8" s="128">
        <v>0.195608</v>
      </c>
      <c r="CU8" s="128">
        <v>0</v>
      </c>
      <c r="CV8" s="128">
        <v>1.83776875E-2</v>
      </c>
      <c r="CW8" s="128">
        <v>2.8400000000061698E-4</v>
      </c>
      <c r="CX8" s="128">
        <v>0.25589200000000301</v>
      </c>
      <c r="CY8" s="128">
        <v>5.23399999999996E-3</v>
      </c>
      <c r="CZ8" s="128">
        <v>1.1105000000000099E-2</v>
      </c>
      <c r="DA8" s="128">
        <v>0.31189599999999701</v>
      </c>
      <c r="DB8" s="128">
        <v>0.105119000000001</v>
      </c>
      <c r="DC8" s="128">
        <v>2.3083999999997201E-2</v>
      </c>
      <c r="DD8" s="128">
        <v>2.0010000000000999E-2</v>
      </c>
      <c r="DE8" s="128">
        <v>0</v>
      </c>
      <c r="DF8" s="128">
        <v>0</v>
      </c>
      <c r="DG8" s="128">
        <v>0</v>
      </c>
      <c r="DH8" s="128">
        <v>0.54069999999995799</v>
      </c>
      <c r="DI8" s="128">
        <v>5.7765119999999701</v>
      </c>
      <c r="DJ8" s="128">
        <v>0</v>
      </c>
      <c r="DK8" s="128">
        <v>6.37240000000006E-2</v>
      </c>
      <c r="DL8" s="128">
        <v>1.9323999999999199E-2</v>
      </c>
      <c r="DM8" s="128">
        <v>4.3034000000000502E-2</v>
      </c>
      <c r="DN8" s="128">
        <v>1.57062500000027E-4</v>
      </c>
      <c r="DO8" s="128">
        <v>0.81150400000001399</v>
      </c>
      <c r="DP8" s="128">
        <v>4.8029500000000197E-2</v>
      </c>
      <c r="DQ8" s="128">
        <v>0</v>
      </c>
      <c r="DR8" s="128">
        <v>0</v>
      </c>
      <c r="DS8" s="128">
        <v>1.95916799999998</v>
      </c>
      <c r="DT8" s="128">
        <v>0.41360000000000202</v>
      </c>
      <c r="DU8" s="128">
        <v>1.6997999999999201E-2</v>
      </c>
      <c r="DV8" s="128">
        <v>1.1064749999999599E-2</v>
      </c>
      <c r="DW8" s="128">
        <v>0</v>
      </c>
      <c r="DX8" s="128">
        <v>0.20126131250000001</v>
      </c>
      <c r="DY8" s="128">
        <v>3.3295382812500003E-2</v>
      </c>
      <c r="DZ8" s="128">
        <v>8.5371999999999601E-2</v>
      </c>
      <c r="EA8" s="128">
        <v>5.2487499999998E-4</v>
      </c>
      <c r="EB8" s="128">
        <v>1.4286880000000199</v>
      </c>
      <c r="EC8" s="128">
        <v>0.66257600000000105</v>
      </c>
      <c r="ED8" s="128">
        <v>4.2501375000000098E-2</v>
      </c>
      <c r="EE8" s="128">
        <v>7.6396800000000002</v>
      </c>
      <c r="EF8" s="128">
        <v>6.7189629999993503</v>
      </c>
      <c r="EG8" s="128">
        <v>0</v>
      </c>
      <c r="EH8" s="128">
        <v>0.36467200000004102</v>
      </c>
      <c r="EI8" s="128">
        <v>0.40153599999996498</v>
      </c>
      <c r="EJ8" s="128">
        <v>2.02560000000176E-2</v>
      </c>
      <c r="EK8" s="128">
        <v>0</v>
      </c>
      <c r="EL8" s="128">
        <v>2.9815039999998598</v>
      </c>
      <c r="EM8" s="128">
        <v>0</v>
      </c>
      <c r="EN8" s="128">
        <v>1.77254400000038</v>
      </c>
      <c r="EO8" s="128">
        <v>1.13920000000007E-2</v>
      </c>
      <c r="EP8" s="128">
        <v>0</v>
      </c>
      <c r="EQ8" s="128">
        <v>0</v>
      </c>
      <c r="ER8" s="129">
        <v>0</v>
      </c>
      <c r="ES8" s="129">
        <v>0</v>
      </c>
      <c r="ET8" s="129">
        <v>0</v>
      </c>
      <c r="EU8" s="129">
        <v>0</v>
      </c>
      <c r="EV8" s="129">
        <v>0</v>
      </c>
      <c r="EW8" s="129">
        <v>0</v>
      </c>
      <c r="EX8" s="129">
        <v>0</v>
      </c>
      <c r="EY8" s="129">
        <v>0</v>
      </c>
      <c r="EZ8" s="129">
        <v>0</v>
      </c>
      <c r="FA8" s="129">
        <v>0</v>
      </c>
      <c r="FB8" s="129">
        <v>0</v>
      </c>
      <c r="FC8" s="129">
        <v>0</v>
      </c>
      <c r="FD8" s="129">
        <v>0</v>
      </c>
      <c r="FE8" s="129">
        <v>0</v>
      </c>
      <c r="FF8" s="129">
        <v>0</v>
      </c>
      <c r="FG8" s="129">
        <v>0</v>
      </c>
      <c r="FH8" s="129">
        <v>0</v>
      </c>
      <c r="FI8" s="129">
        <v>0</v>
      </c>
      <c r="FJ8" s="129">
        <v>0</v>
      </c>
      <c r="FK8" s="129">
        <v>0</v>
      </c>
      <c r="FL8" s="129">
        <v>0</v>
      </c>
      <c r="FM8" s="129">
        <v>0</v>
      </c>
      <c r="FN8" s="129">
        <v>0</v>
      </c>
      <c r="FO8" s="129">
        <v>0</v>
      </c>
      <c r="FP8" s="129">
        <v>0</v>
      </c>
      <c r="FQ8" s="129">
        <v>0</v>
      </c>
      <c r="FR8" s="129">
        <v>0</v>
      </c>
      <c r="FS8" s="129">
        <v>0</v>
      </c>
      <c r="FT8" s="129">
        <v>0</v>
      </c>
      <c r="FU8" s="129">
        <v>0</v>
      </c>
      <c r="FV8" s="129">
        <v>0</v>
      </c>
      <c r="FW8" s="129">
        <v>0</v>
      </c>
      <c r="FX8" s="129">
        <v>0</v>
      </c>
      <c r="FY8" s="129">
        <v>0</v>
      </c>
      <c r="FZ8" s="129">
        <v>0</v>
      </c>
      <c r="GA8" s="129">
        <v>0</v>
      </c>
      <c r="GB8" s="129">
        <v>0</v>
      </c>
      <c r="GC8" s="129">
        <v>0</v>
      </c>
      <c r="GD8" s="129">
        <v>0</v>
      </c>
      <c r="GE8" s="129">
        <v>0</v>
      </c>
      <c r="GF8" s="129">
        <v>0</v>
      </c>
      <c r="GG8" s="129">
        <v>0</v>
      </c>
      <c r="GH8" s="129">
        <v>0</v>
      </c>
      <c r="GI8" s="129">
        <v>0</v>
      </c>
      <c r="GJ8" s="129">
        <v>0</v>
      </c>
      <c r="GK8" s="129">
        <v>0</v>
      </c>
      <c r="GL8" s="129">
        <v>0</v>
      </c>
      <c r="GM8" s="129">
        <v>0</v>
      </c>
      <c r="GN8" s="129">
        <v>0</v>
      </c>
      <c r="GO8" s="129">
        <v>0</v>
      </c>
      <c r="GP8" s="129">
        <v>0</v>
      </c>
      <c r="GQ8" s="129">
        <v>0</v>
      </c>
      <c r="GR8" s="129">
        <v>0</v>
      </c>
      <c r="GS8" s="129">
        <v>0</v>
      </c>
    </row>
    <row r="9" spans="1:201" s="30" customFormat="1" ht="13" x14ac:dyDescent="0.25">
      <c r="A9" s="87">
        <v>3</v>
      </c>
      <c r="B9" s="128">
        <v>19.057937500000001</v>
      </c>
      <c r="C9" s="128">
        <v>0</v>
      </c>
      <c r="D9" s="128">
        <v>6.8393489999999701</v>
      </c>
      <c r="E9" s="128">
        <v>5.74793299999999</v>
      </c>
      <c r="F9" s="128">
        <v>6.4899300000000197</v>
      </c>
      <c r="G9" s="128">
        <v>0</v>
      </c>
      <c r="H9" s="128">
        <v>0</v>
      </c>
      <c r="I9" s="128">
        <v>0</v>
      </c>
      <c r="J9" s="128">
        <v>0</v>
      </c>
      <c r="K9" s="128">
        <v>0</v>
      </c>
      <c r="L9" s="128">
        <v>0</v>
      </c>
      <c r="M9" s="128">
        <v>0</v>
      </c>
      <c r="N9" s="128">
        <v>3.7343839999999799</v>
      </c>
      <c r="O9" s="128">
        <v>4.1092729999999698</v>
      </c>
      <c r="P9" s="128">
        <v>0.26646500000000001</v>
      </c>
      <c r="Q9" s="128">
        <v>0</v>
      </c>
      <c r="R9" s="128">
        <v>6.6815999999998903</v>
      </c>
      <c r="S9" s="128">
        <v>5.5720959999998696</v>
      </c>
      <c r="T9" s="128">
        <v>6.2975999999980603</v>
      </c>
      <c r="U9" s="128">
        <v>0.53308399999999501</v>
      </c>
      <c r="V9" s="128">
        <v>0.11938</v>
      </c>
      <c r="W9" s="128">
        <v>6.6712999999999995E-2</v>
      </c>
      <c r="X9" s="128">
        <v>6.3342999999999705E-2</v>
      </c>
      <c r="Y9" s="128">
        <v>0</v>
      </c>
      <c r="Z9" s="128">
        <v>3.5916000000000302E-2</v>
      </c>
      <c r="AA9" s="128">
        <v>0.113913999999998</v>
      </c>
      <c r="AB9" s="128">
        <v>0.146311999999998</v>
      </c>
      <c r="AC9" s="128">
        <v>8.2986999999999297E-2</v>
      </c>
      <c r="AD9" s="128">
        <v>4.8079500000000101E-2</v>
      </c>
      <c r="AE9" s="128">
        <v>4.77795000000001E-2</v>
      </c>
      <c r="AF9" s="128">
        <v>0</v>
      </c>
      <c r="AG9" s="128">
        <v>9.7332500000000301E-3</v>
      </c>
      <c r="AH9" s="128">
        <v>1.8977920000000399</v>
      </c>
      <c r="AI9" s="128">
        <v>0</v>
      </c>
      <c r="AJ9" s="128">
        <v>3.1376249999999703E-2</v>
      </c>
      <c r="AK9" s="128">
        <v>0</v>
      </c>
      <c r="AL9" s="128">
        <v>0.28509599999999602</v>
      </c>
      <c r="AM9" s="128">
        <v>0.49882800000000299</v>
      </c>
      <c r="AN9" s="128">
        <v>0.38513199999999898</v>
      </c>
      <c r="AO9" s="128">
        <v>0.161000000000001</v>
      </c>
      <c r="AP9" s="128">
        <v>8.51959999999998E-2</v>
      </c>
      <c r="AQ9" s="128">
        <v>0.32402799999999798</v>
      </c>
      <c r="AR9" s="128">
        <v>4.9870080000000003</v>
      </c>
      <c r="AS9" s="128">
        <v>3.0056499999999702E-2</v>
      </c>
      <c r="AT9" s="128">
        <v>0</v>
      </c>
      <c r="AU9" s="128">
        <v>4.3123999999998802E-2</v>
      </c>
      <c r="AV9" s="128">
        <v>3.0526000000000102E-2</v>
      </c>
      <c r="AW9" s="128">
        <v>2.0604799999999801</v>
      </c>
      <c r="AX9" s="128">
        <v>0</v>
      </c>
      <c r="AY9" s="128">
        <v>4.8585249999999899E-2</v>
      </c>
      <c r="AZ9" s="128">
        <v>1.1500000000275199E-5</v>
      </c>
      <c r="BA9" s="128">
        <v>0</v>
      </c>
      <c r="BB9" s="128">
        <v>0</v>
      </c>
      <c r="BC9" s="128">
        <v>0</v>
      </c>
      <c r="BD9" s="128">
        <v>3.5221250000001501E-3</v>
      </c>
      <c r="BE9" s="128">
        <v>0.123531000000002</v>
      </c>
      <c r="BF9" s="128">
        <v>0</v>
      </c>
      <c r="BG9" s="128">
        <v>2.29909999999993E-2</v>
      </c>
      <c r="BH9" s="128">
        <v>8.0854000000002202E-2</v>
      </c>
      <c r="BI9" s="128">
        <v>2.3106879999999999</v>
      </c>
      <c r="BJ9" s="128">
        <v>1.7300000000020099E-4</v>
      </c>
      <c r="BK9" s="128">
        <v>4.0636999999999403E-2</v>
      </c>
      <c r="BL9" s="128">
        <v>0.173399999999958</v>
      </c>
      <c r="BM9" s="128">
        <v>1.9587840000000101</v>
      </c>
      <c r="BN9" s="128">
        <v>0</v>
      </c>
      <c r="BO9" s="128">
        <v>0.11564425</v>
      </c>
      <c r="BP9" s="128">
        <v>0</v>
      </c>
      <c r="BQ9" s="128">
        <v>0</v>
      </c>
      <c r="BR9" s="128">
        <v>1.2808343749999999E-2</v>
      </c>
      <c r="BS9" s="128">
        <v>0</v>
      </c>
      <c r="BT9" s="128">
        <v>0.236455999999997</v>
      </c>
      <c r="BU9" s="128">
        <v>1.6754749999999999E-2</v>
      </c>
      <c r="BV9" s="128">
        <v>0</v>
      </c>
      <c r="BW9" s="128">
        <v>0</v>
      </c>
      <c r="BX9" s="128">
        <v>9.1465937499999907E-3</v>
      </c>
      <c r="BY9" s="128">
        <v>0</v>
      </c>
      <c r="BZ9" s="128">
        <v>0.997008000000001</v>
      </c>
      <c r="CA9" s="128">
        <v>0.28810400000000402</v>
      </c>
      <c r="CB9" s="128">
        <v>0</v>
      </c>
      <c r="CC9" s="128">
        <v>0</v>
      </c>
      <c r="CD9" s="128">
        <v>0</v>
      </c>
      <c r="CE9" s="128">
        <v>0</v>
      </c>
      <c r="CF9" s="128">
        <v>0.14477899999999999</v>
      </c>
      <c r="CG9" s="128">
        <v>0</v>
      </c>
      <c r="CH9" s="128">
        <v>2.23925000000014E-3</v>
      </c>
      <c r="CI9" s="128">
        <v>0</v>
      </c>
      <c r="CJ9" s="128">
        <v>0</v>
      </c>
      <c r="CK9" s="128">
        <v>0</v>
      </c>
      <c r="CL9" s="128">
        <v>3.72408000000007</v>
      </c>
      <c r="CM9" s="128">
        <v>3.9008639999999599</v>
      </c>
      <c r="CN9" s="128">
        <v>4.6718000000000301E-2</v>
      </c>
      <c r="CO9" s="128">
        <v>0.66783999999999799</v>
      </c>
      <c r="CP9" s="128">
        <v>0</v>
      </c>
      <c r="CQ9" s="128">
        <v>5.6250000002311396E-7</v>
      </c>
      <c r="CR9" s="128">
        <v>7.4666999999999803E-2</v>
      </c>
      <c r="CS9" s="128">
        <v>0</v>
      </c>
      <c r="CT9" s="128">
        <v>0.11594800000000299</v>
      </c>
      <c r="CU9" s="128">
        <v>0</v>
      </c>
      <c r="CV9" s="128">
        <v>1.4822937499999999E-2</v>
      </c>
      <c r="CW9" s="128">
        <v>2.7199999999965E-3</v>
      </c>
      <c r="CX9" s="128">
        <v>0.267539999999997</v>
      </c>
      <c r="CY9" s="128">
        <v>4.6690000000000299E-3</v>
      </c>
      <c r="CZ9" s="128">
        <v>1.1067749999999999E-2</v>
      </c>
      <c r="DA9" s="128">
        <v>0.36217600000000499</v>
      </c>
      <c r="DB9" s="128">
        <v>0.12551300000000001</v>
      </c>
      <c r="DC9" s="128">
        <v>1.3675999999996699E-2</v>
      </c>
      <c r="DD9" s="128">
        <v>0</v>
      </c>
      <c r="DE9" s="128">
        <v>0</v>
      </c>
      <c r="DF9" s="128">
        <v>0</v>
      </c>
      <c r="DG9" s="128">
        <v>1.81499999999168E-4</v>
      </c>
      <c r="DH9" s="128">
        <v>0.61400000000003296</v>
      </c>
      <c r="DI9" s="128">
        <v>5.1346240000000298</v>
      </c>
      <c r="DJ9" s="128">
        <v>0</v>
      </c>
      <c r="DK9" s="128">
        <v>6.3250000000000001E-2</v>
      </c>
      <c r="DL9" s="128">
        <v>1.8534000000000699E-2</v>
      </c>
      <c r="DM9" s="128">
        <v>4.93410000000001E-2</v>
      </c>
      <c r="DN9" s="128">
        <v>1.01955625E-2</v>
      </c>
      <c r="DO9" s="128">
        <v>0.72425599999999701</v>
      </c>
      <c r="DP9" s="128">
        <v>3.9603499999999202E-2</v>
      </c>
      <c r="DQ9" s="128">
        <v>0</v>
      </c>
      <c r="DR9" s="128">
        <v>0</v>
      </c>
      <c r="DS9" s="128">
        <v>1.5239360000000499</v>
      </c>
      <c r="DT9" s="128">
        <v>0.41830399999999202</v>
      </c>
      <c r="DU9" s="128">
        <v>1.6992999999999401E-2</v>
      </c>
      <c r="DV9" s="128">
        <v>1.045425E-2</v>
      </c>
      <c r="DW9" s="128">
        <v>0</v>
      </c>
      <c r="DX9" s="128">
        <v>0.1946381875</v>
      </c>
      <c r="DY9" s="128">
        <v>1.06419375E-2</v>
      </c>
      <c r="DZ9" s="128">
        <v>8.4358000000001696E-2</v>
      </c>
      <c r="EA9" s="128">
        <v>2.03750000000058E-4</v>
      </c>
      <c r="EB9" s="128">
        <v>1.400352</v>
      </c>
      <c r="EC9" s="128">
        <v>0.60558399999999302</v>
      </c>
      <c r="ED9" s="128">
        <v>3.1286125000000102E-2</v>
      </c>
      <c r="EE9" s="128">
        <v>8.1096000000000004</v>
      </c>
      <c r="EF9" s="128">
        <v>9.2894590000005302</v>
      </c>
      <c r="EG9" s="128">
        <v>0</v>
      </c>
      <c r="EH9" s="128">
        <v>0.40512000000001103</v>
      </c>
      <c r="EI9" s="128">
        <v>0.40883200000007502</v>
      </c>
      <c r="EJ9" s="128">
        <v>2.3359999999968298E-2</v>
      </c>
      <c r="EK9" s="128">
        <v>0</v>
      </c>
      <c r="EL9" s="128">
        <v>3.1900160000000102</v>
      </c>
      <c r="EM9" s="128">
        <v>0.583423999999923</v>
      </c>
      <c r="EN9" s="128">
        <v>2.9055999999995898</v>
      </c>
      <c r="EO9" s="128">
        <v>0</v>
      </c>
      <c r="EP9" s="128">
        <v>0</v>
      </c>
      <c r="EQ9" s="128">
        <v>0</v>
      </c>
      <c r="ER9" s="129">
        <v>0</v>
      </c>
      <c r="ES9" s="129">
        <v>0</v>
      </c>
      <c r="ET9" s="129">
        <v>0</v>
      </c>
      <c r="EU9" s="129">
        <v>0</v>
      </c>
      <c r="EV9" s="129">
        <v>0</v>
      </c>
      <c r="EW9" s="129">
        <v>0</v>
      </c>
      <c r="EX9" s="129">
        <v>0</v>
      </c>
      <c r="EY9" s="129">
        <v>0</v>
      </c>
      <c r="EZ9" s="129">
        <v>0</v>
      </c>
      <c r="FA9" s="129">
        <v>0</v>
      </c>
      <c r="FB9" s="129">
        <v>0</v>
      </c>
      <c r="FC9" s="129">
        <v>0</v>
      </c>
      <c r="FD9" s="129">
        <v>0</v>
      </c>
      <c r="FE9" s="129">
        <v>0</v>
      </c>
      <c r="FF9" s="129">
        <v>0</v>
      </c>
      <c r="FG9" s="129">
        <v>0</v>
      </c>
      <c r="FH9" s="129">
        <v>0</v>
      </c>
      <c r="FI9" s="129">
        <v>0</v>
      </c>
      <c r="FJ9" s="129">
        <v>0</v>
      </c>
      <c r="FK9" s="129">
        <v>0</v>
      </c>
      <c r="FL9" s="129">
        <v>0</v>
      </c>
      <c r="FM9" s="129">
        <v>0</v>
      </c>
      <c r="FN9" s="129">
        <v>0</v>
      </c>
      <c r="FO9" s="129">
        <v>0</v>
      </c>
      <c r="FP9" s="129">
        <v>0</v>
      </c>
      <c r="FQ9" s="129">
        <v>0</v>
      </c>
      <c r="FR9" s="129">
        <v>0</v>
      </c>
      <c r="FS9" s="129">
        <v>0</v>
      </c>
      <c r="FT9" s="129">
        <v>0</v>
      </c>
      <c r="FU9" s="129">
        <v>0</v>
      </c>
      <c r="FV9" s="129">
        <v>0</v>
      </c>
      <c r="FW9" s="129">
        <v>0</v>
      </c>
      <c r="FX9" s="129">
        <v>0</v>
      </c>
      <c r="FY9" s="129">
        <v>0</v>
      </c>
      <c r="FZ9" s="129">
        <v>0</v>
      </c>
      <c r="GA9" s="129">
        <v>0</v>
      </c>
      <c r="GB9" s="129">
        <v>0</v>
      </c>
      <c r="GC9" s="129">
        <v>0</v>
      </c>
      <c r="GD9" s="129">
        <v>0</v>
      </c>
      <c r="GE9" s="129">
        <v>0</v>
      </c>
      <c r="GF9" s="129">
        <v>0</v>
      </c>
      <c r="GG9" s="129">
        <v>0</v>
      </c>
      <c r="GH9" s="129">
        <v>0</v>
      </c>
      <c r="GI9" s="129">
        <v>0</v>
      </c>
      <c r="GJ9" s="129">
        <v>0</v>
      </c>
      <c r="GK9" s="129">
        <v>0</v>
      </c>
      <c r="GL9" s="129">
        <v>0</v>
      </c>
      <c r="GM9" s="129">
        <v>0</v>
      </c>
      <c r="GN9" s="129">
        <v>0</v>
      </c>
      <c r="GO9" s="129">
        <v>0</v>
      </c>
      <c r="GP9" s="129">
        <v>0</v>
      </c>
      <c r="GQ9" s="129">
        <v>0</v>
      </c>
      <c r="GR9" s="129">
        <v>0</v>
      </c>
      <c r="GS9" s="129">
        <v>0</v>
      </c>
    </row>
    <row r="10" spans="1:201" s="30" customFormat="1" ht="13" x14ac:dyDescent="0.25">
      <c r="A10" s="87">
        <v>4</v>
      </c>
      <c r="B10" s="128">
        <v>7.0381875000000003</v>
      </c>
      <c r="C10" s="128">
        <v>0</v>
      </c>
      <c r="D10" s="128">
        <v>2.6116169999999701</v>
      </c>
      <c r="E10" s="128">
        <v>2.1917799999999898</v>
      </c>
      <c r="F10" s="128">
        <v>2.5015779999999999</v>
      </c>
      <c r="G10" s="128">
        <v>0.28944999999999899</v>
      </c>
      <c r="H10" s="128">
        <v>1.2364999999999101E-2</v>
      </c>
      <c r="I10" s="128">
        <v>2.1085E-2</v>
      </c>
      <c r="J10" s="128">
        <v>4.1945000000000003E-2</v>
      </c>
      <c r="K10" s="128">
        <v>0.12700900000000001</v>
      </c>
      <c r="L10" s="128">
        <v>5.1790000000000403E-3</v>
      </c>
      <c r="M10" s="128">
        <v>0.28768899999999997</v>
      </c>
      <c r="N10" s="128">
        <v>4.0134269999999796</v>
      </c>
      <c r="O10" s="128">
        <v>4.21914700000002</v>
      </c>
      <c r="P10" s="128">
        <v>0.311917000000001</v>
      </c>
      <c r="Q10" s="128">
        <v>0</v>
      </c>
      <c r="R10" s="128">
        <v>2.5405439999995001</v>
      </c>
      <c r="S10" s="128">
        <v>2.1089279999996502</v>
      </c>
      <c r="T10" s="128">
        <v>2.4780800000007699</v>
      </c>
      <c r="U10" s="128">
        <v>0.30574400000000401</v>
      </c>
      <c r="V10" s="128">
        <v>0.121921999999998</v>
      </c>
      <c r="W10" s="128">
        <v>2.0224999999999899E-2</v>
      </c>
      <c r="X10" s="128">
        <v>5.2292000000001303E-2</v>
      </c>
      <c r="Y10" s="128">
        <v>0</v>
      </c>
      <c r="Z10" s="128">
        <v>4.7286999999999003E-2</v>
      </c>
      <c r="AA10" s="128">
        <v>8.0080000000002399E-2</v>
      </c>
      <c r="AB10" s="128">
        <v>0.145704000000002</v>
      </c>
      <c r="AC10" s="128">
        <v>8.63380000000014E-2</v>
      </c>
      <c r="AD10" s="128">
        <v>3.7559500000000398E-2</v>
      </c>
      <c r="AE10" s="128">
        <v>4.3591999999999902E-2</v>
      </c>
      <c r="AF10" s="128">
        <v>0</v>
      </c>
      <c r="AG10" s="128">
        <v>5.1907500000001302E-3</v>
      </c>
      <c r="AH10" s="128">
        <v>1.27791999999999</v>
      </c>
      <c r="AI10" s="128">
        <v>0</v>
      </c>
      <c r="AJ10" s="128">
        <v>2.09435E-2</v>
      </c>
      <c r="AK10" s="128">
        <v>0</v>
      </c>
      <c r="AL10" s="128">
        <v>0.14380800000000701</v>
      </c>
      <c r="AM10" s="128">
        <v>0.343747999999998</v>
      </c>
      <c r="AN10" s="128">
        <v>0.27307600000000298</v>
      </c>
      <c r="AO10" s="128">
        <v>0.19209000000000001</v>
      </c>
      <c r="AP10" s="128">
        <v>9.0483999999999995E-2</v>
      </c>
      <c r="AQ10" s="128">
        <v>0.144531999999998</v>
      </c>
      <c r="AR10" s="128">
        <v>2.9561599999999499</v>
      </c>
      <c r="AS10" s="128">
        <v>7.5637500000000904E-3</v>
      </c>
      <c r="AT10" s="128">
        <v>0</v>
      </c>
      <c r="AU10" s="128">
        <v>4.00080000000003E-2</v>
      </c>
      <c r="AV10" s="128">
        <v>7.7150000000001401E-3</v>
      </c>
      <c r="AW10" s="128">
        <v>0.89344000000005497</v>
      </c>
      <c r="AX10" s="128">
        <v>0</v>
      </c>
      <c r="AY10" s="128">
        <v>5.2774750000000203E-2</v>
      </c>
      <c r="AZ10" s="128">
        <v>0</v>
      </c>
      <c r="BA10" s="128">
        <v>0</v>
      </c>
      <c r="BB10" s="128">
        <v>0</v>
      </c>
      <c r="BC10" s="128">
        <v>0</v>
      </c>
      <c r="BD10" s="128">
        <v>3.0887499999998598E-3</v>
      </c>
      <c r="BE10" s="128">
        <v>0.16372799999999901</v>
      </c>
      <c r="BF10" s="128">
        <v>0</v>
      </c>
      <c r="BG10" s="128">
        <v>1.29330000000003E-2</v>
      </c>
      <c r="BH10" s="128">
        <v>2.1169999999997899E-2</v>
      </c>
      <c r="BI10" s="128">
        <v>1.5667679999999999</v>
      </c>
      <c r="BJ10" s="128">
        <v>3.6799999999814802E-4</v>
      </c>
      <c r="BK10" s="128">
        <v>3.6185000000000599E-2</v>
      </c>
      <c r="BL10" s="128">
        <v>0</v>
      </c>
      <c r="BM10" s="128">
        <v>0.50971200000000705</v>
      </c>
      <c r="BN10" s="128">
        <v>0</v>
      </c>
      <c r="BO10" s="128">
        <v>6.8593749999999801E-2</v>
      </c>
      <c r="BP10" s="128">
        <v>0</v>
      </c>
      <c r="BQ10" s="128">
        <v>0</v>
      </c>
      <c r="BR10" s="128">
        <v>7.8424062500000394E-3</v>
      </c>
      <c r="BS10" s="128">
        <v>0</v>
      </c>
      <c r="BT10" s="128">
        <v>2.84040000000019E-2</v>
      </c>
      <c r="BU10" s="128">
        <v>1.1160375E-2</v>
      </c>
      <c r="BV10" s="128">
        <v>0</v>
      </c>
      <c r="BW10" s="128">
        <v>0</v>
      </c>
      <c r="BX10" s="128">
        <v>8.9591562499999906E-3</v>
      </c>
      <c r="BY10" s="128">
        <v>0</v>
      </c>
      <c r="BZ10" s="128">
        <v>0.29854399999999998</v>
      </c>
      <c r="CA10" s="128">
        <v>2.1320000000002899E-2</v>
      </c>
      <c r="CB10" s="128">
        <v>0</v>
      </c>
      <c r="CC10" s="128">
        <v>0</v>
      </c>
      <c r="CD10" s="128">
        <v>0</v>
      </c>
      <c r="CE10" s="128">
        <v>0</v>
      </c>
      <c r="CF10" s="128">
        <v>2.1250000000000199E-2</v>
      </c>
      <c r="CG10" s="128">
        <v>0</v>
      </c>
      <c r="CH10" s="128">
        <v>0</v>
      </c>
      <c r="CI10" s="128">
        <v>0</v>
      </c>
      <c r="CJ10" s="128">
        <v>0</v>
      </c>
      <c r="CK10" s="128">
        <v>0</v>
      </c>
      <c r="CL10" s="128">
        <v>0</v>
      </c>
      <c r="CM10" s="128">
        <v>2.9736319999999501</v>
      </c>
      <c r="CN10" s="128">
        <v>1.97380000000003E-2</v>
      </c>
      <c r="CO10" s="128">
        <v>0.52207200000000098</v>
      </c>
      <c r="CP10" s="128">
        <v>0</v>
      </c>
      <c r="CQ10" s="128">
        <v>6.2499999953224998E-8</v>
      </c>
      <c r="CR10" s="128">
        <v>8.3687499999999901E-2</v>
      </c>
      <c r="CS10" s="128">
        <v>0</v>
      </c>
      <c r="CT10" s="128">
        <v>8.4615999999996902E-2</v>
      </c>
      <c r="CU10" s="128">
        <v>0</v>
      </c>
      <c r="CV10" s="128">
        <v>2.2258750000000399E-3</v>
      </c>
      <c r="CW10" s="128">
        <v>2.2400000000288899E-4</v>
      </c>
      <c r="CX10" s="128">
        <v>0.27051199999999698</v>
      </c>
      <c r="CY10" s="128">
        <v>2.3679999999999301E-3</v>
      </c>
      <c r="CZ10" s="128">
        <v>9.8577500000001095E-3</v>
      </c>
      <c r="DA10" s="128">
        <v>0.221916</v>
      </c>
      <c r="DB10" s="128">
        <v>9.6360999999999905E-2</v>
      </c>
      <c r="DC10" s="128">
        <v>1.09960000000058E-2</v>
      </c>
      <c r="DD10" s="128">
        <v>2.9364037109375001E-2</v>
      </c>
      <c r="DE10" s="128">
        <v>0</v>
      </c>
      <c r="DF10" s="128">
        <v>0</v>
      </c>
      <c r="DG10" s="128">
        <v>0</v>
      </c>
      <c r="DH10" s="128">
        <v>0</v>
      </c>
      <c r="DI10" s="128">
        <v>2.6806080000000101</v>
      </c>
      <c r="DJ10" s="128">
        <v>0</v>
      </c>
      <c r="DK10" s="128">
        <v>6.3269999999999299E-2</v>
      </c>
      <c r="DL10" s="128">
        <v>1.2571999999998701E-2</v>
      </c>
      <c r="DM10" s="128">
        <v>3.2741999999998897E-2</v>
      </c>
      <c r="DN10" s="128">
        <v>3.16943749999998E-3</v>
      </c>
      <c r="DO10" s="128">
        <v>0.48859199999998298</v>
      </c>
      <c r="DP10" s="128">
        <v>1.8288000000000099E-2</v>
      </c>
      <c r="DQ10" s="128">
        <v>0</v>
      </c>
      <c r="DR10" s="128">
        <v>0</v>
      </c>
      <c r="DS10" s="128">
        <v>0.91606399999994903</v>
      </c>
      <c r="DT10" s="128">
        <v>0.25227999999999901</v>
      </c>
      <c r="DU10" s="128">
        <v>4.16000000001304E-4</v>
      </c>
      <c r="DV10" s="128">
        <v>7.3324999999999597E-3</v>
      </c>
      <c r="DW10" s="128">
        <v>0</v>
      </c>
      <c r="DX10" s="128">
        <v>0.16542999999999999</v>
      </c>
      <c r="DY10" s="128">
        <v>9.0270937500000203E-3</v>
      </c>
      <c r="DZ10" s="128">
        <v>7.0740000000000705E-2</v>
      </c>
      <c r="EA10" s="128">
        <v>0</v>
      </c>
      <c r="EB10" s="128">
        <v>0.47886399999998702</v>
      </c>
      <c r="EC10" s="128">
        <v>0.197968000000003</v>
      </c>
      <c r="ED10" s="128">
        <v>8.2203749999998407E-3</v>
      </c>
      <c r="EE10" s="128">
        <v>0</v>
      </c>
      <c r="EF10" s="128">
        <v>5.3241729999999698</v>
      </c>
      <c r="EG10" s="128">
        <v>0</v>
      </c>
      <c r="EH10" s="128">
        <v>0.13017600000000601</v>
      </c>
      <c r="EI10" s="128">
        <v>0.71097599999995997</v>
      </c>
      <c r="EJ10" s="128">
        <v>1.7984000000012702E-2</v>
      </c>
      <c r="EK10" s="128">
        <v>0</v>
      </c>
      <c r="EL10" s="128">
        <v>1.4343679999999499</v>
      </c>
      <c r="EM10" s="128">
        <v>0.21055999999998701</v>
      </c>
      <c r="EN10" s="128">
        <v>1.71673600000031</v>
      </c>
      <c r="EO10" s="128">
        <v>0</v>
      </c>
      <c r="EP10" s="128">
        <v>0</v>
      </c>
      <c r="EQ10" s="128">
        <v>0</v>
      </c>
      <c r="ER10" s="129">
        <v>0</v>
      </c>
      <c r="ES10" s="129">
        <v>0</v>
      </c>
      <c r="ET10" s="129">
        <v>0</v>
      </c>
      <c r="EU10" s="129">
        <v>0</v>
      </c>
      <c r="EV10" s="129">
        <v>0</v>
      </c>
      <c r="EW10" s="129">
        <v>0</v>
      </c>
      <c r="EX10" s="129">
        <v>0</v>
      </c>
      <c r="EY10" s="129">
        <v>0</v>
      </c>
      <c r="EZ10" s="129">
        <v>0</v>
      </c>
      <c r="FA10" s="129">
        <v>0</v>
      </c>
      <c r="FB10" s="129">
        <v>0</v>
      </c>
      <c r="FC10" s="129">
        <v>0</v>
      </c>
      <c r="FD10" s="129">
        <v>0</v>
      </c>
      <c r="FE10" s="129">
        <v>0</v>
      </c>
      <c r="FF10" s="129">
        <v>0</v>
      </c>
      <c r="FG10" s="129">
        <v>0</v>
      </c>
      <c r="FH10" s="129">
        <v>0</v>
      </c>
      <c r="FI10" s="129">
        <v>0</v>
      </c>
      <c r="FJ10" s="129">
        <v>0</v>
      </c>
      <c r="FK10" s="129">
        <v>0</v>
      </c>
      <c r="FL10" s="129">
        <v>0</v>
      </c>
      <c r="FM10" s="129">
        <v>0</v>
      </c>
      <c r="FN10" s="129">
        <v>0</v>
      </c>
      <c r="FO10" s="129">
        <v>0</v>
      </c>
      <c r="FP10" s="129">
        <v>0</v>
      </c>
      <c r="FQ10" s="129">
        <v>0</v>
      </c>
      <c r="FR10" s="129">
        <v>0</v>
      </c>
      <c r="FS10" s="129">
        <v>0</v>
      </c>
      <c r="FT10" s="129">
        <v>0</v>
      </c>
      <c r="FU10" s="129">
        <v>0</v>
      </c>
      <c r="FV10" s="129">
        <v>0</v>
      </c>
      <c r="FW10" s="129">
        <v>0</v>
      </c>
      <c r="FX10" s="129">
        <v>0</v>
      </c>
      <c r="FY10" s="129">
        <v>0</v>
      </c>
      <c r="FZ10" s="129">
        <v>0</v>
      </c>
      <c r="GA10" s="129">
        <v>0</v>
      </c>
      <c r="GB10" s="129">
        <v>0</v>
      </c>
      <c r="GC10" s="129">
        <v>0</v>
      </c>
      <c r="GD10" s="129">
        <v>0</v>
      </c>
      <c r="GE10" s="129">
        <v>0</v>
      </c>
      <c r="GF10" s="129">
        <v>0</v>
      </c>
      <c r="GG10" s="129">
        <v>0</v>
      </c>
      <c r="GH10" s="129">
        <v>0</v>
      </c>
      <c r="GI10" s="129">
        <v>0</v>
      </c>
      <c r="GJ10" s="129">
        <v>0</v>
      </c>
      <c r="GK10" s="129">
        <v>0</v>
      </c>
      <c r="GL10" s="129">
        <v>0</v>
      </c>
      <c r="GM10" s="129">
        <v>0</v>
      </c>
      <c r="GN10" s="129">
        <v>0</v>
      </c>
      <c r="GO10" s="129">
        <v>0</v>
      </c>
      <c r="GP10" s="129">
        <v>0</v>
      </c>
      <c r="GQ10" s="129">
        <v>0</v>
      </c>
      <c r="GR10" s="129">
        <v>0</v>
      </c>
      <c r="GS10" s="129">
        <v>0</v>
      </c>
    </row>
    <row r="11" spans="1:201" s="30" customFormat="1" ht="13" x14ac:dyDescent="0.25">
      <c r="A11" s="87">
        <v>5</v>
      </c>
      <c r="B11" s="128">
        <v>19.763999999999999</v>
      </c>
      <c r="C11" s="128">
        <v>0</v>
      </c>
      <c r="D11" s="128">
        <v>7.1118400000000301</v>
      </c>
      <c r="E11" s="128">
        <v>5.9631370000000201</v>
      </c>
      <c r="F11" s="128">
        <v>6.7387329999999999</v>
      </c>
      <c r="G11" s="128">
        <v>0</v>
      </c>
      <c r="H11" s="128">
        <v>0</v>
      </c>
      <c r="I11" s="128">
        <v>0</v>
      </c>
      <c r="J11" s="128">
        <v>0</v>
      </c>
      <c r="K11" s="128">
        <v>0</v>
      </c>
      <c r="L11" s="128">
        <v>0</v>
      </c>
      <c r="M11" s="128">
        <v>0</v>
      </c>
      <c r="N11" s="128">
        <v>3.32099700000003</v>
      </c>
      <c r="O11" s="128">
        <v>3.5693080000000399</v>
      </c>
      <c r="P11" s="128">
        <v>0.23642200000000099</v>
      </c>
      <c r="Q11" s="128">
        <v>0</v>
      </c>
      <c r="R11" s="128">
        <v>6.91609600000083</v>
      </c>
      <c r="S11" s="128">
        <v>5.8014720000000999</v>
      </c>
      <c r="T11" s="128">
        <v>6.5085440000002599</v>
      </c>
      <c r="U11" s="128">
        <v>0.54572799999999699</v>
      </c>
      <c r="V11" s="128">
        <v>0.11730600000000301</v>
      </c>
      <c r="W11" s="128">
        <v>7.09759999999999E-2</v>
      </c>
      <c r="X11" s="128">
        <v>7.1740999999999402E-2</v>
      </c>
      <c r="Y11" s="128">
        <v>0</v>
      </c>
      <c r="Z11" s="128">
        <v>4.5134000000000903E-2</v>
      </c>
      <c r="AA11" s="128">
        <v>0.113284</v>
      </c>
      <c r="AB11" s="128">
        <v>0.14532399999999901</v>
      </c>
      <c r="AC11" s="128">
        <v>8.1893999999998399E-2</v>
      </c>
      <c r="AD11" s="128">
        <v>4.2813999999999901E-2</v>
      </c>
      <c r="AE11" s="128">
        <v>4.3771250000000303E-2</v>
      </c>
      <c r="AF11" s="128">
        <v>0</v>
      </c>
      <c r="AG11" s="128">
        <v>1.3460250000000101E-2</v>
      </c>
      <c r="AH11" s="128">
        <v>1.99615999999997</v>
      </c>
      <c r="AI11" s="128">
        <v>0</v>
      </c>
      <c r="AJ11" s="128">
        <v>3.2440250000000101E-2</v>
      </c>
      <c r="AK11" s="128">
        <v>0</v>
      </c>
      <c r="AL11" s="128">
        <v>0.295400000000001</v>
      </c>
      <c r="AM11" s="128">
        <v>0.51996799999999899</v>
      </c>
      <c r="AN11" s="128">
        <v>0.387160000000002</v>
      </c>
      <c r="AO11" s="128">
        <v>0.206764</v>
      </c>
      <c r="AP11" s="128">
        <v>9.1996999999999204E-2</v>
      </c>
      <c r="AQ11" s="128">
        <v>0.32391600000000398</v>
      </c>
      <c r="AR11" s="128">
        <v>4.6350080000000302</v>
      </c>
      <c r="AS11" s="128">
        <v>3.9502750000000003E-2</v>
      </c>
      <c r="AT11" s="128">
        <v>0</v>
      </c>
      <c r="AU11" s="128">
        <v>3.1483999999998999E-2</v>
      </c>
      <c r="AV11" s="128">
        <v>5.1463499999999697E-2</v>
      </c>
      <c r="AW11" s="128">
        <v>1.5496319999999699</v>
      </c>
      <c r="AX11" s="128">
        <v>0</v>
      </c>
      <c r="AY11" s="128">
        <v>5.5318499999999798E-2</v>
      </c>
      <c r="AZ11" s="128">
        <v>3.5000000000451299E-6</v>
      </c>
      <c r="BA11" s="128">
        <v>0</v>
      </c>
      <c r="BB11" s="128">
        <v>0</v>
      </c>
      <c r="BC11" s="128">
        <v>0</v>
      </c>
      <c r="BD11" s="128">
        <v>3.6670000000000899E-3</v>
      </c>
      <c r="BE11" s="128">
        <v>0.12224699999999999</v>
      </c>
      <c r="BF11" s="128">
        <v>0</v>
      </c>
      <c r="BG11" s="128">
        <v>1.7136000000000699E-2</v>
      </c>
      <c r="BH11" s="128">
        <v>8.3856000000000805E-2</v>
      </c>
      <c r="BI11" s="128">
        <v>2.4483680000000199</v>
      </c>
      <c r="BJ11" s="128">
        <v>0</v>
      </c>
      <c r="BK11" s="128">
        <v>4.3037999999999202E-2</v>
      </c>
      <c r="BL11" s="128">
        <v>0</v>
      </c>
      <c r="BM11" s="128">
        <v>2.3341919999999998</v>
      </c>
      <c r="BN11" s="128">
        <v>0</v>
      </c>
      <c r="BO11" s="128">
        <v>0.37872</v>
      </c>
      <c r="BP11" s="128">
        <v>0</v>
      </c>
      <c r="BQ11" s="128">
        <v>0</v>
      </c>
      <c r="BR11" s="128">
        <v>1.8689062499999999E-2</v>
      </c>
      <c r="BS11" s="128">
        <v>0</v>
      </c>
      <c r="BT11" s="128">
        <v>0.25048000000000298</v>
      </c>
      <c r="BU11" s="128">
        <v>2.2760624999999899E-2</v>
      </c>
      <c r="BV11" s="128">
        <v>0</v>
      </c>
      <c r="BW11" s="128">
        <v>0</v>
      </c>
      <c r="BX11" s="128">
        <v>1.7469156249999999E-2</v>
      </c>
      <c r="BY11" s="128">
        <v>0</v>
      </c>
      <c r="BZ11" s="128">
        <v>1.0546279999999999</v>
      </c>
      <c r="CA11" s="128">
        <v>0.30262399999999401</v>
      </c>
      <c r="CB11" s="128">
        <v>0</v>
      </c>
      <c r="CC11" s="128">
        <v>0</v>
      </c>
      <c r="CD11" s="128">
        <v>0</v>
      </c>
      <c r="CE11" s="128">
        <v>0</v>
      </c>
      <c r="CF11" s="128">
        <v>0.13922300000000101</v>
      </c>
      <c r="CG11" s="128">
        <v>0</v>
      </c>
      <c r="CH11" s="128">
        <v>0</v>
      </c>
      <c r="CI11" s="128">
        <v>0</v>
      </c>
      <c r="CJ11" s="128">
        <v>0</v>
      </c>
      <c r="CK11" s="128">
        <v>0</v>
      </c>
      <c r="CL11" s="128">
        <v>0</v>
      </c>
      <c r="CM11" s="128">
        <v>4.0384000000000198</v>
      </c>
      <c r="CN11" s="128">
        <v>5.9097999999999699E-2</v>
      </c>
      <c r="CO11" s="128">
        <v>0.60329199999999605</v>
      </c>
      <c r="CP11" s="128">
        <v>0</v>
      </c>
      <c r="CQ11" s="128">
        <v>2.8125000001155698E-7</v>
      </c>
      <c r="CR11" s="128">
        <v>8.1640499999999797E-2</v>
      </c>
      <c r="CS11" s="128">
        <v>0</v>
      </c>
      <c r="CT11" s="128">
        <v>0.21480000000000399</v>
      </c>
      <c r="CU11" s="128">
        <v>0</v>
      </c>
      <c r="CV11" s="128">
        <v>1.7479624999999999E-2</v>
      </c>
      <c r="CW11" s="128">
        <v>4.8051999999998402E-2</v>
      </c>
      <c r="CX11" s="128">
        <v>0.26412000000000502</v>
      </c>
      <c r="CY11" s="128">
        <v>0</v>
      </c>
      <c r="CZ11" s="128">
        <v>2.1711249999999599E-2</v>
      </c>
      <c r="DA11" s="128">
        <v>0.35021999999999998</v>
      </c>
      <c r="DB11" s="128">
        <v>0.12696299999999999</v>
      </c>
      <c r="DC11" s="128">
        <v>1.3643999999999301E-2</v>
      </c>
      <c r="DD11" s="128">
        <v>2.9717460937499999E-2</v>
      </c>
      <c r="DE11" s="128">
        <v>0</v>
      </c>
      <c r="DF11" s="128">
        <v>0</v>
      </c>
      <c r="DG11" s="128">
        <v>1.5281500000000401E-2</v>
      </c>
      <c r="DH11" s="128">
        <v>0</v>
      </c>
      <c r="DI11" s="128">
        <v>5.8786240000000003</v>
      </c>
      <c r="DJ11" s="128">
        <v>0</v>
      </c>
      <c r="DK11" s="128">
        <v>6.3188000000000202E-2</v>
      </c>
      <c r="DL11" s="128">
        <v>1.87880000000007E-2</v>
      </c>
      <c r="DM11" s="128">
        <v>4.3807000000000998E-2</v>
      </c>
      <c r="DN11" s="128">
        <v>0</v>
      </c>
      <c r="DO11" s="128">
        <v>0.77596800000000599</v>
      </c>
      <c r="DP11" s="128">
        <v>3.8082000000000199E-2</v>
      </c>
      <c r="DQ11" s="128">
        <v>0</v>
      </c>
      <c r="DR11" s="128">
        <v>0</v>
      </c>
      <c r="DS11" s="128">
        <v>2.0911360000000099</v>
      </c>
      <c r="DT11" s="128">
        <v>0.41384000000000798</v>
      </c>
      <c r="DU11" s="128">
        <v>1.37619999999998E-2</v>
      </c>
      <c r="DV11" s="128">
        <v>1.18210000000003E-2</v>
      </c>
      <c r="DW11" s="128">
        <v>0</v>
      </c>
      <c r="DX11" s="128">
        <v>0.21592012499999999</v>
      </c>
      <c r="DY11" s="128">
        <v>9.1233124999999804E-3</v>
      </c>
      <c r="DZ11" s="128">
        <v>9.7946000000000297E-2</v>
      </c>
      <c r="EA11" s="128">
        <v>0</v>
      </c>
      <c r="EB11" s="128">
        <v>1.450256</v>
      </c>
      <c r="EC11" s="128">
        <v>0.64859199999997896</v>
      </c>
      <c r="ED11" s="128">
        <v>5.8488125000000002E-2</v>
      </c>
      <c r="EE11" s="128">
        <v>0</v>
      </c>
      <c r="EF11" s="128">
        <v>8.0919770000000408</v>
      </c>
      <c r="EG11" s="128">
        <v>0</v>
      </c>
      <c r="EH11" s="128">
        <v>0.46176000000002698</v>
      </c>
      <c r="EI11" s="128">
        <v>0.77855999999997005</v>
      </c>
      <c r="EJ11" s="128">
        <v>2.47360000000185E-2</v>
      </c>
      <c r="EK11" s="128">
        <v>0</v>
      </c>
      <c r="EL11" s="128">
        <v>0</v>
      </c>
      <c r="EM11" s="128">
        <v>3.3561599999998202</v>
      </c>
      <c r="EN11" s="128">
        <v>1.69471999999996</v>
      </c>
      <c r="EO11" s="128">
        <v>0</v>
      </c>
      <c r="EP11" s="128">
        <v>0</v>
      </c>
      <c r="EQ11" s="128">
        <v>0</v>
      </c>
      <c r="ER11" s="129">
        <v>0</v>
      </c>
      <c r="ES11" s="129">
        <v>0</v>
      </c>
      <c r="ET11" s="129">
        <v>0</v>
      </c>
      <c r="EU11" s="129">
        <v>0</v>
      </c>
      <c r="EV11" s="129">
        <v>0</v>
      </c>
      <c r="EW11" s="129">
        <v>0</v>
      </c>
      <c r="EX11" s="129">
        <v>0</v>
      </c>
      <c r="EY11" s="129">
        <v>0</v>
      </c>
      <c r="EZ11" s="129">
        <v>0</v>
      </c>
      <c r="FA11" s="129">
        <v>0</v>
      </c>
      <c r="FB11" s="129">
        <v>0</v>
      </c>
      <c r="FC11" s="129">
        <v>0</v>
      </c>
      <c r="FD11" s="129">
        <v>0</v>
      </c>
      <c r="FE11" s="129">
        <v>0</v>
      </c>
      <c r="FF11" s="129">
        <v>0</v>
      </c>
      <c r="FG11" s="129">
        <v>0</v>
      </c>
      <c r="FH11" s="129">
        <v>0</v>
      </c>
      <c r="FI11" s="129">
        <v>0</v>
      </c>
      <c r="FJ11" s="129">
        <v>0</v>
      </c>
      <c r="FK11" s="129">
        <v>0</v>
      </c>
      <c r="FL11" s="129">
        <v>0</v>
      </c>
      <c r="FM11" s="129">
        <v>0</v>
      </c>
      <c r="FN11" s="129">
        <v>0</v>
      </c>
      <c r="FO11" s="129">
        <v>0</v>
      </c>
      <c r="FP11" s="129">
        <v>0</v>
      </c>
      <c r="FQ11" s="129">
        <v>0</v>
      </c>
      <c r="FR11" s="129">
        <v>0</v>
      </c>
      <c r="FS11" s="129">
        <v>0</v>
      </c>
      <c r="FT11" s="129">
        <v>0</v>
      </c>
      <c r="FU11" s="129">
        <v>0</v>
      </c>
      <c r="FV11" s="129">
        <v>0</v>
      </c>
      <c r="FW11" s="129">
        <v>0</v>
      </c>
      <c r="FX11" s="129">
        <v>0</v>
      </c>
      <c r="FY11" s="129">
        <v>0</v>
      </c>
      <c r="FZ11" s="129">
        <v>0</v>
      </c>
      <c r="GA11" s="129">
        <v>0</v>
      </c>
      <c r="GB11" s="129">
        <v>0</v>
      </c>
      <c r="GC11" s="129">
        <v>0</v>
      </c>
      <c r="GD11" s="129">
        <v>0</v>
      </c>
      <c r="GE11" s="129">
        <v>0</v>
      </c>
      <c r="GF11" s="129">
        <v>0</v>
      </c>
      <c r="GG11" s="129">
        <v>0</v>
      </c>
      <c r="GH11" s="129">
        <v>0</v>
      </c>
      <c r="GI11" s="129">
        <v>0</v>
      </c>
      <c r="GJ11" s="129">
        <v>0</v>
      </c>
      <c r="GK11" s="129">
        <v>0</v>
      </c>
      <c r="GL11" s="129">
        <v>0</v>
      </c>
      <c r="GM11" s="129">
        <v>0</v>
      </c>
      <c r="GN11" s="129">
        <v>0</v>
      </c>
      <c r="GO11" s="129">
        <v>0</v>
      </c>
      <c r="GP11" s="129">
        <v>0</v>
      </c>
      <c r="GQ11" s="129">
        <v>0</v>
      </c>
      <c r="GR11" s="129">
        <v>0</v>
      </c>
      <c r="GS11" s="129">
        <v>0</v>
      </c>
    </row>
    <row r="12" spans="1:201" s="30" customFormat="1" ht="13" x14ac:dyDescent="0.25">
      <c r="A12" s="87">
        <v>6</v>
      </c>
      <c r="B12" s="128">
        <v>19.033000000000001</v>
      </c>
      <c r="C12" s="128">
        <v>0</v>
      </c>
      <c r="D12" s="128">
        <v>7.0436349999999903</v>
      </c>
      <c r="E12" s="128">
        <v>5.9671969999999996</v>
      </c>
      <c r="F12" s="128">
        <v>6.6774709999999997</v>
      </c>
      <c r="G12" s="128">
        <v>0.64604100000000197</v>
      </c>
      <c r="H12" s="128">
        <v>2.1756000000000799E-2</v>
      </c>
      <c r="I12" s="128">
        <v>6.8815000000000098E-2</v>
      </c>
      <c r="J12" s="128">
        <v>8.9580999999999994E-2</v>
      </c>
      <c r="K12" s="128">
        <v>0.277754</v>
      </c>
      <c r="L12" s="128">
        <v>5.3329999999993704E-3</v>
      </c>
      <c r="M12" s="128">
        <v>0.64565500000000098</v>
      </c>
      <c r="N12" s="128">
        <v>3.7161849999999998</v>
      </c>
      <c r="O12" s="128">
        <v>3.8602430000000298</v>
      </c>
      <c r="P12" s="128">
        <v>0.27058599999999799</v>
      </c>
      <c r="Q12" s="128">
        <v>0</v>
      </c>
      <c r="R12" s="128">
        <v>6.8741119999976901</v>
      </c>
      <c r="S12" s="128">
        <v>5.7656320000005499</v>
      </c>
      <c r="T12" s="128">
        <v>6.4798719999998902</v>
      </c>
      <c r="U12" s="128">
        <v>0.55135599999999796</v>
      </c>
      <c r="V12" s="128">
        <v>0.122755999999999</v>
      </c>
      <c r="W12" s="128">
        <v>6.5600999999999104E-2</v>
      </c>
      <c r="X12" s="128">
        <v>7.6634999999999606E-2</v>
      </c>
      <c r="Y12" s="128">
        <v>0</v>
      </c>
      <c r="Z12" s="128">
        <v>5.1342999999999299E-2</v>
      </c>
      <c r="AA12" s="128">
        <v>0.116577999999997</v>
      </c>
      <c r="AB12" s="128">
        <v>0.14751</v>
      </c>
      <c r="AC12" s="128">
        <v>8.7797999999999404E-2</v>
      </c>
      <c r="AD12" s="128">
        <v>4.3716500000000401E-2</v>
      </c>
      <c r="AE12" s="128">
        <v>7.1017999999999998E-2</v>
      </c>
      <c r="AF12" s="128">
        <v>0</v>
      </c>
      <c r="AG12" s="128">
        <v>1.03807499999999E-2</v>
      </c>
      <c r="AH12" s="128">
        <v>2.0043840000000199</v>
      </c>
      <c r="AI12" s="128">
        <v>0</v>
      </c>
      <c r="AJ12" s="128">
        <v>2.6764500000000101E-2</v>
      </c>
      <c r="AK12" s="128">
        <v>0</v>
      </c>
      <c r="AL12" s="128">
        <v>0.30804799999999899</v>
      </c>
      <c r="AM12" s="128">
        <v>0.52554400000000401</v>
      </c>
      <c r="AN12" s="128">
        <v>0.39259999999999501</v>
      </c>
      <c r="AO12" s="128">
        <v>0.18515000000000001</v>
      </c>
      <c r="AP12" s="128">
        <v>9.4584000000001098E-2</v>
      </c>
      <c r="AQ12" s="128">
        <v>0.32955200000000001</v>
      </c>
      <c r="AR12" s="128">
        <v>4.7875520000000096</v>
      </c>
      <c r="AS12" s="128">
        <v>4.0656250000000498E-2</v>
      </c>
      <c r="AT12" s="128">
        <v>0</v>
      </c>
      <c r="AU12" s="128">
        <v>3.2260000000000802E-2</v>
      </c>
      <c r="AV12" s="128">
        <v>1.6979000000000102E-2</v>
      </c>
      <c r="AW12" s="128">
        <v>1.6428799999999899</v>
      </c>
      <c r="AX12" s="128">
        <v>0</v>
      </c>
      <c r="AY12" s="128">
        <v>5.0211749999999902E-2</v>
      </c>
      <c r="AZ12" s="128">
        <v>3.5000000000451299E-6</v>
      </c>
      <c r="BA12" s="128">
        <v>0</v>
      </c>
      <c r="BB12" s="128">
        <v>0</v>
      </c>
      <c r="BC12" s="128">
        <v>0</v>
      </c>
      <c r="BD12" s="128">
        <v>3.5359999999999801E-3</v>
      </c>
      <c r="BE12" s="128">
        <v>0.17696200000000001</v>
      </c>
      <c r="BF12" s="128">
        <v>0</v>
      </c>
      <c r="BG12" s="128">
        <v>2.28619999999999E-2</v>
      </c>
      <c r="BH12" s="128">
        <v>0.10876</v>
      </c>
      <c r="BI12" s="128">
        <v>2.4590239999999999</v>
      </c>
      <c r="BJ12" s="128">
        <v>3.6900000000272799E-4</v>
      </c>
      <c r="BK12" s="128">
        <v>3.8657000000000601E-2</v>
      </c>
      <c r="BL12" s="128">
        <v>0</v>
      </c>
      <c r="BM12" s="128">
        <v>2.2516319999999999</v>
      </c>
      <c r="BN12" s="128">
        <v>0</v>
      </c>
      <c r="BO12" s="128">
        <v>0.447627</v>
      </c>
      <c r="BP12" s="128">
        <v>0</v>
      </c>
      <c r="BQ12" s="128">
        <v>0</v>
      </c>
      <c r="BR12" s="128">
        <v>1.5600062499999999E-2</v>
      </c>
      <c r="BS12" s="128">
        <v>0</v>
      </c>
      <c r="BT12" s="128">
        <v>0.26744399999999802</v>
      </c>
      <c r="BU12" s="128">
        <v>2.1161750000000101E-2</v>
      </c>
      <c r="BV12" s="128">
        <v>0</v>
      </c>
      <c r="BW12" s="128">
        <v>0</v>
      </c>
      <c r="BX12" s="128">
        <v>1.8310437499999999E-2</v>
      </c>
      <c r="BY12" s="128">
        <v>0</v>
      </c>
      <c r="BZ12" s="128">
        <v>1.010972</v>
      </c>
      <c r="CA12" s="128">
        <v>0.30760000000000798</v>
      </c>
      <c r="CB12" s="128">
        <v>0</v>
      </c>
      <c r="CC12" s="128">
        <v>0</v>
      </c>
      <c r="CD12" s="128">
        <v>0</v>
      </c>
      <c r="CE12" s="128">
        <v>0</v>
      </c>
      <c r="CF12" s="128">
        <v>3.4919999999999597E-2</v>
      </c>
      <c r="CG12" s="128">
        <v>0</v>
      </c>
      <c r="CH12" s="128">
        <v>5.8574999999994005E-4</v>
      </c>
      <c r="CI12" s="128">
        <v>0</v>
      </c>
      <c r="CJ12" s="128">
        <v>0</v>
      </c>
      <c r="CK12" s="128">
        <v>0</v>
      </c>
      <c r="CL12" s="128">
        <v>0</v>
      </c>
      <c r="CM12" s="128">
        <v>4.3982720000000199</v>
      </c>
      <c r="CN12" s="128">
        <v>4.9911999999999998E-2</v>
      </c>
      <c r="CO12" s="128">
        <v>0.50256800000000401</v>
      </c>
      <c r="CP12" s="128">
        <v>0</v>
      </c>
      <c r="CQ12" s="128">
        <v>7.18750000017199E-7</v>
      </c>
      <c r="CR12" s="128">
        <v>9.8269000000000203E-2</v>
      </c>
      <c r="CS12" s="128">
        <v>0</v>
      </c>
      <c r="CT12" s="128">
        <v>0.20684</v>
      </c>
      <c r="CU12" s="128">
        <v>0</v>
      </c>
      <c r="CV12" s="128">
        <v>1.5794625E-2</v>
      </c>
      <c r="CW12" s="128">
        <v>5.7380000000001999E-2</v>
      </c>
      <c r="CX12" s="128">
        <v>0.27091199999999599</v>
      </c>
      <c r="CY12" s="128">
        <v>1.1081000000000001E-2</v>
      </c>
      <c r="CZ12" s="128">
        <v>2.6789250000000198E-2</v>
      </c>
      <c r="DA12" s="128">
        <v>0.35376799999999498</v>
      </c>
      <c r="DB12" s="128">
        <v>0.127135</v>
      </c>
      <c r="DC12" s="128">
        <v>9.6519999999955496E-3</v>
      </c>
      <c r="DD12" s="128">
        <v>2.9194781249999999E-2</v>
      </c>
      <c r="DE12" s="128">
        <v>0</v>
      </c>
      <c r="DF12" s="128">
        <v>0</v>
      </c>
      <c r="DG12" s="128">
        <v>3.04080000000004E-2</v>
      </c>
      <c r="DH12" s="128">
        <v>0</v>
      </c>
      <c r="DI12" s="128">
        <v>5.7849919999999901</v>
      </c>
      <c r="DJ12" s="128">
        <v>0</v>
      </c>
      <c r="DK12" s="128">
        <v>6.3372000000001094E-2</v>
      </c>
      <c r="DL12" s="128">
        <v>1.9109000000000299E-2</v>
      </c>
      <c r="DM12" s="128">
        <v>4.0039000000000199E-2</v>
      </c>
      <c r="DN12" s="128">
        <v>3.9892500000000596E-3</v>
      </c>
      <c r="DO12" s="128">
        <v>0.78283200000001296</v>
      </c>
      <c r="DP12" s="128">
        <v>4.22950000000002E-2</v>
      </c>
      <c r="DQ12" s="128">
        <v>0</v>
      </c>
      <c r="DR12" s="128">
        <v>0</v>
      </c>
      <c r="DS12" s="128">
        <v>1.9863359999999901</v>
      </c>
      <c r="DT12" s="128">
        <v>0.42822399999999999</v>
      </c>
      <c r="DU12" s="128">
        <v>1.9062999999999199E-2</v>
      </c>
      <c r="DV12" s="128">
        <v>1.07914999999998E-2</v>
      </c>
      <c r="DW12" s="128">
        <v>0</v>
      </c>
      <c r="DX12" s="128">
        <v>0.20052975000000001</v>
      </c>
      <c r="DY12" s="128">
        <v>1.029928125E-2</v>
      </c>
      <c r="DZ12" s="128">
        <v>0.100391999999999</v>
      </c>
      <c r="EA12" s="128">
        <v>0</v>
      </c>
      <c r="EB12" s="128">
        <v>1.45582400000001</v>
      </c>
      <c r="EC12" s="128">
        <v>0.66513600000001805</v>
      </c>
      <c r="ED12" s="128">
        <v>3.4547000000000098E-2</v>
      </c>
      <c r="EE12" s="128">
        <v>0</v>
      </c>
      <c r="EF12" s="128">
        <v>8.3183169999993005</v>
      </c>
      <c r="EG12" s="128">
        <v>0</v>
      </c>
      <c r="EH12" s="128">
        <v>0.42950399999995198</v>
      </c>
      <c r="EI12" s="128">
        <v>0.55065600000000403</v>
      </c>
      <c r="EJ12" s="128">
        <v>2.4672000000009599E-2</v>
      </c>
      <c r="EK12" s="128">
        <v>0</v>
      </c>
      <c r="EL12" s="128">
        <v>1.6126720000001999</v>
      </c>
      <c r="EM12" s="128">
        <v>3.70598400000017</v>
      </c>
      <c r="EN12" s="128">
        <v>0.25907199999983299</v>
      </c>
      <c r="EO12" s="128">
        <v>0</v>
      </c>
      <c r="EP12" s="128">
        <v>0</v>
      </c>
      <c r="EQ12" s="128">
        <v>0</v>
      </c>
      <c r="ER12" s="129">
        <v>0</v>
      </c>
      <c r="ES12" s="129">
        <v>0</v>
      </c>
      <c r="ET12" s="129">
        <v>0</v>
      </c>
      <c r="EU12" s="129">
        <v>0</v>
      </c>
      <c r="EV12" s="129">
        <v>0</v>
      </c>
      <c r="EW12" s="129">
        <v>0</v>
      </c>
      <c r="EX12" s="129">
        <v>0</v>
      </c>
      <c r="EY12" s="129">
        <v>0</v>
      </c>
      <c r="EZ12" s="129">
        <v>0</v>
      </c>
      <c r="FA12" s="129">
        <v>0</v>
      </c>
      <c r="FB12" s="129">
        <v>0</v>
      </c>
      <c r="FC12" s="129">
        <v>0</v>
      </c>
      <c r="FD12" s="129">
        <v>0</v>
      </c>
      <c r="FE12" s="129">
        <v>0</v>
      </c>
      <c r="FF12" s="129">
        <v>0</v>
      </c>
      <c r="FG12" s="129">
        <v>0</v>
      </c>
      <c r="FH12" s="129">
        <v>0</v>
      </c>
      <c r="FI12" s="129">
        <v>0</v>
      </c>
      <c r="FJ12" s="129">
        <v>0</v>
      </c>
      <c r="FK12" s="129">
        <v>0</v>
      </c>
      <c r="FL12" s="129">
        <v>0</v>
      </c>
      <c r="FM12" s="129">
        <v>0</v>
      </c>
      <c r="FN12" s="129">
        <v>0</v>
      </c>
      <c r="FO12" s="129">
        <v>0</v>
      </c>
      <c r="FP12" s="129">
        <v>0</v>
      </c>
      <c r="FQ12" s="129">
        <v>0</v>
      </c>
      <c r="FR12" s="129">
        <v>0</v>
      </c>
      <c r="FS12" s="129">
        <v>0</v>
      </c>
      <c r="FT12" s="129">
        <v>0</v>
      </c>
      <c r="FU12" s="129">
        <v>0</v>
      </c>
      <c r="FV12" s="129">
        <v>0</v>
      </c>
      <c r="FW12" s="129">
        <v>0</v>
      </c>
      <c r="FX12" s="129">
        <v>0</v>
      </c>
      <c r="FY12" s="129">
        <v>0</v>
      </c>
      <c r="FZ12" s="129">
        <v>0</v>
      </c>
      <c r="GA12" s="129">
        <v>0</v>
      </c>
      <c r="GB12" s="129">
        <v>0</v>
      </c>
      <c r="GC12" s="129">
        <v>0</v>
      </c>
      <c r="GD12" s="129">
        <v>0</v>
      </c>
      <c r="GE12" s="129">
        <v>0</v>
      </c>
      <c r="GF12" s="129">
        <v>0</v>
      </c>
      <c r="GG12" s="129">
        <v>0</v>
      </c>
      <c r="GH12" s="129">
        <v>0</v>
      </c>
      <c r="GI12" s="129">
        <v>0</v>
      </c>
      <c r="GJ12" s="129">
        <v>0</v>
      </c>
      <c r="GK12" s="129">
        <v>0</v>
      </c>
      <c r="GL12" s="129">
        <v>0</v>
      </c>
      <c r="GM12" s="129">
        <v>0</v>
      </c>
      <c r="GN12" s="129">
        <v>0</v>
      </c>
      <c r="GO12" s="129">
        <v>0</v>
      </c>
      <c r="GP12" s="129">
        <v>0</v>
      </c>
      <c r="GQ12" s="129">
        <v>0</v>
      </c>
      <c r="GR12" s="129">
        <v>0</v>
      </c>
      <c r="GS12" s="129">
        <v>0</v>
      </c>
    </row>
    <row r="13" spans="1:201" s="30" customFormat="1" ht="13" x14ac:dyDescent="0.25">
      <c r="A13" s="87">
        <v>7</v>
      </c>
      <c r="B13" s="128">
        <v>19.989062499999999</v>
      </c>
      <c r="C13" s="128">
        <v>0</v>
      </c>
      <c r="D13" s="128">
        <v>7.1638560000000098</v>
      </c>
      <c r="E13" s="128">
        <v>6.0075589999999899</v>
      </c>
      <c r="F13" s="128">
        <v>6.7715590000000203</v>
      </c>
      <c r="G13" s="128">
        <v>0</v>
      </c>
      <c r="H13" s="128">
        <v>0</v>
      </c>
      <c r="I13" s="128">
        <v>0</v>
      </c>
      <c r="J13" s="128">
        <v>0</v>
      </c>
      <c r="K13" s="128">
        <v>0</v>
      </c>
      <c r="L13" s="128">
        <v>0</v>
      </c>
      <c r="M13" s="128">
        <v>0</v>
      </c>
      <c r="N13" s="128">
        <v>3.7799130000000201</v>
      </c>
      <c r="O13" s="128">
        <v>3.9281119999999401</v>
      </c>
      <c r="P13" s="128">
        <v>0.25927700000000098</v>
      </c>
      <c r="Q13" s="128">
        <v>0</v>
      </c>
      <c r="R13" s="128">
        <v>7.0041600000004101</v>
      </c>
      <c r="S13" s="128">
        <v>5.8542079999997396</v>
      </c>
      <c r="T13" s="128">
        <v>6.5740799999985002</v>
      </c>
      <c r="U13" s="128">
        <v>0.52252800000000099</v>
      </c>
      <c r="V13" s="128">
        <v>0.12104000000000099</v>
      </c>
      <c r="W13" s="128">
        <v>6.0220000000001099E-2</v>
      </c>
      <c r="X13" s="128">
        <v>7.6579999999999898E-2</v>
      </c>
      <c r="Y13" s="128">
        <v>0</v>
      </c>
      <c r="Z13" s="128">
        <v>4.7489999999999803E-2</v>
      </c>
      <c r="AA13" s="128">
        <v>0.109146000000003</v>
      </c>
      <c r="AB13" s="128">
        <v>0.14697199999999799</v>
      </c>
      <c r="AC13" s="128">
        <v>9.3320000000002096E-2</v>
      </c>
      <c r="AD13" s="128">
        <v>4.1921999999999598E-2</v>
      </c>
      <c r="AE13" s="128">
        <v>6.2677749999999796E-2</v>
      </c>
      <c r="AF13" s="128">
        <v>0</v>
      </c>
      <c r="AG13" s="128">
        <v>1.08454999999998E-2</v>
      </c>
      <c r="AH13" s="128">
        <v>1.99196799999999</v>
      </c>
      <c r="AI13" s="128">
        <v>0</v>
      </c>
      <c r="AJ13" s="128">
        <v>2.21325000000001E-2</v>
      </c>
      <c r="AK13" s="128">
        <v>0</v>
      </c>
      <c r="AL13" s="128">
        <v>0.31646399999999603</v>
      </c>
      <c r="AM13" s="128">
        <v>0.52677199999999402</v>
      </c>
      <c r="AN13" s="128">
        <v>0.40782800000000202</v>
      </c>
      <c r="AO13" s="128">
        <v>0.14716199999999799</v>
      </c>
      <c r="AP13" s="128">
        <v>8.8028999999998803E-2</v>
      </c>
      <c r="AQ13" s="128">
        <v>0.34041200000000099</v>
      </c>
      <c r="AR13" s="128">
        <v>4.7511359999999696</v>
      </c>
      <c r="AS13" s="128">
        <v>4.4595749999999199E-2</v>
      </c>
      <c r="AT13" s="128">
        <v>0</v>
      </c>
      <c r="AU13" s="128">
        <v>3.6079999999998301E-2</v>
      </c>
      <c r="AV13" s="128">
        <v>3.8821500000000099E-2</v>
      </c>
      <c r="AW13" s="128">
        <v>1.6896639999999901</v>
      </c>
      <c r="AX13" s="128">
        <v>0</v>
      </c>
      <c r="AY13" s="128">
        <v>5.383425E-2</v>
      </c>
      <c r="AZ13" s="128">
        <v>3.4999999991569599E-6</v>
      </c>
      <c r="BA13" s="128">
        <v>0</v>
      </c>
      <c r="BB13" s="128">
        <v>0</v>
      </c>
      <c r="BC13" s="128">
        <v>0</v>
      </c>
      <c r="BD13" s="128">
        <v>3.8578750000000102E-3</v>
      </c>
      <c r="BE13" s="128">
        <v>0.122352000000001</v>
      </c>
      <c r="BF13" s="128">
        <v>0</v>
      </c>
      <c r="BG13" s="128">
        <v>2.43029999999997E-2</v>
      </c>
      <c r="BH13" s="128">
        <v>5.6266000000000801E-2</v>
      </c>
      <c r="BI13" s="128">
        <v>2.4379199999999899</v>
      </c>
      <c r="BJ13" s="128">
        <v>7.5499999999806299E-4</v>
      </c>
      <c r="BK13" s="128">
        <v>4.1254999999999598E-2</v>
      </c>
      <c r="BL13" s="128">
        <v>0</v>
      </c>
      <c r="BM13" s="128">
        <v>2.1874399999999801</v>
      </c>
      <c r="BN13" s="128">
        <v>0</v>
      </c>
      <c r="BO13" s="128">
        <v>0.27938075000000001</v>
      </c>
      <c r="BP13" s="128">
        <v>0</v>
      </c>
      <c r="BQ13" s="128">
        <v>0</v>
      </c>
      <c r="BR13" s="128">
        <v>1.8880468750000001E-2</v>
      </c>
      <c r="BS13" s="128">
        <v>0</v>
      </c>
      <c r="BT13" s="128">
        <v>0.266264</v>
      </c>
      <c r="BU13" s="128">
        <v>2.12699999999999E-2</v>
      </c>
      <c r="BV13" s="128">
        <v>0</v>
      </c>
      <c r="BW13" s="128">
        <v>0</v>
      </c>
      <c r="BX13" s="128">
        <v>1.8100093750000001E-2</v>
      </c>
      <c r="BY13" s="128">
        <v>0</v>
      </c>
      <c r="BZ13" s="128">
        <v>1.0366599999999999</v>
      </c>
      <c r="CA13" s="128">
        <v>0.305551999999992</v>
      </c>
      <c r="CB13" s="128">
        <v>0</v>
      </c>
      <c r="CC13" s="128">
        <v>0</v>
      </c>
      <c r="CD13" s="128">
        <v>0</v>
      </c>
      <c r="CE13" s="128">
        <v>0</v>
      </c>
      <c r="CF13" s="128">
        <v>9.9769999999999498E-2</v>
      </c>
      <c r="CG13" s="128">
        <v>0</v>
      </c>
      <c r="CH13" s="128">
        <v>3.3612499999997598E-3</v>
      </c>
      <c r="CI13" s="128">
        <v>0</v>
      </c>
      <c r="CJ13" s="128">
        <v>0</v>
      </c>
      <c r="CK13" s="128">
        <v>0</v>
      </c>
      <c r="CL13" s="128">
        <v>0</v>
      </c>
      <c r="CM13" s="128">
        <v>4.1839360000000196</v>
      </c>
      <c r="CN13" s="128">
        <v>4.6749499999999798E-2</v>
      </c>
      <c r="CO13" s="128">
        <v>0.53094799999999498</v>
      </c>
      <c r="CP13" s="128">
        <v>0</v>
      </c>
      <c r="CQ13" s="128">
        <v>1.8749999997069701E-7</v>
      </c>
      <c r="CR13" s="128">
        <v>9.8539999999999905E-2</v>
      </c>
      <c r="CS13" s="128">
        <v>0</v>
      </c>
      <c r="CT13" s="128">
        <v>0.20805199999999499</v>
      </c>
      <c r="CU13" s="128">
        <v>0</v>
      </c>
      <c r="CV13" s="128">
        <v>1.4074562500000099E-2</v>
      </c>
      <c r="CW13" s="128">
        <v>2.7499999999996302E-2</v>
      </c>
      <c r="CX13" s="128">
        <v>0.27161200000000502</v>
      </c>
      <c r="CY13" s="128">
        <v>1.0947E-2</v>
      </c>
      <c r="CZ13" s="128">
        <v>2.0572500000000101E-2</v>
      </c>
      <c r="DA13" s="128">
        <v>0.32302800000000098</v>
      </c>
      <c r="DB13" s="128">
        <v>0.122225</v>
      </c>
      <c r="DC13" s="128">
        <v>1.1279999999999299E-2</v>
      </c>
      <c r="DD13" s="128">
        <v>2.9256648437500001E-2</v>
      </c>
      <c r="DE13" s="128">
        <v>0</v>
      </c>
      <c r="DF13" s="128">
        <v>0</v>
      </c>
      <c r="DG13" s="128">
        <v>2.82794999999991E-2</v>
      </c>
      <c r="DH13" s="128">
        <v>0</v>
      </c>
      <c r="DI13" s="128">
        <v>5.6254079999999904</v>
      </c>
      <c r="DJ13" s="128">
        <v>0</v>
      </c>
      <c r="DK13" s="128">
        <v>6.3237999999998407E-2</v>
      </c>
      <c r="DL13" s="128">
        <v>1.9104000000000499E-2</v>
      </c>
      <c r="DM13" s="128">
        <v>4.0715000000000501E-2</v>
      </c>
      <c r="DN13" s="128">
        <v>4.2836249999999004E-3</v>
      </c>
      <c r="DO13" s="128">
        <v>0.83319999999997696</v>
      </c>
      <c r="DP13" s="128">
        <v>3.9618499999999598E-2</v>
      </c>
      <c r="DQ13" s="128">
        <v>0</v>
      </c>
      <c r="DR13" s="128">
        <v>0</v>
      </c>
      <c r="DS13" s="128">
        <v>1.8520640000000399</v>
      </c>
      <c r="DT13" s="128">
        <v>0.421408</v>
      </c>
      <c r="DU13" s="128">
        <v>1.90000000000001E-2</v>
      </c>
      <c r="DV13" s="128">
        <v>1.0434749999999901E-2</v>
      </c>
      <c r="DW13" s="128">
        <v>0</v>
      </c>
      <c r="DX13" s="128">
        <v>0.19437275000000001</v>
      </c>
      <c r="DY13" s="128">
        <v>1.3299078125000001E-2</v>
      </c>
      <c r="DZ13" s="128">
        <v>9.3422000000000296E-2</v>
      </c>
      <c r="EA13" s="128">
        <v>0</v>
      </c>
      <c r="EB13" s="128">
        <v>1.3986559999999899</v>
      </c>
      <c r="EC13" s="128">
        <v>0.67182399999998699</v>
      </c>
      <c r="ED13" s="128">
        <v>3.1790875000000003E-2</v>
      </c>
      <c r="EE13" s="128">
        <v>0</v>
      </c>
      <c r="EF13" s="128">
        <v>9.2827990000005194</v>
      </c>
      <c r="EG13" s="128">
        <v>0</v>
      </c>
      <c r="EH13" s="128">
        <v>0.441408000000024</v>
      </c>
      <c r="EI13" s="128">
        <v>0.52044799999998803</v>
      </c>
      <c r="EJ13" s="128">
        <v>3.0847999999991799E-2</v>
      </c>
      <c r="EK13" s="128">
        <v>0</v>
      </c>
      <c r="EL13" s="128">
        <v>1.6523519999998399</v>
      </c>
      <c r="EM13" s="128">
        <v>1.5605759999998601</v>
      </c>
      <c r="EN13" s="128">
        <v>3.0356480000000401</v>
      </c>
      <c r="EO13" s="128">
        <v>1.4080000000831201E-3</v>
      </c>
      <c r="EP13" s="128">
        <v>0</v>
      </c>
      <c r="EQ13" s="128">
        <v>0</v>
      </c>
      <c r="ER13" s="129">
        <v>0</v>
      </c>
      <c r="ES13" s="129">
        <v>0</v>
      </c>
      <c r="ET13" s="129">
        <v>0</v>
      </c>
      <c r="EU13" s="129">
        <v>0</v>
      </c>
      <c r="EV13" s="129">
        <v>0</v>
      </c>
      <c r="EW13" s="129">
        <v>0</v>
      </c>
      <c r="EX13" s="129">
        <v>0</v>
      </c>
      <c r="EY13" s="129">
        <v>0</v>
      </c>
      <c r="EZ13" s="129">
        <v>0</v>
      </c>
      <c r="FA13" s="129">
        <v>0</v>
      </c>
      <c r="FB13" s="129">
        <v>0</v>
      </c>
      <c r="FC13" s="129">
        <v>0</v>
      </c>
      <c r="FD13" s="129">
        <v>0</v>
      </c>
      <c r="FE13" s="129">
        <v>0</v>
      </c>
      <c r="FF13" s="129">
        <v>0</v>
      </c>
      <c r="FG13" s="129">
        <v>0</v>
      </c>
      <c r="FH13" s="129">
        <v>0</v>
      </c>
      <c r="FI13" s="129">
        <v>0</v>
      </c>
      <c r="FJ13" s="129">
        <v>0</v>
      </c>
      <c r="FK13" s="129">
        <v>0</v>
      </c>
      <c r="FL13" s="129">
        <v>0</v>
      </c>
      <c r="FM13" s="129">
        <v>0</v>
      </c>
      <c r="FN13" s="129">
        <v>0</v>
      </c>
      <c r="FO13" s="129">
        <v>0</v>
      </c>
      <c r="FP13" s="129">
        <v>0</v>
      </c>
      <c r="FQ13" s="129">
        <v>0</v>
      </c>
      <c r="FR13" s="129">
        <v>0</v>
      </c>
      <c r="FS13" s="129">
        <v>0</v>
      </c>
      <c r="FT13" s="129">
        <v>0</v>
      </c>
      <c r="FU13" s="129">
        <v>0</v>
      </c>
      <c r="FV13" s="129">
        <v>0</v>
      </c>
      <c r="FW13" s="129">
        <v>0</v>
      </c>
      <c r="FX13" s="129">
        <v>0</v>
      </c>
      <c r="FY13" s="129">
        <v>0</v>
      </c>
      <c r="FZ13" s="129">
        <v>0</v>
      </c>
      <c r="GA13" s="129">
        <v>0</v>
      </c>
      <c r="GB13" s="129">
        <v>0</v>
      </c>
      <c r="GC13" s="129">
        <v>0</v>
      </c>
      <c r="GD13" s="129">
        <v>0</v>
      </c>
      <c r="GE13" s="129">
        <v>0</v>
      </c>
      <c r="GF13" s="129">
        <v>0</v>
      </c>
      <c r="GG13" s="129">
        <v>0</v>
      </c>
      <c r="GH13" s="129">
        <v>0</v>
      </c>
      <c r="GI13" s="129">
        <v>0</v>
      </c>
      <c r="GJ13" s="129">
        <v>0</v>
      </c>
      <c r="GK13" s="129">
        <v>0</v>
      </c>
      <c r="GL13" s="129">
        <v>0</v>
      </c>
      <c r="GM13" s="129">
        <v>0</v>
      </c>
      <c r="GN13" s="129">
        <v>0</v>
      </c>
      <c r="GO13" s="129">
        <v>0</v>
      </c>
      <c r="GP13" s="129">
        <v>0</v>
      </c>
      <c r="GQ13" s="129">
        <v>0</v>
      </c>
      <c r="GR13" s="129">
        <v>0</v>
      </c>
      <c r="GS13" s="129">
        <v>0</v>
      </c>
    </row>
    <row r="14" spans="1:201" s="30" customFormat="1" ht="13" x14ac:dyDescent="0.25">
      <c r="A14" s="87">
        <v>8</v>
      </c>
      <c r="B14" s="128">
        <v>20.759562500000001</v>
      </c>
      <c r="C14" s="128">
        <v>0</v>
      </c>
      <c r="D14" s="128">
        <v>5.10198700000001</v>
      </c>
      <c r="E14" s="128">
        <v>4.26248900000002</v>
      </c>
      <c r="F14" s="128">
        <v>4.8116319999999702</v>
      </c>
      <c r="G14" s="128">
        <v>0.70943399999999801</v>
      </c>
      <c r="H14" s="128">
        <v>0.19270699999999999</v>
      </c>
      <c r="I14" s="128">
        <v>0.194829</v>
      </c>
      <c r="J14" s="128">
        <v>6.1998000000000102E-2</v>
      </c>
      <c r="K14" s="128">
        <v>5.5294000000000197E-2</v>
      </c>
      <c r="L14" s="128">
        <v>7.37620000000003E-2</v>
      </c>
      <c r="M14" s="128">
        <v>0.70810099999999698</v>
      </c>
      <c r="N14" s="128">
        <v>3.9080530000000002</v>
      </c>
      <c r="O14" s="128">
        <v>4.0697470000000102</v>
      </c>
      <c r="P14" s="128">
        <v>0.29819899999999999</v>
      </c>
      <c r="Q14" s="128">
        <v>0</v>
      </c>
      <c r="R14" s="128">
        <v>4.96844799999963</v>
      </c>
      <c r="S14" s="128">
        <v>4.1420799999996198</v>
      </c>
      <c r="T14" s="128">
        <v>4.67353600000206</v>
      </c>
      <c r="U14" s="128">
        <v>0.30780399999999702</v>
      </c>
      <c r="V14" s="128">
        <v>7.4690000000000395E-2</v>
      </c>
      <c r="W14" s="128">
        <v>6.0359999999999303E-2</v>
      </c>
      <c r="X14" s="128">
        <v>5.6707000000001201E-2</v>
      </c>
      <c r="Y14" s="128">
        <v>0</v>
      </c>
      <c r="Z14" s="128">
        <v>2.7983999999999998E-2</v>
      </c>
      <c r="AA14" s="128">
        <v>8.4619999999997503E-2</v>
      </c>
      <c r="AB14" s="128">
        <v>9.8760000000002193E-2</v>
      </c>
      <c r="AC14" s="128">
        <v>4.7466000000000001E-2</v>
      </c>
      <c r="AD14" s="128">
        <v>2.8881000000000202E-2</v>
      </c>
      <c r="AE14" s="128">
        <v>5.9330249999999897E-2</v>
      </c>
      <c r="AF14" s="128">
        <v>0</v>
      </c>
      <c r="AG14" s="128">
        <v>9.3239999999998897E-3</v>
      </c>
      <c r="AH14" s="128">
        <v>1.3398720000000099</v>
      </c>
      <c r="AI14" s="128">
        <v>0</v>
      </c>
      <c r="AJ14" s="128">
        <v>2.60509999999998E-2</v>
      </c>
      <c r="AK14" s="128">
        <v>0</v>
      </c>
      <c r="AL14" s="128">
        <v>0.23792000000000299</v>
      </c>
      <c r="AM14" s="128">
        <v>0.34257200000000398</v>
      </c>
      <c r="AN14" s="128">
        <v>0.246200000000002</v>
      </c>
      <c r="AO14" s="128">
        <v>0.10692600000000101</v>
      </c>
      <c r="AP14" s="128">
        <v>5.9585000000001997E-2</v>
      </c>
      <c r="AQ14" s="128">
        <v>0.21270399999999501</v>
      </c>
      <c r="AR14" s="128">
        <v>3.4198719999999998</v>
      </c>
      <c r="AS14" s="128">
        <v>4.2141500000000498E-2</v>
      </c>
      <c r="AT14" s="128">
        <v>0</v>
      </c>
      <c r="AU14" s="128">
        <v>2.4419999999999199E-2</v>
      </c>
      <c r="AV14" s="128">
        <v>2.8153999999999801E-2</v>
      </c>
      <c r="AW14" s="128">
        <v>1.34591999999998</v>
      </c>
      <c r="AX14" s="128">
        <v>0</v>
      </c>
      <c r="AY14" s="128">
        <v>3.8000750000000097E-2</v>
      </c>
      <c r="AZ14" s="128">
        <v>2.5000000007935299E-6</v>
      </c>
      <c r="BA14" s="128">
        <v>0</v>
      </c>
      <c r="BB14" s="128">
        <v>0</v>
      </c>
      <c r="BC14" s="128">
        <v>0</v>
      </c>
      <c r="BD14" s="128">
        <v>2.3923749999998898E-3</v>
      </c>
      <c r="BE14" s="128">
        <v>0.13983599999999899</v>
      </c>
      <c r="BF14" s="128">
        <v>0</v>
      </c>
      <c r="BG14" s="128">
        <v>1.60850000000003E-2</v>
      </c>
      <c r="BH14" s="128">
        <v>5.02919999999989E-2</v>
      </c>
      <c r="BI14" s="128">
        <v>1.56084799999999</v>
      </c>
      <c r="BJ14" s="128">
        <v>3.60000000014793E-5</v>
      </c>
      <c r="BK14" s="128">
        <v>3.4869500000000102E-2</v>
      </c>
      <c r="BL14" s="128">
        <v>0</v>
      </c>
      <c r="BM14" s="128">
        <v>1.7763680000000199</v>
      </c>
      <c r="BN14" s="128">
        <v>0</v>
      </c>
      <c r="BO14" s="128">
        <v>0.39293499999999998</v>
      </c>
      <c r="BP14" s="128">
        <v>0</v>
      </c>
      <c r="BQ14" s="128">
        <v>0</v>
      </c>
      <c r="BR14" s="128">
        <v>1.3461312499999999E-2</v>
      </c>
      <c r="BS14" s="128">
        <v>0</v>
      </c>
      <c r="BT14" s="128">
        <v>0.24188399999999899</v>
      </c>
      <c r="BU14" s="128">
        <v>1.5457624999999999E-2</v>
      </c>
      <c r="BV14" s="128">
        <v>0</v>
      </c>
      <c r="BW14" s="128">
        <v>0</v>
      </c>
      <c r="BX14" s="128">
        <v>1.2179906250000001E-2</v>
      </c>
      <c r="BY14" s="128">
        <v>0</v>
      </c>
      <c r="BZ14" s="128">
        <v>0.69362400000000002</v>
      </c>
      <c r="CA14" s="128">
        <v>0.28892000000000501</v>
      </c>
      <c r="CB14" s="128">
        <v>0</v>
      </c>
      <c r="CC14" s="128">
        <v>0</v>
      </c>
      <c r="CD14" s="128">
        <v>0</v>
      </c>
      <c r="CE14" s="128">
        <v>0</v>
      </c>
      <c r="CF14" s="128">
        <v>2.6009000000000199E-2</v>
      </c>
      <c r="CG14" s="128">
        <v>0</v>
      </c>
      <c r="CH14" s="128">
        <v>4.1787500000003402E-3</v>
      </c>
      <c r="CI14" s="128">
        <v>0</v>
      </c>
      <c r="CJ14" s="128">
        <v>0</v>
      </c>
      <c r="CK14" s="128">
        <v>0</v>
      </c>
      <c r="CL14" s="128">
        <v>0</v>
      </c>
      <c r="CM14" s="128">
        <v>3.3159040000000499</v>
      </c>
      <c r="CN14" s="128">
        <v>2.58065000000007E-2</v>
      </c>
      <c r="CO14" s="128">
        <v>0.55936000000000496</v>
      </c>
      <c r="CP14" s="128">
        <v>0</v>
      </c>
      <c r="CQ14" s="128">
        <v>5.3125000004650105E-7</v>
      </c>
      <c r="CR14" s="128">
        <v>7.1509000000000697E-2</v>
      </c>
      <c r="CS14" s="128">
        <v>0</v>
      </c>
      <c r="CT14" s="128">
        <v>0.11768000000000001</v>
      </c>
      <c r="CU14" s="128">
        <v>0</v>
      </c>
      <c r="CV14" s="128">
        <v>1.4291937500000001E-2</v>
      </c>
      <c r="CW14" s="128">
        <v>4.6760000000006102E-2</v>
      </c>
      <c r="CX14" s="128">
        <v>0.18576799999999599</v>
      </c>
      <c r="CY14" s="128">
        <v>1.0782E-2</v>
      </c>
      <c r="CZ14" s="128">
        <v>1.05137499999999E-2</v>
      </c>
      <c r="DA14" s="128">
        <v>0.23920000000000399</v>
      </c>
      <c r="DB14" s="128">
        <v>9.2719999999998998E-2</v>
      </c>
      <c r="DC14" s="128">
        <v>3.53600000000398E-3</v>
      </c>
      <c r="DD14" s="128">
        <v>1.9821718750000002E-2</v>
      </c>
      <c r="DE14" s="128">
        <v>0</v>
      </c>
      <c r="DF14" s="128">
        <v>0</v>
      </c>
      <c r="DG14" s="128">
        <v>9.8490000000008796E-3</v>
      </c>
      <c r="DH14" s="128">
        <v>0</v>
      </c>
      <c r="DI14" s="128">
        <v>3.8075840000000198</v>
      </c>
      <c r="DJ14" s="128">
        <v>0</v>
      </c>
      <c r="DK14" s="128">
        <v>4.08660000000012E-2</v>
      </c>
      <c r="DL14" s="128">
        <v>1.40269999999987E-2</v>
      </c>
      <c r="DM14" s="128">
        <v>3.00219999999989E-2</v>
      </c>
      <c r="DN14" s="128">
        <v>5.9712500000008695E-4</v>
      </c>
      <c r="DO14" s="128">
        <v>0.51636800000002803</v>
      </c>
      <c r="DP14" s="128">
        <v>3.64870000000002E-2</v>
      </c>
      <c r="DQ14" s="128">
        <v>0</v>
      </c>
      <c r="DR14" s="128">
        <v>0</v>
      </c>
      <c r="DS14" s="128">
        <v>1.20915199999996</v>
      </c>
      <c r="DT14" s="128">
        <v>0.275247999999991</v>
      </c>
      <c r="DU14" s="128">
        <v>1.7200000000000801E-2</v>
      </c>
      <c r="DV14" s="128">
        <v>5.3240000000003302E-3</v>
      </c>
      <c r="DW14" s="128">
        <v>0</v>
      </c>
      <c r="DX14" s="128">
        <v>0.12986587499999999</v>
      </c>
      <c r="DY14" s="128">
        <v>7.1995468749999902E-3</v>
      </c>
      <c r="DZ14" s="128">
        <v>5.6977999999997302E-2</v>
      </c>
      <c r="EA14" s="128">
        <v>1.0886249999999501E-3</v>
      </c>
      <c r="EB14" s="128">
        <v>0.96553600000001405</v>
      </c>
      <c r="EC14" s="128">
        <v>0.50878400000002</v>
      </c>
      <c r="ED14" s="128">
        <v>3.4194374999999999E-2</v>
      </c>
      <c r="EE14" s="128">
        <v>0</v>
      </c>
      <c r="EF14" s="128">
        <v>8.6368469999997597</v>
      </c>
      <c r="EG14" s="128">
        <v>0</v>
      </c>
      <c r="EH14" s="128">
        <v>0.367039999999975</v>
      </c>
      <c r="EI14" s="128">
        <v>0.37491200000010799</v>
      </c>
      <c r="EJ14" s="128">
        <v>2.8608000000019701E-2</v>
      </c>
      <c r="EK14" s="128">
        <v>0</v>
      </c>
      <c r="EL14" s="128">
        <v>2.3255040000001399</v>
      </c>
      <c r="EM14" s="128">
        <v>1.41926400000011</v>
      </c>
      <c r="EN14" s="128">
        <v>2.4486400000000699</v>
      </c>
      <c r="EO14" s="128">
        <v>0</v>
      </c>
      <c r="EP14" s="128">
        <v>0</v>
      </c>
      <c r="EQ14" s="128">
        <v>0</v>
      </c>
      <c r="ER14" s="129">
        <v>0</v>
      </c>
      <c r="ES14" s="129">
        <v>0</v>
      </c>
      <c r="ET14" s="129">
        <v>0</v>
      </c>
      <c r="EU14" s="129">
        <v>0</v>
      </c>
      <c r="EV14" s="129">
        <v>0</v>
      </c>
      <c r="EW14" s="129">
        <v>0</v>
      </c>
      <c r="EX14" s="129">
        <v>0</v>
      </c>
      <c r="EY14" s="129">
        <v>0</v>
      </c>
      <c r="EZ14" s="129">
        <v>0</v>
      </c>
      <c r="FA14" s="129">
        <v>0</v>
      </c>
      <c r="FB14" s="129">
        <v>0</v>
      </c>
      <c r="FC14" s="129">
        <v>0</v>
      </c>
      <c r="FD14" s="129">
        <v>0</v>
      </c>
      <c r="FE14" s="129">
        <v>0</v>
      </c>
      <c r="FF14" s="129">
        <v>0</v>
      </c>
      <c r="FG14" s="129">
        <v>0</v>
      </c>
      <c r="FH14" s="129">
        <v>0</v>
      </c>
      <c r="FI14" s="129">
        <v>0</v>
      </c>
      <c r="FJ14" s="129">
        <v>0</v>
      </c>
      <c r="FK14" s="129">
        <v>0</v>
      </c>
      <c r="FL14" s="129">
        <v>0</v>
      </c>
      <c r="FM14" s="129">
        <v>0</v>
      </c>
      <c r="FN14" s="129">
        <v>0</v>
      </c>
      <c r="FO14" s="129">
        <v>0</v>
      </c>
      <c r="FP14" s="129">
        <v>0</v>
      </c>
      <c r="FQ14" s="129">
        <v>0</v>
      </c>
      <c r="FR14" s="129">
        <v>0</v>
      </c>
      <c r="FS14" s="129">
        <v>0</v>
      </c>
      <c r="FT14" s="129">
        <v>0</v>
      </c>
      <c r="FU14" s="129">
        <v>0</v>
      </c>
      <c r="FV14" s="129">
        <v>0</v>
      </c>
      <c r="FW14" s="129">
        <v>0</v>
      </c>
      <c r="FX14" s="129">
        <v>0</v>
      </c>
      <c r="FY14" s="129">
        <v>0</v>
      </c>
      <c r="FZ14" s="129">
        <v>0</v>
      </c>
      <c r="GA14" s="129">
        <v>0</v>
      </c>
      <c r="GB14" s="129">
        <v>0</v>
      </c>
      <c r="GC14" s="129">
        <v>0</v>
      </c>
      <c r="GD14" s="129">
        <v>0</v>
      </c>
      <c r="GE14" s="129">
        <v>0</v>
      </c>
      <c r="GF14" s="129">
        <v>0</v>
      </c>
      <c r="GG14" s="129">
        <v>0</v>
      </c>
      <c r="GH14" s="129">
        <v>0</v>
      </c>
      <c r="GI14" s="129">
        <v>0</v>
      </c>
      <c r="GJ14" s="129">
        <v>0</v>
      </c>
      <c r="GK14" s="129">
        <v>0</v>
      </c>
      <c r="GL14" s="129">
        <v>0</v>
      </c>
      <c r="GM14" s="129">
        <v>0</v>
      </c>
      <c r="GN14" s="129">
        <v>0</v>
      </c>
      <c r="GO14" s="129">
        <v>0</v>
      </c>
      <c r="GP14" s="129">
        <v>0</v>
      </c>
      <c r="GQ14" s="129">
        <v>0</v>
      </c>
      <c r="GR14" s="129">
        <v>0</v>
      </c>
      <c r="GS14" s="129">
        <v>0</v>
      </c>
    </row>
    <row r="15" spans="1:201" s="30" customFormat="1" ht="13" x14ac:dyDescent="0.25">
      <c r="A15" s="87">
        <v>9</v>
      </c>
      <c r="B15" s="128">
        <v>21.058062499999998</v>
      </c>
      <c r="C15" s="128">
        <v>0</v>
      </c>
      <c r="D15" s="128">
        <v>6.2198769999999399</v>
      </c>
      <c r="E15" s="128">
        <v>5.2651300000000001</v>
      </c>
      <c r="F15" s="128">
        <v>5.88541099999998</v>
      </c>
      <c r="G15" s="128">
        <v>0</v>
      </c>
      <c r="H15" s="128">
        <v>0</v>
      </c>
      <c r="I15" s="128">
        <v>0</v>
      </c>
      <c r="J15" s="128">
        <v>0</v>
      </c>
      <c r="K15" s="128">
        <v>0</v>
      </c>
      <c r="L15" s="128">
        <v>0</v>
      </c>
      <c r="M15" s="128">
        <v>0</v>
      </c>
      <c r="N15" s="128">
        <v>0.86670099999997796</v>
      </c>
      <c r="O15" s="128">
        <v>0.910652000000027</v>
      </c>
      <c r="P15" s="128">
        <v>6.5077999999999706E-2</v>
      </c>
      <c r="Q15" s="128">
        <v>0</v>
      </c>
      <c r="R15" s="128">
        <v>6.1296640000000497</v>
      </c>
      <c r="S15" s="128">
        <v>5.1522560000003104</v>
      </c>
      <c r="T15" s="128">
        <v>5.7671680000021297</v>
      </c>
      <c r="U15" s="128">
        <v>0.38793599999999601</v>
      </c>
      <c r="V15" s="128">
        <v>9.1719999999998705E-2</v>
      </c>
      <c r="W15" s="128">
        <v>4.2294000000000102E-2</v>
      </c>
      <c r="X15" s="128">
        <v>4.93430000000004E-2</v>
      </c>
      <c r="Y15" s="128">
        <v>0</v>
      </c>
      <c r="Z15" s="128">
        <v>3.7489000000000799E-2</v>
      </c>
      <c r="AA15" s="128">
        <v>8.11239999999991E-2</v>
      </c>
      <c r="AB15" s="128">
        <v>0.108476</v>
      </c>
      <c r="AC15" s="128">
        <v>8.2869999999999805E-2</v>
      </c>
      <c r="AD15" s="128">
        <v>3.2597500000000501E-2</v>
      </c>
      <c r="AE15" s="128">
        <v>4.3495250000000298E-2</v>
      </c>
      <c r="AF15" s="128">
        <v>0</v>
      </c>
      <c r="AG15" s="128">
        <v>6.1507500000002003E-3</v>
      </c>
      <c r="AH15" s="128">
        <v>1.3737279999999701</v>
      </c>
      <c r="AI15" s="128">
        <v>0</v>
      </c>
      <c r="AJ15" s="128">
        <v>2.8657500000000401E-2</v>
      </c>
      <c r="AK15" s="128">
        <v>0</v>
      </c>
      <c r="AL15" s="128">
        <v>0.209704000000002</v>
      </c>
      <c r="AM15" s="128">
        <v>0.37397599999999898</v>
      </c>
      <c r="AN15" s="128">
        <v>0.27313600000000099</v>
      </c>
      <c r="AO15" s="128">
        <v>8.7070000000000605E-2</v>
      </c>
      <c r="AP15" s="128">
        <v>6.2478000000002303E-2</v>
      </c>
      <c r="AQ15" s="128">
        <v>0.24685200000000401</v>
      </c>
      <c r="AR15" s="128">
        <v>3.5975359999999901</v>
      </c>
      <c r="AS15" s="128">
        <v>3.3012000000000298E-2</v>
      </c>
      <c r="AT15" s="128">
        <v>0</v>
      </c>
      <c r="AU15" s="128">
        <v>2.8264000000000102E-2</v>
      </c>
      <c r="AV15" s="128">
        <v>2.4614500000000199E-2</v>
      </c>
      <c r="AW15" s="128">
        <v>1.22585600000002</v>
      </c>
      <c r="AX15" s="128">
        <v>0</v>
      </c>
      <c r="AY15" s="128">
        <v>4.2554249999999801E-2</v>
      </c>
      <c r="AZ15" s="128">
        <v>2.4999999999053599E-6</v>
      </c>
      <c r="BA15" s="128">
        <v>0</v>
      </c>
      <c r="BB15" s="128">
        <v>0</v>
      </c>
      <c r="BC15" s="128">
        <v>0</v>
      </c>
      <c r="BD15" s="128">
        <v>2.4272499999999902E-3</v>
      </c>
      <c r="BE15" s="128">
        <v>8.8438000000000003E-2</v>
      </c>
      <c r="BF15" s="128">
        <v>0</v>
      </c>
      <c r="BG15" s="128">
        <v>8.4040000000005204E-3</v>
      </c>
      <c r="BH15" s="128">
        <v>4.1965999999998602E-2</v>
      </c>
      <c r="BI15" s="128">
        <v>1.84012799999999</v>
      </c>
      <c r="BJ15" s="128">
        <v>2.8999999997836299E-5</v>
      </c>
      <c r="BK15" s="128">
        <v>0.10731499999999999</v>
      </c>
      <c r="BL15" s="128">
        <v>0</v>
      </c>
      <c r="BM15" s="128">
        <v>1.05150399999999</v>
      </c>
      <c r="BN15" s="128">
        <v>0</v>
      </c>
      <c r="BO15" s="128">
        <v>2.1614749999999901E-2</v>
      </c>
      <c r="BP15" s="128">
        <v>0</v>
      </c>
      <c r="BQ15" s="128">
        <v>0</v>
      </c>
      <c r="BR15" s="128">
        <v>2.06068749999999E-3</v>
      </c>
      <c r="BS15" s="128">
        <v>0</v>
      </c>
      <c r="BT15" s="128">
        <v>0.16949999999999901</v>
      </c>
      <c r="BU15" s="128">
        <v>8.0449999999987498E-4</v>
      </c>
      <c r="BV15" s="128">
        <v>0</v>
      </c>
      <c r="BW15" s="128">
        <v>0</v>
      </c>
      <c r="BX15" s="128">
        <v>2.5261874999999998E-3</v>
      </c>
      <c r="BY15" s="128">
        <v>0</v>
      </c>
      <c r="BZ15" s="128">
        <v>0.51491199999999504</v>
      </c>
      <c r="CA15" s="128">
        <v>0.20308800000000801</v>
      </c>
      <c r="CB15" s="128">
        <v>0</v>
      </c>
      <c r="CC15" s="128">
        <v>0</v>
      </c>
      <c r="CD15" s="128">
        <v>0</v>
      </c>
      <c r="CE15" s="128">
        <v>0</v>
      </c>
      <c r="CF15" s="128">
        <v>5.1118000000000698E-2</v>
      </c>
      <c r="CG15" s="128">
        <v>0</v>
      </c>
      <c r="CH15" s="128">
        <v>1.1589999999999101E-3</v>
      </c>
      <c r="CI15" s="128">
        <v>0</v>
      </c>
      <c r="CJ15" s="128">
        <v>0</v>
      </c>
      <c r="CK15" s="128">
        <v>0</v>
      </c>
      <c r="CL15" s="128">
        <v>0</v>
      </c>
      <c r="CM15" s="128">
        <v>2.93599999999992</v>
      </c>
      <c r="CN15" s="128">
        <v>4.5729999999999799E-2</v>
      </c>
      <c r="CO15" s="128">
        <v>0.467032000000003</v>
      </c>
      <c r="CP15" s="128">
        <v>0</v>
      </c>
      <c r="CQ15" s="128">
        <v>2.1875000000282099E-7</v>
      </c>
      <c r="CR15" s="128">
        <v>8.0445499999999698E-2</v>
      </c>
      <c r="CS15" s="128">
        <v>0</v>
      </c>
      <c r="CT15" s="128">
        <v>2.5908000000001201E-2</v>
      </c>
      <c r="CU15" s="128">
        <v>0</v>
      </c>
      <c r="CV15" s="128">
        <v>9.2823124999998896E-3</v>
      </c>
      <c r="CW15" s="128">
        <v>0</v>
      </c>
      <c r="CX15" s="128">
        <v>0.20178399999999599</v>
      </c>
      <c r="CY15" s="128">
        <v>8.67999999999991E-3</v>
      </c>
      <c r="CZ15" s="128">
        <v>8.1220000000001794E-3</v>
      </c>
      <c r="DA15" s="128">
        <v>0.25263199999999802</v>
      </c>
      <c r="DB15" s="128">
        <v>8.8684999999999903E-2</v>
      </c>
      <c r="DC15" s="128">
        <v>7.2520000000011499E-3</v>
      </c>
      <c r="DD15" s="128">
        <v>2.1054218749999999E-2</v>
      </c>
      <c r="DE15" s="128">
        <v>0</v>
      </c>
      <c r="DF15" s="128">
        <v>0</v>
      </c>
      <c r="DG15" s="128">
        <v>0</v>
      </c>
      <c r="DH15" s="128">
        <v>0</v>
      </c>
      <c r="DI15" s="128">
        <v>3.73065599999995</v>
      </c>
      <c r="DJ15" s="128">
        <v>0</v>
      </c>
      <c r="DK15" s="128">
        <v>4.6997999999998499E-2</v>
      </c>
      <c r="DL15" s="128">
        <v>1.2429000000000899E-2</v>
      </c>
      <c r="DM15" s="128">
        <v>3.4060999999999501E-2</v>
      </c>
      <c r="DN15" s="128">
        <v>0</v>
      </c>
      <c r="DO15" s="128">
        <v>0.58723199999999998</v>
      </c>
      <c r="DP15" s="128">
        <v>1.8689000000000199E-2</v>
      </c>
      <c r="DQ15" s="128">
        <v>0</v>
      </c>
      <c r="DR15" s="128">
        <v>0</v>
      </c>
      <c r="DS15" s="128">
        <v>1.2132799999999999</v>
      </c>
      <c r="DT15" s="128">
        <v>0.302223999999995</v>
      </c>
      <c r="DU15" s="128">
        <v>1.02539999999998E-2</v>
      </c>
      <c r="DV15" s="128">
        <v>4.4099999999991401E-4</v>
      </c>
      <c r="DW15" s="128">
        <v>0</v>
      </c>
      <c r="DX15" s="128">
        <v>0.148041125</v>
      </c>
      <c r="DY15" s="128">
        <v>8.3625625000000002E-3</v>
      </c>
      <c r="DZ15" s="128">
        <v>5.8657999999997698E-2</v>
      </c>
      <c r="EA15" s="128">
        <v>0</v>
      </c>
      <c r="EB15" s="128">
        <v>0.89295999999998799</v>
      </c>
      <c r="EC15" s="128">
        <v>0.43137599999999998</v>
      </c>
      <c r="ED15" s="128">
        <v>9.1434999999999694E-3</v>
      </c>
      <c r="EE15" s="128">
        <v>0</v>
      </c>
      <c r="EF15" s="128">
        <v>6.5237669999996797</v>
      </c>
      <c r="EG15" s="128">
        <v>0</v>
      </c>
      <c r="EH15" s="128">
        <v>0.24467199999992301</v>
      </c>
      <c r="EI15" s="128">
        <v>0.35129600000004801</v>
      </c>
      <c r="EJ15" s="128">
        <v>1.8815999999958401E-2</v>
      </c>
      <c r="EK15" s="128">
        <v>0</v>
      </c>
      <c r="EL15" s="128">
        <v>0.90432000000009805</v>
      </c>
      <c r="EM15" s="128">
        <v>2.8083200000000899</v>
      </c>
      <c r="EN15" s="128">
        <v>1.1120640000003701</v>
      </c>
      <c r="EO15" s="128">
        <v>0</v>
      </c>
      <c r="EP15" s="128">
        <v>0</v>
      </c>
      <c r="EQ15" s="128">
        <v>0</v>
      </c>
      <c r="ER15" s="129">
        <v>0</v>
      </c>
      <c r="ES15" s="129">
        <v>0</v>
      </c>
      <c r="ET15" s="129">
        <v>0</v>
      </c>
      <c r="EU15" s="129">
        <v>0</v>
      </c>
      <c r="EV15" s="129">
        <v>0</v>
      </c>
      <c r="EW15" s="129">
        <v>0</v>
      </c>
      <c r="EX15" s="129">
        <v>0</v>
      </c>
      <c r="EY15" s="129">
        <v>0</v>
      </c>
      <c r="EZ15" s="129">
        <v>0</v>
      </c>
      <c r="FA15" s="129">
        <v>0</v>
      </c>
      <c r="FB15" s="129">
        <v>0</v>
      </c>
      <c r="FC15" s="129">
        <v>0</v>
      </c>
      <c r="FD15" s="129">
        <v>0</v>
      </c>
      <c r="FE15" s="129">
        <v>0</v>
      </c>
      <c r="FF15" s="129">
        <v>0</v>
      </c>
      <c r="FG15" s="129">
        <v>0</v>
      </c>
      <c r="FH15" s="129">
        <v>0</v>
      </c>
      <c r="FI15" s="129">
        <v>0</v>
      </c>
      <c r="FJ15" s="129">
        <v>0</v>
      </c>
      <c r="FK15" s="129">
        <v>0</v>
      </c>
      <c r="FL15" s="129">
        <v>0</v>
      </c>
      <c r="FM15" s="129">
        <v>0</v>
      </c>
      <c r="FN15" s="129">
        <v>0</v>
      </c>
      <c r="FO15" s="129">
        <v>0</v>
      </c>
      <c r="FP15" s="129">
        <v>0</v>
      </c>
      <c r="FQ15" s="129">
        <v>0</v>
      </c>
      <c r="FR15" s="129">
        <v>0</v>
      </c>
      <c r="FS15" s="129">
        <v>0</v>
      </c>
      <c r="FT15" s="129">
        <v>0</v>
      </c>
      <c r="FU15" s="129">
        <v>0</v>
      </c>
      <c r="FV15" s="129">
        <v>0</v>
      </c>
      <c r="FW15" s="129">
        <v>0</v>
      </c>
      <c r="FX15" s="129">
        <v>0</v>
      </c>
      <c r="FY15" s="129">
        <v>0</v>
      </c>
      <c r="FZ15" s="129">
        <v>0</v>
      </c>
      <c r="GA15" s="129">
        <v>0</v>
      </c>
      <c r="GB15" s="129">
        <v>0</v>
      </c>
      <c r="GC15" s="129">
        <v>0</v>
      </c>
      <c r="GD15" s="129">
        <v>0</v>
      </c>
      <c r="GE15" s="129">
        <v>0</v>
      </c>
      <c r="GF15" s="129">
        <v>0</v>
      </c>
      <c r="GG15" s="129">
        <v>0</v>
      </c>
      <c r="GH15" s="129">
        <v>0</v>
      </c>
      <c r="GI15" s="129">
        <v>0</v>
      </c>
      <c r="GJ15" s="129">
        <v>0</v>
      </c>
      <c r="GK15" s="129">
        <v>0</v>
      </c>
      <c r="GL15" s="129">
        <v>0</v>
      </c>
      <c r="GM15" s="129">
        <v>0</v>
      </c>
      <c r="GN15" s="129">
        <v>0</v>
      </c>
      <c r="GO15" s="129">
        <v>0</v>
      </c>
      <c r="GP15" s="129">
        <v>0</v>
      </c>
      <c r="GQ15" s="129">
        <v>0</v>
      </c>
      <c r="GR15" s="129">
        <v>0</v>
      </c>
      <c r="GS15" s="129">
        <v>0</v>
      </c>
    </row>
    <row r="16" spans="1:201" s="30" customFormat="1" ht="13" x14ac:dyDescent="0.25">
      <c r="A16" s="87">
        <v>10</v>
      </c>
      <c r="B16" s="128">
        <v>10.398999999999999</v>
      </c>
      <c r="C16" s="128">
        <v>0</v>
      </c>
      <c r="D16" s="128">
        <v>3.7314800000000301</v>
      </c>
      <c r="E16" s="128">
        <v>3.13911600000006</v>
      </c>
      <c r="F16" s="128">
        <v>3.5621520000000002</v>
      </c>
      <c r="G16" s="128">
        <v>0</v>
      </c>
      <c r="H16" s="128">
        <v>0</v>
      </c>
      <c r="I16" s="128">
        <v>0</v>
      </c>
      <c r="J16" s="128">
        <v>0</v>
      </c>
      <c r="K16" s="128">
        <v>0</v>
      </c>
      <c r="L16" s="128">
        <v>0</v>
      </c>
      <c r="M16" s="128">
        <v>0</v>
      </c>
      <c r="N16" s="128">
        <v>3.28588400000001</v>
      </c>
      <c r="O16" s="128">
        <v>3.4168189999999199</v>
      </c>
      <c r="P16" s="128">
        <v>0.248472</v>
      </c>
      <c r="Q16" s="128">
        <v>0</v>
      </c>
      <c r="R16" s="128">
        <v>3.6003839999975802</v>
      </c>
      <c r="S16" s="128">
        <v>3.0284799999999499</v>
      </c>
      <c r="T16" s="128">
        <v>3.4385919999986099</v>
      </c>
      <c r="U16" s="128">
        <v>0.32374800000000198</v>
      </c>
      <c r="V16" s="128">
        <v>0.118882000000003</v>
      </c>
      <c r="W16" s="128">
        <v>2.2239999999999999E-2</v>
      </c>
      <c r="X16" s="128">
        <v>4.9882000000000197E-2</v>
      </c>
      <c r="Y16" s="128">
        <v>0</v>
      </c>
      <c r="Z16" s="128">
        <v>3.2683000000000503E-2</v>
      </c>
      <c r="AA16" s="128">
        <v>8.7836000000002898E-2</v>
      </c>
      <c r="AB16" s="128">
        <v>0.14427799999999999</v>
      </c>
      <c r="AC16" s="128">
        <v>9.2577999999999605E-2</v>
      </c>
      <c r="AD16" s="128">
        <v>3.7442999999999699E-2</v>
      </c>
      <c r="AE16" s="128">
        <v>3.5522249999999603E-2</v>
      </c>
      <c r="AF16" s="128">
        <v>0</v>
      </c>
      <c r="AG16" s="128">
        <v>2.7829999999999799E-3</v>
      </c>
      <c r="AH16" s="128">
        <v>1.3835840000000399</v>
      </c>
      <c r="AI16" s="128">
        <v>0</v>
      </c>
      <c r="AJ16" s="128">
        <v>2.8416E-2</v>
      </c>
      <c r="AK16" s="128">
        <v>0</v>
      </c>
      <c r="AL16" s="128">
        <v>0.17771200000000001</v>
      </c>
      <c r="AM16" s="128">
        <v>0.449044000000001</v>
      </c>
      <c r="AN16" s="128">
        <v>0.26176000000000199</v>
      </c>
      <c r="AO16" s="128">
        <v>0.10984000000000201</v>
      </c>
      <c r="AP16" s="128">
        <v>7.65769999999968E-2</v>
      </c>
      <c r="AQ16" s="128">
        <v>0.19878799999999999</v>
      </c>
      <c r="AR16" s="128">
        <v>3.20867199999998</v>
      </c>
      <c r="AS16" s="128">
        <v>3.7009249999999702E-2</v>
      </c>
      <c r="AT16" s="128">
        <v>0</v>
      </c>
      <c r="AU16" s="128">
        <v>3.18719999999999E-2</v>
      </c>
      <c r="AV16" s="128">
        <v>3.6520000000000302E-2</v>
      </c>
      <c r="AW16" s="128">
        <v>0.97446400000001199</v>
      </c>
      <c r="AX16" s="128">
        <v>0</v>
      </c>
      <c r="AY16" s="128">
        <v>5.4301250000000002E-2</v>
      </c>
      <c r="AZ16" s="128">
        <v>7.4999999997160697E-6</v>
      </c>
      <c r="BA16" s="128">
        <v>0</v>
      </c>
      <c r="BB16" s="128">
        <v>0</v>
      </c>
      <c r="BC16" s="128">
        <v>0</v>
      </c>
      <c r="BD16" s="128">
        <v>3.1232500000000201E-3</v>
      </c>
      <c r="BE16" s="128">
        <v>0.11866</v>
      </c>
      <c r="BF16" s="128">
        <v>0</v>
      </c>
      <c r="BG16" s="128">
        <v>1.03650000000002E-2</v>
      </c>
      <c r="BH16" s="128">
        <v>2.44660000000003E-2</v>
      </c>
      <c r="BI16" s="128">
        <v>1.7216800000000201</v>
      </c>
      <c r="BJ16" s="128">
        <v>0</v>
      </c>
      <c r="BK16" s="128">
        <v>4.0844500000000401E-2</v>
      </c>
      <c r="BL16" s="128">
        <v>0</v>
      </c>
      <c r="BM16" s="128">
        <v>0.68268799999998497</v>
      </c>
      <c r="BN16" s="128">
        <v>0</v>
      </c>
      <c r="BO16" s="128">
        <v>2.9786000000000101E-2</v>
      </c>
      <c r="BP16" s="128">
        <v>0</v>
      </c>
      <c r="BQ16" s="128">
        <v>0</v>
      </c>
      <c r="BR16" s="128">
        <v>2.6073437499999899E-3</v>
      </c>
      <c r="BS16" s="128">
        <v>0</v>
      </c>
      <c r="BT16" s="128">
        <v>0.124203999999999</v>
      </c>
      <c r="BU16" s="128">
        <v>0</v>
      </c>
      <c r="BV16" s="128">
        <v>0</v>
      </c>
      <c r="BW16" s="128">
        <v>0</v>
      </c>
      <c r="BX16" s="128">
        <v>2.36509374999999E-3</v>
      </c>
      <c r="BY16" s="128">
        <v>0</v>
      </c>
      <c r="BZ16" s="128">
        <v>0.319008000000011</v>
      </c>
      <c r="CA16" s="128">
        <v>0.14488799999999499</v>
      </c>
      <c r="CB16" s="128">
        <v>0</v>
      </c>
      <c r="CC16" s="128">
        <v>0</v>
      </c>
      <c r="CD16" s="128">
        <v>0</v>
      </c>
      <c r="CE16" s="128">
        <v>0</v>
      </c>
      <c r="CF16" s="128">
        <v>2.2672000000000001E-2</v>
      </c>
      <c r="CG16" s="128">
        <v>0</v>
      </c>
      <c r="CH16" s="128">
        <v>3.6650000000015799E-4</v>
      </c>
      <c r="CI16" s="128">
        <v>0</v>
      </c>
      <c r="CJ16" s="128">
        <v>0</v>
      </c>
      <c r="CK16" s="128">
        <v>0</v>
      </c>
      <c r="CL16" s="128">
        <v>0</v>
      </c>
      <c r="CM16" s="128">
        <v>2.8968959999999702</v>
      </c>
      <c r="CN16" s="128">
        <v>4.2425500000000199E-2</v>
      </c>
      <c r="CO16" s="128">
        <v>0.33235199999999998</v>
      </c>
      <c r="CP16" s="128">
        <v>0</v>
      </c>
      <c r="CQ16" s="128">
        <v>0</v>
      </c>
      <c r="CR16" s="128">
        <v>8.4101999999999705E-2</v>
      </c>
      <c r="CS16" s="128">
        <v>0</v>
      </c>
      <c r="CT16" s="128">
        <v>7.64000000003762E-4</v>
      </c>
      <c r="CU16" s="128">
        <v>0</v>
      </c>
      <c r="CV16" s="128">
        <v>2.7113125000000102E-3</v>
      </c>
      <c r="CW16" s="128">
        <v>0</v>
      </c>
      <c r="CX16" s="128">
        <v>0.267932000000002</v>
      </c>
      <c r="CY16" s="128">
        <v>1.1394E-2</v>
      </c>
      <c r="CZ16" s="128">
        <v>1.0820250000000101E-2</v>
      </c>
      <c r="DA16" s="128">
        <v>0.31217600000000101</v>
      </c>
      <c r="DB16" s="128">
        <v>6.6291000000000502E-2</v>
      </c>
      <c r="DC16" s="128">
        <v>8.8479999999933091E-3</v>
      </c>
      <c r="DD16" s="128">
        <v>2.7920390624999999E-2</v>
      </c>
      <c r="DE16" s="128">
        <v>0</v>
      </c>
      <c r="DF16" s="128">
        <v>0</v>
      </c>
      <c r="DG16" s="128">
        <v>0</v>
      </c>
      <c r="DH16" s="128">
        <v>0</v>
      </c>
      <c r="DI16" s="128">
        <v>3.0099200000000201</v>
      </c>
      <c r="DJ16" s="128">
        <v>0</v>
      </c>
      <c r="DK16" s="128">
        <v>6.3425999999999802E-2</v>
      </c>
      <c r="DL16" s="128">
        <v>1.8617999999999999E-2</v>
      </c>
      <c r="DM16" s="128">
        <v>3.14110000000003E-2</v>
      </c>
      <c r="DN16" s="128">
        <v>0</v>
      </c>
      <c r="DO16" s="128">
        <v>0.67140799999998502</v>
      </c>
      <c r="DP16" s="128">
        <v>1.6397000000000401E-2</v>
      </c>
      <c r="DQ16" s="128">
        <v>0</v>
      </c>
      <c r="DR16" s="128">
        <v>0</v>
      </c>
      <c r="DS16" s="128">
        <v>0.99545599999999002</v>
      </c>
      <c r="DT16" s="128">
        <v>0.21071200000000101</v>
      </c>
      <c r="DU16" s="128">
        <v>8.2050000000002399E-3</v>
      </c>
      <c r="DV16" s="128">
        <v>8.0150000000012199E-4</v>
      </c>
      <c r="DW16" s="128">
        <v>0</v>
      </c>
      <c r="DX16" s="128">
        <v>0.19087375000000001</v>
      </c>
      <c r="DY16" s="128">
        <v>1.1152250000000001E-2</v>
      </c>
      <c r="DZ16" s="128">
        <v>6.8218000000001694E-2</v>
      </c>
      <c r="EA16" s="128">
        <v>0</v>
      </c>
      <c r="EB16" s="128">
        <v>0.48275200000000501</v>
      </c>
      <c r="EC16" s="128">
        <v>0.29223999999999301</v>
      </c>
      <c r="ED16" s="128">
        <v>5.5833750000000596E-3</v>
      </c>
      <c r="EE16" s="128">
        <v>0</v>
      </c>
      <c r="EF16" s="128">
        <v>6.1717550000003003</v>
      </c>
      <c r="EG16" s="128">
        <v>0</v>
      </c>
      <c r="EH16" s="128">
        <v>0.21779200000003099</v>
      </c>
      <c r="EI16" s="128">
        <v>0.50182399999994198</v>
      </c>
      <c r="EJ16" s="128">
        <v>7.8720000000203107E-3</v>
      </c>
      <c r="EK16" s="128">
        <v>0</v>
      </c>
      <c r="EL16" s="128">
        <v>2.9474559999998702</v>
      </c>
      <c r="EM16" s="128">
        <v>1.5861760000002501</v>
      </c>
      <c r="EN16" s="128">
        <v>3.7631999999575803E-2</v>
      </c>
      <c r="EO16" s="128">
        <v>0</v>
      </c>
      <c r="EP16" s="128">
        <v>0</v>
      </c>
      <c r="EQ16" s="128">
        <v>0</v>
      </c>
      <c r="ER16" s="129">
        <v>0</v>
      </c>
      <c r="ES16" s="129">
        <v>0</v>
      </c>
      <c r="ET16" s="129">
        <v>0</v>
      </c>
      <c r="EU16" s="129">
        <v>0</v>
      </c>
      <c r="EV16" s="129">
        <v>0</v>
      </c>
      <c r="EW16" s="129">
        <v>0</v>
      </c>
      <c r="EX16" s="129">
        <v>0</v>
      </c>
      <c r="EY16" s="129">
        <v>0</v>
      </c>
      <c r="EZ16" s="129">
        <v>0</v>
      </c>
      <c r="FA16" s="129">
        <v>0</v>
      </c>
      <c r="FB16" s="129">
        <v>0</v>
      </c>
      <c r="FC16" s="129">
        <v>0</v>
      </c>
      <c r="FD16" s="129">
        <v>0</v>
      </c>
      <c r="FE16" s="129">
        <v>0</v>
      </c>
      <c r="FF16" s="129">
        <v>0</v>
      </c>
      <c r="FG16" s="129">
        <v>0</v>
      </c>
      <c r="FH16" s="129">
        <v>0</v>
      </c>
      <c r="FI16" s="129">
        <v>0</v>
      </c>
      <c r="FJ16" s="129">
        <v>0</v>
      </c>
      <c r="FK16" s="129">
        <v>0</v>
      </c>
      <c r="FL16" s="129">
        <v>0</v>
      </c>
      <c r="FM16" s="129">
        <v>0</v>
      </c>
      <c r="FN16" s="129">
        <v>0</v>
      </c>
      <c r="FO16" s="129">
        <v>0</v>
      </c>
      <c r="FP16" s="129">
        <v>0</v>
      </c>
      <c r="FQ16" s="129">
        <v>0</v>
      </c>
      <c r="FR16" s="129">
        <v>0</v>
      </c>
      <c r="FS16" s="129">
        <v>0</v>
      </c>
      <c r="FT16" s="129">
        <v>0</v>
      </c>
      <c r="FU16" s="129">
        <v>0</v>
      </c>
      <c r="FV16" s="129">
        <v>0</v>
      </c>
      <c r="FW16" s="129">
        <v>0</v>
      </c>
      <c r="FX16" s="129">
        <v>0</v>
      </c>
      <c r="FY16" s="129">
        <v>0</v>
      </c>
      <c r="FZ16" s="129">
        <v>0</v>
      </c>
      <c r="GA16" s="129">
        <v>0</v>
      </c>
      <c r="GB16" s="129">
        <v>0</v>
      </c>
      <c r="GC16" s="129">
        <v>0</v>
      </c>
      <c r="GD16" s="129">
        <v>0</v>
      </c>
      <c r="GE16" s="129">
        <v>0</v>
      </c>
      <c r="GF16" s="129">
        <v>0</v>
      </c>
      <c r="GG16" s="129">
        <v>0</v>
      </c>
      <c r="GH16" s="129">
        <v>0</v>
      </c>
      <c r="GI16" s="129">
        <v>0</v>
      </c>
      <c r="GJ16" s="129">
        <v>0</v>
      </c>
      <c r="GK16" s="129">
        <v>0</v>
      </c>
      <c r="GL16" s="129">
        <v>0</v>
      </c>
      <c r="GM16" s="129">
        <v>0</v>
      </c>
      <c r="GN16" s="129">
        <v>0</v>
      </c>
      <c r="GO16" s="129">
        <v>0</v>
      </c>
      <c r="GP16" s="129">
        <v>0</v>
      </c>
      <c r="GQ16" s="129">
        <v>0</v>
      </c>
      <c r="GR16" s="129">
        <v>0</v>
      </c>
      <c r="GS16" s="129">
        <v>0</v>
      </c>
    </row>
    <row r="17" spans="1:201" s="30" customFormat="1" ht="13" x14ac:dyDescent="0.25">
      <c r="A17" s="87">
        <v>11</v>
      </c>
      <c r="B17" s="128">
        <v>5.8191875</v>
      </c>
      <c r="C17" s="128">
        <v>0</v>
      </c>
      <c r="D17" s="128">
        <v>2.0554630000000298</v>
      </c>
      <c r="E17" s="128">
        <v>1.75161499999996</v>
      </c>
      <c r="F17" s="128">
        <v>1.99824500000003</v>
      </c>
      <c r="G17" s="128">
        <v>0</v>
      </c>
      <c r="H17" s="128">
        <v>0</v>
      </c>
      <c r="I17" s="128">
        <v>0</v>
      </c>
      <c r="J17" s="128">
        <v>0</v>
      </c>
      <c r="K17" s="128">
        <v>0</v>
      </c>
      <c r="L17" s="128">
        <v>0</v>
      </c>
      <c r="M17" s="128">
        <v>0</v>
      </c>
      <c r="N17" s="128">
        <v>3.5618530000000401</v>
      </c>
      <c r="O17" s="128">
        <v>3.70217200000002</v>
      </c>
      <c r="P17" s="128">
        <v>0.31275699999999801</v>
      </c>
      <c r="Q17" s="128">
        <v>0</v>
      </c>
      <c r="R17" s="128">
        <v>1.98246400000062</v>
      </c>
      <c r="S17" s="128">
        <v>1.68243199999961</v>
      </c>
      <c r="T17" s="128">
        <v>1.9763200000015799</v>
      </c>
      <c r="U17" s="128">
        <v>0.21773600000000201</v>
      </c>
      <c r="V17" s="128">
        <v>0.11423800000000001</v>
      </c>
      <c r="W17" s="128">
        <v>1.98529999999995E-2</v>
      </c>
      <c r="X17" s="128">
        <v>4.9923999999998997E-2</v>
      </c>
      <c r="Y17" s="128">
        <v>0</v>
      </c>
      <c r="Z17" s="128">
        <v>3.9157999999998701E-2</v>
      </c>
      <c r="AA17" s="128">
        <v>7.7253999999999906E-2</v>
      </c>
      <c r="AB17" s="128">
        <v>0.14830599999999799</v>
      </c>
      <c r="AC17" s="128">
        <v>0.100448</v>
      </c>
      <c r="AD17" s="128">
        <v>3.9381999999999799E-2</v>
      </c>
      <c r="AE17" s="128">
        <v>1.34585E-2</v>
      </c>
      <c r="AF17" s="128">
        <v>0</v>
      </c>
      <c r="AG17" s="128">
        <v>3.4485000000001901E-3</v>
      </c>
      <c r="AH17" s="128">
        <v>1.00595199999998</v>
      </c>
      <c r="AI17" s="128">
        <v>0</v>
      </c>
      <c r="AJ17" s="128">
        <v>2.2795249999999701E-2</v>
      </c>
      <c r="AK17" s="128">
        <v>0</v>
      </c>
      <c r="AL17" s="128">
        <v>0.15446399999999</v>
      </c>
      <c r="AM17" s="128">
        <v>0.30282400000000098</v>
      </c>
      <c r="AN17" s="128">
        <v>0.186555999999996</v>
      </c>
      <c r="AO17" s="128">
        <v>0.10556399999999801</v>
      </c>
      <c r="AP17" s="128">
        <v>5.6494000000000703E-2</v>
      </c>
      <c r="AQ17" s="128">
        <v>9.9727999999998901E-2</v>
      </c>
      <c r="AR17" s="128">
        <v>2.2134080000000198</v>
      </c>
      <c r="AS17" s="128">
        <v>8.7935000000003392E-3</v>
      </c>
      <c r="AT17" s="128">
        <v>0</v>
      </c>
      <c r="AU17" s="128">
        <v>2.87000000000006E-2</v>
      </c>
      <c r="AV17" s="128">
        <v>4.3679999999994799E-3</v>
      </c>
      <c r="AW17" s="128">
        <v>0.53638399999999797</v>
      </c>
      <c r="AX17" s="128">
        <v>0</v>
      </c>
      <c r="AY17" s="128">
        <v>5.6075000000000298E-2</v>
      </c>
      <c r="AZ17" s="128">
        <v>1.1500000000275199E-5</v>
      </c>
      <c r="BA17" s="128">
        <v>0</v>
      </c>
      <c r="BB17" s="128">
        <v>0</v>
      </c>
      <c r="BC17" s="128">
        <v>0</v>
      </c>
      <c r="BD17" s="128">
        <v>2.7998750000000098E-3</v>
      </c>
      <c r="BE17" s="128">
        <v>0.120044</v>
      </c>
      <c r="BF17" s="128">
        <v>0</v>
      </c>
      <c r="BG17" s="128">
        <v>1.05909999999998E-2</v>
      </c>
      <c r="BH17" s="128">
        <v>1.2322000000001099E-2</v>
      </c>
      <c r="BI17" s="128">
        <v>1.2783359999999999</v>
      </c>
      <c r="BJ17" s="128">
        <v>3.3100000000274598E-4</v>
      </c>
      <c r="BK17" s="128">
        <v>3.6998999999999803E-2</v>
      </c>
      <c r="BL17" s="128">
        <v>0</v>
      </c>
      <c r="BM17" s="128">
        <v>0.40108800000001599</v>
      </c>
      <c r="BN17" s="128">
        <v>0</v>
      </c>
      <c r="BO17" s="128">
        <v>6.2618000000000104E-2</v>
      </c>
      <c r="BP17" s="128">
        <v>0</v>
      </c>
      <c r="BQ17" s="128">
        <v>0</v>
      </c>
      <c r="BR17" s="128">
        <v>3.55562500000006E-3</v>
      </c>
      <c r="BS17" s="128">
        <v>0</v>
      </c>
      <c r="BT17" s="128">
        <v>2.8979999999997098E-2</v>
      </c>
      <c r="BU17" s="128">
        <v>1.9356250000002199E-3</v>
      </c>
      <c r="BV17" s="128">
        <v>0</v>
      </c>
      <c r="BW17" s="128">
        <v>0</v>
      </c>
      <c r="BX17" s="128">
        <v>3.5633437500000001E-3</v>
      </c>
      <c r="BY17" s="128">
        <v>0</v>
      </c>
      <c r="BZ17" s="128">
        <v>0.232208</v>
      </c>
      <c r="CA17" s="128">
        <v>2.25439999999963E-2</v>
      </c>
      <c r="CB17" s="128">
        <v>0</v>
      </c>
      <c r="CC17" s="128">
        <v>0</v>
      </c>
      <c r="CD17" s="128">
        <v>0</v>
      </c>
      <c r="CE17" s="128">
        <v>0</v>
      </c>
      <c r="CF17" s="128">
        <v>1.5736999999999699E-2</v>
      </c>
      <c r="CG17" s="128">
        <v>0</v>
      </c>
      <c r="CH17" s="128">
        <v>0</v>
      </c>
      <c r="CI17" s="128">
        <v>0</v>
      </c>
      <c r="CJ17" s="128">
        <v>0</v>
      </c>
      <c r="CK17" s="128">
        <v>0</v>
      </c>
      <c r="CL17" s="128">
        <v>0</v>
      </c>
      <c r="CM17" s="128">
        <v>2.7882240000001302</v>
      </c>
      <c r="CN17" s="128">
        <v>2.1244000000000301E-2</v>
      </c>
      <c r="CO17" s="128">
        <v>0.32640799999999398</v>
      </c>
      <c r="CP17" s="128">
        <v>0</v>
      </c>
      <c r="CQ17" s="128">
        <v>1.56249999994085E-7</v>
      </c>
      <c r="CR17" s="128">
        <v>0.11072900000000099</v>
      </c>
      <c r="CS17" s="128">
        <v>0</v>
      </c>
      <c r="CT17" s="128">
        <v>7.9091999999995694E-2</v>
      </c>
      <c r="CU17" s="128">
        <v>0</v>
      </c>
      <c r="CV17" s="128">
        <v>6.9606250000009396E-4</v>
      </c>
      <c r="CW17" s="128">
        <v>2.17599999999862E-3</v>
      </c>
      <c r="CX17" s="128">
        <v>0.27454399999999901</v>
      </c>
      <c r="CY17" s="128">
        <v>1.5543E-2</v>
      </c>
      <c r="CZ17" s="128">
        <v>1.3472499999999801E-2</v>
      </c>
      <c r="DA17" s="128">
        <v>0.243147999999998</v>
      </c>
      <c r="DB17" s="128">
        <v>4.7088999999999701E-2</v>
      </c>
      <c r="DC17" s="128">
        <v>8.4040000000058495E-3</v>
      </c>
      <c r="DD17" s="128">
        <v>1.9906625000000001E-2</v>
      </c>
      <c r="DE17" s="128">
        <v>0</v>
      </c>
      <c r="DF17" s="128">
        <v>0</v>
      </c>
      <c r="DG17" s="128">
        <v>0</v>
      </c>
      <c r="DH17" s="128">
        <v>0</v>
      </c>
      <c r="DI17" s="128">
        <v>1.7105599999999901</v>
      </c>
      <c r="DJ17" s="128">
        <v>0</v>
      </c>
      <c r="DK17" s="128">
        <v>4.7954000000000697E-2</v>
      </c>
      <c r="DL17" s="128">
        <v>9.7409999999999997E-3</v>
      </c>
      <c r="DM17" s="128">
        <v>3.0848999999999901E-2</v>
      </c>
      <c r="DN17" s="128">
        <v>0</v>
      </c>
      <c r="DO17" s="128">
        <v>0.32001600000001001</v>
      </c>
      <c r="DP17" s="128">
        <v>1.5664000000000101E-2</v>
      </c>
      <c r="DQ17" s="128">
        <v>0</v>
      </c>
      <c r="DR17" s="128">
        <v>0</v>
      </c>
      <c r="DS17" s="128">
        <v>0.62115199999999504</v>
      </c>
      <c r="DT17" s="128">
        <v>0.11989600000001099</v>
      </c>
      <c r="DU17" s="128">
        <v>2.1399999999971401E-4</v>
      </c>
      <c r="DV17" s="128">
        <v>1.43249999999817E-4</v>
      </c>
      <c r="DW17" s="128">
        <v>0</v>
      </c>
      <c r="DX17" s="128">
        <v>0.12375475</v>
      </c>
      <c r="DY17" s="128">
        <v>1.0579203125E-2</v>
      </c>
      <c r="DZ17" s="128">
        <v>5.84279999999993E-2</v>
      </c>
      <c r="EA17" s="128">
        <v>0</v>
      </c>
      <c r="EB17" s="128">
        <v>0.23983999999998701</v>
      </c>
      <c r="EC17" s="128">
        <v>0.14278400000000599</v>
      </c>
      <c r="ED17" s="128">
        <v>7.4572500000000801E-3</v>
      </c>
      <c r="EE17" s="128">
        <v>0</v>
      </c>
      <c r="EF17" s="128">
        <v>5.0241059999998496</v>
      </c>
      <c r="EG17" s="128">
        <v>0</v>
      </c>
      <c r="EH17" s="128">
        <v>7.4112000000013695E-2</v>
      </c>
      <c r="EI17" s="128">
        <v>0.54252800000006096</v>
      </c>
      <c r="EJ17" s="128">
        <v>1.79200000002311E-3</v>
      </c>
      <c r="EK17" s="128">
        <v>0</v>
      </c>
      <c r="EL17" s="128">
        <v>2.1761280000000598</v>
      </c>
      <c r="EM17" s="128">
        <v>0.21286400000008099</v>
      </c>
      <c r="EN17" s="128">
        <v>1.8065920000003599</v>
      </c>
      <c r="EO17" s="128">
        <v>0</v>
      </c>
      <c r="EP17" s="128">
        <v>0</v>
      </c>
      <c r="EQ17" s="128">
        <v>0</v>
      </c>
      <c r="ER17" s="129">
        <v>0</v>
      </c>
      <c r="ES17" s="129">
        <v>0</v>
      </c>
      <c r="ET17" s="129">
        <v>0</v>
      </c>
      <c r="EU17" s="129">
        <v>0</v>
      </c>
      <c r="EV17" s="129">
        <v>0</v>
      </c>
      <c r="EW17" s="129">
        <v>0</v>
      </c>
      <c r="EX17" s="129">
        <v>0</v>
      </c>
      <c r="EY17" s="129">
        <v>0</v>
      </c>
      <c r="EZ17" s="129">
        <v>0</v>
      </c>
      <c r="FA17" s="129">
        <v>0</v>
      </c>
      <c r="FB17" s="129">
        <v>0</v>
      </c>
      <c r="FC17" s="129">
        <v>0</v>
      </c>
      <c r="FD17" s="129">
        <v>0</v>
      </c>
      <c r="FE17" s="129">
        <v>0</v>
      </c>
      <c r="FF17" s="129">
        <v>0</v>
      </c>
      <c r="FG17" s="129">
        <v>0</v>
      </c>
      <c r="FH17" s="129">
        <v>0</v>
      </c>
      <c r="FI17" s="129">
        <v>0</v>
      </c>
      <c r="FJ17" s="129">
        <v>0</v>
      </c>
      <c r="FK17" s="129">
        <v>0</v>
      </c>
      <c r="FL17" s="129">
        <v>0</v>
      </c>
      <c r="FM17" s="129">
        <v>0</v>
      </c>
      <c r="FN17" s="129">
        <v>0</v>
      </c>
      <c r="FO17" s="129">
        <v>0</v>
      </c>
      <c r="FP17" s="129">
        <v>0</v>
      </c>
      <c r="FQ17" s="129">
        <v>0</v>
      </c>
      <c r="FR17" s="129">
        <v>0</v>
      </c>
      <c r="FS17" s="129">
        <v>0</v>
      </c>
      <c r="FT17" s="129">
        <v>0</v>
      </c>
      <c r="FU17" s="129">
        <v>0</v>
      </c>
      <c r="FV17" s="129">
        <v>0</v>
      </c>
      <c r="FW17" s="129">
        <v>0</v>
      </c>
      <c r="FX17" s="129">
        <v>0</v>
      </c>
      <c r="FY17" s="129">
        <v>0</v>
      </c>
      <c r="FZ17" s="129">
        <v>0</v>
      </c>
      <c r="GA17" s="129">
        <v>0</v>
      </c>
      <c r="GB17" s="129">
        <v>0</v>
      </c>
      <c r="GC17" s="129">
        <v>0</v>
      </c>
      <c r="GD17" s="129">
        <v>0</v>
      </c>
      <c r="GE17" s="129">
        <v>0</v>
      </c>
      <c r="GF17" s="129">
        <v>0</v>
      </c>
      <c r="GG17" s="129">
        <v>0</v>
      </c>
      <c r="GH17" s="129">
        <v>0</v>
      </c>
      <c r="GI17" s="129">
        <v>0</v>
      </c>
      <c r="GJ17" s="129">
        <v>0</v>
      </c>
      <c r="GK17" s="129">
        <v>0</v>
      </c>
      <c r="GL17" s="129">
        <v>0</v>
      </c>
      <c r="GM17" s="129">
        <v>0</v>
      </c>
      <c r="GN17" s="129">
        <v>0</v>
      </c>
      <c r="GO17" s="129">
        <v>0</v>
      </c>
      <c r="GP17" s="129">
        <v>0</v>
      </c>
      <c r="GQ17" s="129">
        <v>0</v>
      </c>
      <c r="GR17" s="129">
        <v>0</v>
      </c>
      <c r="GS17" s="129">
        <v>0</v>
      </c>
    </row>
    <row r="18" spans="1:201" s="30" customFormat="1" ht="13" x14ac:dyDescent="0.25">
      <c r="A18" s="87">
        <v>12</v>
      </c>
      <c r="B18" s="128">
        <v>18.812625000000001</v>
      </c>
      <c r="C18" s="128">
        <v>0</v>
      </c>
      <c r="D18" s="128">
        <v>6.9675639999999799</v>
      </c>
      <c r="E18" s="128">
        <v>5.8632059999999901</v>
      </c>
      <c r="F18" s="128">
        <v>6.5758119999999796</v>
      </c>
      <c r="G18" s="128">
        <v>0.58391100000000096</v>
      </c>
      <c r="H18" s="128">
        <v>0.18518699999999999</v>
      </c>
      <c r="I18" s="128">
        <v>0.186774</v>
      </c>
      <c r="J18" s="128">
        <v>6.0350999999999898E-2</v>
      </c>
      <c r="K18" s="128">
        <v>0</v>
      </c>
      <c r="L18" s="128">
        <v>2.42390000000006E-2</v>
      </c>
      <c r="M18" s="128">
        <v>0.58144400000000096</v>
      </c>
      <c r="N18" s="128">
        <v>4.5153359999999898</v>
      </c>
      <c r="O18" s="128">
        <v>4.8136720000000501</v>
      </c>
      <c r="P18" s="128">
        <v>0.31597900000000201</v>
      </c>
      <c r="Q18" s="128">
        <v>0</v>
      </c>
      <c r="R18" s="128">
        <v>6.7850240000006998</v>
      </c>
      <c r="S18" s="128">
        <v>5.69753599999967</v>
      </c>
      <c r="T18" s="128">
        <v>6.3856639999976297</v>
      </c>
      <c r="U18" s="128">
        <v>0.48126399999999597</v>
      </c>
      <c r="V18" s="128">
        <v>0.123096</v>
      </c>
      <c r="W18" s="128">
        <v>6.6409000000000204E-2</v>
      </c>
      <c r="X18" s="128">
        <v>8.0759999999999693E-2</v>
      </c>
      <c r="Y18" s="128">
        <v>0</v>
      </c>
      <c r="Z18" s="128">
        <v>4.7706000000001601E-2</v>
      </c>
      <c r="AA18" s="128">
        <v>0.119294</v>
      </c>
      <c r="AB18" s="128">
        <v>0.15343000000000001</v>
      </c>
      <c r="AC18" s="128">
        <v>0.11308599999999901</v>
      </c>
      <c r="AD18" s="128">
        <v>5.7304499999999897E-2</v>
      </c>
      <c r="AE18" s="128">
        <v>7.6043000000000305E-2</v>
      </c>
      <c r="AF18" s="128">
        <v>0</v>
      </c>
      <c r="AG18" s="128">
        <v>2.1501499999999799E-2</v>
      </c>
      <c r="AH18" s="128">
        <v>1.8755199999999901</v>
      </c>
      <c r="AI18" s="128">
        <v>0</v>
      </c>
      <c r="AJ18" s="128">
        <v>3.8526749999999901E-2</v>
      </c>
      <c r="AK18" s="128">
        <v>0</v>
      </c>
      <c r="AL18" s="128">
        <v>0.31038399999999899</v>
      </c>
      <c r="AM18" s="128">
        <v>0.47028799999999599</v>
      </c>
      <c r="AN18" s="128">
        <v>0.38236400000000298</v>
      </c>
      <c r="AO18" s="128">
        <v>0.13017400000000001</v>
      </c>
      <c r="AP18" s="128">
        <v>7.4348000000000497E-2</v>
      </c>
      <c r="AQ18" s="128">
        <v>0.32633999999999502</v>
      </c>
      <c r="AR18" s="128">
        <v>4.357056</v>
      </c>
      <c r="AS18" s="128">
        <v>5.7501000000000198E-2</v>
      </c>
      <c r="AT18" s="128">
        <v>0</v>
      </c>
      <c r="AU18" s="128">
        <v>3.2288000000001198E-2</v>
      </c>
      <c r="AV18" s="128">
        <v>2.6400500000000299E-2</v>
      </c>
      <c r="AW18" s="128">
        <v>1.3879039999999301</v>
      </c>
      <c r="AX18" s="128">
        <v>0</v>
      </c>
      <c r="AY18" s="128">
        <v>5.85564999999999E-2</v>
      </c>
      <c r="AZ18" s="128">
        <v>0</v>
      </c>
      <c r="BA18" s="128">
        <v>0</v>
      </c>
      <c r="BB18" s="128">
        <v>0</v>
      </c>
      <c r="BC18" s="128">
        <v>0</v>
      </c>
      <c r="BD18" s="128">
        <v>4.1453750000000102E-3</v>
      </c>
      <c r="BE18" s="128">
        <v>0.15737099999999901</v>
      </c>
      <c r="BF18" s="128">
        <v>0</v>
      </c>
      <c r="BG18" s="128">
        <v>1.04290000000002E-2</v>
      </c>
      <c r="BH18" s="128">
        <v>1.4284E-2</v>
      </c>
      <c r="BI18" s="128">
        <v>2.3611520000000001</v>
      </c>
      <c r="BJ18" s="128">
        <v>0</v>
      </c>
      <c r="BK18" s="128">
        <v>4.2747499999999897E-2</v>
      </c>
      <c r="BL18" s="128">
        <v>0</v>
      </c>
      <c r="BM18" s="128">
        <v>1.99668800000001</v>
      </c>
      <c r="BN18" s="128">
        <v>0</v>
      </c>
      <c r="BO18" s="128">
        <v>0.391009</v>
      </c>
      <c r="BP18" s="128">
        <v>0</v>
      </c>
      <c r="BQ18" s="128">
        <v>0</v>
      </c>
      <c r="BR18" s="128">
        <v>3.6968781249999902E-2</v>
      </c>
      <c r="BS18" s="128">
        <v>0</v>
      </c>
      <c r="BT18" s="128">
        <v>0.22364800000000401</v>
      </c>
      <c r="BU18" s="128">
        <v>2.03447499999998E-2</v>
      </c>
      <c r="BV18" s="128">
        <v>0</v>
      </c>
      <c r="BW18" s="128">
        <v>0</v>
      </c>
      <c r="BX18" s="128">
        <v>1.7718749999999998E-2</v>
      </c>
      <c r="BY18" s="128">
        <v>0</v>
      </c>
      <c r="BZ18" s="128">
        <v>0.83611199999999997</v>
      </c>
      <c r="CA18" s="128">
        <v>0.307736000000006</v>
      </c>
      <c r="CB18" s="128">
        <v>0</v>
      </c>
      <c r="CC18" s="128">
        <v>0</v>
      </c>
      <c r="CD18" s="128">
        <v>0</v>
      </c>
      <c r="CE18" s="128">
        <v>0</v>
      </c>
      <c r="CF18" s="128">
        <v>7.6268999999999906E-2</v>
      </c>
      <c r="CG18" s="128">
        <v>0</v>
      </c>
      <c r="CH18" s="128">
        <v>3.2742500000000302E-3</v>
      </c>
      <c r="CI18" s="128">
        <v>0</v>
      </c>
      <c r="CJ18" s="128">
        <v>0</v>
      </c>
      <c r="CK18" s="128">
        <v>0</v>
      </c>
      <c r="CL18" s="128">
        <v>0</v>
      </c>
      <c r="CM18" s="128">
        <v>4.5053439999999201</v>
      </c>
      <c r="CN18" s="128">
        <v>4.15514999999997E-2</v>
      </c>
      <c r="CO18" s="128">
        <v>0.70990000000000497</v>
      </c>
      <c r="CP18" s="128">
        <v>0</v>
      </c>
      <c r="CQ18" s="128">
        <v>3.43749999964782E-7</v>
      </c>
      <c r="CR18" s="128">
        <v>0.1219055</v>
      </c>
      <c r="CS18" s="128">
        <v>0</v>
      </c>
      <c r="CT18" s="128">
        <v>0.242844000000005</v>
      </c>
      <c r="CU18" s="128">
        <v>0</v>
      </c>
      <c r="CV18" s="128">
        <v>1.17254375E-2</v>
      </c>
      <c r="CW18" s="128">
        <v>4.6064000000001201E-2</v>
      </c>
      <c r="CX18" s="128">
        <v>0.28098000000000001</v>
      </c>
      <c r="CY18" s="128">
        <v>1.7487999999999899E-2</v>
      </c>
      <c r="CZ18" s="128">
        <v>1.79485000000001E-2</v>
      </c>
      <c r="DA18" s="128">
        <v>0.39189600000000302</v>
      </c>
      <c r="DB18" s="128">
        <v>8.8827000000000197E-2</v>
      </c>
      <c r="DC18" s="128">
        <v>1.01559999999949E-2</v>
      </c>
      <c r="DD18" s="128">
        <v>2.4542765625000001E-2</v>
      </c>
      <c r="DE18" s="128">
        <v>0</v>
      </c>
      <c r="DF18" s="128">
        <v>0</v>
      </c>
      <c r="DG18" s="128">
        <v>1.5201499999999901E-2</v>
      </c>
      <c r="DH18" s="128">
        <v>0</v>
      </c>
      <c r="DI18" s="128">
        <v>5.4534720000000299</v>
      </c>
      <c r="DJ18" s="128">
        <v>0</v>
      </c>
      <c r="DK18" s="128">
        <v>6.37399999999992E-2</v>
      </c>
      <c r="DL18" s="128">
        <v>1.9179999999998601E-2</v>
      </c>
      <c r="DM18" s="128">
        <v>5.3181000000000402E-2</v>
      </c>
      <c r="DN18" s="128">
        <v>1.38124999999878E-5</v>
      </c>
      <c r="DO18" s="128">
        <v>0.71993599999999003</v>
      </c>
      <c r="DP18" s="128">
        <v>3.4993999999999303E-2</v>
      </c>
      <c r="DQ18" s="128">
        <v>0</v>
      </c>
      <c r="DR18" s="128">
        <v>0</v>
      </c>
      <c r="DS18" s="128">
        <v>1.9588480000000501</v>
      </c>
      <c r="DT18" s="128">
        <v>0.40974399999998901</v>
      </c>
      <c r="DU18" s="128">
        <v>1.1569999999998999E-2</v>
      </c>
      <c r="DV18" s="128">
        <v>4.3275000000000396E-3</v>
      </c>
      <c r="DW18" s="128">
        <v>0</v>
      </c>
      <c r="DX18" s="128">
        <v>0.16889625</v>
      </c>
      <c r="DY18" s="128">
        <v>1.0852687499999999E-2</v>
      </c>
      <c r="DZ18" s="128">
        <v>8.6431999999998496E-2</v>
      </c>
      <c r="EA18" s="128">
        <v>0</v>
      </c>
      <c r="EB18" s="128">
        <v>1.3204480000000001</v>
      </c>
      <c r="EC18" s="128">
        <v>0.611232000000001</v>
      </c>
      <c r="ED18" s="128">
        <v>4.1716999999999997E-2</v>
      </c>
      <c r="EE18" s="128">
        <v>0</v>
      </c>
      <c r="EF18" s="128">
        <v>10.7563859999991</v>
      </c>
      <c r="EG18" s="128">
        <v>0</v>
      </c>
      <c r="EH18" s="128">
        <v>0.45727999999996899</v>
      </c>
      <c r="EI18" s="128">
        <v>0.59833600000001796</v>
      </c>
      <c r="EJ18" s="128">
        <v>5.35359999999514E-2</v>
      </c>
      <c r="EK18" s="128">
        <v>0</v>
      </c>
      <c r="EL18" s="128">
        <v>2.45695999999998</v>
      </c>
      <c r="EM18" s="128">
        <v>3.9750399999998098</v>
      </c>
      <c r="EN18" s="128">
        <v>1.2994559999997399</v>
      </c>
      <c r="EO18" s="128">
        <v>0</v>
      </c>
      <c r="EP18" s="128">
        <v>0</v>
      </c>
      <c r="EQ18" s="128">
        <v>0</v>
      </c>
      <c r="ER18" s="129">
        <v>0</v>
      </c>
      <c r="ES18" s="129">
        <v>0</v>
      </c>
      <c r="ET18" s="129">
        <v>0</v>
      </c>
      <c r="EU18" s="129">
        <v>0</v>
      </c>
      <c r="EV18" s="129">
        <v>0</v>
      </c>
      <c r="EW18" s="129">
        <v>0</v>
      </c>
      <c r="EX18" s="129">
        <v>0</v>
      </c>
      <c r="EY18" s="129">
        <v>0</v>
      </c>
      <c r="EZ18" s="129">
        <v>0</v>
      </c>
      <c r="FA18" s="129">
        <v>0</v>
      </c>
      <c r="FB18" s="129">
        <v>0</v>
      </c>
      <c r="FC18" s="129">
        <v>0</v>
      </c>
      <c r="FD18" s="129">
        <v>0</v>
      </c>
      <c r="FE18" s="129">
        <v>0</v>
      </c>
      <c r="FF18" s="129">
        <v>0</v>
      </c>
      <c r="FG18" s="129">
        <v>0</v>
      </c>
      <c r="FH18" s="129">
        <v>0</v>
      </c>
      <c r="FI18" s="129">
        <v>0</v>
      </c>
      <c r="FJ18" s="129">
        <v>0</v>
      </c>
      <c r="FK18" s="129">
        <v>0</v>
      </c>
      <c r="FL18" s="129">
        <v>0</v>
      </c>
      <c r="FM18" s="129">
        <v>0</v>
      </c>
      <c r="FN18" s="129">
        <v>0</v>
      </c>
      <c r="FO18" s="129">
        <v>0</v>
      </c>
      <c r="FP18" s="129">
        <v>0</v>
      </c>
      <c r="FQ18" s="129">
        <v>0</v>
      </c>
      <c r="FR18" s="129">
        <v>0</v>
      </c>
      <c r="FS18" s="129">
        <v>0</v>
      </c>
      <c r="FT18" s="129">
        <v>0</v>
      </c>
      <c r="FU18" s="129">
        <v>0</v>
      </c>
      <c r="FV18" s="129">
        <v>0</v>
      </c>
      <c r="FW18" s="129">
        <v>0</v>
      </c>
      <c r="FX18" s="129">
        <v>0</v>
      </c>
      <c r="FY18" s="129">
        <v>0</v>
      </c>
      <c r="FZ18" s="129">
        <v>0</v>
      </c>
      <c r="GA18" s="129">
        <v>0</v>
      </c>
      <c r="GB18" s="129">
        <v>0</v>
      </c>
      <c r="GC18" s="129">
        <v>0</v>
      </c>
      <c r="GD18" s="129">
        <v>0</v>
      </c>
      <c r="GE18" s="129">
        <v>0</v>
      </c>
      <c r="GF18" s="129">
        <v>0</v>
      </c>
      <c r="GG18" s="129">
        <v>0</v>
      </c>
      <c r="GH18" s="129">
        <v>0</v>
      </c>
      <c r="GI18" s="129">
        <v>0</v>
      </c>
      <c r="GJ18" s="129">
        <v>0</v>
      </c>
      <c r="GK18" s="129">
        <v>0</v>
      </c>
      <c r="GL18" s="129">
        <v>0</v>
      </c>
      <c r="GM18" s="129">
        <v>0</v>
      </c>
      <c r="GN18" s="129">
        <v>0</v>
      </c>
      <c r="GO18" s="129">
        <v>0</v>
      </c>
      <c r="GP18" s="129">
        <v>0</v>
      </c>
      <c r="GQ18" s="129">
        <v>0</v>
      </c>
      <c r="GR18" s="129">
        <v>0</v>
      </c>
      <c r="GS18" s="129">
        <v>0</v>
      </c>
    </row>
    <row r="19" spans="1:201" s="30" customFormat="1" ht="13" x14ac:dyDescent="0.25">
      <c r="A19" s="87">
        <v>13</v>
      </c>
      <c r="B19" s="128">
        <v>18.2511875</v>
      </c>
      <c r="C19" s="128">
        <v>0</v>
      </c>
      <c r="D19" s="128">
        <v>6.5215320000000396</v>
      </c>
      <c r="E19" s="128">
        <v>5.5392000000000499</v>
      </c>
      <c r="F19" s="128">
        <v>6.2086130000000397</v>
      </c>
      <c r="G19" s="128">
        <v>0</v>
      </c>
      <c r="H19" s="128">
        <v>0</v>
      </c>
      <c r="I19" s="128">
        <v>0</v>
      </c>
      <c r="J19" s="128">
        <v>0</v>
      </c>
      <c r="K19" s="128">
        <v>0</v>
      </c>
      <c r="L19" s="128">
        <v>0</v>
      </c>
      <c r="M19" s="128">
        <v>0</v>
      </c>
      <c r="N19" s="128">
        <v>3.9468629999999498</v>
      </c>
      <c r="O19" s="128">
        <v>4.1590509999999803</v>
      </c>
      <c r="P19" s="128">
        <v>0.26972500000000099</v>
      </c>
      <c r="Q19" s="128">
        <v>0</v>
      </c>
      <c r="R19" s="128">
        <v>6.3692799999989802</v>
      </c>
      <c r="S19" s="128">
        <v>5.3621760000005496</v>
      </c>
      <c r="T19" s="128">
        <v>6.0293120000023901</v>
      </c>
      <c r="U19" s="128">
        <v>0.49555600000000799</v>
      </c>
      <c r="V19" s="128">
        <v>0.124001999999997</v>
      </c>
      <c r="W19" s="128">
        <v>7.2533999999999196E-2</v>
      </c>
      <c r="X19" s="128">
        <v>8.2237000000001004E-2</v>
      </c>
      <c r="Y19" s="128">
        <v>0</v>
      </c>
      <c r="Z19" s="128">
        <v>4.8561999999998703E-2</v>
      </c>
      <c r="AA19" s="128">
        <v>0.116653999999997</v>
      </c>
      <c r="AB19" s="128">
        <v>0.15258200000000199</v>
      </c>
      <c r="AC19" s="128">
        <v>0.119786000000001</v>
      </c>
      <c r="AD19" s="128">
        <v>5.9899500000000203E-2</v>
      </c>
      <c r="AE19" s="128">
        <v>7.6708499999999596E-2</v>
      </c>
      <c r="AF19" s="128">
        <v>0</v>
      </c>
      <c r="AG19" s="128">
        <v>1.5630250000000099E-2</v>
      </c>
      <c r="AH19" s="128">
        <v>1.9237439999999999</v>
      </c>
      <c r="AI19" s="128">
        <v>0</v>
      </c>
      <c r="AJ19" s="128">
        <v>3.1574499999999603E-2</v>
      </c>
      <c r="AK19" s="128">
        <v>0</v>
      </c>
      <c r="AL19" s="128">
        <v>0.31392000000001002</v>
      </c>
      <c r="AM19" s="128">
        <v>0.49319599999999802</v>
      </c>
      <c r="AN19" s="128">
        <v>0.36826799999999998</v>
      </c>
      <c r="AO19" s="128">
        <v>0.148844</v>
      </c>
      <c r="AP19" s="128">
        <v>8.7482999999998895E-2</v>
      </c>
      <c r="AQ19" s="128">
        <v>0.335600000000007</v>
      </c>
      <c r="AR19" s="128">
        <v>4.7209599999999901</v>
      </c>
      <c r="AS19" s="128">
        <v>7.4097999999999303E-2</v>
      </c>
      <c r="AT19" s="128">
        <v>0</v>
      </c>
      <c r="AU19" s="128">
        <v>3.2587999999997001E-2</v>
      </c>
      <c r="AV19" s="128">
        <v>4.17345000000005E-2</v>
      </c>
      <c r="AW19" s="128">
        <v>1.6107520000000499</v>
      </c>
      <c r="AX19" s="128">
        <v>0</v>
      </c>
      <c r="AY19" s="128">
        <v>6.3352749999999999E-2</v>
      </c>
      <c r="AZ19" s="128">
        <v>4.9999999962579999E-7</v>
      </c>
      <c r="BA19" s="128">
        <v>0</v>
      </c>
      <c r="BB19" s="128">
        <v>0</v>
      </c>
      <c r="BC19" s="128">
        <v>0</v>
      </c>
      <c r="BD19" s="128">
        <v>4.7930000000000498E-3</v>
      </c>
      <c r="BE19" s="128">
        <v>0.119861999999999</v>
      </c>
      <c r="BF19" s="128">
        <v>0</v>
      </c>
      <c r="BG19" s="128">
        <v>1.9142999999999698E-2</v>
      </c>
      <c r="BH19" s="128">
        <v>2.6461999999998698E-2</v>
      </c>
      <c r="BI19" s="128">
        <v>2.4587519999999801</v>
      </c>
      <c r="BJ19" s="128">
        <v>0</v>
      </c>
      <c r="BK19" s="128">
        <v>5.5241999999999798E-2</v>
      </c>
      <c r="BL19" s="128">
        <v>0</v>
      </c>
      <c r="BM19" s="128">
        <v>1.9574879999999799</v>
      </c>
      <c r="BN19" s="128">
        <v>0</v>
      </c>
      <c r="BO19" s="128">
        <v>0.25311250000000002</v>
      </c>
      <c r="BP19" s="128">
        <v>0</v>
      </c>
      <c r="BQ19" s="128">
        <v>0</v>
      </c>
      <c r="BR19" s="128">
        <v>1.51235625E-2</v>
      </c>
      <c r="BS19" s="128">
        <v>0</v>
      </c>
      <c r="BT19" s="128">
        <v>0.26216399999999901</v>
      </c>
      <c r="BU19" s="128">
        <v>1.9600750000000201E-2</v>
      </c>
      <c r="BV19" s="128">
        <v>0</v>
      </c>
      <c r="BW19" s="128">
        <v>0</v>
      </c>
      <c r="BX19" s="128">
        <v>1.7515124999999999E-2</v>
      </c>
      <c r="BY19" s="128">
        <v>0</v>
      </c>
      <c r="BZ19" s="128">
        <v>0.88329599999998698</v>
      </c>
      <c r="CA19" s="128">
        <v>0.30742399999999698</v>
      </c>
      <c r="CB19" s="128">
        <v>0</v>
      </c>
      <c r="CC19" s="128">
        <v>0</v>
      </c>
      <c r="CD19" s="128">
        <v>0</v>
      </c>
      <c r="CE19" s="128">
        <v>0</v>
      </c>
      <c r="CF19" s="128">
        <v>8.4261999999998893E-2</v>
      </c>
      <c r="CG19" s="128">
        <v>0</v>
      </c>
      <c r="CH19" s="128">
        <v>1.7627499999997001E-3</v>
      </c>
      <c r="CI19" s="128">
        <v>0</v>
      </c>
      <c r="CJ19" s="128">
        <v>0</v>
      </c>
      <c r="CK19" s="128">
        <v>0</v>
      </c>
      <c r="CL19" s="128">
        <v>0</v>
      </c>
      <c r="CM19" s="128">
        <v>3.76601600000004</v>
      </c>
      <c r="CN19" s="128">
        <v>5.2729499999999901E-2</v>
      </c>
      <c r="CO19" s="128">
        <v>0.44514799999999599</v>
      </c>
      <c r="CP19" s="128">
        <v>0</v>
      </c>
      <c r="CQ19" s="128">
        <v>1.56249999994085E-7</v>
      </c>
      <c r="CR19" s="128">
        <v>9.0593499999998897E-2</v>
      </c>
      <c r="CS19" s="128">
        <v>0</v>
      </c>
      <c r="CT19" s="128">
        <v>0.18953599999999701</v>
      </c>
      <c r="CU19" s="128">
        <v>0</v>
      </c>
      <c r="CV19" s="128">
        <v>1.4421687500000099E-2</v>
      </c>
      <c r="CW19" s="128">
        <v>3.6435999999994799E-2</v>
      </c>
      <c r="CX19" s="128">
        <v>0.27516800000000102</v>
      </c>
      <c r="CY19" s="128">
        <v>8.6680000000000108E-3</v>
      </c>
      <c r="CZ19" s="128">
        <v>2.2159999999999999E-2</v>
      </c>
      <c r="DA19" s="128">
        <v>0.35047199999999601</v>
      </c>
      <c r="DB19" s="128">
        <v>8.3470999999999407E-2</v>
      </c>
      <c r="DC19" s="128">
        <v>1.3947999999999201E-2</v>
      </c>
      <c r="DD19" s="128">
        <v>2.9469374999999999E-2</v>
      </c>
      <c r="DE19" s="128">
        <v>0</v>
      </c>
      <c r="DF19" s="128">
        <v>0</v>
      </c>
      <c r="DG19" s="128">
        <v>1.9404999999999901E-2</v>
      </c>
      <c r="DH19" s="128">
        <v>0</v>
      </c>
      <c r="DI19" s="128">
        <v>5.7814719999999502</v>
      </c>
      <c r="DJ19" s="128">
        <v>0</v>
      </c>
      <c r="DK19" s="128">
        <v>6.3248000000001497E-2</v>
      </c>
      <c r="DL19" s="128">
        <v>1.9236000000001099E-2</v>
      </c>
      <c r="DM19" s="128">
        <v>4.6784999999999903E-2</v>
      </c>
      <c r="DN19" s="128">
        <v>2.4893749999999E-4</v>
      </c>
      <c r="DO19" s="128">
        <v>0.74595200000001705</v>
      </c>
      <c r="DP19" s="128">
        <v>3.7548000000000102E-2</v>
      </c>
      <c r="DQ19" s="128">
        <v>0</v>
      </c>
      <c r="DR19" s="128">
        <v>0</v>
      </c>
      <c r="DS19" s="128">
        <v>2.1237119999999599</v>
      </c>
      <c r="DT19" s="128">
        <v>0.41348800000000102</v>
      </c>
      <c r="DU19" s="128">
        <v>1.7005000000000998E-2</v>
      </c>
      <c r="DV19" s="128">
        <v>2.3897500000003001E-3</v>
      </c>
      <c r="DW19" s="128">
        <v>0</v>
      </c>
      <c r="DX19" s="128">
        <v>0.20143050000000001</v>
      </c>
      <c r="DY19" s="128">
        <v>8.5607343749999898E-3</v>
      </c>
      <c r="DZ19" s="128">
        <v>8.6696000000003395E-2</v>
      </c>
      <c r="EA19" s="128">
        <v>0</v>
      </c>
      <c r="EB19" s="128">
        <v>1.3915360000000001</v>
      </c>
      <c r="EC19" s="128">
        <v>0.65639999999999099</v>
      </c>
      <c r="ED19" s="128">
        <v>3.0926249999999801E-2</v>
      </c>
      <c r="EE19" s="128">
        <v>0</v>
      </c>
      <c r="EF19" s="128">
        <v>8.4958680000008808</v>
      </c>
      <c r="EG19" s="128">
        <v>0</v>
      </c>
      <c r="EH19" s="128">
        <v>0.54675200000008295</v>
      </c>
      <c r="EI19" s="128">
        <v>0.61254399999995701</v>
      </c>
      <c r="EJ19" s="128">
        <v>4.4448000000045298E-2</v>
      </c>
      <c r="EK19" s="128">
        <v>0</v>
      </c>
      <c r="EL19" s="128">
        <v>0.20198400000003899</v>
      </c>
      <c r="EM19" s="128">
        <v>2.34316799999988</v>
      </c>
      <c r="EN19" s="128">
        <v>3.3100800000002</v>
      </c>
      <c r="EO19" s="128">
        <v>0</v>
      </c>
      <c r="EP19" s="128">
        <v>0</v>
      </c>
      <c r="EQ19" s="128">
        <v>0</v>
      </c>
      <c r="ER19" s="129">
        <v>0</v>
      </c>
      <c r="ES19" s="129">
        <v>0</v>
      </c>
      <c r="ET19" s="129">
        <v>0</v>
      </c>
      <c r="EU19" s="129">
        <v>0</v>
      </c>
      <c r="EV19" s="129">
        <v>0</v>
      </c>
      <c r="EW19" s="129">
        <v>0</v>
      </c>
      <c r="EX19" s="129">
        <v>0</v>
      </c>
      <c r="EY19" s="129">
        <v>0</v>
      </c>
      <c r="EZ19" s="129">
        <v>0</v>
      </c>
      <c r="FA19" s="129">
        <v>0</v>
      </c>
      <c r="FB19" s="129">
        <v>0</v>
      </c>
      <c r="FC19" s="129">
        <v>0</v>
      </c>
      <c r="FD19" s="129">
        <v>0</v>
      </c>
      <c r="FE19" s="129">
        <v>0</v>
      </c>
      <c r="FF19" s="129">
        <v>0</v>
      </c>
      <c r="FG19" s="129">
        <v>0</v>
      </c>
      <c r="FH19" s="129">
        <v>0</v>
      </c>
      <c r="FI19" s="129">
        <v>0</v>
      </c>
      <c r="FJ19" s="129">
        <v>0</v>
      </c>
      <c r="FK19" s="129">
        <v>0</v>
      </c>
      <c r="FL19" s="129">
        <v>0</v>
      </c>
      <c r="FM19" s="129">
        <v>0</v>
      </c>
      <c r="FN19" s="129">
        <v>0</v>
      </c>
      <c r="FO19" s="129">
        <v>0</v>
      </c>
      <c r="FP19" s="129">
        <v>0</v>
      </c>
      <c r="FQ19" s="129">
        <v>0</v>
      </c>
      <c r="FR19" s="129">
        <v>0</v>
      </c>
      <c r="FS19" s="129">
        <v>0</v>
      </c>
      <c r="FT19" s="129">
        <v>0</v>
      </c>
      <c r="FU19" s="129">
        <v>0</v>
      </c>
      <c r="FV19" s="129">
        <v>0</v>
      </c>
      <c r="FW19" s="129">
        <v>0</v>
      </c>
      <c r="FX19" s="129">
        <v>0</v>
      </c>
      <c r="FY19" s="129">
        <v>0</v>
      </c>
      <c r="FZ19" s="129">
        <v>0</v>
      </c>
      <c r="GA19" s="129">
        <v>0</v>
      </c>
      <c r="GB19" s="129">
        <v>0</v>
      </c>
      <c r="GC19" s="129">
        <v>0</v>
      </c>
      <c r="GD19" s="129">
        <v>0</v>
      </c>
      <c r="GE19" s="129">
        <v>0</v>
      </c>
      <c r="GF19" s="129">
        <v>0</v>
      </c>
      <c r="GG19" s="129">
        <v>0</v>
      </c>
      <c r="GH19" s="129">
        <v>0</v>
      </c>
      <c r="GI19" s="129">
        <v>0</v>
      </c>
      <c r="GJ19" s="129">
        <v>0</v>
      </c>
      <c r="GK19" s="129">
        <v>0</v>
      </c>
      <c r="GL19" s="129">
        <v>0</v>
      </c>
      <c r="GM19" s="129">
        <v>0</v>
      </c>
      <c r="GN19" s="129">
        <v>0</v>
      </c>
      <c r="GO19" s="129">
        <v>0</v>
      </c>
      <c r="GP19" s="129">
        <v>0</v>
      </c>
      <c r="GQ19" s="129">
        <v>0</v>
      </c>
      <c r="GR19" s="129">
        <v>0</v>
      </c>
      <c r="GS19" s="129">
        <v>0</v>
      </c>
    </row>
    <row r="20" spans="1:201" s="30" customFormat="1" ht="13" x14ac:dyDescent="0.25">
      <c r="A20" s="87">
        <v>14</v>
      </c>
      <c r="B20" s="128"/>
      <c r="C20" s="128"/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8"/>
      <c r="AN20" s="128"/>
      <c r="AO20" s="128"/>
      <c r="AP20" s="128"/>
      <c r="AQ20" s="128"/>
      <c r="AR20" s="128"/>
      <c r="AS20" s="128"/>
      <c r="AT20" s="128"/>
      <c r="AU20" s="128"/>
      <c r="AV20" s="128"/>
      <c r="AW20" s="128"/>
      <c r="AX20" s="128"/>
      <c r="AY20" s="128"/>
      <c r="AZ20" s="128"/>
      <c r="BA20" s="128"/>
      <c r="BB20" s="128"/>
      <c r="BC20" s="128"/>
      <c r="BD20" s="128"/>
      <c r="BE20" s="128"/>
      <c r="BF20" s="128"/>
      <c r="BG20" s="128"/>
      <c r="BH20" s="128"/>
      <c r="BI20" s="128"/>
      <c r="BJ20" s="128"/>
      <c r="BK20" s="128"/>
      <c r="BL20" s="128"/>
      <c r="BM20" s="128"/>
      <c r="BN20" s="128"/>
      <c r="BO20" s="128"/>
      <c r="BP20" s="128"/>
      <c r="BQ20" s="128"/>
      <c r="BR20" s="128"/>
      <c r="BS20" s="128"/>
      <c r="BT20" s="128"/>
      <c r="BU20" s="128"/>
      <c r="BV20" s="128"/>
      <c r="BW20" s="128"/>
      <c r="BX20" s="128"/>
      <c r="BY20" s="128"/>
      <c r="BZ20" s="128"/>
      <c r="CA20" s="128"/>
      <c r="CB20" s="128"/>
      <c r="CC20" s="128"/>
      <c r="CD20" s="128"/>
      <c r="CE20" s="128"/>
      <c r="CF20" s="128"/>
      <c r="CG20" s="128"/>
      <c r="CH20" s="128"/>
      <c r="CI20" s="128"/>
      <c r="CJ20" s="128"/>
      <c r="CK20" s="128"/>
      <c r="CL20" s="128"/>
      <c r="CM20" s="128"/>
      <c r="CN20" s="128"/>
      <c r="CO20" s="128"/>
      <c r="CP20" s="128"/>
      <c r="CQ20" s="128"/>
      <c r="CR20" s="128"/>
      <c r="CS20" s="128"/>
      <c r="CT20" s="128"/>
      <c r="CU20" s="128"/>
      <c r="CV20" s="128"/>
      <c r="CW20" s="128"/>
      <c r="CX20" s="128"/>
      <c r="CY20" s="128"/>
      <c r="CZ20" s="128"/>
      <c r="DA20" s="128"/>
      <c r="DB20" s="128"/>
      <c r="DC20" s="128"/>
      <c r="DD20" s="128"/>
      <c r="DE20" s="128"/>
      <c r="DF20" s="128"/>
      <c r="DG20" s="128"/>
      <c r="DH20" s="128"/>
      <c r="DI20" s="128"/>
      <c r="DJ20" s="128"/>
      <c r="DK20" s="128"/>
      <c r="DL20" s="128"/>
      <c r="DM20" s="128"/>
      <c r="DN20" s="128"/>
      <c r="DO20" s="128"/>
      <c r="DP20" s="128"/>
      <c r="DQ20" s="128"/>
      <c r="DR20" s="128"/>
      <c r="DS20" s="128"/>
      <c r="DT20" s="128"/>
      <c r="DU20" s="128"/>
      <c r="DV20" s="128"/>
      <c r="DW20" s="128"/>
      <c r="DX20" s="128"/>
      <c r="DY20" s="128"/>
      <c r="DZ20" s="128"/>
      <c r="EA20" s="128"/>
      <c r="EB20" s="128"/>
      <c r="EC20" s="128"/>
      <c r="ED20" s="128"/>
      <c r="EE20" s="128"/>
      <c r="EF20" s="128"/>
      <c r="EG20" s="128"/>
      <c r="EH20" s="128"/>
      <c r="EI20" s="128"/>
      <c r="EJ20" s="128"/>
      <c r="EK20" s="128"/>
      <c r="EL20" s="128"/>
      <c r="EM20" s="128"/>
      <c r="EN20" s="128"/>
      <c r="EO20" s="128"/>
      <c r="EP20" s="128"/>
      <c r="EQ20" s="128"/>
      <c r="ER20" s="129"/>
      <c r="ES20" s="129"/>
      <c r="ET20" s="129"/>
      <c r="EU20" s="129"/>
      <c r="EV20" s="129"/>
      <c r="EW20" s="129"/>
      <c r="EX20" s="129"/>
      <c r="EY20" s="129"/>
      <c r="EZ20" s="129"/>
      <c r="FA20" s="129"/>
      <c r="FB20" s="129"/>
      <c r="FC20" s="129"/>
      <c r="FD20" s="129"/>
      <c r="FE20" s="129"/>
      <c r="FF20" s="129"/>
      <c r="FG20" s="129"/>
      <c r="FH20" s="129"/>
      <c r="FI20" s="129"/>
      <c r="FJ20" s="129"/>
      <c r="FK20" s="129"/>
      <c r="FL20" s="129"/>
      <c r="FM20" s="129"/>
      <c r="FN20" s="129"/>
      <c r="FO20" s="129"/>
      <c r="FP20" s="129"/>
      <c r="FQ20" s="129"/>
      <c r="FR20" s="129"/>
      <c r="FS20" s="129"/>
      <c r="FT20" s="129"/>
      <c r="FU20" s="129"/>
      <c r="FV20" s="129"/>
      <c r="FW20" s="129"/>
      <c r="FX20" s="129"/>
      <c r="FY20" s="129"/>
      <c r="FZ20" s="129"/>
      <c r="GA20" s="129"/>
      <c r="GB20" s="129"/>
      <c r="GC20" s="129"/>
      <c r="GD20" s="129"/>
      <c r="GE20" s="129"/>
      <c r="GF20" s="129"/>
      <c r="GG20" s="129"/>
      <c r="GH20" s="129"/>
      <c r="GI20" s="129"/>
      <c r="GJ20" s="129"/>
      <c r="GK20" s="129"/>
      <c r="GL20" s="129"/>
      <c r="GM20" s="129"/>
      <c r="GN20" s="129"/>
      <c r="GO20" s="129"/>
      <c r="GP20" s="129"/>
      <c r="GQ20" s="129"/>
      <c r="GR20" s="129"/>
      <c r="GS20" s="129"/>
    </row>
    <row r="21" spans="1:201" s="30" customFormat="1" ht="13" x14ac:dyDescent="0.25">
      <c r="A21" s="87">
        <v>15</v>
      </c>
      <c r="B21" s="128">
        <v>20.440000000000001</v>
      </c>
      <c r="C21" s="128">
        <v>0</v>
      </c>
      <c r="D21" s="128">
        <v>6.18973</v>
      </c>
      <c r="E21" s="128">
        <v>5.2385599999999499</v>
      </c>
      <c r="F21" s="128">
        <v>5.8576929999999798</v>
      </c>
      <c r="G21" s="128">
        <v>0</v>
      </c>
      <c r="H21" s="128">
        <v>0</v>
      </c>
      <c r="I21" s="128">
        <v>0</v>
      </c>
      <c r="J21" s="128">
        <v>0</v>
      </c>
      <c r="K21" s="128">
        <v>0</v>
      </c>
      <c r="L21" s="128">
        <v>0</v>
      </c>
      <c r="M21" s="128">
        <v>0</v>
      </c>
      <c r="N21" s="128">
        <v>2.5059939999999301</v>
      </c>
      <c r="O21" s="128">
        <v>2.3995630000000601</v>
      </c>
      <c r="P21" s="128">
        <v>0.18817499999999801</v>
      </c>
      <c r="Q21" s="128">
        <v>0</v>
      </c>
      <c r="R21" s="128">
        <v>6.0927999999985296</v>
      </c>
      <c r="S21" s="128">
        <v>5.1368959999999797</v>
      </c>
      <c r="T21" s="128">
        <v>5.7466879999992697</v>
      </c>
      <c r="U21" s="128">
        <v>0.37563600000000003</v>
      </c>
      <c r="V21" s="128">
        <v>9.4201999999999203E-2</v>
      </c>
      <c r="W21" s="128">
        <v>4.6979000000000298E-2</v>
      </c>
      <c r="X21" s="128">
        <v>6.0903999999999001E-2</v>
      </c>
      <c r="Y21" s="128">
        <v>0</v>
      </c>
      <c r="Z21" s="128">
        <v>3.68810000000011E-2</v>
      </c>
      <c r="AA21" s="128">
        <v>8.8197999999998403E-2</v>
      </c>
      <c r="AB21" s="128">
        <v>0.123403999999997</v>
      </c>
      <c r="AC21" s="128">
        <v>0.105404</v>
      </c>
      <c r="AD21" s="128">
        <v>3.0656999999999698E-2</v>
      </c>
      <c r="AE21" s="128">
        <v>7.4898499999999799E-2</v>
      </c>
      <c r="AF21" s="128">
        <v>0</v>
      </c>
      <c r="AG21" s="128">
        <v>1.2001999999999799E-2</v>
      </c>
      <c r="AH21" s="128">
        <v>1.43007999999998</v>
      </c>
      <c r="AI21" s="128">
        <v>0</v>
      </c>
      <c r="AJ21" s="128">
        <v>2.3113499999999999E-2</v>
      </c>
      <c r="AK21" s="128">
        <v>0</v>
      </c>
      <c r="AL21" s="128">
        <v>0.23380000000000201</v>
      </c>
      <c r="AM21" s="128">
        <v>0.36585200000000401</v>
      </c>
      <c r="AN21" s="128">
        <v>0.29317199999999799</v>
      </c>
      <c r="AO21" s="128">
        <v>8.2621999999997101E-2</v>
      </c>
      <c r="AP21" s="128">
        <v>6.5032999999999702E-2</v>
      </c>
      <c r="AQ21" s="128">
        <v>0.26488800000000601</v>
      </c>
      <c r="AR21" s="128">
        <v>4.1333760000000002</v>
      </c>
      <c r="AS21" s="128">
        <v>3.9127499999999302E-2</v>
      </c>
      <c r="AT21" s="128">
        <v>0</v>
      </c>
      <c r="AU21" s="128">
        <v>3.0232000000005099E-2</v>
      </c>
      <c r="AV21" s="128">
        <v>3.5823500000000202E-2</v>
      </c>
      <c r="AW21" s="128">
        <v>1.76620800000001</v>
      </c>
      <c r="AX21" s="128">
        <v>0</v>
      </c>
      <c r="AY21" s="128">
        <v>5.0112249999999699E-2</v>
      </c>
      <c r="AZ21" s="128">
        <v>0</v>
      </c>
      <c r="BA21" s="128">
        <v>0</v>
      </c>
      <c r="BB21" s="128">
        <v>0</v>
      </c>
      <c r="BC21" s="128">
        <v>0</v>
      </c>
      <c r="BD21" s="128">
        <v>3.74187500000001E-3</v>
      </c>
      <c r="BE21" s="128">
        <v>9.3733999999999498E-2</v>
      </c>
      <c r="BF21" s="128">
        <v>0</v>
      </c>
      <c r="BG21" s="128">
        <v>1.2988E-2</v>
      </c>
      <c r="BH21" s="128">
        <v>5.1618000000001302E-2</v>
      </c>
      <c r="BI21" s="128">
        <v>1.86747199999999</v>
      </c>
      <c r="BJ21" s="128">
        <v>0</v>
      </c>
      <c r="BK21" s="128">
        <v>3.4451499999999399E-2</v>
      </c>
      <c r="BL21" s="128">
        <v>0</v>
      </c>
      <c r="BM21" s="128">
        <v>1.44515200000001</v>
      </c>
      <c r="BN21" s="128">
        <v>0</v>
      </c>
      <c r="BO21" s="128">
        <v>5.9808999999999599E-2</v>
      </c>
      <c r="BP21" s="128">
        <v>0</v>
      </c>
      <c r="BQ21" s="128">
        <v>0</v>
      </c>
      <c r="BR21" s="128">
        <v>9.4680624999999904E-3</v>
      </c>
      <c r="BS21" s="128">
        <v>0</v>
      </c>
      <c r="BT21" s="128">
        <v>0.18466000000000099</v>
      </c>
      <c r="BU21" s="128">
        <v>9.7979999999999699E-3</v>
      </c>
      <c r="BV21" s="128">
        <v>0</v>
      </c>
      <c r="BW21" s="128">
        <v>0</v>
      </c>
      <c r="BX21" s="128">
        <v>1.09891249999999E-2</v>
      </c>
      <c r="BY21" s="128">
        <v>0</v>
      </c>
      <c r="BZ21" s="128">
        <v>0.83049599999999701</v>
      </c>
      <c r="CA21" s="128">
        <v>0.216055999999995</v>
      </c>
      <c r="CB21" s="128">
        <v>0</v>
      </c>
      <c r="CC21" s="128">
        <v>0</v>
      </c>
      <c r="CD21" s="128">
        <v>0</v>
      </c>
      <c r="CE21" s="128">
        <v>0</v>
      </c>
      <c r="CF21" s="128">
        <v>3.2802000000000199E-2</v>
      </c>
      <c r="CG21" s="128">
        <v>0</v>
      </c>
      <c r="CH21" s="128">
        <v>1.4999999997655801E-6</v>
      </c>
      <c r="CI21" s="128">
        <v>0</v>
      </c>
      <c r="CJ21" s="128">
        <v>0</v>
      </c>
      <c r="CK21" s="128">
        <v>0</v>
      </c>
      <c r="CL21" s="128">
        <v>0</v>
      </c>
      <c r="CM21" s="128">
        <v>3.57888000000003</v>
      </c>
      <c r="CN21" s="128">
        <v>3.8777000000000499E-2</v>
      </c>
      <c r="CO21" s="128">
        <v>0.74995599999999696</v>
      </c>
      <c r="CP21" s="128">
        <v>0</v>
      </c>
      <c r="CQ21" s="128">
        <v>3.1249999998816899E-7</v>
      </c>
      <c r="CR21" s="128">
        <v>7.7622999999999095E-2</v>
      </c>
      <c r="CS21" s="128">
        <v>0</v>
      </c>
      <c r="CT21" s="128">
        <v>0.116692</v>
      </c>
      <c r="CU21" s="128">
        <v>0</v>
      </c>
      <c r="CV21" s="128">
        <v>1.3195749999999999E-2</v>
      </c>
      <c r="CW21" s="128">
        <v>1.96000000002527E-4</v>
      </c>
      <c r="CX21" s="128">
        <v>0.22721999999999601</v>
      </c>
      <c r="CY21" s="128">
        <v>1.3868000000000101E-2</v>
      </c>
      <c r="CZ21" s="128">
        <v>1.3115500000000099E-2</v>
      </c>
      <c r="DA21" s="128">
        <v>0.24992799999999701</v>
      </c>
      <c r="DB21" s="128">
        <v>8.0372999999998904E-2</v>
      </c>
      <c r="DC21" s="128">
        <v>9.0840000000014208E-3</v>
      </c>
      <c r="DD21" s="128">
        <v>2.3497562499999999E-2</v>
      </c>
      <c r="DE21" s="128">
        <v>0</v>
      </c>
      <c r="DF21" s="128">
        <v>0</v>
      </c>
      <c r="DG21" s="128">
        <v>6.2290000000002604E-3</v>
      </c>
      <c r="DH21" s="128">
        <v>0</v>
      </c>
      <c r="DI21" s="128">
        <v>3.82838399999997</v>
      </c>
      <c r="DJ21" s="128">
        <v>0</v>
      </c>
      <c r="DK21" s="128">
        <v>4.9431999999999497E-2</v>
      </c>
      <c r="DL21" s="128">
        <v>1.34139999999991E-2</v>
      </c>
      <c r="DM21" s="128">
        <v>3.45379999999995E-2</v>
      </c>
      <c r="DN21" s="128">
        <v>0</v>
      </c>
      <c r="DO21" s="128">
        <v>0.56964800000000104</v>
      </c>
      <c r="DP21" s="128">
        <v>2.86035E-2</v>
      </c>
      <c r="DQ21" s="128">
        <v>0</v>
      </c>
      <c r="DR21" s="128">
        <v>0</v>
      </c>
      <c r="DS21" s="128">
        <v>1.0703040000000199</v>
      </c>
      <c r="DT21" s="128">
        <v>0.32171999999999901</v>
      </c>
      <c r="DU21" s="128">
        <v>1.1871000000001099E-2</v>
      </c>
      <c r="DV21" s="128">
        <v>8.3852499999998997E-3</v>
      </c>
      <c r="DW21" s="128">
        <v>0</v>
      </c>
      <c r="DX21" s="128">
        <v>0.15580050000000001</v>
      </c>
      <c r="DY21" s="128">
        <v>7.0331250000000298E-3</v>
      </c>
      <c r="DZ21" s="128">
        <v>8.2556000000000296E-2</v>
      </c>
      <c r="EA21" s="128">
        <v>0</v>
      </c>
      <c r="EB21" s="128">
        <v>1.06481599999998</v>
      </c>
      <c r="EC21" s="128">
        <v>0.45923200000001402</v>
      </c>
      <c r="ED21" s="128">
        <v>1.37197499999999E-2</v>
      </c>
      <c r="EE21" s="128">
        <v>0</v>
      </c>
      <c r="EF21" s="128">
        <v>7.8160029999990002</v>
      </c>
      <c r="EG21" s="128">
        <v>0</v>
      </c>
      <c r="EH21" s="128">
        <v>0.35955200000000798</v>
      </c>
      <c r="EI21" s="128">
        <v>0.47539200000005599</v>
      </c>
      <c r="EJ21" s="128">
        <v>3.5679999999956601E-2</v>
      </c>
      <c r="EK21" s="128">
        <v>0</v>
      </c>
      <c r="EL21" s="128">
        <v>2.0666879999998899</v>
      </c>
      <c r="EM21" s="128">
        <v>1.98668799999996</v>
      </c>
      <c r="EN21" s="128">
        <v>1.6235520000000201</v>
      </c>
      <c r="EO21" s="128">
        <v>0</v>
      </c>
      <c r="EP21" s="128">
        <v>0</v>
      </c>
      <c r="EQ21" s="128">
        <v>0</v>
      </c>
      <c r="ER21" s="129">
        <v>0</v>
      </c>
      <c r="ES21" s="129">
        <v>0</v>
      </c>
      <c r="ET21" s="129">
        <v>0</v>
      </c>
      <c r="EU21" s="129">
        <v>0</v>
      </c>
      <c r="EV21" s="129">
        <v>0</v>
      </c>
      <c r="EW21" s="129">
        <v>0</v>
      </c>
      <c r="EX21" s="129">
        <v>0</v>
      </c>
      <c r="EY21" s="129">
        <v>0</v>
      </c>
      <c r="EZ21" s="129">
        <v>0</v>
      </c>
      <c r="FA21" s="129">
        <v>0</v>
      </c>
      <c r="FB21" s="129">
        <v>0</v>
      </c>
      <c r="FC21" s="129">
        <v>0</v>
      </c>
      <c r="FD21" s="129">
        <v>0</v>
      </c>
      <c r="FE21" s="129">
        <v>0</v>
      </c>
      <c r="FF21" s="129">
        <v>0</v>
      </c>
      <c r="FG21" s="129">
        <v>0</v>
      </c>
      <c r="FH21" s="129">
        <v>0</v>
      </c>
      <c r="FI21" s="129">
        <v>0</v>
      </c>
      <c r="FJ21" s="129">
        <v>0</v>
      </c>
      <c r="FK21" s="129">
        <v>0</v>
      </c>
      <c r="FL21" s="129">
        <v>0</v>
      </c>
      <c r="FM21" s="129">
        <v>0</v>
      </c>
      <c r="FN21" s="129">
        <v>0</v>
      </c>
      <c r="FO21" s="129">
        <v>0</v>
      </c>
      <c r="FP21" s="129">
        <v>0</v>
      </c>
      <c r="FQ21" s="129">
        <v>0</v>
      </c>
      <c r="FR21" s="129">
        <v>0</v>
      </c>
      <c r="FS21" s="129">
        <v>0</v>
      </c>
      <c r="FT21" s="129">
        <v>0</v>
      </c>
      <c r="FU21" s="129">
        <v>0</v>
      </c>
      <c r="FV21" s="129">
        <v>0</v>
      </c>
      <c r="FW21" s="129">
        <v>0</v>
      </c>
      <c r="FX21" s="129">
        <v>0</v>
      </c>
      <c r="FY21" s="129">
        <v>0</v>
      </c>
      <c r="FZ21" s="129">
        <v>0</v>
      </c>
      <c r="GA21" s="129">
        <v>0</v>
      </c>
      <c r="GB21" s="129">
        <v>0</v>
      </c>
      <c r="GC21" s="129">
        <v>0</v>
      </c>
      <c r="GD21" s="129">
        <v>0</v>
      </c>
      <c r="GE21" s="129">
        <v>0</v>
      </c>
      <c r="GF21" s="129">
        <v>0</v>
      </c>
      <c r="GG21" s="129">
        <v>0</v>
      </c>
      <c r="GH21" s="129">
        <v>0</v>
      </c>
      <c r="GI21" s="129">
        <v>0</v>
      </c>
      <c r="GJ21" s="129">
        <v>0</v>
      </c>
      <c r="GK21" s="129">
        <v>0</v>
      </c>
      <c r="GL21" s="129">
        <v>0</v>
      </c>
      <c r="GM21" s="129">
        <v>0</v>
      </c>
      <c r="GN21" s="129">
        <v>0</v>
      </c>
      <c r="GO21" s="129">
        <v>0</v>
      </c>
      <c r="GP21" s="129">
        <v>0</v>
      </c>
      <c r="GQ21" s="129">
        <v>0</v>
      </c>
      <c r="GR21" s="129">
        <v>0</v>
      </c>
      <c r="GS21" s="129">
        <v>0</v>
      </c>
    </row>
    <row r="22" spans="1:201" s="30" customFormat="1" ht="13" x14ac:dyDescent="0.25">
      <c r="A22" s="87">
        <v>16</v>
      </c>
      <c r="B22" s="128"/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  <c r="AN22" s="128"/>
      <c r="AO22" s="128"/>
      <c r="AP22" s="128"/>
      <c r="AQ22" s="128"/>
      <c r="AR22" s="128"/>
      <c r="AS22" s="128"/>
      <c r="AT22" s="128"/>
      <c r="AU22" s="128"/>
      <c r="AV22" s="128"/>
      <c r="AW22" s="128"/>
      <c r="AX22" s="128"/>
      <c r="AY22" s="128"/>
      <c r="AZ22" s="128"/>
      <c r="BA22" s="128"/>
      <c r="BB22" s="128"/>
      <c r="BC22" s="128"/>
      <c r="BD22" s="128"/>
      <c r="BE22" s="128"/>
      <c r="BF22" s="128"/>
      <c r="BG22" s="128"/>
      <c r="BH22" s="128"/>
      <c r="BI22" s="128"/>
      <c r="BJ22" s="128"/>
      <c r="BK22" s="128"/>
      <c r="BL22" s="128"/>
      <c r="BM22" s="128"/>
      <c r="BN22" s="128"/>
      <c r="BO22" s="128"/>
      <c r="BP22" s="128"/>
      <c r="BQ22" s="128"/>
      <c r="BR22" s="128"/>
      <c r="BS22" s="128"/>
      <c r="BT22" s="128"/>
      <c r="BU22" s="128"/>
      <c r="BV22" s="128"/>
      <c r="BW22" s="128"/>
      <c r="BX22" s="128"/>
      <c r="BY22" s="128"/>
      <c r="BZ22" s="128"/>
      <c r="CA22" s="128"/>
      <c r="CB22" s="128"/>
      <c r="CC22" s="128"/>
      <c r="CD22" s="128"/>
      <c r="CE22" s="128"/>
      <c r="CF22" s="128"/>
      <c r="CG22" s="128"/>
      <c r="CH22" s="128"/>
      <c r="CI22" s="128"/>
      <c r="CJ22" s="128"/>
      <c r="CK22" s="128"/>
      <c r="CL22" s="128"/>
      <c r="CM22" s="128"/>
      <c r="CN22" s="128"/>
      <c r="CO22" s="128"/>
      <c r="CP22" s="128"/>
      <c r="CQ22" s="128"/>
      <c r="CR22" s="128"/>
      <c r="CS22" s="128"/>
      <c r="CT22" s="128"/>
      <c r="CU22" s="128"/>
      <c r="CV22" s="128"/>
      <c r="CW22" s="128"/>
      <c r="CX22" s="128"/>
      <c r="CY22" s="128"/>
      <c r="CZ22" s="128"/>
      <c r="DA22" s="128"/>
      <c r="DB22" s="128"/>
      <c r="DC22" s="128"/>
      <c r="DD22" s="128"/>
      <c r="DE22" s="128"/>
      <c r="DF22" s="128"/>
      <c r="DG22" s="128"/>
      <c r="DH22" s="128"/>
      <c r="DI22" s="128"/>
      <c r="DJ22" s="128"/>
      <c r="DK22" s="128"/>
      <c r="DL22" s="128"/>
      <c r="DM22" s="128"/>
      <c r="DN22" s="128"/>
      <c r="DO22" s="128"/>
      <c r="DP22" s="128"/>
      <c r="DQ22" s="128"/>
      <c r="DR22" s="128"/>
      <c r="DS22" s="128"/>
      <c r="DT22" s="128"/>
      <c r="DU22" s="128"/>
      <c r="DV22" s="128"/>
      <c r="DW22" s="128"/>
      <c r="DX22" s="128"/>
      <c r="DY22" s="128"/>
      <c r="DZ22" s="128"/>
      <c r="EA22" s="128"/>
      <c r="EB22" s="128"/>
      <c r="EC22" s="128"/>
      <c r="ED22" s="128"/>
      <c r="EE22" s="128"/>
      <c r="EF22" s="128"/>
      <c r="EG22" s="128"/>
      <c r="EH22" s="128"/>
      <c r="EI22" s="128"/>
      <c r="EJ22" s="128"/>
      <c r="EK22" s="128"/>
      <c r="EL22" s="128"/>
      <c r="EM22" s="128"/>
      <c r="EN22" s="128"/>
      <c r="EO22" s="128"/>
      <c r="EP22" s="128"/>
      <c r="EQ22" s="128"/>
      <c r="ER22" s="129"/>
      <c r="ES22" s="129"/>
      <c r="ET22" s="129"/>
      <c r="EU22" s="129"/>
      <c r="EV22" s="129"/>
      <c r="EW22" s="129"/>
      <c r="EX22" s="129"/>
      <c r="EY22" s="129"/>
      <c r="EZ22" s="129"/>
      <c r="FA22" s="129"/>
      <c r="FB22" s="129"/>
      <c r="FC22" s="129"/>
      <c r="FD22" s="129"/>
      <c r="FE22" s="129"/>
      <c r="FF22" s="129"/>
      <c r="FG22" s="129"/>
      <c r="FH22" s="129"/>
      <c r="FI22" s="129"/>
      <c r="FJ22" s="129"/>
      <c r="FK22" s="129"/>
      <c r="FL22" s="129"/>
      <c r="FM22" s="129"/>
      <c r="FN22" s="129"/>
      <c r="FO22" s="129"/>
      <c r="FP22" s="129"/>
      <c r="FQ22" s="129"/>
      <c r="FR22" s="129"/>
      <c r="FS22" s="129"/>
      <c r="FT22" s="129"/>
      <c r="FU22" s="129"/>
      <c r="FV22" s="129"/>
      <c r="FW22" s="129"/>
      <c r="FX22" s="129"/>
      <c r="FY22" s="129"/>
      <c r="FZ22" s="129"/>
      <c r="GA22" s="129"/>
      <c r="GB22" s="129"/>
      <c r="GC22" s="129"/>
      <c r="GD22" s="129"/>
      <c r="GE22" s="129"/>
      <c r="GF22" s="129"/>
      <c r="GG22" s="129"/>
      <c r="GH22" s="129"/>
      <c r="GI22" s="129"/>
      <c r="GJ22" s="129"/>
      <c r="GK22" s="129"/>
      <c r="GL22" s="129"/>
      <c r="GM22" s="129"/>
      <c r="GN22" s="129"/>
      <c r="GO22" s="129"/>
      <c r="GP22" s="129"/>
      <c r="GQ22" s="129"/>
      <c r="GR22" s="129"/>
      <c r="GS22" s="129"/>
    </row>
    <row r="23" spans="1:201" s="30" customFormat="1" ht="13" x14ac:dyDescent="0.25">
      <c r="A23" s="87">
        <v>17</v>
      </c>
      <c r="B23" s="128"/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  <c r="AM23" s="128"/>
      <c r="AN23" s="128"/>
      <c r="AO23" s="128"/>
      <c r="AP23" s="128"/>
      <c r="AQ23" s="128"/>
      <c r="AR23" s="128"/>
      <c r="AS23" s="128"/>
      <c r="AT23" s="128"/>
      <c r="AU23" s="128"/>
      <c r="AV23" s="128"/>
      <c r="AW23" s="128"/>
      <c r="AX23" s="128"/>
      <c r="AY23" s="128"/>
      <c r="AZ23" s="128"/>
      <c r="BA23" s="128"/>
      <c r="BB23" s="128"/>
      <c r="BC23" s="128"/>
      <c r="BD23" s="128"/>
      <c r="BE23" s="128"/>
      <c r="BF23" s="128"/>
      <c r="BG23" s="128"/>
      <c r="BH23" s="128"/>
      <c r="BI23" s="128"/>
      <c r="BJ23" s="128"/>
      <c r="BK23" s="128"/>
      <c r="BL23" s="128"/>
      <c r="BM23" s="128"/>
      <c r="BN23" s="128"/>
      <c r="BO23" s="128"/>
      <c r="BP23" s="128"/>
      <c r="BQ23" s="128"/>
      <c r="BR23" s="128"/>
      <c r="BS23" s="128"/>
      <c r="BT23" s="128"/>
      <c r="BU23" s="128"/>
      <c r="BV23" s="128"/>
      <c r="BW23" s="128"/>
      <c r="BX23" s="128"/>
      <c r="BY23" s="128"/>
      <c r="BZ23" s="128"/>
      <c r="CA23" s="128"/>
      <c r="CB23" s="128"/>
      <c r="CC23" s="128"/>
      <c r="CD23" s="128"/>
      <c r="CE23" s="128"/>
      <c r="CF23" s="128"/>
      <c r="CG23" s="128"/>
      <c r="CH23" s="128"/>
      <c r="CI23" s="128"/>
      <c r="CJ23" s="128"/>
      <c r="CK23" s="128"/>
      <c r="CL23" s="128"/>
      <c r="CM23" s="128"/>
      <c r="CN23" s="128"/>
      <c r="CO23" s="128"/>
      <c r="CP23" s="128"/>
      <c r="CQ23" s="128"/>
      <c r="CR23" s="128"/>
      <c r="CS23" s="128"/>
      <c r="CT23" s="128"/>
      <c r="CU23" s="128"/>
      <c r="CV23" s="128"/>
      <c r="CW23" s="128"/>
      <c r="CX23" s="128"/>
      <c r="CY23" s="128"/>
      <c r="CZ23" s="128"/>
      <c r="DA23" s="128"/>
      <c r="DB23" s="128"/>
      <c r="DC23" s="128"/>
      <c r="DD23" s="128"/>
      <c r="DE23" s="128"/>
      <c r="DF23" s="128"/>
      <c r="DG23" s="128"/>
      <c r="DH23" s="128"/>
      <c r="DI23" s="128"/>
      <c r="DJ23" s="128"/>
      <c r="DK23" s="128"/>
      <c r="DL23" s="128"/>
      <c r="DM23" s="128"/>
      <c r="DN23" s="128"/>
      <c r="DO23" s="128"/>
      <c r="DP23" s="128"/>
      <c r="DQ23" s="128"/>
      <c r="DR23" s="128"/>
      <c r="DS23" s="128"/>
      <c r="DT23" s="128"/>
      <c r="DU23" s="128"/>
      <c r="DV23" s="128"/>
      <c r="DW23" s="128"/>
      <c r="DX23" s="128"/>
      <c r="DY23" s="128"/>
      <c r="DZ23" s="128"/>
      <c r="EA23" s="128"/>
      <c r="EB23" s="128"/>
      <c r="EC23" s="128"/>
      <c r="ED23" s="128"/>
      <c r="EE23" s="128"/>
      <c r="EF23" s="128"/>
      <c r="EG23" s="128"/>
      <c r="EH23" s="128"/>
      <c r="EI23" s="128"/>
      <c r="EJ23" s="128"/>
      <c r="EK23" s="128"/>
      <c r="EL23" s="128"/>
      <c r="EM23" s="128"/>
      <c r="EN23" s="128"/>
      <c r="EO23" s="128"/>
      <c r="EP23" s="128"/>
      <c r="EQ23" s="128"/>
      <c r="ER23" s="129"/>
      <c r="ES23" s="129"/>
      <c r="ET23" s="129"/>
      <c r="EU23" s="129"/>
      <c r="EV23" s="129"/>
      <c r="EW23" s="129"/>
      <c r="EX23" s="129"/>
      <c r="EY23" s="129"/>
      <c r="EZ23" s="129"/>
      <c r="FA23" s="129"/>
      <c r="FB23" s="129"/>
      <c r="FC23" s="129"/>
      <c r="FD23" s="129"/>
      <c r="FE23" s="129"/>
      <c r="FF23" s="129"/>
      <c r="FG23" s="129"/>
      <c r="FH23" s="129"/>
      <c r="FI23" s="129"/>
      <c r="FJ23" s="129"/>
      <c r="FK23" s="129"/>
      <c r="FL23" s="129"/>
      <c r="FM23" s="129"/>
      <c r="FN23" s="129"/>
      <c r="FO23" s="129"/>
      <c r="FP23" s="129"/>
      <c r="FQ23" s="129"/>
      <c r="FR23" s="129"/>
      <c r="FS23" s="129"/>
      <c r="FT23" s="129"/>
      <c r="FU23" s="129"/>
      <c r="FV23" s="129"/>
      <c r="FW23" s="129"/>
      <c r="FX23" s="129"/>
      <c r="FY23" s="129"/>
      <c r="FZ23" s="129"/>
      <c r="GA23" s="129"/>
      <c r="GB23" s="129"/>
      <c r="GC23" s="129"/>
      <c r="GD23" s="129"/>
      <c r="GE23" s="129"/>
      <c r="GF23" s="129"/>
      <c r="GG23" s="129"/>
      <c r="GH23" s="129"/>
      <c r="GI23" s="129"/>
      <c r="GJ23" s="129"/>
      <c r="GK23" s="129"/>
      <c r="GL23" s="129"/>
      <c r="GM23" s="129"/>
      <c r="GN23" s="129"/>
      <c r="GO23" s="129"/>
      <c r="GP23" s="129"/>
      <c r="GQ23" s="129"/>
      <c r="GR23" s="129"/>
      <c r="GS23" s="129"/>
    </row>
    <row r="24" spans="1:201" s="30" customFormat="1" ht="13" x14ac:dyDescent="0.25">
      <c r="A24" s="87">
        <v>18</v>
      </c>
      <c r="B24" s="128">
        <v>10.669375</v>
      </c>
      <c r="C24" s="128">
        <v>1.7595850000000199</v>
      </c>
      <c r="D24" s="128">
        <v>4.4063910000000401</v>
      </c>
      <c r="E24" s="128">
        <v>2.1532129999999898</v>
      </c>
      <c r="F24" s="128">
        <v>4.19214299999999</v>
      </c>
      <c r="G24" s="128">
        <v>2.2489469999999998</v>
      </c>
      <c r="H24" s="128">
        <v>5.02250000000002E-2</v>
      </c>
      <c r="I24" s="128">
        <v>1.120236</v>
      </c>
      <c r="J24" s="128">
        <v>0.35106799999999999</v>
      </c>
      <c r="K24" s="128">
        <v>0</v>
      </c>
      <c r="L24" s="128">
        <v>0</v>
      </c>
      <c r="M24" s="128">
        <v>2.2507999999999999</v>
      </c>
      <c r="N24" s="128">
        <v>2.8314070000000102</v>
      </c>
      <c r="O24" s="128">
        <v>2.860163</v>
      </c>
      <c r="P24" s="128">
        <v>0.34443800000000002</v>
      </c>
      <c r="Q24" s="128">
        <v>1.66707200000019</v>
      </c>
      <c r="R24" s="128">
        <v>4.3909119999989299</v>
      </c>
      <c r="S24" s="128">
        <v>2.1498879999999199</v>
      </c>
      <c r="T24" s="128">
        <v>4.1492480000015304</v>
      </c>
      <c r="U24" s="128">
        <v>0.24159599999998699</v>
      </c>
      <c r="V24" s="128">
        <v>0.111091999999999</v>
      </c>
      <c r="W24" s="128">
        <v>6.33700000000026E-3</v>
      </c>
      <c r="X24" s="128">
        <v>5.3338000000000101E-2</v>
      </c>
      <c r="Y24" s="128">
        <v>0</v>
      </c>
      <c r="Z24" s="128">
        <v>4.2773999999999597E-2</v>
      </c>
      <c r="AA24" s="128">
        <v>8.3050000000000096E-2</v>
      </c>
      <c r="AB24" s="128">
        <v>0.162102000000001</v>
      </c>
      <c r="AC24" s="128">
        <v>0.116802</v>
      </c>
      <c r="AD24" s="128">
        <v>3.1961500000000399E-2</v>
      </c>
      <c r="AE24" s="128">
        <v>8.6529500000000106E-2</v>
      </c>
      <c r="AF24" s="128">
        <v>0</v>
      </c>
      <c r="AG24" s="128">
        <v>1.6863499999999899E-2</v>
      </c>
      <c r="AH24" s="128">
        <v>1.19494399999996</v>
      </c>
      <c r="AI24" s="128">
        <v>0</v>
      </c>
      <c r="AJ24" s="128">
        <v>9.7405000000003704E-3</v>
      </c>
      <c r="AK24" s="128">
        <v>0</v>
      </c>
      <c r="AL24" s="128">
        <v>0.21059199999999101</v>
      </c>
      <c r="AM24" s="128">
        <v>0.30675999999999698</v>
      </c>
      <c r="AN24" s="128">
        <v>0.26055600000000101</v>
      </c>
      <c r="AO24" s="128">
        <v>9.6076000000000106E-2</v>
      </c>
      <c r="AP24" s="128">
        <v>4.7225999999998401E-2</v>
      </c>
      <c r="AQ24" s="128">
        <v>0.163103999999997</v>
      </c>
      <c r="AR24" s="128">
        <v>3.28531200000003</v>
      </c>
      <c r="AS24" s="128">
        <v>1.3370000000000101E-2</v>
      </c>
      <c r="AT24" s="128">
        <v>0</v>
      </c>
      <c r="AU24" s="128">
        <v>3.3124000000000799E-2</v>
      </c>
      <c r="AV24" s="128">
        <v>2.0415500000000399E-2</v>
      </c>
      <c r="AW24" s="128">
        <v>1.1075839999999699</v>
      </c>
      <c r="AX24" s="128">
        <v>0</v>
      </c>
      <c r="AY24" s="128">
        <v>7.4035250000000094E-2</v>
      </c>
      <c r="AZ24" s="128">
        <v>1.9999999993913801E-6</v>
      </c>
      <c r="BA24" s="128">
        <v>0</v>
      </c>
      <c r="BB24" s="128">
        <v>0</v>
      </c>
      <c r="BC24" s="128">
        <v>0</v>
      </c>
      <c r="BD24" s="128">
        <v>2.7987499999999601E-3</v>
      </c>
      <c r="BE24" s="128">
        <v>0.319552</v>
      </c>
      <c r="BF24" s="128">
        <v>0</v>
      </c>
      <c r="BG24" s="128">
        <v>1.2812000000000301E-2</v>
      </c>
      <c r="BH24" s="128">
        <v>0</v>
      </c>
      <c r="BI24" s="128">
        <v>1.5193759999999901</v>
      </c>
      <c r="BJ24" s="128">
        <v>4.6999999998575999E-5</v>
      </c>
      <c r="BK24" s="128">
        <v>3.90195000000002E-2</v>
      </c>
      <c r="BL24" s="128">
        <v>0</v>
      </c>
      <c r="BM24" s="128">
        <v>0.76003199999999504</v>
      </c>
      <c r="BN24" s="128">
        <v>0</v>
      </c>
      <c r="BO24" s="128">
        <v>6.5960500000000102E-2</v>
      </c>
      <c r="BP24" s="128">
        <v>0</v>
      </c>
      <c r="BQ24" s="128">
        <v>0</v>
      </c>
      <c r="BR24" s="128">
        <v>9.5785625000000003E-3</v>
      </c>
      <c r="BS24" s="128">
        <v>0</v>
      </c>
      <c r="BT24" s="128">
        <v>0.119655999999999</v>
      </c>
      <c r="BU24" s="128">
        <v>1.1150499999999799E-2</v>
      </c>
      <c r="BV24" s="128">
        <v>0</v>
      </c>
      <c r="BW24" s="128">
        <v>0</v>
      </c>
      <c r="BX24" s="128">
        <v>1.2576999999999901E-2</v>
      </c>
      <c r="BY24" s="128">
        <v>0</v>
      </c>
      <c r="BZ24" s="128">
        <v>0.32074399999999098</v>
      </c>
      <c r="CA24" s="128">
        <v>0.15010399999999899</v>
      </c>
      <c r="CB24" s="128">
        <v>0</v>
      </c>
      <c r="CC24" s="128">
        <v>0</v>
      </c>
      <c r="CD24" s="128">
        <v>0</v>
      </c>
      <c r="CE24" s="128">
        <v>0</v>
      </c>
      <c r="CF24" s="128">
        <v>2.1001999999999299E-2</v>
      </c>
      <c r="CG24" s="128">
        <v>0</v>
      </c>
      <c r="CH24" s="128">
        <v>1.8641000000000098E-2</v>
      </c>
      <c r="CI24" s="128">
        <v>0</v>
      </c>
      <c r="CJ24" s="128">
        <v>0</v>
      </c>
      <c r="CK24" s="128">
        <v>0</v>
      </c>
      <c r="CL24" s="128">
        <v>0</v>
      </c>
      <c r="CM24" s="128">
        <v>3.82988799999998</v>
      </c>
      <c r="CN24" s="128">
        <v>2.7952000000000001E-2</v>
      </c>
      <c r="CO24" s="128">
        <v>0.68905200000000399</v>
      </c>
      <c r="CP24" s="128">
        <v>0</v>
      </c>
      <c r="CQ24" s="128">
        <v>0</v>
      </c>
      <c r="CR24" s="128">
        <v>0.123756</v>
      </c>
      <c r="CS24" s="128">
        <v>0</v>
      </c>
      <c r="CT24" s="128">
        <v>8.5447999999999497E-2</v>
      </c>
      <c r="CU24" s="128">
        <v>0</v>
      </c>
      <c r="CV24" s="128">
        <v>5.4319999999998796E-3</v>
      </c>
      <c r="CW24" s="128">
        <v>2.6720000000040002E-3</v>
      </c>
      <c r="CX24" s="128">
        <v>0.31231600000000298</v>
      </c>
      <c r="CY24" s="128">
        <v>1.5786000000000099E-2</v>
      </c>
      <c r="CZ24" s="128">
        <v>1.4243E-2</v>
      </c>
      <c r="DA24" s="128">
        <v>0.25861199999999901</v>
      </c>
      <c r="DB24" s="128">
        <v>8.0563000000000606E-2</v>
      </c>
      <c r="DC24" s="128">
        <v>1.0756000000000701E-2</v>
      </c>
      <c r="DD24" s="128">
        <v>3.279953125E-2</v>
      </c>
      <c r="DE24" s="128">
        <v>0</v>
      </c>
      <c r="DF24" s="128">
        <v>0</v>
      </c>
      <c r="DG24" s="128">
        <v>0</v>
      </c>
      <c r="DH24" s="128">
        <v>4.4121480000000002</v>
      </c>
      <c r="DI24" s="128">
        <v>1.9279040000000101</v>
      </c>
      <c r="DJ24" s="128">
        <v>0</v>
      </c>
      <c r="DK24" s="128">
        <v>6.3610000000000597E-2</v>
      </c>
      <c r="DL24" s="128">
        <v>1.2452999999998901E-2</v>
      </c>
      <c r="DM24" s="128">
        <v>2.9829999999998701E-2</v>
      </c>
      <c r="DN24" s="128">
        <v>0</v>
      </c>
      <c r="DO24" s="128">
        <v>0.345231999999982</v>
      </c>
      <c r="DP24" s="128">
        <v>2.34624999999999E-2</v>
      </c>
      <c r="DQ24" s="128">
        <v>0</v>
      </c>
      <c r="DR24" s="128">
        <v>0</v>
      </c>
      <c r="DS24" s="128">
        <v>0.43529599999999402</v>
      </c>
      <c r="DT24" s="128">
        <v>0.117664000000005</v>
      </c>
      <c r="DU24" s="128">
        <v>8.8380000000007897E-3</v>
      </c>
      <c r="DV24" s="128">
        <v>7.7919999999998E-3</v>
      </c>
      <c r="DW24" s="128">
        <v>0</v>
      </c>
      <c r="DX24" s="128">
        <v>0.13400100000000001</v>
      </c>
      <c r="DY24" s="128">
        <v>7.8830937500000108E-3</v>
      </c>
      <c r="DZ24" s="128">
        <v>5.0544000000002101E-2</v>
      </c>
      <c r="EA24" s="128">
        <v>0</v>
      </c>
      <c r="EB24" s="128">
        <v>0.50590399999998703</v>
      </c>
      <c r="EC24" s="128">
        <v>0.20467200000001601</v>
      </c>
      <c r="ED24" s="128">
        <v>6.9590000000001604E-3</v>
      </c>
      <c r="EE24" s="128">
        <v>0</v>
      </c>
      <c r="EF24" s="128">
        <v>7.3003909999997596</v>
      </c>
      <c r="EG24" s="128">
        <v>0</v>
      </c>
      <c r="EH24" s="128">
        <v>0.16633600000000101</v>
      </c>
      <c r="EI24" s="128">
        <v>0.87398400000006404</v>
      </c>
      <c r="EJ24" s="128">
        <v>2.46400000000335E-2</v>
      </c>
      <c r="EK24" s="128">
        <v>0</v>
      </c>
      <c r="EL24" s="128">
        <v>0.93299200000001303</v>
      </c>
      <c r="EM24" s="128">
        <v>2.81523199999992</v>
      </c>
      <c r="EN24" s="128">
        <v>1.53190399999994</v>
      </c>
      <c r="EO24" s="128">
        <v>0</v>
      </c>
      <c r="EP24" s="128">
        <v>0</v>
      </c>
      <c r="EQ24" s="128">
        <v>0</v>
      </c>
      <c r="ER24" s="129">
        <v>0</v>
      </c>
      <c r="ES24" s="129">
        <v>0</v>
      </c>
      <c r="ET24" s="129">
        <v>0</v>
      </c>
      <c r="EU24" s="129">
        <v>0</v>
      </c>
      <c r="EV24" s="129">
        <v>0</v>
      </c>
      <c r="EW24" s="129">
        <v>0</v>
      </c>
      <c r="EX24" s="129">
        <v>0</v>
      </c>
      <c r="EY24" s="129">
        <v>0</v>
      </c>
      <c r="EZ24" s="129">
        <v>0</v>
      </c>
      <c r="FA24" s="129">
        <v>0</v>
      </c>
      <c r="FB24" s="129">
        <v>0</v>
      </c>
      <c r="FC24" s="129">
        <v>0</v>
      </c>
      <c r="FD24" s="129">
        <v>0</v>
      </c>
      <c r="FE24" s="129">
        <v>0</v>
      </c>
      <c r="FF24" s="129">
        <v>0</v>
      </c>
      <c r="FG24" s="129">
        <v>0</v>
      </c>
      <c r="FH24" s="129">
        <v>0</v>
      </c>
      <c r="FI24" s="129">
        <v>0</v>
      </c>
      <c r="FJ24" s="129">
        <v>0</v>
      </c>
      <c r="FK24" s="129">
        <v>0</v>
      </c>
      <c r="FL24" s="129">
        <v>0</v>
      </c>
      <c r="FM24" s="129">
        <v>0</v>
      </c>
      <c r="FN24" s="129">
        <v>0</v>
      </c>
      <c r="FO24" s="129">
        <v>0</v>
      </c>
      <c r="FP24" s="129">
        <v>0</v>
      </c>
      <c r="FQ24" s="129">
        <v>0</v>
      </c>
      <c r="FR24" s="129">
        <v>0</v>
      </c>
      <c r="FS24" s="129">
        <v>0</v>
      </c>
      <c r="FT24" s="129">
        <v>0</v>
      </c>
      <c r="FU24" s="129">
        <v>0</v>
      </c>
      <c r="FV24" s="129">
        <v>0</v>
      </c>
      <c r="FW24" s="129">
        <v>0</v>
      </c>
      <c r="FX24" s="129">
        <v>0</v>
      </c>
      <c r="FY24" s="129">
        <v>0</v>
      </c>
      <c r="FZ24" s="129">
        <v>0</v>
      </c>
      <c r="GA24" s="129">
        <v>0</v>
      </c>
      <c r="GB24" s="129">
        <v>0</v>
      </c>
      <c r="GC24" s="129">
        <v>0</v>
      </c>
      <c r="GD24" s="129">
        <v>0</v>
      </c>
      <c r="GE24" s="129">
        <v>0</v>
      </c>
      <c r="GF24" s="129">
        <v>0</v>
      </c>
      <c r="GG24" s="129">
        <v>0</v>
      </c>
      <c r="GH24" s="129">
        <v>0</v>
      </c>
      <c r="GI24" s="129">
        <v>0</v>
      </c>
      <c r="GJ24" s="129">
        <v>0</v>
      </c>
      <c r="GK24" s="129">
        <v>0</v>
      </c>
      <c r="GL24" s="129">
        <v>0</v>
      </c>
      <c r="GM24" s="129">
        <v>0</v>
      </c>
      <c r="GN24" s="129">
        <v>0</v>
      </c>
      <c r="GO24" s="129">
        <v>0</v>
      </c>
      <c r="GP24" s="129">
        <v>0</v>
      </c>
      <c r="GQ24" s="129">
        <v>0</v>
      </c>
      <c r="GR24" s="129">
        <v>0</v>
      </c>
      <c r="GS24" s="129">
        <v>0</v>
      </c>
    </row>
    <row r="25" spans="1:201" s="30" customFormat="1" ht="13" x14ac:dyDescent="0.25">
      <c r="A25" s="87">
        <v>19</v>
      </c>
      <c r="B25" s="128">
        <v>26.569624999999998</v>
      </c>
      <c r="C25" s="128">
        <v>8.7674079999999908</v>
      </c>
      <c r="D25" s="128">
        <v>9.1376629999999803</v>
      </c>
      <c r="E25" s="128">
        <v>0</v>
      </c>
      <c r="F25" s="128">
        <v>8.6615699999999798</v>
      </c>
      <c r="G25" s="128">
        <v>0</v>
      </c>
      <c r="H25" s="128">
        <v>0</v>
      </c>
      <c r="I25" s="128">
        <v>0</v>
      </c>
      <c r="J25" s="128">
        <v>0</v>
      </c>
      <c r="K25" s="128">
        <v>0</v>
      </c>
      <c r="L25" s="128">
        <v>0</v>
      </c>
      <c r="M25" s="128">
        <v>0</v>
      </c>
      <c r="N25" s="128">
        <v>4.6144989999999702</v>
      </c>
      <c r="O25" s="128">
        <v>4.4432379999999503</v>
      </c>
      <c r="P25" s="128">
        <v>0.32578200000000002</v>
      </c>
      <c r="Q25" s="128">
        <v>8.5504000000000797</v>
      </c>
      <c r="R25" s="128">
        <v>8.9354239999993297</v>
      </c>
      <c r="S25" s="128">
        <v>0</v>
      </c>
      <c r="T25" s="128">
        <v>8.4193279999999504</v>
      </c>
      <c r="U25" s="128">
        <v>0.48810800000001098</v>
      </c>
      <c r="V25" s="128">
        <v>0.12543199999999999</v>
      </c>
      <c r="W25" s="128">
        <v>6.5673999999999594E-2</v>
      </c>
      <c r="X25" s="128">
        <v>7.5578999999999397E-2</v>
      </c>
      <c r="Y25" s="128">
        <v>0</v>
      </c>
      <c r="Z25" s="128">
        <v>4.5567999999999401E-2</v>
      </c>
      <c r="AA25" s="128">
        <v>0.113634000000001</v>
      </c>
      <c r="AB25" s="128">
        <v>0.16760799999999801</v>
      </c>
      <c r="AC25" s="128">
        <v>0.13383800000000101</v>
      </c>
      <c r="AD25" s="128">
        <v>3.8233999999999199E-2</v>
      </c>
      <c r="AE25" s="128">
        <v>0.109891</v>
      </c>
      <c r="AF25" s="128">
        <v>0</v>
      </c>
      <c r="AG25" s="128">
        <v>1.9911500000000099E-2</v>
      </c>
      <c r="AH25" s="128">
        <v>1.90937600000001</v>
      </c>
      <c r="AI25" s="128">
        <v>0</v>
      </c>
      <c r="AJ25" s="128">
        <v>3.14389999999998E-2</v>
      </c>
      <c r="AK25" s="128">
        <v>0</v>
      </c>
      <c r="AL25" s="128">
        <v>0.331367999999998</v>
      </c>
      <c r="AM25" s="128">
        <v>0.46444800000000402</v>
      </c>
      <c r="AN25" s="128">
        <v>0.40294399999999803</v>
      </c>
      <c r="AO25" s="128">
        <v>0.123668000000002</v>
      </c>
      <c r="AP25" s="128">
        <v>7.9078000000002605E-2</v>
      </c>
      <c r="AQ25" s="128">
        <v>0.32577200000000101</v>
      </c>
      <c r="AR25" s="128">
        <v>5.4026559999999799</v>
      </c>
      <c r="AS25" s="128">
        <v>9.1882000000000005E-2</v>
      </c>
      <c r="AT25" s="128">
        <v>0</v>
      </c>
      <c r="AU25" s="128">
        <v>3.8607999999996402E-2</v>
      </c>
      <c r="AV25" s="128">
        <v>4.0292000000000001E-2</v>
      </c>
      <c r="AW25" s="128">
        <v>2.2766719999999601</v>
      </c>
      <c r="AX25" s="128">
        <v>0</v>
      </c>
      <c r="AY25" s="128">
        <v>8.1835500000000005E-2</v>
      </c>
      <c r="AZ25" s="128">
        <v>0</v>
      </c>
      <c r="BA25" s="128">
        <v>0</v>
      </c>
      <c r="BB25" s="128">
        <v>0</v>
      </c>
      <c r="BC25" s="128">
        <v>0</v>
      </c>
      <c r="BD25" s="128">
        <v>3.7468750000000401E-3</v>
      </c>
      <c r="BE25" s="128">
        <v>0.10936800000000001</v>
      </c>
      <c r="BF25" s="128">
        <v>0</v>
      </c>
      <c r="BG25" s="128">
        <v>2.86960000000001E-2</v>
      </c>
      <c r="BH25" s="128">
        <v>2.0152000000003101E-2</v>
      </c>
      <c r="BI25" s="128">
        <v>2.4261759999999999</v>
      </c>
      <c r="BJ25" s="128">
        <v>3.7540000000006999E-3</v>
      </c>
      <c r="BK25" s="128">
        <v>5.3919999999999697E-2</v>
      </c>
      <c r="BL25" s="128">
        <v>0</v>
      </c>
      <c r="BM25" s="128">
        <v>2.0706240000000098</v>
      </c>
      <c r="BN25" s="128">
        <v>0</v>
      </c>
      <c r="BO25" s="128">
        <v>0.29151050000000001</v>
      </c>
      <c r="BP25" s="128">
        <v>0</v>
      </c>
      <c r="BQ25" s="128">
        <v>0</v>
      </c>
      <c r="BR25" s="128">
        <v>2.4118062499999902E-2</v>
      </c>
      <c r="BS25" s="128">
        <v>0</v>
      </c>
      <c r="BT25" s="128">
        <v>0.17336000000000201</v>
      </c>
      <c r="BU25" s="128">
        <v>2.1741875000000001E-2</v>
      </c>
      <c r="BV25" s="128">
        <v>0</v>
      </c>
      <c r="BW25" s="128">
        <v>0</v>
      </c>
      <c r="BX25" s="128">
        <v>1.6630062500000001E-2</v>
      </c>
      <c r="BY25" s="128">
        <v>0</v>
      </c>
      <c r="BZ25" s="128">
        <v>1.03152800000001</v>
      </c>
      <c r="CA25" s="128">
        <v>0.30848799999999699</v>
      </c>
      <c r="CB25" s="128">
        <v>0</v>
      </c>
      <c r="CC25" s="128">
        <v>0</v>
      </c>
      <c r="CD25" s="128">
        <v>0</v>
      </c>
      <c r="CE25" s="128">
        <v>0</v>
      </c>
      <c r="CF25" s="128">
        <v>4.5566000000000897E-2</v>
      </c>
      <c r="CG25" s="128">
        <v>0</v>
      </c>
      <c r="CH25" s="128">
        <v>2.1189499999999799E-2</v>
      </c>
      <c r="CI25" s="128">
        <v>0</v>
      </c>
      <c r="CJ25" s="128">
        <v>0</v>
      </c>
      <c r="CK25" s="128">
        <v>0</v>
      </c>
      <c r="CL25" s="128">
        <v>0</v>
      </c>
      <c r="CM25" s="128">
        <v>5.0826879999999601</v>
      </c>
      <c r="CN25" s="128">
        <v>5.0649499999999598E-2</v>
      </c>
      <c r="CO25" s="128">
        <v>0.88649600000000095</v>
      </c>
      <c r="CP25" s="128">
        <v>0</v>
      </c>
      <c r="CQ25" s="128">
        <v>0</v>
      </c>
      <c r="CR25" s="128">
        <v>0.13752800000000001</v>
      </c>
      <c r="CS25" s="128">
        <v>0</v>
      </c>
      <c r="CT25" s="128">
        <v>0.20026799999999401</v>
      </c>
      <c r="CU25" s="128">
        <v>0</v>
      </c>
      <c r="CV25" s="128">
        <v>1.5020749999999901E-2</v>
      </c>
      <c r="CW25" s="128">
        <v>4.3255999999999503E-2</v>
      </c>
      <c r="CX25" s="128">
        <v>0.31785599999999897</v>
      </c>
      <c r="CY25" s="128">
        <v>1.91250000000001E-2</v>
      </c>
      <c r="CZ25" s="128">
        <v>2.738525E-2</v>
      </c>
      <c r="DA25" s="128">
        <v>0.27934400000000198</v>
      </c>
      <c r="DB25" s="128">
        <v>0.13556299999999999</v>
      </c>
      <c r="DC25" s="128">
        <v>1.0435999999998599E-2</v>
      </c>
      <c r="DD25" s="128">
        <v>3.3300749999999997E-2</v>
      </c>
      <c r="DE25" s="128">
        <v>0</v>
      </c>
      <c r="DF25" s="128">
        <v>0</v>
      </c>
      <c r="DG25" s="128">
        <v>2.55134999999997E-2</v>
      </c>
      <c r="DH25" s="128">
        <v>7.5634999999998299E-3</v>
      </c>
      <c r="DI25" s="128">
        <v>5.1432319999998999</v>
      </c>
      <c r="DJ25" s="128">
        <v>0</v>
      </c>
      <c r="DK25" s="128">
        <v>6.4054000000002304E-2</v>
      </c>
      <c r="DL25" s="128">
        <v>1.9064000000000199E-2</v>
      </c>
      <c r="DM25" s="128">
        <v>4.2459000000000899E-2</v>
      </c>
      <c r="DN25" s="128">
        <v>9.9999999991773294E-7</v>
      </c>
      <c r="DO25" s="128">
        <v>0.76705600000002505</v>
      </c>
      <c r="DP25" s="128">
        <v>3.9019000000000602E-2</v>
      </c>
      <c r="DQ25" s="128">
        <v>0</v>
      </c>
      <c r="DR25" s="128">
        <v>0</v>
      </c>
      <c r="DS25" s="128">
        <v>1.4643520000000201</v>
      </c>
      <c r="DT25" s="128">
        <v>0.41940799999999001</v>
      </c>
      <c r="DU25" s="128">
        <v>7.50599999999935E-3</v>
      </c>
      <c r="DV25" s="128">
        <v>8.7665000000001197E-3</v>
      </c>
      <c r="DW25" s="128">
        <v>0</v>
      </c>
      <c r="DX25" s="128">
        <v>0.13712274999999999</v>
      </c>
      <c r="DY25" s="128">
        <v>1.1119187500000001E-2</v>
      </c>
      <c r="DZ25" s="128">
        <v>8.8773999999997202E-2</v>
      </c>
      <c r="EA25" s="128">
        <v>0</v>
      </c>
      <c r="EB25" s="128">
        <v>1.4559839999999999</v>
      </c>
      <c r="EC25" s="128">
        <v>0.638207999999992</v>
      </c>
      <c r="ED25" s="128">
        <v>4.2283250000000099E-2</v>
      </c>
      <c r="EE25" s="128">
        <v>0</v>
      </c>
      <c r="EF25" s="128">
        <v>16.1186419999995</v>
      </c>
      <c r="EG25" s="128">
        <v>0</v>
      </c>
      <c r="EH25" s="128">
        <v>0.66463999999996304</v>
      </c>
      <c r="EI25" s="128">
        <v>0.92870400000003905</v>
      </c>
      <c r="EJ25" s="128">
        <v>6.3040000000000901E-2</v>
      </c>
      <c r="EK25" s="128">
        <v>0</v>
      </c>
      <c r="EL25" s="128">
        <v>3.77343999999994</v>
      </c>
      <c r="EM25" s="128">
        <v>3.7635840000002601</v>
      </c>
      <c r="EN25" s="128">
        <v>3.3436160000001101</v>
      </c>
      <c r="EO25" s="128">
        <v>0</v>
      </c>
      <c r="EP25" s="128">
        <v>0</v>
      </c>
      <c r="EQ25" s="128">
        <v>0</v>
      </c>
      <c r="ER25" s="129">
        <v>0</v>
      </c>
      <c r="ES25" s="129">
        <v>0</v>
      </c>
      <c r="ET25" s="129">
        <v>0</v>
      </c>
      <c r="EU25" s="129">
        <v>0</v>
      </c>
      <c r="EV25" s="129">
        <v>0</v>
      </c>
      <c r="EW25" s="129">
        <v>0</v>
      </c>
      <c r="EX25" s="129">
        <v>0</v>
      </c>
      <c r="EY25" s="129">
        <v>0</v>
      </c>
      <c r="EZ25" s="129">
        <v>0</v>
      </c>
      <c r="FA25" s="129">
        <v>0</v>
      </c>
      <c r="FB25" s="129">
        <v>0</v>
      </c>
      <c r="FC25" s="129">
        <v>0</v>
      </c>
      <c r="FD25" s="129">
        <v>0</v>
      </c>
      <c r="FE25" s="129">
        <v>0</v>
      </c>
      <c r="FF25" s="129">
        <v>0</v>
      </c>
      <c r="FG25" s="129">
        <v>0</v>
      </c>
      <c r="FH25" s="129">
        <v>0</v>
      </c>
      <c r="FI25" s="129">
        <v>0</v>
      </c>
      <c r="FJ25" s="129">
        <v>0</v>
      </c>
      <c r="FK25" s="129">
        <v>0</v>
      </c>
      <c r="FL25" s="129">
        <v>0</v>
      </c>
      <c r="FM25" s="129">
        <v>0</v>
      </c>
      <c r="FN25" s="129">
        <v>0</v>
      </c>
      <c r="FO25" s="129">
        <v>0</v>
      </c>
      <c r="FP25" s="129">
        <v>0</v>
      </c>
      <c r="FQ25" s="129">
        <v>0</v>
      </c>
      <c r="FR25" s="129">
        <v>0</v>
      </c>
      <c r="FS25" s="129">
        <v>0</v>
      </c>
      <c r="FT25" s="129">
        <v>0</v>
      </c>
      <c r="FU25" s="129">
        <v>0</v>
      </c>
      <c r="FV25" s="129">
        <v>0</v>
      </c>
      <c r="FW25" s="129">
        <v>0</v>
      </c>
      <c r="FX25" s="129">
        <v>0</v>
      </c>
      <c r="FY25" s="129">
        <v>0</v>
      </c>
      <c r="FZ25" s="129">
        <v>0</v>
      </c>
      <c r="GA25" s="129">
        <v>0</v>
      </c>
      <c r="GB25" s="129">
        <v>0</v>
      </c>
      <c r="GC25" s="129">
        <v>0</v>
      </c>
      <c r="GD25" s="129">
        <v>0</v>
      </c>
      <c r="GE25" s="129">
        <v>0</v>
      </c>
      <c r="GF25" s="129">
        <v>0</v>
      </c>
      <c r="GG25" s="129">
        <v>0</v>
      </c>
      <c r="GH25" s="129">
        <v>0</v>
      </c>
      <c r="GI25" s="129">
        <v>0</v>
      </c>
      <c r="GJ25" s="129">
        <v>0</v>
      </c>
      <c r="GK25" s="129">
        <v>0</v>
      </c>
      <c r="GL25" s="129">
        <v>0</v>
      </c>
      <c r="GM25" s="129">
        <v>0</v>
      </c>
      <c r="GN25" s="129">
        <v>0</v>
      </c>
      <c r="GO25" s="129">
        <v>0</v>
      </c>
      <c r="GP25" s="129">
        <v>0</v>
      </c>
      <c r="GQ25" s="129">
        <v>0</v>
      </c>
      <c r="GR25" s="129">
        <v>0</v>
      </c>
      <c r="GS25" s="129">
        <v>0</v>
      </c>
    </row>
    <row r="26" spans="1:201" s="30" customFormat="1" ht="13" x14ac:dyDescent="0.25">
      <c r="A26" s="87">
        <v>20</v>
      </c>
      <c r="B26" s="128">
        <v>27.092749999999999</v>
      </c>
      <c r="C26" s="128">
        <v>8.9366290000000106</v>
      </c>
      <c r="D26" s="128">
        <v>9.3192480000000195</v>
      </c>
      <c r="E26" s="128">
        <v>0</v>
      </c>
      <c r="F26" s="128">
        <v>8.8215489999999992</v>
      </c>
      <c r="G26" s="128">
        <v>0</v>
      </c>
      <c r="H26" s="128">
        <v>0</v>
      </c>
      <c r="I26" s="128">
        <v>0</v>
      </c>
      <c r="J26" s="128">
        <v>0</v>
      </c>
      <c r="K26" s="128">
        <v>0</v>
      </c>
      <c r="L26" s="128">
        <v>0</v>
      </c>
      <c r="M26" s="128">
        <v>0</v>
      </c>
      <c r="N26" s="128">
        <v>4.6213250000000103</v>
      </c>
      <c r="O26" s="128">
        <v>4.4620940000000404</v>
      </c>
      <c r="P26" s="128">
        <v>0.32053000000000198</v>
      </c>
      <c r="Q26" s="128">
        <v>8.7265279999992291</v>
      </c>
      <c r="R26" s="128">
        <v>9.1013120000025101</v>
      </c>
      <c r="S26" s="128">
        <v>0</v>
      </c>
      <c r="T26" s="128">
        <v>8.5852159999994893</v>
      </c>
      <c r="U26" s="128">
        <v>0.47937600000000202</v>
      </c>
      <c r="V26" s="128">
        <v>0.12460599999999999</v>
      </c>
      <c r="W26" s="128">
        <v>6.4332000000000306E-2</v>
      </c>
      <c r="X26" s="128">
        <v>8.17879999999995E-2</v>
      </c>
      <c r="Y26" s="128">
        <v>0</v>
      </c>
      <c r="Z26" s="128">
        <v>5.0449000000000403E-2</v>
      </c>
      <c r="AA26" s="128">
        <v>0.11561</v>
      </c>
      <c r="AB26" s="128">
        <v>0.16870199999999999</v>
      </c>
      <c r="AC26" s="128">
        <v>0.13397600000000101</v>
      </c>
      <c r="AD26" s="128">
        <v>4.7098500000000598E-2</v>
      </c>
      <c r="AE26" s="128">
        <v>0.12628375</v>
      </c>
      <c r="AF26" s="128">
        <v>0</v>
      </c>
      <c r="AG26" s="128">
        <v>1.9143500000000199E-2</v>
      </c>
      <c r="AH26" s="128">
        <v>1.93564800000001</v>
      </c>
      <c r="AI26" s="128">
        <v>0</v>
      </c>
      <c r="AJ26" s="128">
        <v>3.2710500000000302E-2</v>
      </c>
      <c r="AK26" s="128">
        <v>0</v>
      </c>
      <c r="AL26" s="128">
        <v>0.32180800000000398</v>
      </c>
      <c r="AM26" s="128">
        <v>0.50832799999999201</v>
      </c>
      <c r="AN26" s="128">
        <v>0.402312000000009</v>
      </c>
      <c r="AO26" s="128">
        <v>0.111024</v>
      </c>
      <c r="AP26" s="128">
        <v>8.5923999999998599E-2</v>
      </c>
      <c r="AQ26" s="128">
        <v>0.33155599999999902</v>
      </c>
      <c r="AR26" s="128">
        <v>5.4872320000000103</v>
      </c>
      <c r="AS26" s="128">
        <v>9.15085000000007E-2</v>
      </c>
      <c r="AT26" s="128">
        <v>0</v>
      </c>
      <c r="AU26" s="128">
        <v>3.9076000000001401E-2</v>
      </c>
      <c r="AV26" s="128">
        <v>4.8826000000000001E-2</v>
      </c>
      <c r="AW26" s="128">
        <v>2.2437120000000701</v>
      </c>
      <c r="AX26" s="128">
        <v>0</v>
      </c>
      <c r="AY26" s="128">
        <v>0.10083675</v>
      </c>
      <c r="AZ26" s="128">
        <v>1.0000000001397801E-6</v>
      </c>
      <c r="BA26" s="128">
        <v>0</v>
      </c>
      <c r="BB26" s="128">
        <v>0</v>
      </c>
      <c r="BC26" s="128">
        <v>0</v>
      </c>
      <c r="BD26" s="128">
        <v>5.7814999999998796E-3</v>
      </c>
      <c r="BE26" s="128">
        <v>0.119045</v>
      </c>
      <c r="BF26" s="128">
        <v>0</v>
      </c>
      <c r="BG26" s="128">
        <v>2.3787999999999698E-2</v>
      </c>
      <c r="BH26" s="128">
        <v>4.4629999999997901E-2</v>
      </c>
      <c r="BI26" s="128">
        <v>2.4852320000000199</v>
      </c>
      <c r="BJ26" s="128">
        <v>1.0788999999999001E-2</v>
      </c>
      <c r="BK26" s="128">
        <v>4.5751000000000097E-2</v>
      </c>
      <c r="BL26" s="128">
        <v>0</v>
      </c>
      <c r="BM26" s="128">
        <v>2.0827520000000002</v>
      </c>
      <c r="BN26" s="128">
        <v>0</v>
      </c>
      <c r="BO26" s="128">
        <v>0.22910949999999999</v>
      </c>
      <c r="BP26" s="128">
        <v>0</v>
      </c>
      <c r="BQ26" s="128">
        <v>0</v>
      </c>
      <c r="BR26" s="128">
        <v>2.0364625000000001E-2</v>
      </c>
      <c r="BS26" s="128">
        <v>0</v>
      </c>
      <c r="BT26" s="128">
        <v>0.27897999999999701</v>
      </c>
      <c r="BU26" s="128">
        <v>2.0950125000000201E-2</v>
      </c>
      <c r="BV26" s="128">
        <v>0</v>
      </c>
      <c r="BW26" s="128">
        <v>0</v>
      </c>
      <c r="BX26" s="128">
        <v>1.71568125E-2</v>
      </c>
      <c r="BY26" s="128">
        <v>0</v>
      </c>
      <c r="BZ26" s="128">
        <v>1.0070000000000101</v>
      </c>
      <c r="CA26" s="128">
        <v>0.29504000000000002</v>
      </c>
      <c r="CB26" s="128">
        <v>0</v>
      </c>
      <c r="CC26" s="128">
        <v>0</v>
      </c>
      <c r="CD26" s="128">
        <v>0</v>
      </c>
      <c r="CE26" s="128">
        <v>0</v>
      </c>
      <c r="CF26" s="128">
        <v>5.6392000000000699E-2</v>
      </c>
      <c r="CG26" s="128">
        <v>0</v>
      </c>
      <c r="CH26" s="128">
        <v>2.1662750000000001E-2</v>
      </c>
      <c r="CI26" s="128">
        <v>0</v>
      </c>
      <c r="CJ26" s="128">
        <v>0</v>
      </c>
      <c r="CK26" s="128">
        <v>0</v>
      </c>
      <c r="CL26" s="128">
        <v>0</v>
      </c>
      <c r="CM26" s="128">
        <v>5.1441919999999799</v>
      </c>
      <c r="CN26" s="128">
        <v>3.9932000000000301E-2</v>
      </c>
      <c r="CO26" s="128">
        <v>0.84292800000000101</v>
      </c>
      <c r="CP26" s="128">
        <v>0</v>
      </c>
      <c r="CQ26" s="128">
        <v>0</v>
      </c>
      <c r="CR26" s="128">
        <v>0.13024000000000099</v>
      </c>
      <c r="CS26" s="128">
        <v>0</v>
      </c>
      <c r="CT26" s="128">
        <v>0.20920000000000999</v>
      </c>
      <c r="CU26" s="128">
        <v>0</v>
      </c>
      <c r="CV26" s="128">
        <v>1.6664500000000099E-2</v>
      </c>
      <c r="CW26" s="128">
        <v>5.1767999999995602E-2</v>
      </c>
      <c r="CX26" s="128">
        <v>0.28692799999999602</v>
      </c>
      <c r="CY26" s="128">
        <v>1.8629E-2</v>
      </c>
      <c r="CZ26" s="128">
        <v>2.1404750000000299E-2</v>
      </c>
      <c r="DA26" s="128">
        <v>0.27894799999999997</v>
      </c>
      <c r="DB26" s="128">
        <v>0.14329800000000001</v>
      </c>
      <c r="DC26" s="128">
        <v>6.3471999999997294E-2</v>
      </c>
      <c r="DD26" s="128">
        <v>3.3448468750000002E-2</v>
      </c>
      <c r="DE26" s="128">
        <v>0</v>
      </c>
      <c r="DF26" s="128">
        <v>0</v>
      </c>
      <c r="DG26" s="128">
        <v>2.5336499999999901E-2</v>
      </c>
      <c r="DH26" s="128">
        <v>7.2609999999997399E-3</v>
      </c>
      <c r="DI26" s="128">
        <v>5.1898560000000797</v>
      </c>
      <c r="DJ26" s="128">
        <v>0</v>
      </c>
      <c r="DK26" s="128">
        <v>6.3751999999997394E-2</v>
      </c>
      <c r="DL26" s="128">
        <v>1.9152000000000099E-2</v>
      </c>
      <c r="DM26" s="128">
        <v>4.2787000000000602E-2</v>
      </c>
      <c r="DN26" s="128">
        <v>8.1174999999999997E-4</v>
      </c>
      <c r="DO26" s="128">
        <v>0.81387199999997495</v>
      </c>
      <c r="DP26" s="128">
        <v>3.8393499999999699E-2</v>
      </c>
      <c r="DQ26" s="128">
        <v>0</v>
      </c>
      <c r="DR26" s="128">
        <v>0</v>
      </c>
      <c r="DS26" s="128">
        <v>1.49692800000003</v>
      </c>
      <c r="DT26" s="128">
        <v>0.43364000000001102</v>
      </c>
      <c r="DU26" s="128">
        <v>2.1062000000000601E-2</v>
      </c>
      <c r="DV26" s="128">
        <v>9.9657500000001099E-3</v>
      </c>
      <c r="DW26" s="128">
        <v>0</v>
      </c>
      <c r="DX26" s="128">
        <v>0.14250550000000001</v>
      </c>
      <c r="DY26" s="128">
        <v>1.152578125E-2</v>
      </c>
      <c r="DZ26" s="128">
        <v>7.8414000000002204E-2</v>
      </c>
      <c r="EA26" s="128">
        <v>0</v>
      </c>
      <c r="EB26" s="128">
        <v>1.4228800000000199</v>
      </c>
      <c r="EC26" s="128">
        <v>0.63348800000000005</v>
      </c>
      <c r="ED26" s="128">
        <v>3.0422750000000099E-2</v>
      </c>
      <c r="EE26" s="128">
        <v>0</v>
      </c>
      <c r="EF26" s="128">
        <v>16.397874000000201</v>
      </c>
      <c r="EG26" s="128">
        <v>0</v>
      </c>
      <c r="EH26" s="128">
        <v>0.619392000000062</v>
      </c>
      <c r="EI26" s="128">
        <v>1.0203519999999999</v>
      </c>
      <c r="EJ26" s="128">
        <v>6.7487999999968906E-2</v>
      </c>
      <c r="EK26" s="128">
        <v>0</v>
      </c>
      <c r="EL26" s="128">
        <v>3.7514240000000401</v>
      </c>
      <c r="EM26" s="128">
        <v>4.3399679999997698</v>
      </c>
      <c r="EN26" s="128">
        <v>2.9752319999997798</v>
      </c>
      <c r="EO26" s="128">
        <v>0</v>
      </c>
      <c r="EP26" s="128">
        <v>0</v>
      </c>
      <c r="EQ26" s="128">
        <v>0</v>
      </c>
      <c r="ER26" s="129">
        <v>0</v>
      </c>
      <c r="ES26" s="129">
        <v>0</v>
      </c>
      <c r="ET26" s="129">
        <v>0</v>
      </c>
      <c r="EU26" s="129">
        <v>0</v>
      </c>
      <c r="EV26" s="129">
        <v>0</v>
      </c>
      <c r="EW26" s="129">
        <v>0</v>
      </c>
      <c r="EX26" s="129">
        <v>0</v>
      </c>
      <c r="EY26" s="129">
        <v>0</v>
      </c>
      <c r="EZ26" s="129">
        <v>0</v>
      </c>
      <c r="FA26" s="129">
        <v>0</v>
      </c>
      <c r="FB26" s="129">
        <v>0</v>
      </c>
      <c r="FC26" s="129">
        <v>0</v>
      </c>
      <c r="FD26" s="129">
        <v>0</v>
      </c>
      <c r="FE26" s="129">
        <v>0</v>
      </c>
      <c r="FF26" s="129">
        <v>0</v>
      </c>
      <c r="FG26" s="129">
        <v>0</v>
      </c>
      <c r="FH26" s="129">
        <v>0</v>
      </c>
      <c r="FI26" s="129">
        <v>0</v>
      </c>
      <c r="FJ26" s="129">
        <v>0</v>
      </c>
      <c r="FK26" s="129">
        <v>0</v>
      </c>
      <c r="FL26" s="129">
        <v>0</v>
      </c>
      <c r="FM26" s="129">
        <v>0</v>
      </c>
      <c r="FN26" s="129">
        <v>0</v>
      </c>
      <c r="FO26" s="129">
        <v>0</v>
      </c>
      <c r="FP26" s="129">
        <v>0</v>
      </c>
      <c r="FQ26" s="129">
        <v>0</v>
      </c>
      <c r="FR26" s="129">
        <v>0</v>
      </c>
      <c r="FS26" s="129">
        <v>0</v>
      </c>
      <c r="FT26" s="129">
        <v>0</v>
      </c>
      <c r="FU26" s="129">
        <v>0</v>
      </c>
      <c r="FV26" s="129">
        <v>0</v>
      </c>
      <c r="FW26" s="129">
        <v>0</v>
      </c>
      <c r="FX26" s="129">
        <v>0</v>
      </c>
      <c r="FY26" s="129">
        <v>0</v>
      </c>
      <c r="FZ26" s="129">
        <v>0</v>
      </c>
      <c r="GA26" s="129">
        <v>0</v>
      </c>
      <c r="GB26" s="129">
        <v>0</v>
      </c>
      <c r="GC26" s="129">
        <v>0</v>
      </c>
      <c r="GD26" s="129">
        <v>0</v>
      </c>
      <c r="GE26" s="129">
        <v>0</v>
      </c>
      <c r="GF26" s="129">
        <v>0</v>
      </c>
      <c r="GG26" s="129">
        <v>0</v>
      </c>
      <c r="GH26" s="129">
        <v>0</v>
      </c>
      <c r="GI26" s="129">
        <v>0</v>
      </c>
      <c r="GJ26" s="129">
        <v>0</v>
      </c>
      <c r="GK26" s="129">
        <v>0</v>
      </c>
      <c r="GL26" s="129">
        <v>0</v>
      </c>
      <c r="GM26" s="129">
        <v>0</v>
      </c>
      <c r="GN26" s="129">
        <v>0</v>
      </c>
      <c r="GO26" s="129">
        <v>0</v>
      </c>
      <c r="GP26" s="129">
        <v>0</v>
      </c>
      <c r="GQ26" s="129">
        <v>0</v>
      </c>
      <c r="GR26" s="129">
        <v>0</v>
      </c>
      <c r="GS26" s="129">
        <v>0</v>
      </c>
    </row>
    <row r="27" spans="1:201" s="30" customFormat="1" ht="13" x14ac:dyDescent="0.25">
      <c r="A27" s="87">
        <v>21</v>
      </c>
      <c r="B27" s="128">
        <v>23.30875</v>
      </c>
      <c r="C27" s="128">
        <v>8.10936699999999</v>
      </c>
      <c r="D27" s="128">
        <v>8.4604890000000008</v>
      </c>
      <c r="E27" s="128">
        <v>0</v>
      </c>
      <c r="F27" s="128">
        <v>8.0102980000000308</v>
      </c>
      <c r="G27" s="128">
        <v>1.181057</v>
      </c>
      <c r="H27" s="128">
        <v>0.37248999999999899</v>
      </c>
      <c r="I27" s="128">
        <v>0.37482100000000002</v>
      </c>
      <c r="J27" s="128">
        <v>0.121782</v>
      </c>
      <c r="K27" s="128">
        <v>1.4165999999999899E-2</v>
      </c>
      <c r="L27" s="128">
        <v>4.2890999999999999E-2</v>
      </c>
      <c r="M27" s="128">
        <v>1.1761680000000001</v>
      </c>
      <c r="N27" s="128">
        <v>4.5069190000000399</v>
      </c>
      <c r="O27" s="128">
        <v>4.3554799999999396</v>
      </c>
      <c r="P27" s="128">
        <v>0.31400599999999601</v>
      </c>
      <c r="Q27" s="128">
        <v>7.8766079999986696</v>
      </c>
      <c r="R27" s="128">
        <v>8.2206719999994693</v>
      </c>
      <c r="S27" s="128">
        <v>0</v>
      </c>
      <c r="T27" s="128">
        <v>7.75372799999968</v>
      </c>
      <c r="U27" s="128">
        <v>0.46987999999998897</v>
      </c>
      <c r="V27" s="128">
        <v>0.12135599999999901</v>
      </c>
      <c r="W27" s="128">
        <v>6.8623000000000503E-2</v>
      </c>
      <c r="X27" s="128">
        <v>7.9983000000000401E-2</v>
      </c>
      <c r="Y27" s="128">
        <v>0</v>
      </c>
      <c r="Z27" s="128">
        <v>5.2922999999999797E-2</v>
      </c>
      <c r="AA27" s="128">
        <v>0.113887999999999</v>
      </c>
      <c r="AB27" s="128">
        <v>0.16341800000000001</v>
      </c>
      <c r="AC27" s="128">
        <v>0.125782000000001</v>
      </c>
      <c r="AD27" s="128">
        <v>5.0051999999999999E-2</v>
      </c>
      <c r="AE27" s="128">
        <v>0.12465725</v>
      </c>
      <c r="AF27" s="128">
        <v>0</v>
      </c>
      <c r="AG27" s="128">
        <v>1.30697499999997E-2</v>
      </c>
      <c r="AH27" s="128">
        <v>1.90147200000001</v>
      </c>
      <c r="AI27" s="128">
        <v>0</v>
      </c>
      <c r="AJ27" s="128">
        <v>3.1845499999999298E-2</v>
      </c>
      <c r="AK27" s="128">
        <v>0</v>
      </c>
      <c r="AL27" s="128">
        <v>0.318832</v>
      </c>
      <c r="AM27" s="128">
        <v>0.49039199999999999</v>
      </c>
      <c r="AN27" s="128">
        <v>0.38480399999998799</v>
      </c>
      <c r="AO27" s="128">
        <v>0.11490199999999701</v>
      </c>
      <c r="AP27" s="128">
        <v>8.5300000000000195E-2</v>
      </c>
      <c r="AQ27" s="128">
        <v>0.33299200000000401</v>
      </c>
      <c r="AR27" s="128">
        <v>5.1843519999999899</v>
      </c>
      <c r="AS27" s="128">
        <v>8.6454499999999407E-2</v>
      </c>
      <c r="AT27" s="128">
        <v>0</v>
      </c>
      <c r="AU27" s="128">
        <v>4.0307999999996E-2</v>
      </c>
      <c r="AV27" s="128">
        <v>3.5540999999999399E-2</v>
      </c>
      <c r="AW27" s="128">
        <v>1.9546239999999699</v>
      </c>
      <c r="AX27" s="128">
        <v>0</v>
      </c>
      <c r="AY27" s="128">
        <v>8.40457499999996E-2</v>
      </c>
      <c r="AZ27" s="128">
        <v>5.0000000051397798E-7</v>
      </c>
      <c r="BA27" s="128">
        <v>0</v>
      </c>
      <c r="BB27" s="128">
        <v>0</v>
      </c>
      <c r="BC27" s="128">
        <v>0</v>
      </c>
      <c r="BD27" s="128">
        <v>3.6136250000000599E-3</v>
      </c>
      <c r="BE27" s="128">
        <v>0.17929800000000101</v>
      </c>
      <c r="BF27" s="128">
        <v>0</v>
      </c>
      <c r="BG27" s="128">
        <v>2.5843000000000099E-2</v>
      </c>
      <c r="BH27" s="128">
        <v>5.3674000000000902E-2</v>
      </c>
      <c r="BI27" s="128">
        <v>2.4423520000000001</v>
      </c>
      <c r="BJ27" s="128">
        <v>1.93100000000257E-3</v>
      </c>
      <c r="BK27" s="128">
        <v>4.8328999999999803E-2</v>
      </c>
      <c r="BL27" s="128">
        <v>0</v>
      </c>
      <c r="BM27" s="128">
        <v>2.2838239999999801</v>
      </c>
      <c r="BN27" s="128">
        <v>0</v>
      </c>
      <c r="BO27" s="128">
        <v>0.42595250000000001</v>
      </c>
      <c r="BP27" s="128">
        <v>0</v>
      </c>
      <c r="BQ27" s="128">
        <v>0</v>
      </c>
      <c r="BR27" s="128">
        <v>2.2704999999999999E-2</v>
      </c>
      <c r="BS27" s="128">
        <v>0</v>
      </c>
      <c r="BT27" s="128">
        <v>0.27833200000000602</v>
      </c>
      <c r="BU27" s="128">
        <v>2.16236249999999E-2</v>
      </c>
      <c r="BV27" s="128">
        <v>0</v>
      </c>
      <c r="BW27" s="128">
        <v>0</v>
      </c>
      <c r="BX27" s="128">
        <v>1.6676187499999998E-2</v>
      </c>
      <c r="BY27" s="128">
        <v>0</v>
      </c>
      <c r="BZ27" s="128">
        <v>0.989663999999991</v>
      </c>
      <c r="CA27" s="128">
        <v>0.31541599999999897</v>
      </c>
      <c r="CB27" s="128">
        <v>0</v>
      </c>
      <c r="CC27" s="128">
        <v>0</v>
      </c>
      <c r="CD27" s="128">
        <v>0</v>
      </c>
      <c r="CE27" s="128">
        <v>0</v>
      </c>
      <c r="CF27" s="128">
        <v>8.1029999999998395E-2</v>
      </c>
      <c r="CG27" s="128">
        <v>0</v>
      </c>
      <c r="CH27" s="128">
        <v>1.8533750000000002E-2</v>
      </c>
      <c r="CI27" s="128">
        <v>0</v>
      </c>
      <c r="CJ27" s="128">
        <v>0</v>
      </c>
      <c r="CK27" s="128">
        <v>0</v>
      </c>
      <c r="CL27" s="128">
        <v>0</v>
      </c>
      <c r="CM27" s="128">
        <v>4.93107200000009</v>
      </c>
      <c r="CN27" s="128">
        <v>4.6015500000000202E-2</v>
      </c>
      <c r="CO27" s="128">
        <v>0.71193999999999802</v>
      </c>
      <c r="CP27" s="128">
        <v>0</v>
      </c>
      <c r="CQ27" s="128">
        <v>0</v>
      </c>
      <c r="CR27" s="128">
        <v>0.129631999999999</v>
      </c>
      <c r="CS27" s="128">
        <v>0</v>
      </c>
      <c r="CT27" s="128">
        <v>0.211807999999991</v>
      </c>
      <c r="CU27" s="128">
        <v>0</v>
      </c>
      <c r="CV27" s="128">
        <v>1.89300000000001E-2</v>
      </c>
      <c r="CW27" s="128">
        <v>7.2112000000004201E-2</v>
      </c>
      <c r="CX27" s="128">
        <v>0.26087199999999899</v>
      </c>
      <c r="CY27" s="128">
        <v>1.77309999999999E-2</v>
      </c>
      <c r="CZ27" s="128">
        <v>2.3168999999999801E-2</v>
      </c>
      <c r="DA27" s="128">
        <v>0.27883599999999797</v>
      </c>
      <c r="DB27" s="128">
        <v>0.14050099999999999</v>
      </c>
      <c r="DC27" s="128">
        <v>8.1676000000001595E-2</v>
      </c>
      <c r="DD27" s="128">
        <v>2.6620843750000001E-2</v>
      </c>
      <c r="DE27" s="128">
        <v>0</v>
      </c>
      <c r="DF27" s="128">
        <v>0</v>
      </c>
      <c r="DG27" s="128">
        <v>2.3271000000000298E-2</v>
      </c>
      <c r="DH27" s="128">
        <v>9.5470000000004197E-3</v>
      </c>
      <c r="DI27" s="128">
        <v>5.2617920000000096</v>
      </c>
      <c r="DJ27" s="128">
        <v>0</v>
      </c>
      <c r="DK27" s="128">
        <v>6.38540000000027E-2</v>
      </c>
      <c r="DL27" s="128">
        <v>1.91660000000002E-2</v>
      </c>
      <c r="DM27" s="128">
        <v>4.1390999999999102E-2</v>
      </c>
      <c r="DN27" s="128">
        <v>2.3137500000003399E-4</v>
      </c>
      <c r="DO27" s="128">
        <v>0.78036800000001005</v>
      </c>
      <c r="DP27" s="128">
        <v>3.8242999999999597E-2</v>
      </c>
      <c r="DQ27" s="128">
        <v>0</v>
      </c>
      <c r="DR27" s="128">
        <v>0</v>
      </c>
      <c r="DS27" s="128">
        <v>1.68774399999995</v>
      </c>
      <c r="DT27" s="128">
        <v>0.43704799999999</v>
      </c>
      <c r="DU27" s="128">
        <v>2.32720000000004E-2</v>
      </c>
      <c r="DV27" s="128">
        <v>9.5757499999997702E-3</v>
      </c>
      <c r="DW27" s="128">
        <v>0</v>
      </c>
      <c r="DX27" s="128">
        <v>0.13342950000000001</v>
      </c>
      <c r="DY27" s="128">
        <v>1.0193187500000001E-2</v>
      </c>
      <c r="DZ27" s="128">
        <v>9.42839999999983E-2</v>
      </c>
      <c r="EA27" s="128">
        <v>0</v>
      </c>
      <c r="EB27" s="128">
        <v>1.3194239999999999</v>
      </c>
      <c r="EC27" s="128">
        <v>0.64204800000001705</v>
      </c>
      <c r="ED27" s="128">
        <v>3.4875249999999802E-2</v>
      </c>
      <c r="EE27" s="128">
        <v>0</v>
      </c>
      <c r="EF27" s="128">
        <v>13.8859579999998</v>
      </c>
      <c r="EG27" s="128">
        <v>0</v>
      </c>
      <c r="EH27" s="128">
        <v>0.66022399999997095</v>
      </c>
      <c r="EI27" s="128">
        <v>0.94617599999992297</v>
      </c>
      <c r="EJ27" s="128">
        <v>6.3583999999991606E-2</v>
      </c>
      <c r="EK27" s="128">
        <v>0</v>
      </c>
      <c r="EL27" s="128">
        <v>2.4468480000000499</v>
      </c>
      <c r="EM27" s="128">
        <v>3.8919679999999102</v>
      </c>
      <c r="EN27" s="128">
        <v>2.6826240000000299</v>
      </c>
      <c r="EO27" s="128">
        <v>0</v>
      </c>
      <c r="EP27" s="128">
        <v>0</v>
      </c>
      <c r="EQ27" s="128">
        <v>0</v>
      </c>
      <c r="ER27" s="129">
        <v>0</v>
      </c>
      <c r="ES27" s="129">
        <v>0</v>
      </c>
      <c r="ET27" s="129">
        <v>0</v>
      </c>
      <c r="EU27" s="129">
        <v>0</v>
      </c>
      <c r="EV27" s="129">
        <v>0</v>
      </c>
      <c r="EW27" s="129">
        <v>0</v>
      </c>
      <c r="EX27" s="129">
        <v>0</v>
      </c>
      <c r="EY27" s="129">
        <v>0</v>
      </c>
      <c r="EZ27" s="129">
        <v>0</v>
      </c>
      <c r="FA27" s="129">
        <v>0</v>
      </c>
      <c r="FB27" s="129">
        <v>0</v>
      </c>
      <c r="FC27" s="129">
        <v>0</v>
      </c>
      <c r="FD27" s="129">
        <v>0</v>
      </c>
      <c r="FE27" s="129">
        <v>0</v>
      </c>
      <c r="FF27" s="129">
        <v>0</v>
      </c>
      <c r="FG27" s="129">
        <v>0</v>
      </c>
      <c r="FH27" s="129">
        <v>0</v>
      </c>
      <c r="FI27" s="129">
        <v>0</v>
      </c>
      <c r="FJ27" s="129">
        <v>0</v>
      </c>
      <c r="FK27" s="129">
        <v>0</v>
      </c>
      <c r="FL27" s="129">
        <v>0</v>
      </c>
      <c r="FM27" s="129">
        <v>0</v>
      </c>
      <c r="FN27" s="129">
        <v>0</v>
      </c>
      <c r="FO27" s="129">
        <v>0</v>
      </c>
      <c r="FP27" s="129">
        <v>0</v>
      </c>
      <c r="FQ27" s="129">
        <v>0</v>
      </c>
      <c r="FR27" s="129">
        <v>0</v>
      </c>
      <c r="FS27" s="129">
        <v>0</v>
      </c>
      <c r="FT27" s="129">
        <v>0</v>
      </c>
      <c r="FU27" s="129">
        <v>0</v>
      </c>
      <c r="FV27" s="129">
        <v>0</v>
      </c>
      <c r="FW27" s="129">
        <v>0</v>
      </c>
      <c r="FX27" s="129">
        <v>0</v>
      </c>
      <c r="FY27" s="129">
        <v>0</v>
      </c>
      <c r="FZ27" s="129">
        <v>0</v>
      </c>
      <c r="GA27" s="129">
        <v>0</v>
      </c>
      <c r="GB27" s="129">
        <v>0</v>
      </c>
      <c r="GC27" s="129">
        <v>0</v>
      </c>
      <c r="GD27" s="129">
        <v>0</v>
      </c>
      <c r="GE27" s="129">
        <v>0</v>
      </c>
      <c r="GF27" s="129">
        <v>0</v>
      </c>
      <c r="GG27" s="129">
        <v>0</v>
      </c>
      <c r="GH27" s="129">
        <v>0</v>
      </c>
      <c r="GI27" s="129">
        <v>0</v>
      </c>
      <c r="GJ27" s="129">
        <v>0</v>
      </c>
      <c r="GK27" s="129">
        <v>0</v>
      </c>
      <c r="GL27" s="129">
        <v>0</v>
      </c>
      <c r="GM27" s="129">
        <v>0</v>
      </c>
      <c r="GN27" s="129">
        <v>0</v>
      </c>
      <c r="GO27" s="129">
        <v>0</v>
      </c>
      <c r="GP27" s="129">
        <v>0</v>
      </c>
      <c r="GQ27" s="129">
        <v>0</v>
      </c>
      <c r="GR27" s="129">
        <v>0</v>
      </c>
      <c r="GS27" s="129">
        <v>0</v>
      </c>
    </row>
    <row r="28" spans="1:201" s="30" customFormat="1" ht="13" x14ac:dyDescent="0.25">
      <c r="A28" s="87">
        <v>22</v>
      </c>
      <c r="B28" s="128">
        <v>21.871124999999999</v>
      </c>
      <c r="C28" s="128">
        <v>7.21684100000002</v>
      </c>
      <c r="D28" s="128">
        <v>7.53503999999998</v>
      </c>
      <c r="E28" s="128">
        <v>0</v>
      </c>
      <c r="F28" s="128">
        <v>7.1378289999999502</v>
      </c>
      <c r="G28" s="128">
        <v>0</v>
      </c>
      <c r="H28" s="128">
        <v>0</v>
      </c>
      <c r="I28" s="128">
        <v>0</v>
      </c>
      <c r="J28" s="128">
        <v>0</v>
      </c>
      <c r="K28" s="128">
        <v>0</v>
      </c>
      <c r="L28" s="128">
        <v>0</v>
      </c>
      <c r="M28" s="128">
        <v>0</v>
      </c>
      <c r="N28" s="128">
        <v>4.8295239999999398</v>
      </c>
      <c r="O28" s="128">
        <v>4.7636210000000601</v>
      </c>
      <c r="P28" s="128">
        <v>0.33722500000000399</v>
      </c>
      <c r="Q28" s="128">
        <v>7.0410240000019302</v>
      </c>
      <c r="R28" s="128">
        <v>7.3523199999981399</v>
      </c>
      <c r="S28" s="128">
        <v>0</v>
      </c>
      <c r="T28" s="128">
        <v>6.95910400000139</v>
      </c>
      <c r="U28" s="128">
        <v>0.47127199999999903</v>
      </c>
      <c r="V28" s="128">
        <v>0.12113599999999999</v>
      </c>
      <c r="W28" s="128">
        <v>7.3848999999999193E-2</v>
      </c>
      <c r="X28" s="128">
        <v>8.1421000000000604E-2</v>
      </c>
      <c r="Y28" s="128">
        <v>0</v>
      </c>
      <c r="Z28" s="128">
        <v>4.6481999999999198E-2</v>
      </c>
      <c r="AA28" s="128">
        <v>0.116104</v>
      </c>
      <c r="AB28" s="128">
        <v>0.15670200000000301</v>
      </c>
      <c r="AC28" s="128">
        <v>0.122823999999998</v>
      </c>
      <c r="AD28" s="128">
        <v>4.9796999999999897E-2</v>
      </c>
      <c r="AE28" s="128">
        <v>8.2561000000000107E-2</v>
      </c>
      <c r="AF28" s="128">
        <v>0</v>
      </c>
      <c r="AG28" s="128">
        <v>1.83415E-2</v>
      </c>
      <c r="AH28" s="128">
        <v>1.9126719999999899</v>
      </c>
      <c r="AI28" s="128">
        <v>0</v>
      </c>
      <c r="AJ28" s="128">
        <v>3.1849500000000801E-2</v>
      </c>
      <c r="AK28" s="128">
        <v>0</v>
      </c>
      <c r="AL28" s="128">
        <v>0.32030400000000703</v>
      </c>
      <c r="AM28" s="128">
        <v>0.48099200000000097</v>
      </c>
      <c r="AN28" s="128">
        <v>0.39408800000001099</v>
      </c>
      <c r="AO28" s="128">
        <v>0.124948000000003</v>
      </c>
      <c r="AP28" s="128">
        <v>8.3776000000000295E-2</v>
      </c>
      <c r="AQ28" s="128">
        <v>0.33217599999999697</v>
      </c>
      <c r="AR28" s="128">
        <v>5.0758720000000004</v>
      </c>
      <c r="AS28" s="128">
        <v>7.3814000000000504E-2</v>
      </c>
      <c r="AT28" s="128">
        <v>0</v>
      </c>
      <c r="AU28" s="128">
        <v>4.1844000000004697E-2</v>
      </c>
      <c r="AV28" s="128">
        <v>3.3027500000000203E-2</v>
      </c>
      <c r="AW28" s="128">
        <v>1.8890880000000201</v>
      </c>
      <c r="AX28" s="128">
        <v>0</v>
      </c>
      <c r="AY28" s="128">
        <v>8.8704500000000394E-2</v>
      </c>
      <c r="AZ28" s="128">
        <v>3.5000000000451299E-6</v>
      </c>
      <c r="BA28" s="128">
        <v>0</v>
      </c>
      <c r="BB28" s="128">
        <v>0</v>
      </c>
      <c r="BC28" s="128">
        <v>0</v>
      </c>
      <c r="BD28" s="128">
        <v>4.7105000000000601E-3</v>
      </c>
      <c r="BE28" s="128">
        <v>0.116173</v>
      </c>
      <c r="BF28" s="128">
        <v>0</v>
      </c>
      <c r="BG28" s="128">
        <v>1.9605999999999599E-2</v>
      </c>
      <c r="BH28" s="128">
        <v>3.6241999999997901E-2</v>
      </c>
      <c r="BI28" s="128">
        <v>2.3931999999999798</v>
      </c>
      <c r="BJ28" s="128">
        <v>2.2780000000004498E-3</v>
      </c>
      <c r="BK28" s="128">
        <v>0.15744</v>
      </c>
      <c r="BL28" s="128">
        <v>21.895838000000001</v>
      </c>
      <c r="BM28" s="128">
        <v>2.3580960000000202</v>
      </c>
      <c r="BN28" s="128">
        <v>0</v>
      </c>
      <c r="BO28" s="128">
        <v>0.56708199999999997</v>
      </c>
      <c r="BP28" s="128">
        <v>0</v>
      </c>
      <c r="BQ28" s="128">
        <v>0</v>
      </c>
      <c r="BR28" s="128">
        <v>2.2180312500000101E-2</v>
      </c>
      <c r="BS28" s="128">
        <v>0</v>
      </c>
      <c r="BT28" s="128">
        <v>0.286687999999998</v>
      </c>
      <c r="BU28" s="128">
        <v>2.1493374999999901E-2</v>
      </c>
      <c r="BV28" s="128">
        <v>0</v>
      </c>
      <c r="BW28" s="128">
        <v>0</v>
      </c>
      <c r="BX28" s="128">
        <v>1.6625125000000001E-2</v>
      </c>
      <c r="BY28" s="128">
        <v>0</v>
      </c>
      <c r="BZ28" s="128">
        <v>0.92189600000000405</v>
      </c>
      <c r="CA28" s="128">
        <v>0.31468800000000402</v>
      </c>
      <c r="CB28" s="128">
        <v>0</v>
      </c>
      <c r="CC28" s="128">
        <v>0</v>
      </c>
      <c r="CD28" s="128">
        <v>0</v>
      </c>
      <c r="CE28" s="128">
        <v>0</v>
      </c>
      <c r="CF28" s="128">
        <v>9.7643000000001506E-2</v>
      </c>
      <c r="CG28" s="128">
        <v>0</v>
      </c>
      <c r="CH28" s="128">
        <v>0</v>
      </c>
      <c r="CI28" s="128">
        <v>0</v>
      </c>
      <c r="CJ28" s="128">
        <v>0</v>
      </c>
      <c r="CK28" s="128">
        <v>0</v>
      </c>
      <c r="CL28" s="128">
        <v>22.24681</v>
      </c>
      <c r="CM28" s="128">
        <v>4.3729919999998401</v>
      </c>
      <c r="CN28" s="128">
        <v>4.04390000000001E-2</v>
      </c>
      <c r="CO28" s="128">
        <v>0.63690400000000102</v>
      </c>
      <c r="CP28" s="128">
        <v>0</v>
      </c>
      <c r="CQ28" s="128">
        <v>0</v>
      </c>
      <c r="CR28" s="128">
        <v>0.10797900000000001</v>
      </c>
      <c r="CS28" s="128">
        <v>0</v>
      </c>
      <c r="CT28" s="128">
        <v>0.20394799999999699</v>
      </c>
      <c r="CU28" s="128">
        <v>0</v>
      </c>
      <c r="CV28" s="128">
        <v>2.0240874999999801E-2</v>
      </c>
      <c r="CW28" s="128">
        <v>7.0327999999996393E-2</v>
      </c>
      <c r="CX28" s="128">
        <v>0.258104000000003</v>
      </c>
      <c r="CY28" s="128">
        <v>7.9249999999999599E-3</v>
      </c>
      <c r="CZ28" s="128">
        <v>1.8604000000000301E-2</v>
      </c>
      <c r="DA28" s="128">
        <v>0.26572400000000601</v>
      </c>
      <c r="DB28" s="128">
        <v>0.133136000000001</v>
      </c>
      <c r="DC28" s="128">
        <v>6.6192000000000903E-2</v>
      </c>
      <c r="DD28" s="128">
        <v>3.0645624999999999E-2</v>
      </c>
      <c r="DE28" s="128">
        <v>0</v>
      </c>
      <c r="DF28" s="128">
        <v>0</v>
      </c>
      <c r="DG28" s="128">
        <v>2.1844499999999399E-2</v>
      </c>
      <c r="DH28" s="128">
        <v>8.8154999999998703E-3</v>
      </c>
      <c r="DI28" s="128">
        <v>5.4161279999999596</v>
      </c>
      <c r="DJ28" s="128">
        <v>0</v>
      </c>
      <c r="DK28" s="128">
        <v>6.4629999999997495E-2</v>
      </c>
      <c r="DL28" s="128">
        <v>1.9189000000000799E-2</v>
      </c>
      <c r="DM28" s="128">
        <v>4.5606000000001097E-2</v>
      </c>
      <c r="DN28" s="128">
        <v>0</v>
      </c>
      <c r="DO28" s="128">
        <v>0.76062400000000696</v>
      </c>
      <c r="DP28" s="128">
        <v>3.8846499999999999E-2</v>
      </c>
      <c r="DQ28" s="128">
        <v>0</v>
      </c>
      <c r="DR28" s="128">
        <v>0</v>
      </c>
      <c r="DS28" s="128">
        <v>1.7601600000000399</v>
      </c>
      <c r="DT28" s="128">
        <v>0.42813599999999502</v>
      </c>
      <c r="DU28" s="128">
        <v>2.3532999999998701E-2</v>
      </c>
      <c r="DV28" s="128">
        <v>1.2363500000000201E-2</v>
      </c>
      <c r="DW28" s="128">
        <v>0</v>
      </c>
      <c r="DX28" s="128">
        <v>0.21635099999999999</v>
      </c>
      <c r="DY28" s="128">
        <v>8.6760000000000205E-3</v>
      </c>
      <c r="DZ28" s="128">
        <v>9.12819999999996E-2</v>
      </c>
      <c r="EA28" s="128">
        <v>0</v>
      </c>
      <c r="EB28" s="128">
        <v>1.3422719999999799</v>
      </c>
      <c r="EC28" s="128">
        <v>0.64972799999998199</v>
      </c>
      <c r="ED28" s="128">
        <v>3.4723749999999901E-2</v>
      </c>
      <c r="EE28" s="128">
        <v>4.5743565000000004</v>
      </c>
      <c r="EF28" s="128">
        <v>12.4986309999995</v>
      </c>
      <c r="EG28" s="128">
        <v>0</v>
      </c>
      <c r="EH28" s="128">
        <v>0.50508800000000098</v>
      </c>
      <c r="EI28" s="128">
        <v>0.677888000000053</v>
      </c>
      <c r="EJ28" s="128">
        <v>4.6432000000038401E-2</v>
      </c>
      <c r="EK28" s="128">
        <v>0</v>
      </c>
      <c r="EL28" s="128">
        <v>2.2289920000000598</v>
      </c>
      <c r="EM28" s="128">
        <v>3.6830720000002701</v>
      </c>
      <c r="EN28" s="128">
        <v>2.2658559999999901</v>
      </c>
      <c r="EO28" s="128">
        <v>0</v>
      </c>
      <c r="EP28" s="128">
        <v>0</v>
      </c>
      <c r="EQ28" s="128">
        <v>0</v>
      </c>
      <c r="ER28" s="129">
        <v>0</v>
      </c>
      <c r="ES28" s="129">
        <v>0</v>
      </c>
      <c r="ET28" s="129">
        <v>0</v>
      </c>
      <c r="EU28" s="129">
        <v>0</v>
      </c>
      <c r="EV28" s="129">
        <v>0</v>
      </c>
      <c r="EW28" s="129">
        <v>0</v>
      </c>
      <c r="EX28" s="129">
        <v>0</v>
      </c>
      <c r="EY28" s="129">
        <v>0</v>
      </c>
      <c r="EZ28" s="129">
        <v>0</v>
      </c>
      <c r="FA28" s="129">
        <v>0</v>
      </c>
      <c r="FB28" s="129">
        <v>0</v>
      </c>
      <c r="FC28" s="129">
        <v>0</v>
      </c>
      <c r="FD28" s="129">
        <v>0</v>
      </c>
      <c r="FE28" s="129">
        <v>0</v>
      </c>
      <c r="FF28" s="129">
        <v>0</v>
      </c>
      <c r="FG28" s="129">
        <v>0</v>
      </c>
      <c r="FH28" s="129">
        <v>0</v>
      </c>
      <c r="FI28" s="129">
        <v>0</v>
      </c>
      <c r="FJ28" s="129">
        <v>0</v>
      </c>
      <c r="FK28" s="129">
        <v>0</v>
      </c>
      <c r="FL28" s="129">
        <v>0</v>
      </c>
      <c r="FM28" s="129">
        <v>0</v>
      </c>
      <c r="FN28" s="129">
        <v>0</v>
      </c>
      <c r="FO28" s="129">
        <v>0</v>
      </c>
      <c r="FP28" s="129">
        <v>0</v>
      </c>
      <c r="FQ28" s="129">
        <v>0</v>
      </c>
      <c r="FR28" s="129">
        <v>0</v>
      </c>
      <c r="FS28" s="129">
        <v>0</v>
      </c>
      <c r="FT28" s="129">
        <v>0</v>
      </c>
      <c r="FU28" s="129">
        <v>0</v>
      </c>
      <c r="FV28" s="129">
        <v>0</v>
      </c>
      <c r="FW28" s="129">
        <v>0</v>
      </c>
      <c r="FX28" s="129">
        <v>0</v>
      </c>
      <c r="FY28" s="129">
        <v>0</v>
      </c>
      <c r="FZ28" s="129">
        <v>0</v>
      </c>
      <c r="GA28" s="129">
        <v>0</v>
      </c>
      <c r="GB28" s="129">
        <v>0</v>
      </c>
      <c r="GC28" s="129">
        <v>0</v>
      </c>
      <c r="GD28" s="129">
        <v>0</v>
      </c>
      <c r="GE28" s="129">
        <v>0</v>
      </c>
      <c r="GF28" s="129">
        <v>0</v>
      </c>
      <c r="GG28" s="129">
        <v>0</v>
      </c>
      <c r="GH28" s="129">
        <v>0</v>
      </c>
      <c r="GI28" s="129">
        <v>0</v>
      </c>
      <c r="GJ28" s="129">
        <v>0</v>
      </c>
      <c r="GK28" s="129">
        <v>0</v>
      </c>
      <c r="GL28" s="129">
        <v>0</v>
      </c>
      <c r="GM28" s="129">
        <v>0</v>
      </c>
      <c r="GN28" s="129">
        <v>0</v>
      </c>
      <c r="GO28" s="129">
        <v>0</v>
      </c>
      <c r="GP28" s="129">
        <v>0</v>
      </c>
      <c r="GQ28" s="129">
        <v>0</v>
      </c>
      <c r="GR28" s="129">
        <v>0</v>
      </c>
      <c r="GS28" s="129">
        <v>0</v>
      </c>
    </row>
    <row r="29" spans="1:201" s="30" customFormat="1" ht="13" x14ac:dyDescent="0.25">
      <c r="A29" s="87">
        <v>23</v>
      </c>
      <c r="B29" s="128">
        <v>22.880125</v>
      </c>
      <c r="C29" s="128">
        <v>7.6006280000000004</v>
      </c>
      <c r="D29" s="128">
        <v>7.9644220000000701</v>
      </c>
      <c r="E29" s="128">
        <v>0</v>
      </c>
      <c r="F29" s="128">
        <v>7.5291260000000202</v>
      </c>
      <c r="G29" s="128">
        <v>0.21379200000000201</v>
      </c>
      <c r="H29" s="128">
        <v>4.1739999999999902E-2</v>
      </c>
      <c r="I29" s="128">
        <v>7.2521999999999795E-2</v>
      </c>
      <c r="J29" s="128">
        <v>2.2728000000000099E-2</v>
      </c>
      <c r="K29" s="128">
        <v>7.2919999999998498E-3</v>
      </c>
      <c r="L29" s="128">
        <v>2.1375999999999201E-2</v>
      </c>
      <c r="M29" s="128">
        <v>0.21343199999999701</v>
      </c>
      <c r="N29" s="128">
        <v>4.8168950000000503</v>
      </c>
      <c r="O29" s="128">
        <v>4.7370549999999403</v>
      </c>
      <c r="P29" s="128">
        <v>0.338330999999997</v>
      </c>
      <c r="Q29" s="128">
        <v>7.4485759999988703</v>
      </c>
      <c r="R29" s="128">
        <v>7.7680639999998702</v>
      </c>
      <c r="S29" s="128">
        <v>0</v>
      </c>
      <c r="T29" s="128">
        <v>7.3379839999979604</v>
      </c>
      <c r="U29" s="128">
        <v>0.48539200000000399</v>
      </c>
      <c r="V29" s="128">
        <v>0.124292000000001</v>
      </c>
      <c r="W29" s="128">
        <v>6.9523999999999503E-2</v>
      </c>
      <c r="X29" s="128">
        <v>7.2597999999999302E-2</v>
      </c>
      <c r="Y29" s="128">
        <v>0</v>
      </c>
      <c r="Z29" s="128">
        <v>4.16550000000004E-2</v>
      </c>
      <c r="AA29" s="128">
        <v>0.114578000000002</v>
      </c>
      <c r="AB29" s="128">
        <v>0.15870599999999899</v>
      </c>
      <c r="AC29" s="128">
        <v>0.12687600000000299</v>
      </c>
      <c r="AD29" s="128">
        <v>5.1505500000000197E-2</v>
      </c>
      <c r="AE29" s="128">
        <v>0.100288</v>
      </c>
      <c r="AF29" s="128">
        <v>0</v>
      </c>
      <c r="AG29" s="128">
        <v>1.89405000000002E-2</v>
      </c>
      <c r="AH29" s="128">
        <v>1.9383999999999999</v>
      </c>
      <c r="AI29" s="128">
        <v>0</v>
      </c>
      <c r="AJ29" s="128">
        <v>3.2213999999999701E-2</v>
      </c>
      <c r="AK29" s="128">
        <v>0</v>
      </c>
      <c r="AL29" s="128">
        <v>0.31765599999999899</v>
      </c>
      <c r="AM29" s="128">
        <v>0.50148000000000104</v>
      </c>
      <c r="AN29" s="128">
        <v>0.38646000000000003</v>
      </c>
      <c r="AO29" s="128">
        <v>0.140628</v>
      </c>
      <c r="AP29" s="128">
        <v>8.6459999999998899E-2</v>
      </c>
      <c r="AQ29" s="128">
        <v>0.32961199999999702</v>
      </c>
      <c r="AR29" s="128">
        <v>4.9768960000000098</v>
      </c>
      <c r="AS29" s="128">
        <v>7.7876499999999502E-2</v>
      </c>
      <c r="AT29" s="128">
        <v>0</v>
      </c>
      <c r="AU29" s="128">
        <v>4.1427999999996197E-2</v>
      </c>
      <c r="AV29" s="128">
        <v>3.3932000000000101E-2</v>
      </c>
      <c r="AW29" s="128">
        <v>1.8660479999999799</v>
      </c>
      <c r="AX29" s="128">
        <v>0</v>
      </c>
      <c r="AY29" s="128">
        <v>6.8279000000000395E-2</v>
      </c>
      <c r="AZ29" s="128">
        <v>4.9999999962579999E-7</v>
      </c>
      <c r="BA29" s="128">
        <v>0</v>
      </c>
      <c r="BB29" s="128">
        <v>0</v>
      </c>
      <c r="BC29" s="128">
        <v>0</v>
      </c>
      <c r="BD29" s="128">
        <v>4.15212499999984E-3</v>
      </c>
      <c r="BE29" s="128">
        <v>0.13678999999999999</v>
      </c>
      <c r="BF29" s="128">
        <v>0</v>
      </c>
      <c r="BG29" s="128">
        <v>2.40880000000008E-2</v>
      </c>
      <c r="BH29" s="128">
        <v>2.72600000000018E-2</v>
      </c>
      <c r="BI29" s="128">
        <v>2.4194879999999999</v>
      </c>
      <c r="BJ29" s="128">
        <v>4.1809999999991004E-3</v>
      </c>
      <c r="BK29" s="128">
        <v>4.9970499999999703E-2</v>
      </c>
      <c r="BL29" s="128">
        <v>9.3000000000031903E-4</v>
      </c>
      <c r="BM29" s="128">
        <v>1.7019200000000001</v>
      </c>
      <c r="BN29" s="128">
        <v>0</v>
      </c>
      <c r="BO29" s="128">
        <v>0.23169699999999999</v>
      </c>
      <c r="BP29" s="128">
        <v>0</v>
      </c>
      <c r="BQ29" s="128">
        <v>0</v>
      </c>
      <c r="BR29" s="128">
        <v>2.4452874999999898E-2</v>
      </c>
      <c r="BS29" s="128">
        <v>0</v>
      </c>
      <c r="BT29" s="128">
        <v>0.22208799999999901</v>
      </c>
      <c r="BU29" s="128">
        <v>2.0139875000000099E-2</v>
      </c>
      <c r="BV29" s="128">
        <v>0</v>
      </c>
      <c r="BW29" s="128">
        <v>0</v>
      </c>
      <c r="BX29" s="128">
        <v>1.3025125E-2</v>
      </c>
      <c r="BY29" s="128">
        <v>0</v>
      </c>
      <c r="BZ29" s="128">
        <v>0.73026400000000502</v>
      </c>
      <c r="CA29" s="128">
        <v>0.29271199999999498</v>
      </c>
      <c r="CB29" s="128">
        <v>0</v>
      </c>
      <c r="CC29" s="128">
        <v>0</v>
      </c>
      <c r="CD29" s="128">
        <v>0</v>
      </c>
      <c r="CE29" s="128">
        <v>0</v>
      </c>
      <c r="CF29" s="128">
        <v>3.59020000000001E-2</v>
      </c>
      <c r="CG29" s="128">
        <v>0</v>
      </c>
      <c r="CH29" s="128">
        <v>2.67180000000002E-2</v>
      </c>
      <c r="CI29" s="128">
        <v>0</v>
      </c>
      <c r="CJ29" s="128">
        <v>0</v>
      </c>
      <c r="CK29" s="128">
        <v>0</v>
      </c>
      <c r="CL29" s="128">
        <v>0.16494200000000001</v>
      </c>
      <c r="CM29" s="128">
        <v>4.5647360000000399</v>
      </c>
      <c r="CN29" s="128">
        <v>4.77254999999994E-2</v>
      </c>
      <c r="CO29" s="128">
        <v>0.70555199999999696</v>
      </c>
      <c r="CP29" s="128">
        <v>0</v>
      </c>
      <c r="CQ29" s="128">
        <v>0</v>
      </c>
      <c r="CR29" s="128">
        <v>0.12950800000000001</v>
      </c>
      <c r="CS29" s="128">
        <v>0</v>
      </c>
      <c r="CT29" s="128">
        <v>0.12939600000000001</v>
      </c>
      <c r="CU29" s="128">
        <v>0</v>
      </c>
      <c r="CV29" s="128">
        <v>1.7299249999999999E-2</v>
      </c>
      <c r="CW29" s="128">
        <v>3.5108000000001E-2</v>
      </c>
      <c r="CX29" s="128">
        <v>0.26647599999999699</v>
      </c>
      <c r="CY29" s="128">
        <v>1.53910000000002E-2</v>
      </c>
      <c r="CZ29" s="128">
        <v>1.8490249999999701E-2</v>
      </c>
      <c r="DA29" s="128">
        <v>0.28412799999999599</v>
      </c>
      <c r="DB29" s="128">
        <v>0.138707999999999</v>
      </c>
      <c r="DC29" s="128">
        <v>1.1367999999997399E-2</v>
      </c>
      <c r="DD29" s="128">
        <v>3.0314250000000001E-2</v>
      </c>
      <c r="DE29" s="128">
        <v>0</v>
      </c>
      <c r="DF29" s="128">
        <v>0</v>
      </c>
      <c r="DG29" s="128">
        <v>1.6953500000000499E-2</v>
      </c>
      <c r="DH29" s="128">
        <v>8.4074999999996809E-3</v>
      </c>
      <c r="DI29" s="128">
        <v>5.4535039999999499</v>
      </c>
      <c r="DJ29" s="128">
        <v>0</v>
      </c>
      <c r="DK29" s="128">
        <v>6.5046000000002394E-2</v>
      </c>
      <c r="DL29" s="128">
        <v>1.9136999999998801E-2</v>
      </c>
      <c r="DM29" s="128">
        <v>4.7069999999999702E-2</v>
      </c>
      <c r="DN29" s="128">
        <v>2.2987500000004599E-4</v>
      </c>
      <c r="DO29" s="128">
        <v>0.81475199999999903</v>
      </c>
      <c r="DP29" s="128">
        <v>3.73095000000001E-2</v>
      </c>
      <c r="DQ29" s="128">
        <v>0</v>
      </c>
      <c r="DR29" s="128">
        <v>0</v>
      </c>
      <c r="DS29" s="128">
        <v>1.78326399999997</v>
      </c>
      <c r="DT29" s="128">
        <v>0.41403200000002</v>
      </c>
      <c r="DU29" s="128">
        <v>1.45920000000004E-2</v>
      </c>
      <c r="DV29" s="128">
        <v>1.0845250000000001E-2</v>
      </c>
      <c r="DW29" s="128">
        <v>0</v>
      </c>
      <c r="DX29" s="128">
        <v>0.198464</v>
      </c>
      <c r="DY29" s="128">
        <v>1.054340625E-2</v>
      </c>
      <c r="DZ29" s="128">
        <v>9.5734000000000194E-2</v>
      </c>
      <c r="EA29" s="128">
        <v>0</v>
      </c>
      <c r="EB29" s="128">
        <v>1.32288000000003</v>
      </c>
      <c r="EC29" s="128">
        <v>0.66139200000000598</v>
      </c>
      <c r="ED29" s="128">
        <v>3.0625500000000201E-2</v>
      </c>
      <c r="EE29" s="128">
        <v>1.98155E-2</v>
      </c>
      <c r="EF29" s="128">
        <v>14.216426</v>
      </c>
      <c r="EG29" s="128">
        <v>0</v>
      </c>
      <c r="EH29" s="128">
        <v>0.53183999999998799</v>
      </c>
      <c r="EI29" s="128">
        <v>0.83737599999994905</v>
      </c>
      <c r="EJ29" s="128">
        <v>4.0063999999972601E-2</v>
      </c>
      <c r="EK29" s="128">
        <v>0</v>
      </c>
      <c r="EL29" s="128">
        <v>3.1522559999998498</v>
      </c>
      <c r="EM29" s="128">
        <v>3.9221760000000399</v>
      </c>
      <c r="EN29" s="128">
        <v>2.36748800000032</v>
      </c>
      <c r="EO29" s="128">
        <v>0</v>
      </c>
      <c r="EP29" s="128">
        <v>0</v>
      </c>
      <c r="EQ29" s="128">
        <v>0</v>
      </c>
      <c r="ER29" s="129">
        <v>0</v>
      </c>
      <c r="ES29" s="129">
        <v>0</v>
      </c>
      <c r="ET29" s="129">
        <v>0</v>
      </c>
      <c r="EU29" s="129">
        <v>0</v>
      </c>
      <c r="EV29" s="129">
        <v>0</v>
      </c>
      <c r="EW29" s="129">
        <v>0</v>
      </c>
      <c r="EX29" s="129">
        <v>0</v>
      </c>
      <c r="EY29" s="129">
        <v>0</v>
      </c>
      <c r="EZ29" s="129">
        <v>0</v>
      </c>
      <c r="FA29" s="129">
        <v>0</v>
      </c>
      <c r="FB29" s="129">
        <v>0</v>
      </c>
      <c r="FC29" s="129">
        <v>0</v>
      </c>
      <c r="FD29" s="129">
        <v>0</v>
      </c>
      <c r="FE29" s="129">
        <v>0</v>
      </c>
      <c r="FF29" s="129">
        <v>0</v>
      </c>
      <c r="FG29" s="129">
        <v>0</v>
      </c>
      <c r="FH29" s="129">
        <v>0</v>
      </c>
      <c r="FI29" s="129">
        <v>0</v>
      </c>
      <c r="FJ29" s="129">
        <v>0</v>
      </c>
      <c r="FK29" s="129">
        <v>0</v>
      </c>
      <c r="FL29" s="129">
        <v>0</v>
      </c>
      <c r="FM29" s="129">
        <v>0</v>
      </c>
      <c r="FN29" s="129">
        <v>0</v>
      </c>
      <c r="FO29" s="129">
        <v>0</v>
      </c>
      <c r="FP29" s="129">
        <v>0</v>
      </c>
      <c r="FQ29" s="129">
        <v>0</v>
      </c>
      <c r="FR29" s="129">
        <v>0</v>
      </c>
      <c r="FS29" s="129">
        <v>0</v>
      </c>
      <c r="FT29" s="129">
        <v>0</v>
      </c>
      <c r="FU29" s="129">
        <v>0</v>
      </c>
      <c r="FV29" s="129">
        <v>0</v>
      </c>
      <c r="FW29" s="129">
        <v>0</v>
      </c>
      <c r="FX29" s="129">
        <v>0</v>
      </c>
      <c r="FY29" s="129">
        <v>0</v>
      </c>
      <c r="FZ29" s="129">
        <v>0</v>
      </c>
      <c r="GA29" s="129">
        <v>0</v>
      </c>
      <c r="GB29" s="129">
        <v>0</v>
      </c>
      <c r="GC29" s="129">
        <v>0</v>
      </c>
      <c r="GD29" s="129">
        <v>0</v>
      </c>
      <c r="GE29" s="129">
        <v>0</v>
      </c>
      <c r="GF29" s="129">
        <v>0</v>
      </c>
      <c r="GG29" s="129">
        <v>0</v>
      </c>
      <c r="GH29" s="129">
        <v>0</v>
      </c>
      <c r="GI29" s="129">
        <v>0</v>
      </c>
      <c r="GJ29" s="129">
        <v>0</v>
      </c>
      <c r="GK29" s="129">
        <v>0</v>
      </c>
      <c r="GL29" s="129">
        <v>0</v>
      </c>
      <c r="GM29" s="129">
        <v>0</v>
      </c>
      <c r="GN29" s="129">
        <v>0</v>
      </c>
      <c r="GO29" s="129">
        <v>0</v>
      </c>
      <c r="GP29" s="129">
        <v>0</v>
      </c>
      <c r="GQ29" s="129">
        <v>0</v>
      </c>
      <c r="GR29" s="129">
        <v>0</v>
      </c>
      <c r="GS29" s="129">
        <v>0</v>
      </c>
    </row>
    <row r="30" spans="1:201" s="30" customFormat="1" ht="13" x14ac:dyDescent="0.25">
      <c r="A30" s="87">
        <v>24</v>
      </c>
      <c r="B30" s="128">
        <v>8.8388749999999998</v>
      </c>
      <c r="C30" s="128">
        <v>3.80802199999999</v>
      </c>
      <c r="D30" s="128">
        <v>4.0120399999999599</v>
      </c>
      <c r="E30" s="128">
        <v>0</v>
      </c>
      <c r="F30" s="128">
        <v>3.84860299999997</v>
      </c>
      <c r="G30" s="128">
        <v>2.772097</v>
      </c>
      <c r="H30" s="128">
        <v>0.107297000000001</v>
      </c>
      <c r="I30" s="128">
        <v>1.373966</v>
      </c>
      <c r="J30" s="128">
        <v>0.42270600000000003</v>
      </c>
      <c r="K30" s="128">
        <v>0</v>
      </c>
      <c r="L30" s="128">
        <v>1.0431000000000501E-2</v>
      </c>
      <c r="M30" s="128">
        <v>2.7702209999999998</v>
      </c>
      <c r="N30" s="128">
        <v>4.34565800000001</v>
      </c>
      <c r="O30" s="128">
        <v>4.2954370000001099</v>
      </c>
      <c r="P30" s="128">
        <v>0.32639900000000199</v>
      </c>
      <c r="Q30" s="128">
        <v>3.7130240000005901</v>
      </c>
      <c r="R30" s="128">
        <v>3.91987200000221</v>
      </c>
      <c r="S30" s="128">
        <v>0</v>
      </c>
      <c r="T30" s="128">
        <v>3.7191679999996299</v>
      </c>
      <c r="U30" s="128">
        <v>0.30182399999999598</v>
      </c>
      <c r="V30" s="128">
        <v>0.115818000000001</v>
      </c>
      <c r="W30" s="128">
        <v>3.9603000000001401E-2</v>
      </c>
      <c r="X30" s="128">
        <v>4.8185000000000103E-2</v>
      </c>
      <c r="Y30" s="128">
        <v>0</v>
      </c>
      <c r="Z30" s="128">
        <v>3.6379999999999399E-2</v>
      </c>
      <c r="AA30" s="128">
        <v>8.9340000000000003E-2</v>
      </c>
      <c r="AB30" s="128">
        <v>0.159108</v>
      </c>
      <c r="AC30" s="128">
        <v>0.11161199999999701</v>
      </c>
      <c r="AD30" s="128">
        <v>3.9551500000000003E-2</v>
      </c>
      <c r="AE30" s="128">
        <v>0.10345725</v>
      </c>
      <c r="AF30" s="128">
        <v>0</v>
      </c>
      <c r="AG30" s="128">
        <v>3.4847749999999997E-2</v>
      </c>
      <c r="AH30" s="128">
        <v>1.28438399999999</v>
      </c>
      <c r="AI30" s="128">
        <v>0</v>
      </c>
      <c r="AJ30" s="128">
        <v>1.5609500000000101E-2</v>
      </c>
      <c r="AK30" s="128">
        <v>0</v>
      </c>
      <c r="AL30" s="128">
        <v>0.21800799999999801</v>
      </c>
      <c r="AM30" s="128">
        <v>0.32863199999999898</v>
      </c>
      <c r="AN30" s="128">
        <v>0.231572</v>
      </c>
      <c r="AO30" s="128">
        <v>0.106753999999999</v>
      </c>
      <c r="AP30" s="128">
        <v>7.2918000000001398E-2</v>
      </c>
      <c r="AQ30" s="128">
        <v>0.209844000000004</v>
      </c>
      <c r="AR30" s="128">
        <v>3.2656640000000201</v>
      </c>
      <c r="AS30" s="128">
        <v>5.4915499999999902E-2</v>
      </c>
      <c r="AT30" s="128">
        <v>0</v>
      </c>
      <c r="AU30" s="128">
        <v>4.2176000000004897E-2</v>
      </c>
      <c r="AV30" s="128">
        <v>2.1835000000000299E-2</v>
      </c>
      <c r="AW30" s="128">
        <v>0.67609600000003001</v>
      </c>
      <c r="AX30" s="128">
        <v>0</v>
      </c>
      <c r="AY30" s="128">
        <v>6.9271499999999306E-2</v>
      </c>
      <c r="AZ30" s="128">
        <v>5.9999999999504902E-6</v>
      </c>
      <c r="BA30" s="128">
        <v>0</v>
      </c>
      <c r="BB30" s="128">
        <v>0</v>
      </c>
      <c r="BC30" s="128">
        <v>0</v>
      </c>
      <c r="BD30" s="128">
        <v>3.1023750000000998E-3</v>
      </c>
      <c r="BE30" s="128">
        <v>0.413551</v>
      </c>
      <c r="BF30" s="128">
        <v>0</v>
      </c>
      <c r="BG30" s="128">
        <v>9.7670000000000794E-3</v>
      </c>
      <c r="BH30" s="128">
        <v>2.29740000000014E-2</v>
      </c>
      <c r="BI30" s="128">
        <v>1.6850720000000201</v>
      </c>
      <c r="BJ30" s="128">
        <v>3.12000000000978E-4</v>
      </c>
      <c r="BK30" s="128">
        <v>6.4093000000000594E-2</v>
      </c>
      <c r="BL30" s="128">
        <v>9.8000000001263702E-5</v>
      </c>
      <c r="BM30" s="128">
        <v>0.49367999999998302</v>
      </c>
      <c r="BN30" s="128">
        <v>0</v>
      </c>
      <c r="BO30" s="128">
        <v>2.97539999999996E-2</v>
      </c>
      <c r="BP30" s="128">
        <v>0</v>
      </c>
      <c r="BQ30" s="128">
        <v>0</v>
      </c>
      <c r="BR30" s="128">
        <v>6.8171875000000402E-3</v>
      </c>
      <c r="BS30" s="128">
        <v>0</v>
      </c>
      <c r="BT30" s="128">
        <v>2.4099999999997099E-2</v>
      </c>
      <c r="BU30" s="128">
        <v>9.68949999999991E-3</v>
      </c>
      <c r="BV30" s="128">
        <v>0</v>
      </c>
      <c r="BW30" s="128">
        <v>0</v>
      </c>
      <c r="BX30" s="128">
        <v>7.1431250000000297E-3</v>
      </c>
      <c r="BY30" s="128">
        <v>0</v>
      </c>
      <c r="BZ30" s="128">
        <v>0.33127199999999801</v>
      </c>
      <c r="CA30" s="128">
        <v>1.27920000000046E-2</v>
      </c>
      <c r="CB30" s="128">
        <v>0</v>
      </c>
      <c r="CC30" s="128">
        <v>0</v>
      </c>
      <c r="CD30" s="128">
        <v>0</v>
      </c>
      <c r="CE30" s="128">
        <v>0</v>
      </c>
      <c r="CF30" s="128">
        <v>1.8132999999998799E-2</v>
      </c>
      <c r="CG30" s="128">
        <v>0</v>
      </c>
      <c r="CH30" s="128">
        <v>1.3574999999965701E-4</v>
      </c>
      <c r="CI30" s="128">
        <v>0</v>
      </c>
      <c r="CJ30" s="128">
        <v>0</v>
      </c>
      <c r="CK30" s="128">
        <v>0</v>
      </c>
      <c r="CL30" s="128">
        <v>4.2217999999998299E-2</v>
      </c>
      <c r="CM30" s="128">
        <v>4.0785920000000697</v>
      </c>
      <c r="CN30" s="128">
        <v>4.2969499999999897E-2</v>
      </c>
      <c r="CO30" s="128">
        <v>0.69102399999999897</v>
      </c>
      <c r="CP30" s="128">
        <v>0</v>
      </c>
      <c r="CQ30" s="128">
        <v>0</v>
      </c>
      <c r="CR30" s="128">
        <v>0.14933299999999999</v>
      </c>
      <c r="CS30" s="128">
        <v>0</v>
      </c>
      <c r="CT30" s="128">
        <v>3.3480000000025698E-3</v>
      </c>
      <c r="CU30" s="128">
        <v>0</v>
      </c>
      <c r="CV30" s="128">
        <v>1.0787625000000099E-2</v>
      </c>
      <c r="CW30" s="128">
        <v>0</v>
      </c>
      <c r="CX30" s="128">
        <v>0.258051999999999</v>
      </c>
      <c r="CY30" s="128">
        <v>1.3498999999999799E-2</v>
      </c>
      <c r="CZ30" s="128">
        <v>1.14382499999999E-2</v>
      </c>
      <c r="DA30" s="128">
        <v>0.284967999999999</v>
      </c>
      <c r="DB30" s="128">
        <v>0.13380400000000001</v>
      </c>
      <c r="DC30" s="128">
        <v>8.2480000000018094E-3</v>
      </c>
      <c r="DD30" s="128">
        <v>2.2750625E-2</v>
      </c>
      <c r="DE30" s="128">
        <v>0</v>
      </c>
      <c r="DF30" s="128">
        <v>0</v>
      </c>
      <c r="DG30" s="128">
        <v>0</v>
      </c>
      <c r="DH30" s="128">
        <v>5.9919999999999999E-3</v>
      </c>
      <c r="DI30" s="128">
        <v>2.8117120000000599</v>
      </c>
      <c r="DJ30" s="128">
        <v>0</v>
      </c>
      <c r="DK30" s="128">
        <v>6.5539999999998599E-2</v>
      </c>
      <c r="DL30" s="128">
        <v>1.8470999999999901E-2</v>
      </c>
      <c r="DM30" s="128">
        <v>3.05539999999986E-2</v>
      </c>
      <c r="DN30" s="128">
        <v>0</v>
      </c>
      <c r="DO30" s="128">
        <v>0.36601600000000201</v>
      </c>
      <c r="DP30" s="128">
        <v>1.9464000000000099E-2</v>
      </c>
      <c r="DQ30" s="128">
        <v>0</v>
      </c>
      <c r="DR30" s="128">
        <v>0</v>
      </c>
      <c r="DS30" s="128">
        <v>1.1293760000000399</v>
      </c>
      <c r="DT30" s="128">
        <v>9.3959999999981406E-2</v>
      </c>
      <c r="DU30" s="128">
        <v>0</v>
      </c>
      <c r="DV30" s="128">
        <v>6.7657500000000096E-3</v>
      </c>
      <c r="DW30" s="128">
        <v>0</v>
      </c>
      <c r="DX30" s="128">
        <v>0.126055</v>
      </c>
      <c r="DY30" s="128">
        <v>1.049003125E-2</v>
      </c>
      <c r="DZ30" s="128">
        <v>6.4617999999999398E-2</v>
      </c>
      <c r="EA30" s="128">
        <v>0</v>
      </c>
      <c r="EB30" s="128">
        <v>0.77854399999998203</v>
      </c>
      <c r="EC30" s="128">
        <v>0.140128000000004</v>
      </c>
      <c r="ED30" s="128">
        <v>2.8352499999999602E-3</v>
      </c>
      <c r="EE30" s="128">
        <v>2.5357000000000501E-2</v>
      </c>
      <c r="EF30" s="128">
        <v>8.3542100000004194</v>
      </c>
      <c r="EG30" s="128">
        <v>0</v>
      </c>
      <c r="EH30" s="128">
        <v>0.353600000000029</v>
      </c>
      <c r="EI30" s="128">
        <v>0.45369600000003601</v>
      </c>
      <c r="EJ30" s="128">
        <v>2.60160000000269E-2</v>
      </c>
      <c r="EK30" s="128">
        <v>0</v>
      </c>
      <c r="EL30" s="128">
        <v>5.1200000007156599E-4</v>
      </c>
      <c r="EM30" s="128">
        <v>2.93068799999992</v>
      </c>
      <c r="EN30" s="128">
        <v>3.22534399999995</v>
      </c>
      <c r="EO30" s="128">
        <v>0</v>
      </c>
      <c r="EP30" s="128">
        <v>0</v>
      </c>
      <c r="EQ30" s="128">
        <v>0</v>
      </c>
      <c r="ER30" s="129">
        <v>0</v>
      </c>
      <c r="ES30" s="129">
        <v>0</v>
      </c>
      <c r="ET30" s="129">
        <v>0</v>
      </c>
      <c r="EU30" s="129">
        <v>0</v>
      </c>
      <c r="EV30" s="129">
        <v>0</v>
      </c>
      <c r="EW30" s="129">
        <v>0</v>
      </c>
      <c r="EX30" s="129">
        <v>0</v>
      </c>
      <c r="EY30" s="129">
        <v>0</v>
      </c>
      <c r="EZ30" s="129">
        <v>0</v>
      </c>
      <c r="FA30" s="129">
        <v>0</v>
      </c>
      <c r="FB30" s="129">
        <v>0</v>
      </c>
      <c r="FC30" s="129">
        <v>0</v>
      </c>
      <c r="FD30" s="129">
        <v>0</v>
      </c>
      <c r="FE30" s="129">
        <v>0</v>
      </c>
      <c r="FF30" s="129">
        <v>0</v>
      </c>
      <c r="FG30" s="129">
        <v>0</v>
      </c>
      <c r="FH30" s="129">
        <v>0</v>
      </c>
      <c r="FI30" s="129">
        <v>0</v>
      </c>
      <c r="FJ30" s="129">
        <v>0</v>
      </c>
      <c r="FK30" s="129">
        <v>0</v>
      </c>
      <c r="FL30" s="129">
        <v>0</v>
      </c>
      <c r="FM30" s="129">
        <v>0</v>
      </c>
      <c r="FN30" s="129">
        <v>0</v>
      </c>
      <c r="FO30" s="129">
        <v>0</v>
      </c>
      <c r="FP30" s="129">
        <v>0</v>
      </c>
      <c r="FQ30" s="129">
        <v>0</v>
      </c>
      <c r="FR30" s="129">
        <v>0</v>
      </c>
      <c r="FS30" s="129">
        <v>0</v>
      </c>
      <c r="FT30" s="129">
        <v>0</v>
      </c>
      <c r="FU30" s="129">
        <v>0</v>
      </c>
      <c r="FV30" s="129">
        <v>0</v>
      </c>
      <c r="FW30" s="129">
        <v>0</v>
      </c>
      <c r="FX30" s="129">
        <v>0</v>
      </c>
      <c r="FY30" s="129">
        <v>0</v>
      </c>
      <c r="FZ30" s="129">
        <v>0</v>
      </c>
      <c r="GA30" s="129">
        <v>0</v>
      </c>
      <c r="GB30" s="129">
        <v>0</v>
      </c>
      <c r="GC30" s="129">
        <v>0</v>
      </c>
      <c r="GD30" s="129">
        <v>0</v>
      </c>
      <c r="GE30" s="129">
        <v>0</v>
      </c>
      <c r="GF30" s="129">
        <v>0</v>
      </c>
      <c r="GG30" s="129">
        <v>0</v>
      </c>
      <c r="GH30" s="129">
        <v>0</v>
      </c>
      <c r="GI30" s="129">
        <v>0</v>
      </c>
      <c r="GJ30" s="129">
        <v>0</v>
      </c>
      <c r="GK30" s="129">
        <v>0</v>
      </c>
      <c r="GL30" s="129">
        <v>0</v>
      </c>
      <c r="GM30" s="129">
        <v>0</v>
      </c>
      <c r="GN30" s="129">
        <v>0</v>
      </c>
      <c r="GO30" s="129">
        <v>0</v>
      </c>
      <c r="GP30" s="129">
        <v>0</v>
      </c>
      <c r="GQ30" s="129">
        <v>0</v>
      </c>
      <c r="GR30" s="129">
        <v>0</v>
      </c>
      <c r="GS30" s="129">
        <v>0</v>
      </c>
    </row>
    <row r="31" spans="1:201" s="30" customFormat="1" ht="13" x14ac:dyDescent="0.25">
      <c r="A31" s="87">
        <v>25</v>
      </c>
      <c r="B31" s="128">
        <v>6.1247499999999997</v>
      </c>
      <c r="C31" s="128">
        <v>1.95158900000001</v>
      </c>
      <c r="D31" s="128">
        <v>2.10719399999999</v>
      </c>
      <c r="E31" s="128">
        <v>0</v>
      </c>
      <c r="F31" s="128">
        <v>2.0457000000000098</v>
      </c>
      <c r="G31" s="128">
        <v>0</v>
      </c>
      <c r="H31" s="128">
        <v>0</v>
      </c>
      <c r="I31" s="128">
        <v>0</v>
      </c>
      <c r="J31" s="128">
        <v>0</v>
      </c>
      <c r="K31" s="128">
        <v>0</v>
      </c>
      <c r="L31" s="128">
        <v>0</v>
      </c>
      <c r="M31" s="128">
        <v>0</v>
      </c>
      <c r="N31" s="128">
        <v>3.0267940000000002</v>
      </c>
      <c r="O31" s="128">
        <v>3.1942460000000201</v>
      </c>
      <c r="P31" s="128">
        <v>0.227411</v>
      </c>
      <c r="Q31" s="128">
        <v>1.92102399999931</v>
      </c>
      <c r="R31" s="128">
        <v>2.0541439999978999</v>
      </c>
      <c r="S31" s="128">
        <v>0</v>
      </c>
      <c r="T31" s="128">
        <v>1.9906560000017599</v>
      </c>
      <c r="U31" s="128">
        <v>0.23744000000000701</v>
      </c>
      <c r="V31" s="128">
        <v>0.120709999999999</v>
      </c>
      <c r="W31" s="128">
        <v>3.2375999999999301E-2</v>
      </c>
      <c r="X31" s="128">
        <v>4.7287000000000697E-2</v>
      </c>
      <c r="Y31" s="128">
        <v>0</v>
      </c>
      <c r="Z31" s="128">
        <v>2.4531000000001399E-2</v>
      </c>
      <c r="AA31" s="128">
        <v>6.8258000000000194E-2</v>
      </c>
      <c r="AB31" s="128">
        <v>0.14993600000000001</v>
      </c>
      <c r="AC31" s="128">
        <v>9.8772000000000304E-2</v>
      </c>
      <c r="AD31" s="128">
        <v>5.0832999999999899E-2</v>
      </c>
      <c r="AE31" s="128">
        <v>3.1842000000000099E-2</v>
      </c>
      <c r="AF31" s="128">
        <v>0</v>
      </c>
      <c r="AG31" s="128">
        <v>1.18830000000001E-2</v>
      </c>
      <c r="AH31" s="128">
        <v>0.95766400000002305</v>
      </c>
      <c r="AI31" s="128">
        <v>0</v>
      </c>
      <c r="AJ31" s="128">
        <v>1.2655999999999799E-2</v>
      </c>
      <c r="AK31" s="128">
        <v>0</v>
      </c>
      <c r="AL31" s="128">
        <v>0.20937599999999201</v>
      </c>
      <c r="AM31" s="128">
        <v>0.212904000000009</v>
      </c>
      <c r="AN31" s="128">
        <v>0.12660399999999999</v>
      </c>
      <c r="AO31" s="128">
        <v>0.112856000000001</v>
      </c>
      <c r="AP31" s="128">
        <v>6.5733999999999099E-2</v>
      </c>
      <c r="AQ31" s="128">
        <v>0.112836000000001</v>
      </c>
      <c r="AR31" s="128">
        <v>2.2311999999999999</v>
      </c>
      <c r="AS31" s="128">
        <v>4.5279500000000403E-2</v>
      </c>
      <c r="AT31" s="128">
        <v>0</v>
      </c>
      <c r="AU31" s="128">
        <v>3.1667999999996303E-2</v>
      </c>
      <c r="AV31" s="128">
        <v>1.33479999999997E-2</v>
      </c>
      <c r="AW31" s="128">
        <v>0.42188799999996701</v>
      </c>
      <c r="AX31" s="128">
        <v>0</v>
      </c>
      <c r="AY31" s="128">
        <v>6.7502500000000701E-2</v>
      </c>
      <c r="AZ31" s="128">
        <v>9.9999999996214194E-6</v>
      </c>
      <c r="BA31" s="128">
        <v>0</v>
      </c>
      <c r="BB31" s="128">
        <v>0</v>
      </c>
      <c r="BC31" s="128">
        <v>0</v>
      </c>
      <c r="BD31" s="128">
        <v>3.9424999999999599E-3</v>
      </c>
      <c r="BE31" s="128">
        <v>0.11949900000000099</v>
      </c>
      <c r="BF31" s="128">
        <v>0</v>
      </c>
      <c r="BG31" s="128">
        <v>9.8679999999990997E-3</v>
      </c>
      <c r="BH31" s="128">
        <v>4.6999999999997001E-4</v>
      </c>
      <c r="BI31" s="128">
        <v>1.3324159999999901</v>
      </c>
      <c r="BJ31" s="128">
        <v>1.2959999999999599E-3</v>
      </c>
      <c r="BK31" s="128">
        <v>3.3729499999999697E-2</v>
      </c>
      <c r="BL31" s="128">
        <v>2.5999999998305201E-5</v>
      </c>
      <c r="BM31" s="128">
        <v>0.37448000000000498</v>
      </c>
      <c r="BN31" s="128">
        <v>0</v>
      </c>
      <c r="BO31" s="128">
        <v>6.2876000000000196E-2</v>
      </c>
      <c r="BP31" s="128">
        <v>0</v>
      </c>
      <c r="BQ31" s="128">
        <v>0</v>
      </c>
      <c r="BR31" s="128">
        <v>9.9174999999995794E-4</v>
      </c>
      <c r="BS31" s="128">
        <v>0</v>
      </c>
      <c r="BT31" s="128">
        <v>2.3288000000000902E-2</v>
      </c>
      <c r="BU31" s="128">
        <v>1.41087499999992E-3</v>
      </c>
      <c r="BV31" s="128">
        <v>0</v>
      </c>
      <c r="BW31" s="128">
        <v>0</v>
      </c>
      <c r="BX31" s="128">
        <v>1.19349999999996E-3</v>
      </c>
      <c r="BY31" s="128">
        <v>0</v>
      </c>
      <c r="BZ31" s="128">
        <v>0.214528000000001</v>
      </c>
      <c r="CA31" s="128">
        <v>8.35999999999615E-3</v>
      </c>
      <c r="CB31" s="128">
        <v>0</v>
      </c>
      <c r="CC31" s="128">
        <v>0</v>
      </c>
      <c r="CD31" s="128">
        <v>0</v>
      </c>
      <c r="CE31" s="128">
        <v>0</v>
      </c>
      <c r="CF31" s="128">
        <v>1.13450000000004E-2</v>
      </c>
      <c r="CG31" s="128">
        <v>0</v>
      </c>
      <c r="CH31" s="128">
        <v>2.0247999999999999E-2</v>
      </c>
      <c r="CI31" s="128">
        <v>0</v>
      </c>
      <c r="CJ31" s="128">
        <v>0</v>
      </c>
      <c r="CK31" s="128">
        <v>0</v>
      </c>
      <c r="CL31" s="128">
        <v>6.6704000000001401E-2</v>
      </c>
      <c r="CM31" s="128">
        <v>2.7233280000000399</v>
      </c>
      <c r="CN31" s="128">
        <v>2.1821000000000101E-2</v>
      </c>
      <c r="CO31" s="128">
        <v>0.50442800000000398</v>
      </c>
      <c r="CP31" s="128">
        <v>0</v>
      </c>
      <c r="CQ31" s="128">
        <v>0</v>
      </c>
      <c r="CR31" s="128">
        <v>9.5119000000000398E-2</v>
      </c>
      <c r="CS31" s="128">
        <v>0</v>
      </c>
      <c r="CT31" s="128">
        <v>8.5948000000001898E-2</v>
      </c>
      <c r="CU31" s="128">
        <v>0</v>
      </c>
      <c r="CV31" s="128">
        <v>1.35272500000001E-2</v>
      </c>
      <c r="CW31" s="128">
        <v>1.9559999999998498E-3</v>
      </c>
      <c r="CX31" s="128">
        <v>0.241092000000002</v>
      </c>
      <c r="CY31" s="128">
        <v>1.1759000000000099E-2</v>
      </c>
      <c r="CZ31" s="128">
        <v>1.0830500000000401E-2</v>
      </c>
      <c r="DA31" s="128">
        <v>0.18454799999999899</v>
      </c>
      <c r="DB31" s="128">
        <v>7.0291000000000103E-2</v>
      </c>
      <c r="DC31" s="128">
        <v>8.2120000000003301E-3</v>
      </c>
      <c r="DD31" s="128">
        <v>0</v>
      </c>
      <c r="DE31" s="128">
        <v>0</v>
      </c>
      <c r="DF31" s="128">
        <v>0</v>
      </c>
      <c r="DG31" s="128">
        <v>0</v>
      </c>
      <c r="DH31" s="128">
        <v>7.6510000000000701E-3</v>
      </c>
      <c r="DI31" s="128">
        <v>1.67622399999993</v>
      </c>
      <c r="DJ31" s="128">
        <v>0</v>
      </c>
      <c r="DK31" s="128">
        <v>4.6948000000000399E-2</v>
      </c>
      <c r="DL31" s="128">
        <v>9.2960000000008609E-3</v>
      </c>
      <c r="DM31" s="128">
        <v>2.7770000000000301E-2</v>
      </c>
      <c r="DN31" s="128">
        <v>0</v>
      </c>
      <c r="DO31" s="128">
        <v>4.9248000000005697E-2</v>
      </c>
      <c r="DP31" s="128">
        <v>1.9033499999999901E-2</v>
      </c>
      <c r="DQ31" s="128">
        <v>0</v>
      </c>
      <c r="DR31" s="128">
        <v>0</v>
      </c>
      <c r="DS31" s="128">
        <v>0.70787199999995198</v>
      </c>
      <c r="DT31" s="128">
        <v>7.2336000000007103E-2</v>
      </c>
      <c r="DU31" s="128">
        <v>2.42000000000075E-4</v>
      </c>
      <c r="DV31" s="128">
        <v>5.6927499999996902E-3</v>
      </c>
      <c r="DW31" s="128">
        <v>0</v>
      </c>
      <c r="DX31" s="128">
        <v>3.5213999999999898E-2</v>
      </c>
      <c r="DY31" s="128">
        <v>9.9560625000000309E-3</v>
      </c>
      <c r="DZ31" s="128">
        <v>5.0086000000000297E-2</v>
      </c>
      <c r="EA31" s="128">
        <v>0</v>
      </c>
      <c r="EB31" s="128">
        <v>0.50500800000000401</v>
      </c>
      <c r="EC31" s="128">
        <v>0.124415999999997</v>
      </c>
      <c r="ED31" s="128">
        <v>1.0148000000000001E-2</v>
      </c>
      <c r="EE31" s="128">
        <v>2.1948000000000099E-2</v>
      </c>
      <c r="EF31" s="128">
        <v>4.3604629999999798</v>
      </c>
      <c r="EG31" s="128">
        <v>0</v>
      </c>
      <c r="EH31" s="128">
        <v>0.26303999999993299</v>
      </c>
      <c r="EI31" s="128">
        <v>0.45651199999997499</v>
      </c>
      <c r="EJ31" s="128">
        <v>7.8719999999634603E-3</v>
      </c>
      <c r="EK31" s="128">
        <v>0</v>
      </c>
      <c r="EL31" s="128">
        <v>6.9631999999956007E-2</v>
      </c>
      <c r="EM31" s="128">
        <v>0.31743999999980599</v>
      </c>
      <c r="EN31" s="128">
        <v>2.1473280000000199</v>
      </c>
      <c r="EO31" s="128">
        <v>0</v>
      </c>
      <c r="EP31" s="128">
        <v>0</v>
      </c>
      <c r="EQ31" s="128">
        <v>0</v>
      </c>
      <c r="ER31" s="129">
        <v>0.18502500000000299</v>
      </c>
      <c r="ES31" s="129">
        <v>0</v>
      </c>
      <c r="ET31" s="129">
        <v>0</v>
      </c>
      <c r="EU31" s="129">
        <v>0</v>
      </c>
      <c r="EV31" s="129">
        <v>0</v>
      </c>
      <c r="EW31" s="129">
        <v>0</v>
      </c>
      <c r="EX31" s="129">
        <v>0</v>
      </c>
      <c r="EY31" s="129">
        <v>0</v>
      </c>
      <c r="EZ31" s="129">
        <v>0</v>
      </c>
      <c r="FA31" s="129">
        <v>0</v>
      </c>
      <c r="FB31" s="129">
        <v>0</v>
      </c>
      <c r="FC31" s="129">
        <v>0</v>
      </c>
      <c r="FD31" s="129">
        <v>0</v>
      </c>
      <c r="FE31" s="129">
        <v>0</v>
      </c>
      <c r="FF31" s="129">
        <v>0</v>
      </c>
      <c r="FG31" s="129">
        <v>0</v>
      </c>
      <c r="FH31" s="129">
        <v>0</v>
      </c>
      <c r="FI31" s="129">
        <v>0</v>
      </c>
      <c r="FJ31" s="129">
        <v>0</v>
      </c>
      <c r="FK31" s="129">
        <v>0</v>
      </c>
      <c r="FL31" s="129">
        <v>0</v>
      </c>
      <c r="FM31" s="129">
        <v>0</v>
      </c>
      <c r="FN31" s="129">
        <v>0</v>
      </c>
      <c r="FO31" s="129">
        <v>0</v>
      </c>
      <c r="FP31" s="129">
        <v>0</v>
      </c>
      <c r="FQ31" s="129">
        <v>0</v>
      </c>
      <c r="FR31" s="129">
        <v>0</v>
      </c>
      <c r="FS31" s="129">
        <v>0</v>
      </c>
      <c r="FT31" s="129">
        <v>0</v>
      </c>
      <c r="FU31" s="129">
        <v>0</v>
      </c>
      <c r="FV31" s="129">
        <v>0</v>
      </c>
      <c r="FW31" s="129">
        <v>0</v>
      </c>
      <c r="FX31" s="129">
        <v>0</v>
      </c>
      <c r="FY31" s="129">
        <v>0</v>
      </c>
      <c r="FZ31" s="129">
        <v>0</v>
      </c>
      <c r="GA31" s="129">
        <v>0</v>
      </c>
      <c r="GB31" s="129">
        <v>0</v>
      </c>
      <c r="GC31" s="129">
        <v>0</v>
      </c>
      <c r="GD31" s="129">
        <v>0</v>
      </c>
      <c r="GE31" s="129">
        <v>0</v>
      </c>
      <c r="GF31" s="129">
        <v>0</v>
      </c>
      <c r="GG31" s="129">
        <v>0</v>
      </c>
      <c r="GH31" s="129">
        <v>0</v>
      </c>
      <c r="GI31" s="129">
        <v>0</v>
      </c>
      <c r="GJ31" s="129">
        <v>0</v>
      </c>
      <c r="GK31" s="129">
        <v>0</v>
      </c>
      <c r="GL31" s="129">
        <v>0</v>
      </c>
      <c r="GM31" s="129">
        <v>0</v>
      </c>
      <c r="GN31" s="129">
        <v>0</v>
      </c>
      <c r="GO31" s="129">
        <v>0</v>
      </c>
      <c r="GP31" s="129">
        <v>0</v>
      </c>
      <c r="GQ31" s="129">
        <v>0</v>
      </c>
      <c r="GR31" s="129">
        <v>0</v>
      </c>
      <c r="GS31" s="129">
        <v>0</v>
      </c>
    </row>
    <row r="32" spans="1:201" s="30" customFormat="1" ht="13" x14ac:dyDescent="0.25">
      <c r="A32" s="87">
        <v>26</v>
      </c>
      <c r="B32" s="128">
        <v>22.619375000000002</v>
      </c>
      <c r="C32" s="128">
        <v>7.4723419999999701</v>
      </c>
      <c r="D32" s="128">
        <v>7.7942350000000102</v>
      </c>
      <c r="E32" s="128">
        <v>0</v>
      </c>
      <c r="F32" s="128">
        <v>7.3896149999999903</v>
      </c>
      <c r="G32" s="128">
        <v>0</v>
      </c>
      <c r="H32" s="128">
        <v>0</v>
      </c>
      <c r="I32" s="128">
        <v>0</v>
      </c>
      <c r="J32" s="128">
        <v>0</v>
      </c>
      <c r="K32" s="128">
        <v>0</v>
      </c>
      <c r="L32" s="128">
        <v>0</v>
      </c>
      <c r="M32" s="128">
        <v>0</v>
      </c>
      <c r="N32" s="128">
        <v>4.1340519999999996</v>
      </c>
      <c r="O32" s="128">
        <v>4.3978019999998397</v>
      </c>
      <c r="P32" s="128">
        <v>0.258519</v>
      </c>
      <c r="Q32" s="128">
        <v>7.2806400000008598</v>
      </c>
      <c r="R32" s="128">
        <v>7.5980799999997499</v>
      </c>
      <c r="S32" s="128">
        <v>0</v>
      </c>
      <c r="T32" s="128">
        <v>7.1720959999984197</v>
      </c>
      <c r="U32" s="128">
        <v>0.50312800000000402</v>
      </c>
      <c r="V32" s="128">
        <v>0.124048000000002</v>
      </c>
      <c r="W32" s="128">
        <v>7.7092999999999606E-2</v>
      </c>
      <c r="X32" s="128">
        <v>7.7372999999999706E-2</v>
      </c>
      <c r="Y32" s="128">
        <v>0</v>
      </c>
      <c r="Z32" s="128">
        <v>4.0616999999999202E-2</v>
      </c>
      <c r="AA32" s="128">
        <v>0.113151999999999</v>
      </c>
      <c r="AB32" s="128">
        <v>0.15434200000000001</v>
      </c>
      <c r="AC32" s="128">
        <v>0.108526000000001</v>
      </c>
      <c r="AD32" s="128">
        <v>4.8326999999999599E-2</v>
      </c>
      <c r="AE32" s="128">
        <v>6.3235250000000007E-2</v>
      </c>
      <c r="AF32" s="128">
        <v>0</v>
      </c>
      <c r="AG32" s="128">
        <v>2.3140999999999901E-2</v>
      </c>
      <c r="AH32" s="128">
        <v>1.89033599999999</v>
      </c>
      <c r="AI32" s="128">
        <v>0</v>
      </c>
      <c r="AJ32" s="128">
        <v>2.8242500000000201E-2</v>
      </c>
      <c r="AK32" s="128">
        <v>0</v>
      </c>
      <c r="AL32" s="128">
        <v>0.31460000000001298</v>
      </c>
      <c r="AM32" s="128">
        <v>0.46263199999999899</v>
      </c>
      <c r="AN32" s="128">
        <v>0.38296799999999098</v>
      </c>
      <c r="AO32" s="128">
        <v>0.139043999999998</v>
      </c>
      <c r="AP32" s="128">
        <v>8.5680000000000006E-2</v>
      </c>
      <c r="AQ32" s="128">
        <v>0.33308399999999899</v>
      </c>
      <c r="AR32" s="128">
        <v>5.1255039999999799</v>
      </c>
      <c r="AS32" s="128">
        <v>6.5247999999999501E-2</v>
      </c>
      <c r="AT32" s="128">
        <v>0</v>
      </c>
      <c r="AU32" s="128">
        <v>4.3260000000003601E-2</v>
      </c>
      <c r="AV32" s="128">
        <v>4.5099500000000098E-2</v>
      </c>
      <c r="AW32" s="128">
        <v>1.9692159999999601</v>
      </c>
      <c r="AX32" s="128">
        <v>0</v>
      </c>
      <c r="AY32" s="128">
        <v>5.9601499999999398E-2</v>
      </c>
      <c r="AZ32" s="128">
        <v>3.5000000000451299E-6</v>
      </c>
      <c r="BA32" s="128">
        <v>0</v>
      </c>
      <c r="BB32" s="128">
        <v>0</v>
      </c>
      <c r="BC32" s="128">
        <v>0</v>
      </c>
      <c r="BD32" s="128">
        <v>5.18537499999994E-3</v>
      </c>
      <c r="BE32" s="128">
        <v>0.116066</v>
      </c>
      <c r="BF32" s="128">
        <v>0</v>
      </c>
      <c r="BG32" s="128">
        <v>1.9222000000000999E-2</v>
      </c>
      <c r="BH32" s="128">
        <v>0.113381999999998</v>
      </c>
      <c r="BI32" s="128">
        <v>2.4045439999999898</v>
      </c>
      <c r="BJ32" s="128">
        <v>1.1589999999976901E-3</v>
      </c>
      <c r="BK32" s="128">
        <v>7.0926499999999698E-2</v>
      </c>
      <c r="BL32" s="128">
        <v>1.38600000000011E-3</v>
      </c>
      <c r="BM32" s="128">
        <v>2.10809599999999</v>
      </c>
      <c r="BN32" s="128">
        <v>0</v>
      </c>
      <c r="BO32" s="128">
        <v>0.45280599999999999</v>
      </c>
      <c r="BP32" s="128">
        <v>0</v>
      </c>
      <c r="BQ32" s="128">
        <v>0</v>
      </c>
      <c r="BR32" s="128">
        <v>0</v>
      </c>
      <c r="BS32" s="128">
        <v>0</v>
      </c>
      <c r="BT32" s="128">
        <v>0.28631200000000201</v>
      </c>
      <c r="BU32" s="128">
        <v>0</v>
      </c>
      <c r="BV32" s="128">
        <v>0</v>
      </c>
      <c r="BW32" s="128">
        <v>0</v>
      </c>
      <c r="BX32" s="128">
        <v>0</v>
      </c>
      <c r="BY32" s="128">
        <v>0</v>
      </c>
      <c r="BZ32" s="128">
        <v>0.89507999999999299</v>
      </c>
      <c r="CA32" s="128">
        <v>0.26419200000000798</v>
      </c>
      <c r="CB32" s="128">
        <v>0</v>
      </c>
      <c r="CC32" s="128">
        <v>0</v>
      </c>
      <c r="CD32" s="128">
        <v>0</v>
      </c>
      <c r="CE32" s="128">
        <v>0</v>
      </c>
      <c r="CF32" s="128">
        <v>8.1073000000000006E-2</v>
      </c>
      <c r="CG32" s="128">
        <v>0</v>
      </c>
      <c r="CH32" s="128">
        <v>1.8959500000000198E-2</v>
      </c>
      <c r="CI32" s="128">
        <v>0</v>
      </c>
      <c r="CJ32" s="128">
        <v>0</v>
      </c>
      <c r="CK32" s="128">
        <v>0</v>
      </c>
      <c r="CL32" s="128">
        <v>0.15154799999999799</v>
      </c>
      <c r="CM32" s="128">
        <v>4.3100159999999104</v>
      </c>
      <c r="CN32" s="128">
        <v>4.33215000000002E-2</v>
      </c>
      <c r="CO32" s="128">
        <v>0.65213999999999595</v>
      </c>
      <c r="CP32" s="128">
        <v>0</v>
      </c>
      <c r="CQ32" s="128">
        <v>0</v>
      </c>
      <c r="CR32" s="128">
        <v>0.17191300000000001</v>
      </c>
      <c r="CS32" s="128">
        <v>0</v>
      </c>
      <c r="CT32" s="128">
        <v>0.19927599999999801</v>
      </c>
      <c r="CU32" s="128">
        <v>0</v>
      </c>
      <c r="CV32" s="128">
        <v>1.8978124999999801E-2</v>
      </c>
      <c r="CW32" s="128">
        <v>6.32760000000019E-2</v>
      </c>
      <c r="CX32" s="128">
        <v>0.25145200000000001</v>
      </c>
      <c r="CY32" s="128">
        <v>1.41950000000001E-2</v>
      </c>
      <c r="CZ32" s="128">
        <v>1.15417499999997E-2</v>
      </c>
      <c r="DA32" s="128">
        <v>0.27299200000000201</v>
      </c>
      <c r="DB32" s="128">
        <v>0.12902</v>
      </c>
      <c r="DC32" s="128">
        <v>7.9720000000023106E-3</v>
      </c>
      <c r="DD32" s="128">
        <v>9.9679999999999803E-3</v>
      </c>
      <c r="DE32" s="128">
        <v>0</v>
      </c>
      <c r="DF32" s="128">
        <v>0</v>
      </c>
      <c r="DG32" s="128">
        <v>1.09725000000003E-2</v>
      </c>
      <c r="DH32" s="128">
        <v>8.0254999999995694E-3</v>
      </c>
      <c r="DI32" s="128">
        <v>5.2962560000000796</v>
      </c>
      <c r="DJ32" s="128">
        <v>0</v>
      </c>
      <c r="DK32" s="128">
        <v>6.4854000000000397E-2</v>
      </c>
      <c r="DL32" s="128">
        <v>1.9186999999998702E-2</v>
      </c>
      <c r="DM32" s="128">
        <v>5.0000999999999997E-2</v>
      </c>
      <c r="DN32" s="128">
        <v>1.4112499999996401E-4</v>
      </c>
      <c r="DO32" s="128">
        <v>0.67171199999998499</v>
      </c>
      <c r="DP32" s="128">
        <v>3.38764999999999E-2</v>
      </c>
      <c r="DQ32" s="128">
        <v>0</v>
      </c>
      <c r="DR32" s="128">
        <v>0</v>
      </c>
      <c r="DS32" s="128">
        <v>1.66745600000002</v>
      </c>
      <c r="DT32" s="128">
        <v>0.432279999999992</v>
      </c>
      <c r="DU32" s="128">
        <v>2.3203000000000501E-2</v>
      </c>
      <c r="DV32" s="128">
        <v>9.1402500000001795E-3</v>
      </c>
      <c r="DW32" s="128">
        <v>0</v>
      </c>
      <c r="DX32" s="128">
        <v>0.201657</v>
      </c>
      <c r="DY32" s="128">
        <v>1.1687593749999999E-2</v>
      </c>
      <c r="DZ32" s="128">
        <v>7.7754000000002294E-2</v>
      </c>
      <c r="EA32" s="128">
        <v>1.7237500000000201E-4</v>
      </c>
      <c r="EB32" s="128">
        <v>1.3895520000000099</v>
      </c>
      <c r="EC32" s="128">
        <v>0.60847999999998603</v>
      </c>
      <c r="ED32" s="128">
        <v>3.9511000000000102E-2</v>
      </c>
      <c r="EE32" s="128">
        <v>2.0658999999999299E-2</v>
      </c>
      <c r="EF32" s="128">
        <v>12.552553999999899</v>
      </c>
      <c r="EG32" s="128">
        <v>0</v>
      </c>
      <c r="EH32" s="128">
        <v>0.458240000000046</v>
      </c>
      <c r="EI32" s="128">
        <v>0.65964800000006096</v>
      </c>
      <c r="EJ32" s="128">
        <v>4.1120000000034899E-2</v>
      </c>
      <c r="EK32" s="128">
        <v>0</v>
      </c>
      <c r="EL32" s="128">
        <v>2.54361600000016</v>
      </c>
      <c r="EM32" s="128">
        <v>3.7332480000000001</v>
      </c>
      <c r="EN32" s="128">
        <v>1.9548159999999399</v>
      </c>
      <c r="EO32" s="128">
        <v>0</v>
      </c>
      <c r="EP32" s="128">
        <v>0</v>
      </c>
      <c r="EQ32" s="128">
        <v>0</v>
      </c>
      <c r="ER32" s="129">
        <v>3.2042099999999998</v>
      </c>
      <c r="ES32" s="129">
        <v>0</v>
      </c>
      <c r="ET32" s="129">
        <v>0</v>
      </c>
      <c r="EU32" s="129">
        <v>0</v>
      </c>
      <c r="EV32" s="129">
        <v>0</v>
      </c>
      <c r="EW32" s="129">
        <v>0</v>
      </c>
      <c r="EX32" s="129">
        <v>0</v>
      </c>
      <c r="EY32" s="129">
        <v>0</v>
      </c>
      <c r="EZ32" s="129">
        <v>0</v>
      </c>
      <c r="FA32" s="129">
        <v>0</v>
      </c>
      <c r="FB32" s="129">
        <v>0</v>
      </c>
      <c r="FC32" s="129">
        <v>0</v>
      </c>
      <c r="FD32" s="129">
        <v>0</v>
      </c>
      <c r="FE32" s="129">
        <v>0</v>
      </c>
      <c r="FF32" s="129">
        <v>0</v>
      </c>
      <c r="FG32" s="129">
        <v>0</v>
      </c>
      <c r="FH32" s="129">
        <v>0</v>
      </c>
      <c r="FI32" s="129">
        <v>0</v>
      </c>
      <c r="FJ32" s="129">
        <v>0</v>
      </c>
      <c r="FK32" s="129">
        <v>0</v>
      </c>
      <c r="FL32" s="129">
        <v>0</v>
      </c>
      <c r="FM32" s="129">
        <v>0</v>
      </c>
      <c r="FN32" s="129">
        <v>0</v>
      </c>
      <c r="FO32" s="129">
        <v>0</v>
      </c>
      <c r="FP32" s="129">
        <v>0</v>
      </c>
      <c r="FQ32" s="129">
        <v>0</v>
      </c>
      <c r="FR32" s="129">
        <v>0</v>
      </c>
      <c r="FS32" s="129">
        <v>0</v>
      </c>
      <c r="FT32" s="129">
        <v>0</v>
      </c>
      <c r="FU32" s="129">
        <v>0</v>
      </c>
      <c r="FV32" s="129">
        <v>0</v>
      </c>
      <c r="FW32" s="129">
        <v>0</v>
      </c>
      <c r="FX32" s="129">
        <v>0</v>
      </c>
      <c r="FY32" s="129">
        <v>0</v>
      </c>
      <c r="FZ32" s="129">
        <v>0</v>
      </c>
      <c r="GA32" s="129">
        <v>0</v>
      </c>
      <c r="GB32" s="129">
        <v>0</v>
      </c>
      <c r="GC32" s="129">
        <v>0</v>
      </c>
      <c r="GD32" s="129">
        <v>0</v>
      </c>
      <c r="GE32" s="129">
        <v>0</v>
      </c>
      <c r="GF32" s="129">
        <v>0</v>
      </c>
      <c r="GG32" s="129">
        <v>0</v>
      </c>
      <c r="GH32" s="129">
        <v>0</v>
      </c>
      <c r="GI32" s="129">
        <v>0</v>
      </c>
      <c r="GJ32" s="129">
        <v>0</v>
      </c>
      <c r="GK32" s="129">
        <v>0</v>
      </c>
      <c r="GL32" s="129">
        <v>0</v>
      </c>
      <c r="GM32" s="129">
        <v>0</v>
      </c>
      <c r="GN32" s="129">
        <v>0</v>
      </c>
      <c r="GO32" s="129">
        <v>0</v>
      </c>
      <c r="GP32" s="129">
        <v>0</v>
      </c>
      <c r="GQ32" s="129">
        <v>0</v>
      </c>
      <c r="GR32" s="129">
        <v>0</v>
      </c>
      <c r="GS32" s="129">
        <v>0</v>
      </c>
    </row>
    <row r="33" spans="1:201" s="30" customFormat="1" ht="13" x14ac:dyDescent="0.25">
      <c r="A33" s="87">
        <v>27</v>
      </c>
      <c r="B33" s="128">
        <v>22.831</v>
      </c>
      <c r="C33" s="128">
        <v>7.5134420000000004</v>
      </c>
      <c r="D33" s="128">
        <v>7.8726730000000202</v>
      </c>
      <c r="E33" s="128">
        <v>0</v>
      </c>
      <c r="F33" s="128">
        <v>7.4345450000000701</v>
      </c>
      <c r="G33" s="128">
        <v>0</v>
      </c>
      <c r="H33" s="128">
        <v>0</v>
      </c>
      <c r="I33" s="128">
        <v>0</v>
      </c>
      <c r="J33" s="128">
        <v>0</v>
      </c>
      <c r="K33" s="128">
        <v>0</v>
      </c>
      <c r="L33" s="128">
        <v>0</v>
      </c>
      <c r="M33" s="128">
        <v>0</v>
      </c>
      <c r="N33" s="128">
        <v>5.1881069999999996</v>
      </c>
      <c r="O33" s="128">
        <v>5.5286090000000696</v>
      </c>
      <c r="P33" s="128">
        <v>0.343275000000002</v>
      </c>
      <c r="Q33" s="128">
        <v>7.34822399999757</v>
      </c>
      <c r="R33" s="128">
        <v>7.6697600000006796</v>
      </c>
      <c r="S33" s="128">
        <v>0</v>
      </c>
      <c r="T33" s="128">
        <v>7.2478719999999202</v>
      </c>
      <c r="U33" s="128">
        <v>0.47723200000000099</v>
      </c>
      <c r="V33" s="128">
        <v>0.119665999999999</v>
      </c>
      <c r="W33" s="128">
        <v>6.9729999999999806E-2</v>
      </c>
      <c r="X33" s="128">
        <v>7.8813000000000202E-2</v>
      </c>
      <c r="Y33" s="128">
        <v>0</v>
      </c>
      <c r="Z33" s="128">
        <v>4.6559999999999498E-2</v>
      </c>
      <c r="AA33" s="128">
        <v>0.114784</v>
      </c>
      <c r="AB33" s="128">
        <v>0.157170000000001</v>
      </c>
      <c r="AC33" s="128">
        <v>0.12197000000000099</v>
      </c>
      <c r="AD33" s="128">
        <v>4.8157500000000297E-2</v>
      </c>
      <c r="AE33" s="128">
        <v>8.6158000000000207E-2</v>
      </c>
      <c r="AF33" s="128">
        <v>0</v>
      </c>
      <c r="AG33" s="128">
        <v>2.2526249999999901E-2</v>
      </c>
      <c r="AH33" s="128">
        <v>1.89142399999997</v>
      </c>
      <c r="AI33" s="128">
        <v>0</v>
      </c>
      <c r="AJ33" s="128">
        <v>3.09844999999997E-2</v>
      </c>
      <c r="AK33" s="128">
        <v>0</v>
      </c>
      <c r="AL33" s="128">
        <v>0.304727999999997</v>
      </c>
      <c r="AM33" s="128">
        <v>0.47055999999999198</v>
      </c>
      <c r="AN33" s="128">
        <v>0.37844000000001199</v>
      </c>
      <c r="AO33" s="128">
        <v>0.146982000000001</v>
      </c>
      <c r="AP33" s="128">
        <v>8.8294000000001205E-2</v>
      </c>
      <c r="AQ33" s="128">
        <v>0.33476400000000001</v>
      </c>
      <c r="AR33" s="128">
        <v>5.5758720000000004</v>
      </c>
      <c r="AS33" s="128">
        <v>6.3085500000000599E-2</v>
      </c>
      <c r="AT33" s="128">
        <v>0</v>
      </c>
      <c r="AU33" s="128">
        <v>4.3935999999995097E-2</v>
      </c>
      <c r="AV33" s="128">
        <v>3.6330000000000397E-2</v>
      </c>
      <c r="AW33" s="128">
        <v>2.5201920000000699</v>
      </c>
      <c r="AX33" s="128">
        <v>0</v>
      </c>
      <c r="AY33" s="128">
        <v>7.1238000000000107E-2</v>
      </c>
      <c r="AZ33" s="128">
        <v>3.0000000004193301E-6</v>
      </c>
      <c r="BA33" s="128">
        <v>0</v>
      </c>
      <c r="BB33" s="128">
        <v>0</v>
      </c>
      <c r="BC33" s="128">
        <v>0</v>
      </c>
      <c r="BD33" s="128">
        <v>4.4462499999999797E-3</v>
      </c>
      <c r="BE33" s="128">
        <v>0.114846</v>
      </c>
      <c r="BF33" s="128">
        <v>0</v>
      </c>
      <c r="BG33" s="128">
        <v>2.6835000000000199E-2</v>
      </c>
      <c r="BH33" s="128">
        <v>6.5726000000001505E-2</v>
      </c>
      <c r="BI33" s="128">
        <v>2.3491520000000001</v>
      </c>
      <c r="BJ33" s="128">
        <v>1.0287999999999201E-2</v>
      </c>
      <c r="BK33" s="128">
        <v>5.9483500000000702E-2</v>
      </c>
      <c r="BL33" s="128">
        <v>2.7540000000030301E-3</v>
      </c>
      <c r="BM33" s="128">
        <v>2.3631840000000199</v>
      </c>
      <c r="BN33" s="128">
        <v>0</v>
      </c>
      <c r="BO33" s="128">
        <v>0.466835</v>
      </c>
      <c r="BP33" s="128">
        <v>0</v>
      </c>
      <c r="BQ33" s="128">
        <v>0</v>
      </c>
      <c r="BR33" s="128">
        <v>0</v>
      </c>
      <c r="BS33" s="128">
        <v>0</v>
      </c>
      <c r="BT33" s="128">
        <v>0.26296000000000003</v>
      </c>
      <c r="BU33" s="128">
        <v>0</v>
      </c>
      <c r="BV33" s="128">
        <v>0</v>
      </c>
      <c r="BW33" s="128">
        <v>0</v>
      </c>
      <c r="BX33" s="128">
        <v>0</v>
      </c>
      <c r="BY33" s="128">
        <v>0</v>
      </c>
      <c r="BZ33" s="128">
        <v>1.0953999999999999</v>
      </c>
      <c r="CA33" s="128">
        <v>0.30971199999999</v>
      </c>
      <c r="CB33" s="128">
        <v>0</v>
      </c>
      <c r="CC33" s="128">
        <v>0</v>
      </c>
      <c r="CD33" s="128">
        <v>0</v>
      </c>
      <c r="CE33" s="128">
        <v>0</v>
      </c>
      <c r="CF33" s="128">
        <v>8.8703999999999894E-2</v>
      </c>
      <c r="CG33" s="128">
        <v>0</v>
      </c>
      <c r="CH33" s="128">
        <v>1.77594999999999E-2</v>
      </c>
      <c r="CI33" s="128">
        <v>0</v>
      </c>
      <c r="CJ33" s="128">
        <v>0</v>
      </c>
      <c r="CK33" s="128">
        <v>0</v>
      </c>
      <c r="CL33" s="128">
        <v>0.14283000000000001</v>
      </c>
      <c r="CM33" s="128">
        <v>4.7397120000000497</v>
      </c>
      <c r="CN33" s="128">
        <v>3.9074499999999901E-2</v>
      </c>
      <c r="CO33" s="128">
        <v>0.74659600000000403</v>
      </c>
      <c r="CP33" s="128">
        <v>0</v>
      </c>
      <c r="CQ33" s="128">
        <v>0</v>
      </c>
      <c r="CR33" s="128">
        <v>0.18770200000000001</v>
      </c>
      <c r="CS33" s="128">
        <v>0</v>
      </c>
      <c r="CT33" s="128">
        <v>0.195436000000001</v>
      </c>
      <c r="CU33" s="128">
        <v>0</v>
      </c>
      <c r="CV33" s="128">
        <v>1.7887625000000001E-2</v>
      </c>
      <c r="CW33" s="128">
        <v>7.5299999999998604E-2</v>
      </c>
      <c r="CX33" s="128">
        <v>0.25889200000000301</v>
      </c>
      <c r="CY33" s="128">
        <v>1.7618999999999899E-2</v>
      </c>
      <c r="CZ33" s="128">
        <v>1.2012500000000001E-2</v>
      </c>
      <c r="DA33" s="128">
        <v>0.27628800000000098</v>
      </c>
      <c r="DB33" s="128">
        <v>0.13791</v>
      </c>
      <c r="DC33" s="128">
        <v>7.6559999999972197E-3</v>
      </c>
      <c r="DD33" s="128">
        <v>2.5088312500000001E-2</v>
      </c>
      <c r="DE33" s="128">
        <v>0</v>
      </c>
      <c r="DF33" s="128">
        <v>0</v>
      </c>
      <c r="DG33" s="128">
        <v>1.00204999999995E-2</v>
      </c>
      <c r="DH33" s="128">
        <v>9.1905000000007692E-3</v>
      </c>
      <c r="DI33" s="128">
        <v>5.0144639999999798</v>
      </c>
      <c r="DJ33" s="128">
        <v>0</v>
      </c>
      <c r="DK33" s="128">
        <v>6.4716000000000704E-2</v>
      </c>
      <c r="DL33" s="128">
        <v>1.9227999999999999E-2</v>
      </c>
      <c r="DM33" s="128">
        <v>4.8308000000000503E-2</v>
      </c>
      <c r="DN33" s="128">
        <v>3.3462499999999998E-3</v>
      </c>
      <c r="DO33" s="128">
        <v>0.73872000000000104</v>
      </c>
      <c r="DP33" s="128">
        <v>4.3630499999999899E-2</v>
      </c>
      <c r="DQ33" s="128">
        <v>0</v>
      </c>
      <c r="DR33" s="128">
        <v>0</v>
      </c>
      <c r="DS33" s="128">
        <v>1.292192</v>
      </c>
      <c r="DT33" s="128">
        <v>0.42996000000002299</v>
      </c>
      <c r="DU33" s="128">
        <v>2.0704000000000299E-2</v>
      </c>
      <c r="DV33" s="128">
        <v>8.7602499999999105E-3</v>
      </c>
      <c r="DW33" s="128">
        <v>0</v>
      </c>
      <c r="DX33" s="128">
        <v>0.198659</v>
      </c>
      <c r="DY33" s="128">
        <v>1.4799875000000001E-2</v>
      </c>
      <c r="DZ33" s="128">
        <v>8.7821999999999206E-2</v>
      </c>
      <c r="EA33" s="128">
        <v>0</v>
      </c>
      <c r="EB33" s="128">
        <v>1.3531199999999901</v>
      </c>
      <c r="EC33" s="128">
        <v>0.67872000000002697</v>
      </c>
      <c r="ED33" s="128">
        <v>4.15635000000001E-2</v>
      </c>
      <c r="EE33" s="128">
        <v>2.0390500000000401E-2</v>
      </c>
      <c r="EF33" s="128">
        <v>14.087913999999699</v>
      </c>
      <c r="EG33" s="128">
        <v>0</v>
      </c>
      <c r="EH33" s="128">
        <v>0.51238399999999695</v>
      </c>
      <c r="EI33" s="128">
        <v>0.67839999999989697</v>
      </c>
      <c r="EJ33" s="128">
        <v>5.1936000000012E-2</v>
      </c>
      <c r="EK33" s="128">
        <v>0</v>
      </c>
      <c r="EL33" s="128">
        <v>3.3251839999998101</v>
      </c>
      <c r="EM33" s="128">
        <v>3.8615039999999698</v>
      </c>
      <c r="EN33" s="128">
        <v>2.3191040000001499</v>
      </c>
      <c r="EO33" s="128">
        <v>0</v>
      </c>
      <c r="EP33" s="128">
        <v>0</v>
      </c>
      <c r="EQ33" s="128">
        <v>0</v>
      </c>
      <c r="ER33" s="129">
        <v>3.3961749999999999</v>
      </c>
      <c r="ES33" s="129">
        <v>0</v>
      </c>
      <c r="ET33" s="129">
        <v>0</v>
      </c>
      <c r="EU33" s="129">
        <v>0</v>
      </c>
      <c r="EV33" s="129">
        <v>0</v>
      </c>
      <c r="EW33" s="129">
        <v>0</v>
      </c>
      <c r="EX33" s="129">
        <v>0</v>
      </c>
      <c r="EY33" s="129">
        <v>0</v>
      </c>
      <c r="EZ33" s="129">
        <v>0</v>
      </c>
      <c r="FA33" s="129">
        <v>0</v>
      </c>
      <c r="FB33" s="129">
        <v>0</v>
      </c>
      <c r="FC33" s="129">
        <v>0</v>
      </c>
      <c r="FD33" s="129">
        <v>0</v>
      </c>
      <c r="FE33" s="129">
        <v>0</v>
      </c>
      <c r="FF33" s="129">
        <v>0</v>
      </c>
      <c r="FG33" s="129">
        <v>0</v>
      </c>
      <c r="FH33" s="129">
        <v>0</v>
      </c>
      <c r="FI33" s="129">
        <v>0</v>
      </c>
      <c r="FJ33" s="129">
        <v>0</v>
      </c>
      <c r="FK33" s="129">
        <v>0</v>
      </c>
      <c r="FL33" s="129">
        <v>0</v>
      </c>
      <c r="FM33" s="129">
        <v>0</v>
      </c>
      <c r="FN33" s="129">
        <v>0</v>
      </c>
      <c r="FO33" s="129">
        <v>0</v>
      </c>
      <c r="FP33" s="129">
        <v>0</v>
      </c>
      <c r="FQ33" s="129">
        <v>0</v>
      </c>
      <c r="FR33" s="129">
        <v>0</v>
      </c>
      <c r="FS33" s="129">
        <v>0</v>
      </c>
      <c r="FT33" s="129">
        <v>0</v>
      </c>
      <c r="FU33" s="129">
        <v>0</v>
      </c>
      <c r="FV33" s="129">
        <v>0</v>
      </c>
      <c r="FW33" s="129">
        <v>0</v>
      </c>
      <c r="FX33" s="129">
        <v>0</v>
      </c>
      <c r="FY33" s="129">
        <v>0</v>
      </c>
      <c r="FZ33" s="129">
        <v>0</v>
      </c>
      <c r="GA33" s="129">
        <v>0</v>
      </c>
      <c r="GB33" s="129">
        <v>0</v>
      </c>
      <c r="GC33" s="129">
        <v>0</v>
      </c>
      <c r="GD33" s="129">
        <v>0</v>
      </c>
      <c r="GE33" s="129">
        <v>0</v>
      </c>
      <c r="GF33" s="129">
        <v>0</v>
      </c>
      <c r="GG33" s="129">
        <v>0</v>
      </c>
      <c r="GH33" s="129">
        <v>0</v>
      </c>
      <c r="GI33" s="129">
        <v>0</v>
      </c>
      <c r="GJ33" s="129">
        <v>0</v>
      </c>
      <c r="GK33" s="129">
        <v>0</v>
      </c>
      <c r="GL33" s="129">
        <v>0</v>
      </c>
      <c r="GM33" s="129">
        <v>0</v>
      </c>
      <c r="GN33" s="129">
        <v>0</v>
      </c>
      <c r="GO33" s="129">
        <v>0</v>
      </c>
      <c r="GP33" s="129">
        <v>0</v>
      </c>
      <c r="GQ33" s="129">
        <v>0</v>
      </c>
      <c r="GR33" s="129">
        <v>0</v>
      </c>
      <c r="GS33" s="129">
        <v>0</v>
      </c>
    </row>
    <row r="34" spans="1:201" s="30" customFormat="1" ht="14.25" customHeight="1" x14ac:dyDescent="0.25">
      <c r="A34" s="87">
        <v>28</v>
      </c>
      <c r="B34" s="128">
        <v>24.922000000000001</v>
      </c>
      <c r="C34" s="128">
        <v>8.2328969999999799</v>
      </c>
      <c r="D34" s="128">
        <v>8.5579050000000105</v>
      </c>
      <c r="E34" s="128">
        <v>0</v>
      </c>
      <c r="F34" s="128">
        <v>8.1371489999999707</v>
      </c>
      <c r="G34" s="128">
        <v>0</v>
      </c>
      <c r="H34" s="128">
        <v>0</v>
      </c>
      <c r="I34" s="128">
        <v>0</v>
      </c>
      <c r="J34" s="128">
        <v>0</v>
      </c>
      <c r="K34" s="128">
        <v>0</v>
      </c>
      <c r="L34" s="128">
        <v>0</v>
      </c>
      <c r="M34" s="128">
        <v>0</v>
      </c>
      <c r="N34" s="128">
        <v>4.4696659999999602</v>
      </c>
      <c r="O34" s="128">
        <v>4.74599499999999</v>
      </c>
      <c r="P34" s="128">
        <v>0.30890600000000001</v>
      </c>
      <c r="Q34" s="128">
        <v>7.99948800000129</v>
      </c>
      <c r="R34" s="128">
        <v>8.3742720000009303</v>
      </c>
      <c r="S34" s="128">
        <v>0</v>
      </c>
      <c r="T34" s="128">
        <v>7.8909440000024897</v>
      </c>
      <c r="U34" s="128">
        <v>0.485447999999991</v>
      </c>
      <c r="V34" s="128">
        <v>0.114936</v>
      </c>
      <c r="W34" s="128">
        <v>7.5968000000001396E-2</v>
      </c>
      <c r="X34" s="128">
        <v>8.28499999999988E-2</v>
      </c>
      <c r="Y34" s="128">
        <v>0</v>
      </c>
      <c r="Z34" s="128">
        <v>4.2704999999999799E-2</v>
      </c>
      <c r="AA34" s="128">
        <v>0.11685999999999901</v>
      </c>
      <c r="AB34" s="128">
        <v>0.16286399999999901</v>
      </c>
      <c r="AC34" s="128">
        <v>0.12543199999999999</v>
      </c>
      <c r="AD34" s="128">
        <v>4.7791499999999799E-2</v>
      </c>
      <c r="AE34" s="128">
        <v>0.111193</v>
      </c>
      <c r="AF34" s="128">
        <v>0</v>
      </c>
      <c r="AG34" s="128">
        <v>2.2941750000000202E-2</v>
      </c>
      <c r="AH34" s="128">
        <v>1.9415040000000101</v>
      </c>
      <c r="AI34" s="128">
        <v>0</v>
      </c>
      <c r="AJ34" s="128">
        <v>2.6382500000000399E-2</v>
      </c>
      <c r="AK34" s="128">
        <v>0</v>
      </c>
      <c r="AL34" s="128">
        <v>0.32660799999999302</v>
      </c>
      <c r="AM34" s="128">
        <v>0.50383200000000306</v>
      </c>
      <c r="AN34" s="128">
        <v>0.399083999999988</v>
      </c>
      <c r="AO34" s="128">
        <v>0.124613999999998</v>
      </c>
      <c r="AP34" s="128">
        <v>8.6155999999998997E-2</v>
      </c>
      <c r="AQ34" s="128">
        <v>0.33058799999999899</v>
      </c>
      <c r="AR34" s="128">
        <v>5.40694400000001</v>
      </c>
      <c r="AS34" s="128">
        <v>7.7784499999999895E-2</v>
      </c>
      <c r="AT34" s="128">
        <v>0</v>
      </c>
      <c r="AU34" s="128">
        <v>4.3932000000005203E-2</v>
      </c>
      <c r="AV34" s="128">
        <v>4.8944999999999801E-2</v>
      </c>
      <c r="AW34" s="128">
        <v>2.2356479999999701</v>
      </c>
      <c r="AX34" s="128">
        <v>0</v>
      </c>
      <c r="AY34" s="128">
        <v>8.0093500000000303E-2</v>
      </c>
      <c r="AZ34" s="128">
        <v>0</v>
      </c>
      <c r="BA34" s="128">
        <v>0</v>
      </c>
      <c r="BB34" s="128">
        <v>0</v>
      </c>
      <c r="BC34" s="128">
        <v>0</v>
      </c>
      <c r="BD34" s="128">
        <v>4.3022500000000604E-3</v>
      </c>
      <c r="BE34" s="128">
        <v>0.11071599999999999</v>
      </c>
      <c r="BF34" s="128">
        <v>0</v>
      </c>
      <c r="BG34" s="128">
        <v>3.3613999999999998E-2</v>
      </c>
      <c r="BH34" s="128">
        <v>3.02279999999975E-2</v>
      </c>
      <c r="BI34" s="128">
        <v>2.4647519999999998</v>
      </c>
      <c r="BJ34" s="128">
        <v>1.9980000000003901E-3</v>
      </c>
      <c r="BK34" s="128">
        <v>4.9986499999999302E-2</v>
      </c>
      <c r="BL34" s="128">
        <v>1.6659999999966101E-3</v>
      </c>
      <c r="BM34" s="128">
        <v>1.7743199999999899</v>
      </c>
      <c r="BN34" s="128">
        <v>0</v>
      </c>
      <c r="BO34" s="128">
        <v>4.9755000000001097E-2</v>
      </c>
      <c r="BP34" s="128">
        <v>0</v>
      </c>
      <c r="BQ34" s="128">
        <v>0</v>
      </c>
      <c r="BR34" s="128">
        <v>0</v>
      </c>
      <c r="BS34" s="128">
        <v>0</v>
      </c>
      <c r="BT34" s="128">
        <v>0.26957600000000098</v>
      </c>
      <c r="BU34" s="128">
        <v>0</v>
      </c>
      <c r="BV34" s="128">
        <v>0</v>
      </c>
      <c r="BW34" s="128">
        <v>0</v>
      </c>
      <c r="BX34" s="128">
        <v>0</v>
      </c>
      <c r="BY34" s="128">
        <v>0</v>
      </c>
      <c r="BZ34" s="128">
        <v>0.94930399999999804</v>
      </c>
      <c r="CA34" s="128">
        <v>0.32136000000001302</v>
      </c>
      <c r="CB34" s="128">
        <v>0</v>
      </c>
      <c r="CC34" s="128">
        <v>0</v>
      </c>
      <c r="CD34" s="128">
        <v>0</v>
      </c>
      <c r="CE34" s="128">
        <v>0</v>
      </c>
      <c r="CF34" s="128">
        <v>6.6857000000000597E-2</v>
      </c>
      <c r="CG34" s="128">
        <v>0</v>
      </c>
      <c r="CH34" s="128">
        <v>3.2701250000000098E-2</v>
      </c>
      <c r="CI34" s="128">
        <v>0</v>
      </c>
      <c r="CJ34" s="128">
        <v>0</v>
      </c>
      <c r="CK34" s="128">
        <v>0</v>
      </c>
      <c r="CL34" s="128">
        <v>0.15332599999999999</v>
      </c>
      <c r="CM34" s="128">
        <v>4.8321280000000097</v>
      </c>
      <c r="CN34" s="128">
        <v>4.02019999999998E-2</v>
      </c>
      <c r="CO34" s="128">
        <v>0.79971599999999698</v>
      </c>
      <c r="CP34" s="128">
        <v>0</v>
      </c>
      <c r="CQ34" s="128">
        <v>0</v>
      </c>
      <c r="CR34" s="128">
        <v>0.17315799999999901</v>
      </c>
      <c r="CS34" s="128">
        <v>0</v>
      </c>
      <c r="CT34" s="128">
        <v>0.19670399999999699</v>
      </c>
      <c r="CU34" s="128">
        <v>0</v>
      </c>
      <c r="CV34" s="128">
        <v>1.9893500000000001E-2</v>
      </c>
      <c r="CW34" s="128">
        <v>2.7599999999949898E-4</v>
      </c>
      <c r="CX34" s="128">
        <v>0.26163599999999598</v>
      </c>
      <c r="CY34" s="128">
        <v>1.8295000000000099E-2</v>
      </c>
      <c r="CZ34" s="128">
        <v>1.22362499999999E-2</v>
      </c>
      <c r="DA34" s="128">
        <v>0.27288000000000101</v>
      </c>
      <c r="DB34" s="128">
        <v>0.13917099999999999</v>
      </c>
      <c r="DC34" s="128">
        <v>7.4947999999999099E-2</v>
      </c>
      <c r="DD34" s="128">
        <v>2.8037125E-2</v>
      </c>
      <c r="DE34" s="128">
        <v>0</v>
      </c>
      <c r="DF34" s="128">
        <v>0</v>
      </c>
      <c r="DG34" s="128">
        <v>0</v>
      </c>
      <c r="DH34" s="128">
        <v>8.6299999999992494E-3</v>
      </c>
      <c r="DI34" s="128">
        <v>5.1096959999999898</v>
      </c>
      <c r="DJ34" s="128">
        <v>0</v>
      </c>
      <c r="DK34" s="128">
        <v>6.4067999999998904E-2</v>
      </c>
      <c r="DL34" s="128">
        <v>1.9189000000000799E-2</v>
      </c>
      <c r="DM34" s="128">
        <v>4.7190999999999803E-2</v>
      </c>
      <c r="DN34" s="128">
        <v>5.9645624999999898E-3</v>
      </c>
      <c r="DO34" s="128">
        <v>0.74449599999999805</v>
      </c>
      <c r="DP34" s="128">
        <v>4.04575000000005E-2</v>
      </c>
      <c r="DQ34" s="128">
        <v>0</v>
      </c>
      <c r="DR34" s="128">
        <v>0</v>
      </c>
      <c r="DS34" s="128">
        <v>1.432928</v>
      </c>
      <c r="DT34" s="128">
        <v>0.42212799999998701</v>
      </c>
      <c r="DU34" s="128">
        <v>2.0381999999999699E-2</v>
      </c>
      <c r="DV34" s="128">
        <v>8.7055000000000292E-3</v>
      </c>
      <c r="DW34" s="128">
        <v>0</v>
      </c>
      <c r="DX34" s="128">
        <v>0.2036365</v>
      </c>
      <c r="DY34" s="128">
        <v>2.9235500000000001E-2</v>
      </c>
      <c r="DZ34" s="128">
        <v>8.9188000000000003E-2</v>
      </c>
      <c r="EA34" s="128">
        <v>0</v>
      </c>
      <c r="EB34" s="128">
        <v>1.31947199999999</v>
      </c>
      <c r="EC34" s="128">
        <v>0.66379200000000105</v>
      </c>
      <c r="ED34" s="128">
        <v>3.5652749999999699E-2</v>
      </c>
      <c r="EE34" s="128">
        <v>2.0640499999999801E-2</v>
      </c>
      <c r="EF34" s="128">
        <v>15.2788129999999</v>
      </c>
      <c r="EG34" s="128">
        <v>0</v>
      </c>
      <c r="EH34" s="128">
        <v>0.49894399999993799</v>
      </c>
      <c r="EI34" s="128">
        <v>0.92972800000006794</v>
      </c>
      <c r="EJ34" s="128">
        <v>4.7775999999998903E-2</v>
      </c>
      <c r="EK34" s="128">
        <v>0</v>
      </c>
      <c r="EL34" s="128">
        <v>3.76998400000002</v>
      </c>
      <c r="EM34" s="128">
        <v>4.0957440000001997</v>
      </c>
      <c r="EN34" s="128">
        <v>2.3833599999998101</v>
      </c>
      <c r="EO34" s="128">
        <v>0</v>
      </c>
      <c r="EP34" s="128">
        <v>0</v>
      </c>
      <c r="EQ34" s="128">
        <v>0</v>
      </c>
      <c r="ER34" s="129">
        <v>3.5599229999999999</v>
      </c>
      <c r="ES34" s="129">
        <v>0</v>
      </c>
      <c r="ET34" s="129">
        <v>0</v>
      </c>
      <c r="EU34" s="129">
        <v>0</v>
      </c>
      <c r="EV34" s="129">
        <v>0</v>
      </c>
      <c r="EW34" s="129">
        <v>0</v>
      </c>
      <c r="EX34" s="129">
        <v>0</v>
      </c>
      <c r="EY34" s="129">
        <v>0</v>
      </c>
      <c r="EZ34" s="129">
        <v>0</v>
      </c>
      <c r="FA34" s="129">
        <v>0</v>
      </c>
      <c r="FB34" s="129">
        <v>0</v>
      </c>
      <c r="FC34" s="129">
        <v>0</v>
      </c>
      <c r="FD34" s="129">
        <v>0</v>
      </c>
      <c r="FE34" s="129">
        <v>0</v>
      </c>
      <c r="FF34" s="129">
        <v>0</v>
      </c>
      <c r="FG34" s="129">
        <v>0</v>
      </c>
      <c r="FH34" s="129">
        <v>0</v>
      </c>
      <c r="FI34" s="129">
        <v>0</v>
      </c>
      <c r="FJ34" s="129">
        <v>0</v>
      </c>
      <c r="FK34" s="129">
        <v>0</v>
      </c>
      <c r="FL34" s="129">
        <v>0</v>
      </c>
      <c r="FM34" s="129">
        <v>0</v>
      </c>
      <c r="FN34" s="129">
        <v>0</v>
      </c>
      <c r="FO34" s="129">
        <v>0</v>
      </c>
      <c r="FP34" s="129">
        <v>0</v>
      </c>
      <c r="FQ34" s="129">
        <v>0</v>
      </c>
      <c r="FR34" s="129">
        <v>0</v>
      </c>
      <c r="FS34" s="129">
        <v>0</v>
      </c>
      <c r="FT34" s="129">
        <v>0</v>
      </c>
      <c r="FU34" s="129">
        <v>0</v>
      </c>
      <c r="FV34" s="129">
        <v>0</v>
      </c>
      <c r="FW34" s="129">
        <v>0</v>
      </c>
      <c r="FX34" s="129">
        <v>0</v>
      </c>
      <c r="FY34" s="129">
        <v>0</v>
      </c>
      <c r="FZ34" s="129">
        <v>0</v>
      </c>
      <c r="GA34" s="129">
        <v>0</v>
      </c>
      <c r="GB34" s="129">
        <v>0</v>
      </c>
      <c r="GC34" s="129">
        <v>0</v>
      </c>
      <c r="GD34" s="129">
        <v>0</v>
      </c>
      <c r="GE34" s="129">
        <v>0</v>
      </c>
      <c r="GF34" s="129">
        <v>0</v>
      </c>
      <c r="GG34" s="129">
        <v>0</v>
      </c>
      <c r="GH34" s="129">
        <v>0</v>
      </c>
      <c r="GI34" s="129">
        <v>0</v>
      </c>
      <c r="GJ34" s="129">
        <v>0</v>
      </c>
      <c r="GK34" s="129">
        <v>0</v>
      </c>
      <c r="GL34" s="129">
        <v>0</v>
      </c>
      <c r="GM34" s="129">
        <v>0</v>
      </c>
      <c r="GN34" s="129">
        <v>0</v>
      </c>
      <c r="GO34" s="129">
        <v>0</v>
      </c>
      <c r="GP34" s="129">
        <v>0</v>
      </c>
      <c r="GQ34" s="129">
        <v>0</v>
      </c>
      <c r="GR34" s="129">
        <v>0</v>
      </c>
      <c r="GS34" s="129">
        <v>0</v>
      </c>
    </row>
    <row r="35" spans="1:201" s="30" customFormat="1" ht="14.25" customHeight="1" x14ac:dyDescent="0.25">
      <c r="A35" s="87">
        <v>29</v>
      </c>
      <c r="B35" s="128">
        <v>24.008125</v>
      </c>
      <c r="C35" s="128">
        <v>8.0115499999999997</v>
      </c>
      <c r="D35" s="128">
        <v>8.3450479999999594</v>
      </c>
      <c r="E35" s="128">
        <v>0</v>
      </c>
      <c r="F35" s="128">
        <v>7.8942779999999901</v>
      </c>
      <c r="G35" s="128">
        <v>0.22800600000000101</v>
      </c>
      <c r="H35" s="128">
        <v>1.9763000000000201E-2</v>
      </c>
      <c r="I35" s="128">
        <v>3.5137999999999898E-2</v>
      </c>
      <c r="J35" s="128">
        <v>1.9441E-2</v>
      </c>
      <c r="K35" s="128">
        <v>5.1562000000000101E-2</v>
      </c>
      <c r="L35" s="128">
        <v>6.2226999999999998E-2</v>
      </c>
      <c r="M35" s="128">
        <v>0.227220000000003</v>
      </c>
      <c r="N35" s="128">
        <v>3.2757180000000399</v>
      </c>
      <c r="O35" s="128">
        <v>3.4625859999999902</v>
      </c>
      <c r="P35" s="128">
        <v>0.23092499999999899</v>
      </c>
      <c r="Q35" s="128">
        <v>7.7967360000002399</v>
      </c>
      <c r="R35" s="128">
        <v>8.1408000000010396</v>
      </c>
      <c r="S35" s="128">
        <v>0</v>
      </c>
      <c r="T35" s="128">
        <v>7.6820479999987601</v>
      </c>
      <c r="U35" s="128">
        <v>0.50625600000000803</v>
      </c>
      <c r="V35" s="128">
        <v>0.119418</v>
      </c>
      <c r="W35" s="128">
        <v>7.0262999999998896E-2</v>
      </c>
      <c r="X35" s="128">
        <v>7.7412000000000702E-2</v>
      </c>
      <c r="Y35" s="128">
        <v>0</v>
      </c>
      <c r="Z35" s="128">
        <v>4.5755000000001503E-2</v>
      </c>
      <c r="AA35" s="128">
        <v>0.113924000000001</v>
      </c>
      <c r="AB35" s="128">
        <v>0.152864000000001</v>
      </c>
      <c r="AC35" s="128">
        <v>0.117833999999998</v>
      </c>
      <c r="AD35" s="128">
        <v>4.7474000000000197E-2</v>
      </c>
      <c r="AE35" s="128">
        <v>8.5949000000000303E-2</v>
      </c>
      <c r="AF35" s="128">
        <v>0</v>
      </c>
      <c r="AG35" s="128">
        <v>2.4026249999999898E-2</v>
      </c>
      <c r="AH35" s="128">
        <v>1.9119360000000301</v>
      </c>
      <c r="AI35" s="128">
        <v>0</v>
      </c>
      <c r="AJ35" s="128">
        <v>2.8877999999999699E-2</v>
      </c>
      <c r="AK35" s="128">
        <v>0</v>
      </c>
      <c r="AL35" s="128">
        <v>0.31539999999999702</v>
      </c>
      <c r="AM35" s="128">
        <v>0.50039999999999896</v>
      </c>
      <c r="AN35" s="128">
        <v>0.39018400000000503</v>
      </c>
      <c r="AO35" s="128">
        <v>0.119092000000002</v>
      </c>
      <c r="AP35" s="128">
        <v>9.0165999999999996E-2</v>
      </c>
      <c r="AQ35" s="128">
        <v>0.32723599999999903</v>
      </c>
      <c r="AR35" s="128">
        <v>5.5292160000000203</v>
      </c>
      <c r="AS35" s="128">
        <v>7.1924000000000099E-2</v>
      </c>
      <c r="AT35" s="128">
        <v>0</v>
      </c>
      <c r="AU35" s="128">
        <v>4.5068000000000601E-2</v>
      </c>
      <c r="AV35" s="128">
        <v>3.5737999999999402E-2</v>
      </c>
      <c r="AW35" s="128">
        <v>2.3733120000000598</v>
      </c>
      <c r="AX35" s="128">
        <v>0</v>
      </c>
      <c r="AY35" s="128">
        <v>6.8311500000000094E-2</v>
      </c>
      <c r="AZ35" s="128">
        <v>0</v>
      </c>
      <c r="BA35" s="128">
        <v>0</v>
      </c>
      <c r="BB35" s="128">
        <v>0</v>
      </c>
      <c r="BC35" s="128">
        <v>0</v>
      </c>
      <c r="BD35" s="128">
        <v>3.7247499999999399E-3</v>
      </c>
      <c r="BE35" s="128">
        <v>0.13996499999999801</v>
      </c>
      <c r="BF35" s="128">
        <v>0</v>
      </c>
      <c r="BG35" s="128">
        <v>2.3584999999998899E-2</v>
      </c>
      <c r="BH35" s="128">
        <v>2.20300000000009E-2</v>
      </c>
      <c r="BI35" s="128">
        <v>2.4653439999999902</v>
      </c>
      <c r="BJ35" s="128">
        <v>2.5250000000021102E-3</v>
      </c>
      <c r="BK35" s="128">
        <v>5.2581500000000503E-2</v>
      </c>
      <c r="BL35" s="128">
        <v>1.5840000000011401E-3</v>
      </c>
      <c r="BM35" s="128">
        <v>2.0436160000000099</v>
      </c>
      <c r="BN35" s="128">
        <v>0</v>
      </c>
      <c r="BO35" s="128">
        <v>5.3830999999998901E-2</v>
      </c>
      <c r="BP35" s="128">
        <v>0</v>
      </c>
      <c r="BQ35" s="128">
        <v>0</v>
      </c>
      <c r="BR35" s="128">
        <v>0</v>
      </c>
      <c r="BS35" s="128">
        <v>0</v>
      </c>
      <c r="BT35" s="128">
        <v>0.28727200000000203</v>
      </c>
      <c r="BU35" s="128">
        <v>0</v>
      </c>
      <c r="BV35" s="128">
        <v>0</v>
      </c>
      <c r="BW35" s="128">
        <v>0</v>
      </c>
      <c r="BX35" s="128">
        <v>0</v>
      </c>
      <c r="BY35" s="128">
        <v>0</v>
      </c>
      <c r="BZ35" s="128">
        <v>1.11636</v>
      </c>
      <c r="CA35" s="128">
        <v>0.31411199999999401</v>
      </c>
      <c r="CB35" s="128">
        <v>0</v>
      </c>
      <c r="CC35" s="128">
        <v>0</v>
      </c>
      <c r="CD35" s="128">
        <v>0</v>
      </c>
      <c r="CE35" s="128">
        <v>0</v>
      </c>
      <c r="CF35" s="128">
        <v>8.2692999999999003E-2</v>
      </c>
      <c r="CG35" s="128">
        <v>0</v>
      </c>
      <c r="CH35" s="128">
        <v>2.4416E-2</v>
      </c>
      <c r="CI35" s="128">
        <v>0</v>
      </c>
      <c r="CJ35" s="128">
        <v>0</v>
      </c>
      <c r="CK35" s="128">
        <v>0</v>
      </c>
      <c r="CL35" s="128">
        <v>0.18060600000000099</v>
      </c>
      <c r="CM35" s="128">
        <v>4.40153599999985</v>
      </c>
      <c r="CN35" s="128">
        <v>4.9566000000000401E-2</v>
      </c>
      <c r="CO35" s="128">
        <v>0.60481200000000301</v>
      </c>
      <c r="CP35" s="128">
        <v>0</v>
      </c>
      <c r="CQ35" s="128">
        <v>0</v>
      </c>
      <c r="CR35" s="128">
        <v>0.14902400000000099</v>
      </c>
      <c r="CS35" s="128">
        <v>0</v>
      </c>
      <c r="CT35" s="128">
        <v>0.198660000000004</v>
      </c>
      <c r="CU35" s="128">
        <v>0</v>
      </c>
      <c r="CV35" s="128">
        <v>1.7513750000000002E-2</v>
      </c>
      <c r="CW35" s="128">
        <v>0</v>
      </c>
      <c r="CX35" s="128">
        <v>0.25410000000000099</v>
      </c>
      <c r="CY35" s="128">
        <v>1.6744999999999999E-2</v>
      </c>
      <c r="CZ35" s="128">
        <v>1.3983250000000299E-2</v>
      </c>
      <c r="DA35" s="128">
        <v>0.27228000000000202</v>
      </c>
      <c r="DB35" s="128">
        <v>0.125062000000002</v>
      </c>
      <c r="DC35" s="128">
        <v>0.16312400000000299</v>
      </c>
      <c r="DD35" s="128">
        <v>2.0375437499999999E-2</v>
      </c>
      <c r="DE35" s="128">
        <v>0</v>
      </c>
      <c r="DF35" s="128">
        <v>0</v>
      </c>
      <c r="DG35" s="128">
        <v>0</v>
      </c>
      <c r="DH35" s="128">
        <v>8.6165000000004693E-3</v>
      </c>
      <c r="DI35" s="128">
        <v>5.1501439999999503</v>
      </c>
      <c r="DJ35" s="128">
        <v>0</v>
      </c>
      <c r="DK35" s="128">
        <v>6.3369999999998997E-2</v>
      </c>
      <c r="DL35" s="128">
        <v>1.9251999999999801E-2</v>
      </c>
      <c r="DM35" s="128">
        <v>4.8859000000000201E-2</v>
      </c>
      <c r="DN35" s="128">
        <v>6.05843750000001E-3</v>
      </c>
      <c r="DO35" s="128">
        <v>0.78635199999999394</v>
      </c>
      <c r="DP35" s="128">
        <v>4.2051500000000401E-2</v>
      </c>
      <c r="DQ35" s="128">
        <v>0</v>
      </c>
      <c r="DR35" s="128">
        <v>0</v>
      </c>
      <c r="DS35" s="128">
        <v>1.3589440000000099</v>
      </c>
      <c r="DT35" s="128">
        <v>0.40975199999999701</v>
      </c>
      <c r="DU35" s="128">
        <v>2.2437999999999299E-2</v>
      </c>
      <c r="DV35" s="128">
        <v>9.9439999999999494E-3</v>
      </c>
      <c r="DW35" s="128">
        <v>0</v>
      </c>
      <c r="DX35" s="128">
        <v>0.1990585</v>
      </c>
      <c r="DY35" s="128">
        <v>1.4244125E-2</v>
      </c>
      <c r="DZ35" s="128">
        <v>7.8943999999999903E-2</v>
      </c>
      <c r="EA35" s="128">
        <v>0</v>
      </c>
      <c r="EB35" s="128">
        <v>1.4386720000000299</v>
      </c>
      <c r="EC35" s="128">
        <v>0.64924800000000005</v>
      </c>
      <c r="ED35" s="128">
        <v>2.3171500000000098E-2</v>
      </c>
      <c r="EE35" s="128">
        <v>2.3595499999999901E-2</v>
      </c>
      <c r="EF35" s="128">
        <v>12.082526000001099</v>
      </c>
      <c r="EG35" s="128">
        <v>0</v>
      </c>
      <c r="EH35" s="128">
        <v>0.46438399999999502</v>
      </c>
      <c r="EI35" s="128">
        <v>0.70598399999994399</v>
      </c>
      <c r="EJ35" s="128">
        <v>4.06399999999962E-2</v>
      </c>
      <c r="EK35" s="128">
        <v>0</v>
      </c>
      <c r="EL35" s="128">
        <v>2.30284800000004</v>
      </c>
      <c r="EM35" s="128">
        <v>2.82751999999982</v>
      </c>
      <c r="EN35" s="128">
        <v>2.88998399999991</v>
      </c>
      <c r="EO35" s="128">
        <v>0</v>
      </c>
      <c r="EP35" s="128">
        <v>0</v>
      </c>
      <c r="EQ35" s="128">
        <v>0</v>
      </c>
      <c r="ER35" s="129">
        <v>2.903321</v>
      </c>
      <c r="ES35" s="129">
        <v>0</v>
      </c>
      <c r="ET35" s="129">
        <v>0</v>
      </c>
      <c r="EU35" s="129">
        <v>0</v>
      </c>
      <c r="EV35" s="129">
        <v>0</v>
      </c>
      <c r="EW35" s="129">
        <v>0</v>
      </c>
      <c r="EX35" s="129">
        <v>0</v>
      </c>
      <c r="EY35" s="129">
        <v>0</v>
      </c>
      <c r="EZ35" s="129">
        <v>0</v>
      </c>
      <c r="FA35" s="129">
        <v>0</v>
      </c>
      <c r="FB35" s="129">
        <v>0</v>
      </c>
      <c r="FC35" s="129">
        <v>0</v>
      </c>
      <c r="FD35" s="129">
        <v>0</v>
      </c>
      <c r="FE35" s="129">
        <v>0</v>
      </c>
      <c r="FF35" s="129">
        <v>0</v>
      </c>
      <c r="FG35" s="129">
        <v>0</v>
      </c>
      <c r="FH35" s="129">
        <v>0</v>
      </c>
      <c r="FI35" s="129">
        <v>0</v>
      </c>
      <c r="FJ35" s="129">
        <v>0</v>
      </c>
      <c r="FK35" s="129">
        <v>0</v>
      </c>
      <c r="FL35" s="129">
        <v>0</v>
      </c>
      <c r="FM35" s="129">
        <v>0</v>
      </c>
      <c r="FN35" s="129">
        <v>0</v>
      </c>
      <c r="FO35" s="129">
        <v>0</v>
      </c>
      <c r="FP35" s="129">
        <v>0</v>
      </c>
      <c r="FQ35" s="129">
        <v>0</v>
      </c>
      <c r="FR35" s="129">
        <v>0</v>
      </c>
      <c r="FS35" s="129">
        <v>0</v>
      </c>
      <c r="FT35" s="129">
        <v>0</v>
      </c>
      <c r="FU35" s="129">
        <v>0</v>
      </c>
      <c r="FV35" s="129">
        <v>0</v>
      </c>
      <c r="FW35" s="129">
        <v>0</v>
      </c>
      <c r="FX35" s="129">
        <v>0</v>
      </c>
      <c r="FY35" s="129">
        <v>0</v>
      </c>
      <c r="FZ35" s="129">
        <v>0</v>
      </c>
      <c r="GA35" s="129">
        <v>0</v>
      </c>
      <c r="GB35" s="129">
        <v>0</v>
      </c>
      <c r="GC35" s="129">
        <v>0</v>
      </c>
      <c r="GD35" s="129">
        <v>0</v>
      </c>
      <c r="GE35" s="129">
        <v>0</v>
      </c>
      <c r="GF35" s="129">
        <v>0</v>
      </c>
      <c r="GG35" s="129">
        <v>0</v>
      </c>
      <c r="GH35" s="129">
        <v>0</v>
      </c>
      <c r="GI35" s="129">
        <v>0</v>
      </c>
      <c r="GJ35" s="129">
        <v>0</v>
      </c>
      <c r="GK35" s="129">
        <v>0</v>
      </c>
      <c r="GL35" s="129">
        <v>0</v>
      </c>
      <c r="GM35" s="129">
        <v>0</v>
      </c>
      <c r="GN35" s="129">
        <v>0</v>
      </c>
      <c r="GO35" s="129">
        <v>0</v>
      </c>
      <c r="GP35" s="129">
        <v>0</v>
      </c>
      <c r="GQ35" s="129">
        <v>0</v>
      </c>
      <c r="GR35" s="129">
        <v>0</v>
      </c>
      <c r="GS35" s="129">
        <v>0</v>
      </c>
    </row>
    <row r="36" spans="1:201" s="30" customFormat="1" ht="14.25" customHeight="1" x14ac:dyDescent="0.25">
      <c r="A36" s="87">
        <v>30</v>
      </c>
      <c r="B36" s="128">
        <v>22.474625</v>
      </c>
      <c r="C36" s="128">
        <v>7.4266410000000196</v>
      </c>
      <c r="D36" s="128">
        <v>7.7596340000000099</v>
      </c>
      <c r="E36" s="128">
        <v>0</v>
      </c>
      <c r="F36" s="128">
        <v>7.3550620000000304</v>
      </c>
      <c r="G36" s="128">
        <v>0</v>
      </c>
      <c r="H36" s="128">
        <v>0</v>
      </c>
      <c r="I36" s="128">
        <v>0</v>
      </c>
      <c r="J36" s="128">
        <v>0</v>
      </c>
      <c r="K36" s="128">
        <v>0</v>
      </c>
      <c r="L36" s="128">
        <v>0</v>
      </c>
      <c r="M36" s="128">
        <v>0</v>
      </c>
      <c r="N36" s="128">
        <v>2.9433180000000299</v>
      </c>
      <c r="O36" s="128">
        <v>3.0303040000000001</v>
      </c>
      <c r="P36" s="128">
        <v>0.20611300000000199</v>
      </c>
      <c r="Q36" s="128">
        <v>7.2232960000001203</v>
      </c>
      <c r="R36" s="128">
        <v>7.5694079999993802</v>
      </c>
      <c r="S36" s="128">
        <v>0</v>
      </c>
      <c r="T36" s="128">
        <v>7.1290880000014996</v>
      </c>
      <c r="U36" s="128">
        <v>0.51163199999999198</v>
      </c>
      <c r="V36" s="128">
        <v>0.11635000000000099</v>
      </c>
      <c r="W36" s="128">
        <v>7.7854000000000298E-2</v>
      </c>
      <c r="X36" s="128">
        <v>7.2466999999999601E-2</v>
      </c>
      <c r="Y36" s="128">
        <v>0</v>
      </c>
      <c r="Z36" s="128">
        <v>4.2081999999998801E-2</v>
      </c>
      <c r="AA36" s="128">
        <v>0.109763999999998</v>
      </c>
      <c r="AB36" s="128">
        <v>0.149508000000001</v>
      </c>
      <c r="AC36" s="128">
        <v>0.10681400000000001</v>
      </c>
      <c r="AD36" s="128">
        <v>4.6713500000000102E-2</v>
      </c>
      <c r="AE36" s="128">
        <v>8.2293749999999805E-2</v>
      </c>
      <c r="AF36" s="128">
        <v>0</v>
      </c>
      <c r="AG36" s="128">
        <v>2.4740000000000002E-2</v>
      </c>
      <c r="AH36" s="128">
        <v>1.9010879999999599</v>
      </c>
      <c r="AI36" s="128">
        <v>0</v>
      </c>
      <c r="AJ36" s="128">
        <v>3.2446000000000197E-2</v>
      </c>
      <c r="AK36" s="128">
        <v>0</v>
      </c>
      <c r="AL36" s="128">
        <v>0.313336000000007</v>
      </c>
      <c r="AM36" s="128">
        <v>0.48680000000000201</v>
      </c>
      <c r="AN36" s="128">
        <v>0.40084000000000197</v>
      </c>
      <c r="AO36" s="128">
        <v>0.11429600000000301</v>
      </c>
      <c r="AP36" s="128">
        <v>8.4064000000001499E-2</v>
      </c>
      <c r="AQ36" s="128">
        <v>0.32942400000000299</v>
      </c>
      <c r="AR36" s="128">
        <v>5.4391039999999897</v>
      </c>
      <c r="AS36" s="128">
        <v>5.5912000000000198E-2</v>
      </c>
      <c r="AT36" s="128">
        <v>0</v>
      </c>
      <c r="AU36" s="128">
        <v>4.5783999999997597E-2</v>
      </c>
      <c r="AV36" s="128">
        <v>3.8345500000000102E-2</v>
      </c>
      <c r="AW36" s="128">
        <v>2.3011199999999699</v>
      </c>
      <c r="AX36" s="128">
        <v>0</v>
      </c>
      <c r="AY36" s="128">
        <v>6.9448499999999996E-2</v>
      </c>
      <c r="AZ36" s="128">
        <v>1.9499999999616998E-5</v>
      </c>
      <c r="BA36" s="128">
        <v>0</v>
      </c>
      <c r="BB36" s="128">
        <v>0</v>
      </c>
      <c r="BC36" s="128">
        <v>0</v>
      </c>
      <c r="BD36" s="128">
        <v>4.8855000000000998E-3</v>
      </c>
      <c r="BE36" s="128">
        <v>0.12038500000000101</v>
      </c>
      <c r="BF36" s="128">
        <v>0</v>
      </c>
      <c r="BG36" s="128">
        <v>2.8186000000001599E-2</v>
      </c>
      <c r="BH36" s="128">
        <v>5.3361999999999903E-2</v>
      </c>
      <c r="BI36" s="128">
        <v>2.4452799999999999</v>
      </c>
      <c r="BJ36" s="128">
        <v>2.4920000000001599E-3</v>
      </c>
      <c r="BK36" s="128">
        <v>6.0275499999999503E-2</v>
      </c>
      <c r="BL36" s="128">
        <v>1.4159999999989699E-3</v>
      </c>
      <c r="BM36" s="128">
        <v>1.757328</v>
      </c>
      <c r="BN36" s="128">
        <v>0</v>
      </c>
      <c r="BO36" s="128">
        <v>4.2845000000001597E-2</v>
      </c>
      <c r="BP36" s="128">
        <v>0</v>
      </c>
      <c r="BQ36" s="128">
        <v>0</v>
      </c>
      <c r="BR36" s="128">
        <v>0</v>
      </c>
      <c r="BS36" s="128">
        <v>0</v>
      </c>
      <c r="BT36" s="128">
        <v>0.25401600000000002</v>
      </c>
      <c r="BU36" s="128">
        <v>0</v>
      </c>
      <c r="BV36" s="128">
        <v>0</v>
      </c>
      <c r="BW36" s="128">
        <v>0</v>
      </c>
      <c r="BX36" s="128">
        <v>0</v>
      </c>
      <c r="BY36" s="128">
        <v>0</v>
      </c>
      <c r="BZ36" s="128">
        <v>0.95004000000000099</v>
      </c>
      <c r="CA36" s="128">
        <v>0.31630400000000197</v>
      </c>
      <c r="CB36" s="128">
        <v>0</v>
      </c>
      <c r="CC36" s="128">
        <v>0</v>
      </c>
      <c r="CD36" s="128">
        <v>0</v>
      </c>
      <c r="CE36" s="128">
        <v>0</v>
      </c>
      <c r="CF36" s="128">
        <v>5.21380000000011E-2</v>
      </c>
      <c r="CG36" s="128">
        <v>0</v>
      </c>
      <c r="CH36" s="128">
        <v>2.3666249999999799E-2</v>
      </c>
      <c r="CI36" s="128">
        <v>0</v>
      </c>
      <c r="CJ36" s="128">
        <v>0</v>
      </c>
      <c r="CK36" s="128">
        <v>0</v>
      </c>
      <c r="CL36" s="128">
        <v>0.16291599999999901</v>
      </c>
      <c r="CM36" s="128">
        <v>4.1160960000001996</v>
      </c>
      <c r="CN36" s="128">
        <v>5.09810000000002E-2</v>
      </c>
      <c r="CO36" s="128">
        <v>0.55075999999999703</v>
      </c>
      <c r="CP36" s="128">
        <v>0</v>
      </c>
      <c r="CQ36" s="128">
        <v>0</v>
      </c>
      <c r="CR36" s="128">
        <v>9.5231999999999303E-2</v>
      </c>
      <c r="CS36" s="128">
        <v>0</v>
      </c>
      <c r="CT36" s="128">
        <v>0.19920000000000501</v>
      </c>
      <c r="CU36" s="128">
        <v>0</v>
      </c>
      <c r="CV36" s="128">
        <v>1.7204750000000098E-2</v>
      </c>
      <c r="CW36" s="128">
        <v>1.79200000000179E-3</v>
      </c>
      <c r="CX36" s="128">
        <v>0.24110800000000401</v>
      </c>
      <c r="CY36" s="128">
        <v>1.53269999999999E-2</v>
      </c>
      <c r="CZ36" s="128">
        <v>1.26732499999997E-2</v>
      </c>
      <c r="DA36" s="128">
        <v>0.27137999999999401</v>
      </c>
      <c r="DB36" s="128">
        <v>0.12728799999999801</v>
      </c>
      <c r="DC36" s="128">
        <v>0.14633200000000099</v>
      </c>
      <c r="DD36" s="128">
        <v>1.9398749999999999E-2</v>
      </c>
      <c r="DE36" s="128">
        <v>0</v>
      </c>
      <c r="DF36" s="128">
        <v>0</v>
      </c>
      <c r="DG36" s="128">
        <v>1.5594999999999401E-3</v>
      </c>
      <c r="DH36" s="128">
        <v>7.5820000000001997E-3</v>
      </c>
      <c r="DI36" s="128">
        <v>5.3108480000000799</v>
      </c>
      <c r="DJ36" s="128">
        <v>0</v>
      </c>
      <c r="DK36" s="128">
        <v>6.4299999999999399E-2</v>
      </c>
      <c r="DL36" s="128">
        <v>1.9216999999999401E-2</v>
      </c>
      <c r="DM36" s="128">
        <v>4.5246999999999801E-2</v>
      </c>
      <c r="DN36" s="128">
        <v>4.7075625000000398E-3</v>
      </c>
      <c r="DO36" s="128">
        <v>0.71620800000002305</v>
      </c>
      <c r="DP36" s="128">
        <v>3.7919999999999697E-2</v>
      </c>
      <c r="DQ36" s="128">
        <v>0</v>
      </c>
      <c r="DR36" s="128">
        <v>0</v>
      </c>
      <c r="DS36" s="128">
        <v>1.52310399999999</v>
      </c>
      <c r="DT36" s="128">
        <v>0.41635999999999701</v>
      </c>
      <c r="DU36" s="128">
        <v>1.8900999999999599E-2</v>
      </c>
      <c r="DV36" s="128">
        <v>8.4177499999999999E-3</v>
      </c>
      <c r="DW36" s="128">
        <v>0</v>
      </c>
      <c r="DX36" s="128">
        <v>0.27577450000000098</v>
      </c>
      <c r="DY36" s="128">
        <v>5.6303125000000103E-3</v>
      </c>
      <c r="DZ36" s="128">
        <v>0.111694</v>
      </c>
      <c r="EA36" s="128">
        <v>0</v>
      </c>
      <c r="EB36" s="128">
        <v>1.45246399999999</v>
      </c>
      <c r="EC36" s="128">
        <v>0.63462399999997399</v>
      </c>
      <c r="ED36" s="128">
        <v>3.9222249999999903E-2</v>
      </c>
      <c r="EE36" s="128">
        <v>2.1612499999999799E-2</v>
      </c>
      <c r="EF36" s="128">
        <v>10.1767739999996</v>
      </c>
      <c r="EG36" s="128">
        <v>0</v>
      </c>
      <c r="EH36" s="128">
        <v>0.474304000000075</v>
      </c>
      <c r="EI36" s="128">
        <v>0.60275200000000995</v>
      </c>
      <c r="EJ36" s="128">
        <v>2.9312000000004401E-2</v>
      </c>
      <c r="EK36" s="128">
        <v>0</v>
      </c>
      <c r="EL36" s="128">
        <v>0.134528000000046</v>
      </c>
      <c r="EM36" s="128">
        <v>3.7265919999999801</v>
      </c>
      <c r="EN36" s="128">
        <v>2.25331200000028</v>
      </c>
      <c r="EO36" s="128">
        <v>0</v>
      </c>
      <c r="EP36" s="128">
        <v>0</v>
      </c>
      <c r="EQ36" s="128">
        <v>0</v>
      </c>
      <c r="ER36" s="129">
        <v>2.9554040000000001</v>
      </c>
      <c r="ES36" s="129">
        <v>0</v>
      </c>
      <c r="ET36" s="129">
        <v>0</v>
      </c>
      <c r="EU36" s="129">
        <v>0</v>
      </c>
      <c r="EV36" s="129">
        <v>0</v>
      </c>
      <c r="EW36" s="129">
        <v>0</v>
      </c>
      <c r="EX36" s="129">
        <v>0</v>
      </c>
      <c r="EY36" s="129">
        <v>0</v>
      </c>
      <c r="EZ36" s="129">
        <v>0</v>
      </c>
      <c r="FA36" s="129">
        <v>0</v>
      </c>
      <c r="FB36" s="129">
        <v>0</v>
      </c>
      <c r="FC36" s="129">
        <v>0</v>
      </c>
      <c r="FD36" s="129">
        <v>0</v>
      </c>
      <c r="FE36" s="129">
        <v>0</v>
      </c>
      <c r="FF36" s="129">
        <v>0</v>
      </c>
      <c r="FG36" s="129">
        <v>0</v>
      </c>
      <c r="FH36" s="129">
        <v>0</v>
      </c>
      <c r="FI36" s="129">
        <v>0</v>
      </c>
      <c r="FJ36" s="129">
        <v>0</v>
      </c>
      <c r="FK36" s="129">
        <v>0</v>
      </c>
      <c r="FL36" s="129">
        <v>0</v>
      </c>
      <c r="FM36" s="129">
        <v>0</v>
      </c>
      <c r="FN36" s="129">
        <v>0</v>
      </c>
      <c r="FO36" s="129">
        <v>0</v>
      </c>
      <c r="FP36" s="129">
        <v>0</v>
      </c>
      <c r="FQ36" s="129">
        <v>0</v>
      </c>
      <c r="FR36" s="129">
        <v>0</v>
      </c>
      <c r="FS36" s="129">
        <v>0</v>
      </c>
      <c r="FT36" s="129">
        <v>0</v>
      </c>
      <c r="FU36" s="129">
        <v>0</v>
      </c>
      <c r="FV36" s="129">
        <v>0</v>
      </c>
      <c r="FW36" s="129">
        <v>0</v>
      </c>
      <c r="FX36" s="129">
        <v>0</v>
      </c>
      <c r="FY36" s="129">
        <v>0</v>
      </c>
      <c r="FZ36" s="129">
        <v>0</v>
      </c>
      <c r="GA36" s="129">
        <v>0</v>
      </c>
      <c r="GB36" s="129">
        <v>0</v>
      </c>
      <c r="GC36" s="129">
        <v>0</v>
      </c>
      <c r="GD36" s="129">
        <v>0</v>
      </c>
      <c r="GE36" s="129">
        <v>0</v>
      </c>
      <c r="GF36" s="129">
        <v>0</v>
      </c>
      <c r="GG36" s="129">
        <v>0</v>
      </c>
      <c r="GH36" s="129">
        <v>0</v>
      </c>
      <c r="GI36" s="129">
        <v>0</v>
      </c>
      <c r="GJ36" s="129">
        <v>0</v>
      </c>
      <c r="GK36" s="129">
        <v>0</v>
      </c>
      <c r="GL36" s="129">
        <v>0</v>
      </c>
      <c r="GM36" s="129">
        <v>0</v>
      </c>
      <c r="GN36" s="129">
        <v>0</v>
      </c>
      <c r="GO36" s="129">
        <v>0</v>
      </c>
      <c r="GP36" s="129">
        <v>0</v>
      </c>
      <c r="GQ36" s="129">
        <v>0</v>
      </c>
      <c r="GR36" s="129">
        <v>0</v>
      </c>
      <c r="GS36" s="129">
        <v>0</v>
      </c>
    </row>
    <row r="37" spans="1:201" s="30" customFormat="1" ht="14.25" customHeight="1" x14ac:dyDescent="0.25">
      <c r="A37" s="87">
        <v>31</v>
      </c>
      <c r="B37" s="128">
        <v>21.1435</v>
      </c>
      <c r="C37" s="128">
        <v>6.9584380000000001</v>
      </c>
      <c r="D37" s="128">
        <v>7.2929789999999999</v>
      </c>
      <c r="E37" s="128">
        <v>0</v>
      </c>
      <c r="F37" s="128">
        <v>6.9168059999999496</v>
      </c>
      <c r="G37" s="128">
        <v>0</v>
      </c>
      <c r="H37" s="128">
        <v>0</v>
      </c>
      <c r="I37" s="128">
        <v>0</v>
      </c>
      <c r="J37" s="128">
        <v>0</v>
      </c>
      <c r="K37" s="128">
        <v>0</v>
      </c>
      <c r="L37" s="128">
        <v>0</v>
      </c>
      <c r="M37" s="128">
        <v>0</v>
      </c>
      <c r="N37" s="128">
        <v>4.0397969999999104</v>
      </c>
      <c r="O37" s="128">
        <v>4.1360969999999497</v>
      </c>
      <c r="P37" s="128">
        <v>0.26910600000000101</v>
      </c>
      <c r="Q37" s="128">
        <v>6.7768319999995601</v>
      </c>
      <c r="R37" s="128">
        <v>7.1065600000001696</v>
      </c>
      <c r="S37" s="128">
        <v>0</v>
      </c>
      <c r="T37" s="128">
        <v>6.7112959999976702</v>
      </c>
      <c r="U37" s="128">
        <v>0.47630399999999901</v>
      </c>
      <c r="V37" s="128">
        <v>0.117767999999998</v>
      </c>
      <c r="W37" s="128">
        <v>5.8904999999999298E-2</v>
      </c>
      <c r="X37" s="128">
        <v>5.57169999999996E-2</v>
      </c>
      <c r="Y37" s="128">
        <v>0</v>
      </c>
      <c r="Z37" s="128">
        <v>4.2229999999999997E-2</v>
      </c>
      <c r="AA37" s="128">
        <v>0.10932</v>
      </c>
      <c r="AB37" s="128">
        <v>0.15190799999999899</v>
      </c>
      <c r="AC37" s="128">
        <v>0.11287799999999799</v>
      </c>
      <c r="AD37" s="128">
        <v>5.0857999999999799E-2</v>
      </c>
      <c r="AE37" s="128">
        <v>0.10641525</v>
      </c>
      <c r="AF37" s="128">
        <v>0</v>
      </c>
      <c r="AG37" s="128">
        <v>2.3917000000000001E-2</v>
      </c>
      <c r="AH37" s="128">
        <v>1.871488</v>
      </c>
      <c r="AI37" s="128">
        <v>0</v>
      </c>
      <c r="AJ37" s="128">
        <v>3.9047999999999299E-2</v>
      </c>
      <c r="AK37" s="128">
        <v>0</v>
      </c>
      <c r="AL37" s="128">
        <v>0.31107199999999602</v>
      </c>
      <c r="AM37" s="128">
        <v>0.48850400000000599</v>
      </c>
      <c r="AN37" s="128">
        <v>0.38296800000000503</v>
      </c>
      <c r="AO37" s="128">
        <v>9.4121999999998707E-2</v>
      </c>
      <c r="AP37" s="128">
        <v>8.3809999999999704E-2</v>
      </c>
      <c r="AQ37" s="128">
        <v>0.33566399999999402</v>
      </c>
      <c r="AR37" s="128">
        <v>5.00316800000002</v>
      </c>
      <c r="AS37" s="128">
        <v>5.1380000000000002E-2</v>
      </c>
      <c r="AT37" s="128">
        <v>0</v>
      </c>
      <c r="AU37" s="128">
        <v>4.28119999999979E-2</v>
      </c>
      <c r="AV37" s="128">
        <v>3.0863000000000099E-2</v>
      </c>
      <c r="AW37" s="128">
        <v>1.9987199999999301</v>
      </c>
      <c r="AX37" s="128">
        <v>0</v>
      </c>
      <c r="AY37" s="128">
        <v>6.4760999999999805E-2</v>
      </c>
      <c r="AZ37" s="128">
        <v>5.0000000051397798E-7</v>
      </c>
      <c r="BA37" s="128">
        <v>0</v>
      </c>
      <c r="BB37" s="128">
        <v>0</v>
      </c>
      <c r="BC37" s="128">
        <v>0</v>
      </c>
      <c r="BD37" s="128">
        <v>3.4167499999999702E-3</v>
      </c>
      <c r="BE37" s="128">
        <v>0.119269000000001</v>
      </c>
      <c r="BF37" s="128">
        <v>0</v>
      </c>
      <c r="BG37" s="128">
        <v>1.47859999999991E-2</v>
      </c>
      <c r="BH37" s="128">
        <v>5.2925999999999397E-2</v>
      </c>
      <c r="BI37" s="128">
        <v>2.3648640000000398</v>
      </c>
      <c r="BJ37" s="128">
        <v>3.96399999999986E-3</v>
      </c>
      <c r="BK37" s="128">
        <v>4.9568000000000702E-2</v>
      </c>
      <c r="BL37" s="128">
        <v>9.0199999999995796E-4</v>
      </c>
      <c r="BM37" s="128">
        <v>1.7649119999999801</v>
      </c>
      <c r="BN37" s="128">
        <v>0</v>
      </c>
      <c r="BO37" s="128">
        <v>2.9770999999998399E-2</v>
      </c>
      <c r="BP37" s="128">
        <v>0</v>
      </c>
      <c r="BQ37" s="128">
        <v>0</v>
      </c>
      <c r="BR37" s="128">
        <v>0</v>
      </c>
      <c r="BS37" s="128">
        <v>0</v>
      </c>
      <c r="BT37" s="128">
        <v>0.24023599999999601</v>
      </c>
      <c r="BU37" s="128">
        <v>0</v>
      </c>
      <c r="BV37" s="128">
        <v>0</v>
      </c>
      <c r="BW37" s="128">
        <v>0</v>
      </c>
      <c r="BX37" s="128">
        <v>0</v>
      </c>
      <c r="BY37" s="128">
        <v>1.3160000000000901E-3</v>
      </c>
      <c r="BZ37" s="128">
        <v>0.99890399999999602</v>
      </c>
      <c r="CA37" s="128">
        <v>0.29748800000000097</v>
      </c>
      <c r="CB37" s="128">
        <v>0</v>
      </c>
      <c r="CC37" s="128">
        <v>0</v>
      </c>
      <c r="CD37" s="128">
        <v>0</v>
      </c>
      <c r="CE37" s="128">
        <v>0</v>
      </c>
      <c r="CF37" s="128">
        <v>5.9308999999998897E-2</v>
      </c>
      <c r="CG37" s="128">
        <v>0</v>
      </c>
      <c r="CH37" s="128">
        <v>3.07600000000008E-3</v>
      </c>
      <c r="CI37" s="128">
        <v>0</v>
      </c>
      <c r="CJ37" s="128">
        <v>0</v>
      </c>
      <c r="CK37" s="128">
        <v>0</v>
      </c>
      <c r="CL37" s="128">
        <v>0.20741200000000101</v>
      </c>
      <c r="CM37" s="128">
        <v>4.1607679999999601</v>
      </c>
      <c r="CN37" s="128">
        <v>3.6311500000000101E-2</v>
      </c>
      <c r="CO37" s="128">
        <v>0.61673999999999995</v>
      </c>
      <c r="CP37" s="128">
        <v>0</v>
      </c>
      <c r="CQ37" s="128">
        <v>0</v>
      </c>
      <c r="CR37" s="128">
        <v>0.11162999999999999</v>
      </c>
      <c r="CS37" s="128">
        <v>0</v>
      </c>
      <c r="CT37" s="128">
        <v>0.118043999999998</v>
      </c>
      <c r="CU37" s="128">
        <v>0</v>
      </c>
      <c r="CV37" s="128">
        <v>1.6639749999999998E-2</v>
      </c>
      <c r="CW37" s="128">
        <v>0</v>
      </c>
      <c r="CX37" s="128">
        <v>0.240027999999995</v>
      </c>
      <c r="CY37" s="128">
        <v>1.4953000000000201E-2</v>
      </c>
      <c r="CZ37" s="128">
        <v>1.13970000000001E-2</v>
      </c>
      <c r="DA37" s="128">
        <v>0.28359200000000601</v>
      </c>
      <c r="DB37" s="128">
        <v>0.12962399999999999</v>
      </c>
      <c r="DC37" s="128">
        <v>0.159776000000001</v>
      </c>
      <c r="DD37" s="128">
        <v>1.94670625E-2</v>
      </c>
      <c r="DE37" s="128">
        <v>0</v>
      </c>
      <c r="DF37" s="128">
        <v>0</v>
      </c>
      <c r="DG37" s="128">
        <v>0</v>
      </c>
      <c r="DH37" s="128">
        <v>7.8119999999994904E-3</v>
      </c>
      <c r="DI37" s="128">
        <v>5.2383360000000003</v>
      </c>
      <c r="DJ37" s="128">
        <v>0</v>
      </c>
      <c r="DK37" s="128">
        <v>6.5076000000001202E-2</v>
      </c>
      <c r="DL37" s="128">
        <v>1.7499000000000799E-2</v>
      </c>
      <c r="DM37" s="128">
        <v>4.8165000000000902E-2</v>
      </c>
      <c r="DN37" s="128">
        <v>0</v>
      </c>
      <c r="DO37" s="128">
        <v>0.74750399999999195</v>
      </c>
      <c r="DP37" s="128">
        <v>3.3973999999999699E-2</v>
      </c>
      <c r="DQ37" s="128">
        <v>0</v>
      </c>
      <c r="DR37" s="128">
        <v>0</v>
      </c>
      <c r="DS37" s="128">
        <v>1.5966720000000101</v>
      </c>
      <c r="DT37" s="128">
        <v>0.41910400000000397</v>
      </c>
      <c r="DU37" s="128">
        <v>1.8232000000001101E-2</v>
      </c>
      <c r="DV37" s="128">
        <v>8.2485000000000995E-3</v>
      </c>
      <c r="DW37" s="128">
        <v>0</v>
      </c>
      <c r="DX37" s="128">
        <v>0.2062985</v>
      </c>
      <c r="DY37" s="128">
        <v>4.0303124999999697E-3</v>
      </c>
      <c r="DZ37" s="128">
        <v>9.4300000000000495E-2</v>
      </c>
      <c r="EA37" s="128">
        <v>0</v>
      </c>
      <c r="EB37" s="128">
        <v>1.3666240000000001</v>
      </c>
      <c r="EC37" s="128">
        <v>0.62892800000000204</v>
      </c>
      <c r="ED37" s="128">
        <v>4.37725000000002E-2</v>
      </c>
      <c r="EE37" s="128">
        <v>1.8304500000000199E-2</v>
      </c>
      <c r="EF37" s="128">
        <v>11.5363879999995</v>
      </c>
      <c r="EG37" s="128">
        <v>0</v>
      </c>
      <c r="EH37" s="128">
        <v>0.48076800000001202</v>
      </c>
      <c r="EI37" s="128">
        <v>0.65094399999998098</v>
      </c>
      <c r="EJ37" s="128">
        <v>4.4319999999970598E-2</v>
      </c>
      <c r="EK37" s="128">
        <v>0</v>
      </c>
      <c r="EL37" s="128">
        <v>2.1630720000000601</v>
      </c>
      <c r="EM37" s="128">
        <v>2.70591999999988</v>
      </c>
      <c r="EN37" s="128">
        <v>2.69695999999976</v>
      </c>
      <c r="EO37" s="128">
        <v>0</v>
      </c>
      <c r="EP37" s="128">
        <v>0</v>
      </c>
      <c r="EQ37" s="128">
        <v>0</v>
      </c>
      <c r="ER37" s="129">
        <v>2.8290069999999998</v>
      </c>
      <c r="ES37" s="129">
        <v>0</v>
      </c>
      <c r="ET37" s="129">
        <v>0</v>
      </c>
      <c r="EU37" s="129">
        <v>0</v>
      </c>
      <c r="EV37" s="129">
        <v>0</v>
      </c>
      <c r="EW37" s="129">
        <v>0</v>
      </c>
      <c r="EX37" s="129">
        <v>0</v>
      </c>
      <c r="EY37" s="129">
        <v>0</v>
      </c>
      <c r="EZ37" s="129">
        <v>0</v>
      </c>
      <c r="FA37" s="129">
        <v>0</v>
      </c>
      <c r="FB37" s="129">
        <v>0</v>
      </c>
      <c r="FC37" s="129">
        <v>0</v>
      </c>
      <c r="FD37" s="129">
        <v>0</v>
      </c>
      <c r="FE37" s="129">
        <v>0</v>
      </c>
      <c r="FF37" s="129">
        <v>0</v>
      </c>
      <c r="FG37" s="129">
        <v>0</v>
      </c>
      <c r="FH37" s="129">
        <v>0</v>
      </c>
      <c r="FI37" s="129">
        <v>0</v>
      </c>
      <c r="FJ37" s="129">
        <v>0</v>
      </c>
      <c r="FK37" s="129">
        <v>0</v>
      </c>
      <c r="FL37" s="129">
        <v>0</v>
      </c>
      <c r="FM37" s="129">
        <v>0</v>
      </c>
      <c r="FN37" s="129">
        <v>0</v>
      </c>
      <c r="FO37" s="129">
        <v>0</v>
      </c>
      <c r="FP37" s="129">
        <v>0</v>
      </c>
      <c r="FQ37" s="129">
        <v>0</v>
      </c>
      <c r="FR37" s="129">
        <v>0</v>
      </c>
      <c r="FS37" s="129">
        <v>0</v>
      </c>
      <c r="FT37" s="129">
        <v>0</v>
      </c>
      <c r="FU37" s="129">
        <v>0</v>
      </c>
      <c r="FV37" s="129">
        <v>0</v>
      </c>
      <c r="FW37" s="129">
        <v>0</v>
      </c>
      <c r="FX37" s="129">
        <v>0</v>
      </c>
      <c r="FY37" s="129">
        <v>0</v>
      </c>
      <c r="FZ37" s="129">
        <v>0</v>
      </c>
      <c r="GA37" s="129">
        <v>0</v>
      </c>
      <c r="GB37" s="129">
        <v>0</v>
      </c>
      <c r="GC37" s="129">
        <v>0</v>
      </c>
      <c r="GD37" s="129">
        <v>0</v>
      </c>
      <c r="GE37" s="129">
        <v>0</v>
      </c>
      <c r="GF37" s="129">
        <v>0</v>
      </c>
      <c r="GG37" s="129">
        <v>0</v>
      </c>
      <c r="GH37" s="129">
        <v>0</v>
      </c>
      <c r="GI37" s="129">
        <v>0</v>
      </c>
      <c r="GJ37" s="129">
        <v>0</v>
      </c>
      <c r="GK37" s="129">
        <v>0</v>
      </c>
      <c r="GL37" s="129">
        <v>0</v>
      </c>
      <c r="GM37" s="129">
        <v>0</v>
      </c>
      <c r="GN37" s="129">
        <v>0</v>
      </c>
      <c r="GO37" s="129">
        <v>0</v>
      </c>
      <c r="GP37" s="129">
        <v>0</v>
      </c>
      <c r="GQ37" s="129">
        <v>0</v>
      </c>
      <c r="GR37" s="129">
        <v>0</v>
      </c>
      <c r="GS37" s="129">
        <v>0</v>
      </c>
    </row>
    <row r="38" spans="1:201" s="30" customFormat="1" x14ac:dyDescent="0.25">
      <c r="A38" s="89"/>
      <c r="B38" s="129"/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29"/>
      <c r="BO38" s="129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129"/>
      <c r="CC38" s="129"/>
      <c r="CD38" s="129"/>
      <c r="CE38" s="129"/>
      <c r="CF38" s="129"/>
      <c r="CG38" s="129"/>
      <c r="CH38" s="129"/>
      <c r="CI38" s="129"/>
      <c r="CJ38" s="129"/>
      <c r="CK38" s="129"/>
      <c r="CL38" s="129"/>
      <c r="CM38" s="129"/>
      <c r="CN38" s="129"/>
      <c r="CO38" s="129"/>
      <c r="CP38" s="129"/>
      <c r="CQ38" s="129"/>
      <c r="CR38" s="129"/>
      <c r="CS38" s="129"/>
      <c r="CT38" s="129"/>
      <c r="CU38" s="129"/>
      <c r="CV38" s="129"/>
      <c r="CW38" s="129"/>
      <c r="CX38" s="129"/>
      <c r="CY38" s="129"/>
      <c r="CZ38" s="129"/>
      <c r="DA38" s="129"/>
      <c r="DB38" s="129"/>
      <c r="DC38" s="129"/>
      <c r="DD38" s="129"/>
      <c r="DE38" s="129"/>
      <c r="DF38" s="129"/>
      <c r="DG38" s="129"/>
      <c r="DH38" s="129"/>
      <c r="DI38" s="129"/>
      <c r="DJ38" s="129"/>
      <c r="DK38" s="129"/>
      <c r="DL38" s="129"/>
      <c r="DM38" s="129"/>
      <c r="DN38" s="129"/>
      <c r="DO38" s="129"/>
      <c r="DP38" s="129"/>
      <c r="DQ38" s="129"/>
      <c r="DR38" s="129"/>
      <c r="DS38" s="129"/>
      <c r="DT38" s="129"/>
      <c r="DU38" s="129"/>
      <c r="DV38" s="129"/>
      <c r="DW38" s="129"/>
      <c r="DX38" s="129"/>
      <c r="DY38" s="129"/>
      <c r="DZ38" s="129"/>
      <c r="EA38" s="129"/>
      <c r="EB38" s="129"/>
      <c r="EC38" s="129"/>
      <c r="ED38" s="129"/>
      <c r="EE38" s="129"/>
      <c r="EF38" s="129"/>
      <c r="EG38" s="129"/>
      <c r="EH38" s="129"/>
      <c r="EI38" s="129"/>
      <c r="EJ38" s="129"/>
      <c r="EK38" s="129"/>
      <c r="EL38" s="129"/>
      <c r="EM38" s="129"/>
      <c r="EN38" s="129"/>
      <c r="EO38" s="129"/>
      <c r="EP38" s="129"/>
      <c r="EQ38" s="129"/>
      <c r="ER38" s="129"/>
      <c r="ES38" s="129"/>
      <c r="ET38" s="129"/>
      <c r="EU38" s="129"/>
      <c r="EV38" s="129"/>
      <c r="EW38" s="129"/>
      <c r="EX38" s="129"/>
      <c r="EY38" s="129"/>
      <c r="EZ38" s="129"/>
      <c r="FA38" s="129"/>
      <c r="FB38" s="129"/>
      <c r="FC38" s="129"/>
      <c r="FD38" s="129"/>
      <c r="FE38" s="129"/>
      <c r="FF38" s="129"/>
      <c r="FG38" s="129"/>
      <c r="FH38" s="129"/>
      <c r="FI38" s="129"/>
      <c r="FJ38" s="129"/>
      <c r="FK38" s="129"/>
      <c r="FL38" s="129"/>
      <c r="FM38" s="129"/>
      <c r="FN38" s="129"/>
      <c r="FO38" s="129"/>
      <c r="FP38" s="129"/>
      <c r="FQ38" s="129"/>
      <c r="FR38" s="129"/>
      <c r="FS38" s="129"/>
      <c r="FT38" s="129"/>
      <c r="FU38" s="129"/>
      <c r="FV38" s="129"/>
      <c r="FW38" s="129"/>
      <c r="FX38" s="129"/>
      <c r="FY38" s="129"/>
      <c r="FZ38" s="129"/>
      <c r="GA38" s="129"/>
      <c r="GB38" s="129"/>
      <c r="GC38" s="129"/>
      <c r="GD38" s="129"/>
      <c r="GE38" s="129"/>
      <c r="GF38" s="129"/>
      <c r="GG38" s="129"/>
      <c r="GH38" s="129"/>
      <c r="GI38" s="129"/>
      <c r="GJ38" s="129"/>
      <c r="GK38" s="129"/>
      <c r="GL38" s="129"/>
      <c r="GM38" s="129"/>
      <c r="GN38" s="129"/>
      <c r="GO38" s="129"/>
      <c r="GP38" s="129"/>
      <c r="GQ38" s="129"/>
      <c r="GR38" s="129"/>
      <c r="GS38" s="129"/>
    </row>
    <row r="39" spans="1:201" s="30" customFormat="1" x14ac:dyDescent="0.25">
      <c r="A39" s="89"/>
      <c r="B39" s="129"/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29"/>
      <c r="AK39" s="129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129"/>
      <c r="BE39" s="129"/>
      <c r="BF39" s="129"/>
      <c r="BG39" s="129"/>
      <c r="BH39" s="129"/>
      <c r="BI39" s="129"/>
      <c r="BJ39" s="129"/>
      <c r="BK39" s="129"/>
      <c r="BL39" s="129"/>
      <c r="BM39" s="129"/>
      <c r="BN39" s="129"/>
      <c r="BO39" s="129"/>
      <c r="BP39" s="129"/>
      <c r="BQ39" s="129"/>
      <c r="BR39" s="129"/>
      <c r="BS39" s="129"/>
      <c r="BT39" s="129"/>
      <c r="BU39" s="129"/>
      <c r="BV39" s="129"/>
      <c r="BW39" s="129"/>
      <c r="BX39" s="129"/>
      <c r="BY39" s="129"/>
      <c r="BZ39" s="129"/>
      <c r="CA39" s="129"/>
      <c r="CB39" s="129"/>
      <c r="CC39" s="129"/>
      <c r="CD39" s="129"/>
      <c r="CE39" s="129"/>
      <c r="CF39" s="129"/>
      <c r="CG39" s="129"/>
      <c r="CH39" s="129"/>
      <c r="CI39" s="129"/>
      <c r="CJ39" s="129"/>
      <c r="CK39" s="129"/>
      <c r="CL39" s="129"/>
      <c r="CM39" s="129"/>
      <c r="CN39" s="129"/>
      <c r="CO39" s="129"/>
      <c r="CP39" s="129"/>
      <c r="CQ39" s="129"/>
      <c r="CR39" s="129"/>
      <c r="CS39" s="129"/>
      <c r="CT39" s="129"/>
      <c r="CU39" s="129"/>
      <c r="CV39" s="129"/>
      <c r="CW39" s="129"/>
      <c r="CX39" s="129"/>
      <c r="CY39" s="129"/>
      <c r="CZ39" s="129"/>
      <c r="DA39" s="129"/>
      <c r="DB39" s="129"/>
      <c r="DC39" s="129"/>
      <c r="DD39" s="129"/>
      <c r="DE39" s="129"/>
      <c r="DF39" s="129"/>
      <c r="DG39" s="129"/>
      <c r="DH39" s="129"/>
      <c r="DI39" s="129"/>
      <c r="DJ39" s="129"/>
      <c r="DK39" s="129"/>
      <c r="DL39" s="129"/>
      <c r="DM39" s="129"/>
      <c r="DN39" s="129"/>
      <c r="DO39" s="129"/>
      <c r="DP39" s="129"/>
      <c r="DQ39" s="129"/>
      <c r="DR39" s="129"/>
      <c r="DS39" s="129"/>
      <c r="DT39" s="129"/>
      <c r="DU39" s="129"/>
      <c r="DV39" s="129"/>
      <c r="DW39" s="129"/>
      <c r="DX39" s="129"/>
      <c r="DY39" s="129"/>
      <c r="DZ39" s="129"/>
      <c r="EA39" s="129"/>
      <c r="EB39" s="129"/>
      <c r="EC39" s="129"/>
      <c r="ED39" s="129"/>
      <c r="EE39" s="129"/>
      <c r="EF39" s="129"/>
      <c r="EG39" s="129"/>
      <c r="EH39" s="129"/>
      <c r="EI39" s="129"/>
      <c r="EJ39" s="129"/>
      <c r="EK39" s="129"/>
      <c r="EL39" s="129"/>
      <c r="EM39" s="129"/>
      <c r="EN39" s="129"/>
      <c r="EO39" s="129"/>
      <c r="EP39" s="129"/>
      <c r="EQ39" s="129"/>
      <c r="ER39" s="129"/>
      <c r="ES39" s="129"/>
      <c r="ET39" s="129"/>
      <c r="EU39" s="129"/>
      <c r="EV39" s="129"/>
      <c r="EW39" s="129"/>
      <c r="EX39" s="129"/>
      <c r="EY39" s="129"/>
      <c r="EZ39" s="129"/>
      <c r="FA39" s="129"/>
      <c r="FB39" s="129"/>
      <c r="FC39" s="129"/>
      <c r="FD39" s="129"/>
      <c r="FE39" s="129"/>
      <c r="FF39" s="129"/>
      <c r="FG39" s="129"/>
      <c r="FH39" s="129"/>
      <c r="FI39" s="129"/>
      <c r="FJ39" s="129"/>
      <c r="FK39" s="129"/>
      <c r="FL39" s="129"/>
      <c r="FM39" s="129"/>
      <c r="FN39" s="129"/>
      <c r="FO39" s="129"/>
      <c r="FP39" s="129"/>
      <c r="FQ39" s="129"/>
      <c r="FR39" s="129"/>
      <c r="FS39" s="129"/>
      <c r="FT39" s="129"/>
      <c r="FU39" s="129"/>
      <c r="FV39" s="129"/>
      <c r="FW39" s="129"/>
      <c r="FX39" s="129"/>
      <c r="FY39" s="129"/>
      <c r="FZ39" s="129"/>
      <c r="GA39" s="129"/>
      <c r="GB39" s="129"/>
      <c r="GC39" s="129"/>
      <c r="GD39" s="129"/>
      <c r="GE39" s="129"/>
      <c r="GF39" s="129"/>
      <c r="GG39" s="129"/>
      <c r="GH39" s="129"/>
      <c r="GI39" s="129"/>
      <c r="GJ39" s="129"/>
      <c r="GK39" s="129"/>
      <c r="GL39" s="129"/>
      <c r="GM39" s="129"/>
      <c r="GN39" s="129"/>
      <c r="GO39" s="129"/>
      <c r="GP39" s="129"/>
      <c r="GQ39" s="129"/>
      <c r="GR39" s="129"/>
      <c r="GS39" s="129"/>
    </row>
    <row r="40" spans="1:201" s="30" customFormat="1" ht="12" customHeight="1" x14ac:dyDescent="0.3">
      <c r="A40" s="90" t="s">
        <v>50</v>
      </c>
      <c r="B40" s="133">
        <f t="shared" ref="B40:BM40" si="0">SUM(B7:B37)</f>
        <v>520.69737499999997</v>
      </c>
      <c r="C40" s="133">
        <f t="shared" si="0"/>
        <v>93.765378999999996</v>
      </c>
      <c r="D40" s="133">
        <f t="shared" si="0"/>
        <v>182.58832100000006</v>
      </c>
      <c r="E40" s="133">
        <f t="shared" si="0"/>
        <v>71.224301000000011</v>
      </c>
      <c r="F40" s="133">
        <f t="shared" si="0"/>
        <v>173.10741699999997</v>
      </c>
      <c r="G40" s="133">
        <f t="shared" si="0"/>
        <v>14.031363000000001</v>
      </c>
      <c r="H40" s="133">
        <f t="shared" si="0"/>
        <v>3.2147489999999999</v>
      </c>
      <c r="I40" s="133">
        <f t="shared" si="0"/>
        <v>3.5458029999999994</v>
      </c>
      <c r="J40" s="133">
        <f t="shared" si="0"/>
        <v>1.2886140000000001</v>
      </c>
      <c r="K40" s="133">
        <f t="shared" si="0"/>
        <v>0.78343600000000002</v>
      </c>
      <c r="L40" s="133">
        <f t="shared" si="0"/>
        <v>2.537385</v>
      </c>
      <c r="M40" s="133">
        <f t="shared" si="0"/>
        <v>14.002668999999999</v>
      </c>
      <c r="N40" s="133">
        <f t="shared" si="0"/>
        <v>104.66609099999988</v>
      </c>
      <c r="O40" s="133">
        <f t="shared" si="0"/>
        <v>109.05477199999996</v>
      </c>
      <c r="P40" s="133">
        <f t="shared" si="0"/>
        <v>7.7220280000000017</v>
      </c>
      <c r="Q40" s="133">
        <f t="shared" si="0"/>
        <v>91.36947199999851</v>
      </c>
      <c r="R40" s="133">
        <f t="shared" si="0"/>
        <v>178.25689599999532</v>
      </c>
      <c r="S40" s="133">
        <f t="shared" si="0"/>
        <v>69.246975999999449</v>
      </c>
      <c r="T40" s="133">
        <f t="shared" si="0"/>
        <v>168.39680000000226</v>
      </c>
      <c r="U40" s="133">
        <f t="shared" si="0"/>
        <v>12.205163999999986</v>
      </c>
      <c r="V40" s="133">
        <f t="shared" si="0"/>
        <v>3.2724419999999999</v>
      </c>
      <c r="W40" s="133">
        <f t="shared" si="0"/>
        <v>1.611639999999998</v>
      </c>
      <c r="X40" s="133">
        <f t="shared" si="0"/>
        <v>1.9054989999999989</v>
      </c>
      <c r="Y40" s="133">
        <f t="shared" si="0"/>
        <v>0</v>
      </c>
      <c r="Z40" s="133">
        <f t="shared" si="0"/>
        <v>1.1823299999999988</v>
      </c>
      <c r="AA40" s="133">
        <f t="shared" si="0"/>
        <v>2.9132459999999956</v>
      </c>
      <c r="AB40" s="133">
        <f t="shared" si="0"/>
        <v>4.1729399999999979</v>
      </c>
      <c r="AC40" s="133">
        <f t="shared" si="0"/>
        <v>2.9601089999999988</v>
      </c>
      <c r="AD40" s="133">
        <f t="shared" si="0"/>
        <v>1.2400674999999997</v>
      </c>
      <c r="AE40" s="133">
        <f t="shared" si="0"/>
        <v>1.9942447500000002</v>
      </c>
      <c r="AF40" s="133">
        <f t="shared" si="0"/>
        <v>0</v>
      </c>
      <c r="AG40" s="133">
        <f t="shared" si="0"/>
        <v>0.44267824999999988</v>
      </c>
      <c r="AH40" s="133">
        <f t="shared" si="0"/>
        <v>47.772735999999952</v>
      </c>
      <c r="AI40" s="133">
        <f t="shared" si="0"/>
        <v>0</v>
      </c>
      <c r="AJ40" s="133">
        <f t="shared" si="0"/>
        <v>0.78231474999999939</v>
      </c>
      <c r="AK40" s="133">
        <f t="shared" si="0"/>
        <v>0</v>
      </c>
      <c r="AL40" s="133">
        <f t="shared" si="0"/>
        <v>7.7194719999999961</v>
      </c>
      <c r="AM40" s="133">
        <f t="shared" si="0"/>
        <v>12.438808000000002</v>
      </c>
      <c r="AN40" s="133">
        <f t="shared" si="0"/>
        <v>9.5780000000000118</v>
      </c>
      <c r="AO40" s="133">
        <f t="shared" si="0"/>
        <v>3.6022979999999998</v>
      </c>
      <c r="AP40" s="133">
        <f t="shared" si="0"/>
        <v>2.2242610000000003</v>
      </c>
      <c r="AQ40" s="133">
        <f t="shared" si="0"/>
        <v>7.923708000000004</v>
      </c>
      <c r="AR40" s="133">
        <f t="shared" si="0"/>
        <v>124.79465600000003</v>
      </c>
      <c r="AS40" s="133">
        <f t="shared" si="0"/>
        <v>1.4619877500000003</v>
      </c>
      <c r="AT40" s="133">
        <f t="shared" si="0"/>
        <v>0</v>
      </c>
      <c r="AU40" s="133">
        <f t="shared" si="0"/>
        <v>1.0537919999999943</v>
      </c>
      <c r="AV40" s="133">
        <f t="shared" si="0"/>
        <v>0.87647350000000046</v>
      </c>
      <c r="AW40" s="133">
        <f t="shared" si="0"/>
        <v>46.182015999999976</v>
      </c>
      <c r="AX40" s="133">
        <f t="shared" si="0"/>
        <v>0</v>
      </c>
      <c r="AY40" s="133">
        <f t="shared" si="0"/>
        <v>1.7909152499999998</v>
      </c>
      <c r="AZ40" s="133">
        <f t="shared" si="0"/>
        <v>1.0499999999957765E-4</v>
      </c>
      <c r="BA40" s="133">
        <f t="shared" si="0"/>
        <v>0</v>
      </c>
      <c r="BB40" s="133">
        <f t="shared" si="0"/>
        <v>0</v>
      </c>
      <c r="BC40" s="133">
        <f t="shared" si="0"/>
        <v>0</v>
      </c>
      <c r="BD40" s="133">
        <f t="shared" si="0"/>
        <v>0.10776774999999983</v>
      </c>
      <c r="BE40" s="133">
        <f t="shared" si="0"/>
        <v>4.3297499999999989</v>
      </c>
      <c r="BF40" s="133">
        <f t="shared" si="0"/>
        <v>0</v>
      </c>
      <c r="BG40" s="133">
        <f t="shared" si="0"/>
        <v>0.53252200000000016</v>
      </c>
      <c r="BH40" s="133">
        <f t="shared" si="0"/>
        <v>1.2742299999999993</v>
      </c>
      <c r="BI40" s="133">
        <f t="shared" si="0"/>
        <v>60.238607999999964</v>
      </c>
      <c r="BJ40" s="133">
        <f t="shared" si="0"/>
        <v>4.9425000000002897E-2</v>
      </c>
      <c r="BK40" s="133">
        <f t="shared" si="0"/>
        <v>1.4904174999999995</v>
      </c>
      <c r="BL40" s="133">
        <f t="shared" si="0"/>
        <v>22.32307999999998</v>
      </c>
      <c r="BM40" s="133">
        <f t="shared" si="0"/>
        <v>46.073408000000001</v>
      </c>
      <c r="BN40" s="133">
        <f t="shared" ref="BN40:DY40" si="1">SUM(BN7:BN37)</f>
        <v>0</v>
      </c>
      <c r="BO40" s="133">
        <f t="shared" si="1"/>
        <v>5.5728817499999987</v>
      </c>
      <c r="BP40" s="133">
        <f t="shared" si="1"/>
        <v>0</v>
      </c>
      <c r="BQ40" s="133">
        <f t="shared" si="1"/>
        <v>0</v>
      </c>
      <c r="BR40" s="133">
        <f t="shared" si="1"/>
        <v>0.30379934374999989</v>
      </c>
      <c r="BS40" s="133">
        <f t="shared" si="1"/>
        <v>0</v>
      </c>
      <c r="BT40" s="133">
        <f t="shared" si="1"/>
        <v>5.8206599999999984</v>
      </c>
      <c r="BU40" s="133">
        <f t="shared" si="1"/>
        <v>0.31616799999999962</v>
      </c>
      <c r="BV40" s="133">
        <f t="shared" si="1"/>
        <v>0</v>
      </c>
      <c r="BW40" s="133">
        <f t="shared" si="1"/>
        <v>0</v>
      </c>
      <c r="BX40" s="133">
        <f t="shared" si="1"/>
        <v>0.25929106249999978</v>
      </c>
      <c r="BY40" s="133">
        <f t="shared" si="1"/>
        <v>1.3160000000000901E-3</v>
      </c>
      <c r="BZ40" s="133">
        <f t="shared" si="1"/>
        <v>22.289011999999989</v>
      </c>
      <c r="CA40" s="133">
        <f t="shared" si="1"/>
        <v>6.7997519999999998</v>
      </c>
      <c r="CB40" s="133">
        <f t="shared" si="1"/>
        <v>0</v>
      </c>
      <c r="CC40" s="133">
        <f t="shared" si="1"/>
        <v>0</v>
      </c>
      <c r="CD40" s="133">
        <f t="shared" si="1"/>
        <v>0</v>
      </c>
      <c r="CE40" s="133">
        <f t="shared" si="1"/>
        <v>0</v>
      </c>
      <c r="CF40" s="133">
        <f t="shared" si="1"/>
        <v>1.6225789999999982</v>
      </c>
      <c r="CG40" s="133">
        <f t="shared" si="1"/>
        <v>0</v>
      </c>
      <c r="CH40" s="133">
        <f t="shared" si="1"/>
        <v>0.26650149999999978</v>
      </c>
      <c r="CI40" s="133">
        <f t="shared" si="1"/>
        <v>0</v>
      </c>
      <c r="CJ40" s="133">
        <f t="shared" si="1"/>
        <v>0</v>
      </c>
      <c r="CK40" s="133">
        <f t="shared" si="1"/>
        <v>0</v>
      </c>
      <c r="CL40" s="133">
        <f t="shared" si="1"/>
        <v>33.078832000000013</v>
      </c>
      <c r="CM40" s="133">
        <f t="shared" si="1"/>
        <v>112.78924800000006</v>
      </c>
      <c r="CN40" s="133">
        <f t="shared" si="1"/>
        <v>1.141067500000001</v>
      </c>
      <c r="CO40" s="133">
        <f t="shared" si="1"/>
        <v>17.440191999999996</v>
      </c>
      <c r="CP40" s="133">
        <f t="shared" si="1"/>
        <v>0</v>
      </c>
      <c r="CQ40" s="133">
        <f t="shared" si="1"/>
        <v>3.9999999999484892E-6</v>
      </c>
      <c r="CR40" s="133">
        <f t="shared" si="1"/>
        <v>3.1459859999999984</v>
      </c>
      <c r="CS40" s="133">
        <f t="shared" si="1"/>
        <v>0</v>
      </c>
      <c r="CT40" s="133">
        <f t="shared" si="1"/>
        <v>4.2288480000000002</v>
      </c>
      <c r="CU40" s="133">
        <f t="shared" si="1"/>
        <v>0</v>
      </c>
      <c r="CV40" s="133">
        <f t="shared" si="1"/>
        <v>0.39639068750000006</v>
      </c>
      <c r="CW40" s="133">
        <f t="shared" si="1"/>
        <v>0.68563600000000235</v>
      </c>
      <c r="CX40" s="133">
        <f t="shared" si="1"/>
        <v>7.2739399999999907</v>
      </c>
      <c r="CY40" s="133">
        <f t="shared" si="1"/>
        <v>0.35280100000000036</v>
      </c>
      <c r="CZ40" s="133">
        <f t="shared" si="1"/>
        <v>0.42758812499999993</v>
      </c>
      <c r="DA40" s="133">
        <f t="shared" si="1"/>
        <v>8.1040440000000018</v>
      </c>
      <c r="DB40" s="133">
        <f t="shared" si="1"/>
        <v>3.1526389999999997</v>
      </c>
      <c r="DC40" s="133">
        <f t="shared" si="1"/>
        <v>1.0028000000000004</v>
      </c>
      <c r="DD40" s="133">
        <f t="shared" si="1"/>
        <v>0.66055636523437544</v>
      </c>
      <c r="DE40" s="133">
        <f t="shared" si="1"/>
        <v>0</v>
      </c>
      <c r="DF40" s="133">
        <f t="shared" si="1"/>
        <v>0</v>
      </c>
      <c r="DG40" s="133">
        <f t="shared" si="1"/>
        <v>0.26030649999999955</v>
      </c>
      <c r="DH40" s="133">
        <f t="shared" si="1"/>
        <v>6.508682000000011</v>
      </c>
      <c r="DI40" s="133">
        <f t="shared" si="1"/>
        <v>127.25983999999994</v>
      </c>
      <c r="DJ40" s="133">
        <f t="shared" si="1"/>
        <v>0</v>
      </c>
      <c r="DK40" s="133">
        <f t="shared" si="1"/>
        <v>1.7041020000000024</v>
      </c>
      <c r="DL40" s="133">
        <f t="shared" si="1"/>
        <v>0.48290099999999814</v>
      </c>
      <c r="DM40" s="133">
        <f t="shared" si="1"/>
        <v>1.1541920000000003</v>
      </c>
      <c r="DN40" s="133">
        <f t="shared" si="1"/>
        <v>4.4294687499999999E-2</v>
      </c>
      <c r="DO40" s="133">
        <f t="shared" si="1"/>
        <v>18.394592000000017</v>
      </c>
      <c r="DP40" s="133">
        <f t="shared" si="1"/>
        <v>0.94436300000000006</v>
      </c>
      <c r="DQ40" s="133">
        <f t="shared" si="1"/>
        <v>0</v>
      </c>
      <c r="DR40" s="133">
        <f t="shared" si="1"/>
        <v>0</v>
      </c>
      <c r="DS40" s="133">
        <f t="shared" si="1"/>
        <v>40.287136000000046</v>
      </c>
      <c r="DT40" s="133">
        <f t="shared" si="1"/>
        <v>9.7493759999999838</v>
      </c>
      <c r="DU40" s="133">
        <f t="shared" si="1"/>
        <v>0.40332900000000299</v>
      </c>
      <c r="DV40" s="133">
        <f t="shared" si="1"/>
        <v>0.21369899999999994</v>
      </c>
      <c r="DW40" s="133">
        <f t="shared" si="1"/>
        <v>0</v>
      </c>
      <c r="DX40" s="133">
        <f t="shared" si="1"/>
        <v>4.9048988749999998</v>
      </c>
      <c r="DY40" s="133">
        <f t="shared" si="1"/>
        <v>0.31918798437500012</v>
      </c>
      <c r="DZ40" s="133">
        <f t="shared" ref="DZ40:EQ40" si="2">SUM(DZ7:DZ37)</f>
        <v>2.2624959999999983</v>
      </c>
      <c r="EA40" s="133">
        <f t="shared" si="2"/>
        <v>3.8450000000000901E-3</v>
      </c>
      <c r="EB40" s="133">
        <f t="shared" si="2"/>
        <v>32.317087999999977</v>
      </c>
      <c r="EC40" s="133">
        <f t="shared" si="2"/>
        <v>14.746240000000029</v>
      </c>
      <c r="ED40" s="133">
        <f t="shared" si="2"/>
        <v>0.79552537500000031</v>
      </c>
      <c r="EE40" s="133">
        <f t="shared" si="2"/>
        <v>27.728119500000037</v>
      </c>
      <c r="EF40" s="133">
        <f t="shared" si="2"/>
        <v>280.12855699999739</v>
      </c>
      <c r="EG40" s="133">
        <f t="shared" si="2"/>
        <v>0</v>
      </c>
      <c r="EH40" s="133">
        <f t="shared" si="2"/>
        <v>11.696383999999966</v>
      </c>
      <c r="EI40" s="133">
        <f t="shared" si="2"/>
        <v>17.724544000000151</v>
      </c>
      <c r="EJ40" s="133">
        <f t="shared" si="2"/>
        <v>0.969471999999996</v>
      </c>
      <c r="EK40" s="133">
        <f t="shared" si="2"/>
        <v>0</v>
      </c>
      <c r="EL40" s="133">
        <f t="shared" si="2"/>
        <v>56.458624000000114</v>
      </c>
      <c r="EM40" s="133">
        <f t="shared" si="2"/>
        <v>72.420863999999739</v>
      </c>
      <c r="EN40" s="133">
        <f t="shared" si="2"/>
        <v>61.642240000000143</v>
      </c>
      <c r="EO40" s="133">
        <f t="shared" si="2"/>
        <v>3.0912000000057522E-2</v>
      </c>
      <c r="EP40" s="133">
        <f t="shared" si="2"/>
        <v>0</v>
      </c>
      <c r="EQ40" s="133">
        <f t="shared" si="2"/>
        <v>0</v>
      </c>
      <c r="ER40" s="129"/>
      <c r="ES40" s="129"/>
      <c r="ET40" s="129"/>
      <c r="EU40" s="129"/>
      <c r="EV40" s="129"/>
      <c r="EW40" s="129"/>
      <c r="EX40" s="129"/>
      <c r="EY40" s="129"/>
      <c r="EZ40" s="129"/>
      <c r="FA40" s="129"/>
      <c r="FB40" s="129"/>
      <c r="FC40" s="129"/>
      <c r="FD40" s="129"/>
      <c r="FE40" s="129"/>
      <c r="FF40" s="129"/>
      <c r="FG40" s="129"/>
      <c r="FH40" s="129"/>
      <c r="FI40" s="129"/>
      <c r="FJ40" s="129"/>
      <c r="FK40" s="129"/>
      <c r="FL40" s="129"/>
      <c r="FM40" s="129"/>
      <c r="FN40" s="129"/>
      <c r="FO40" s="129"/>
      <c r="FP40" s="129"/>
      <c r="FQ40" s="129"/>
      <c r="FR40" s="129"/>
      <c r="FS40" s="129"/>
      <c r="FT40" s="129"/>
      <c r="FU40" s="129"/>
      <c r="FV40" s="129"/>
      <c r="FW40" s="129"/>
      <c r="FX40" s="129"/>
      <c r="FY40" s="129"/>
      <c r="FZ40" s="129"/>
      <c r="GA40" s="129"/>
      <c r="GB40" s="129"/>
      <c r="GC40" s="129"/>
      <c r="GD40" s="129"/>
      <c r="GE40" s="129"/>
      <c r="GF40" s="129"/>
      <c r="GG40" s="129"/>
      <c r="GH40" s="129"/>
      <c r="GI40" s="129"/>
      <c r="GJ40" s="129"/>
      <c r="GK40" s="129"/>
      <c r="GL40" s="129"/>
      <c r="GM40" s="129"/>
      <c r="GN40" s="129"/>
      <c r="GO40" s="129"/>
      <c r="GP40" s="129"/>
      <c r="GQ40" s="129"/>
      <c r="GR40" s="129"/>
      <c r="GS40" s="129"/>
    </row>
  </sheetData>
  <mergeCells count="2">
    <mergeCell ref="B5:G5"/>
    <mergeCell ref="CR5:CV5"/>
  </mergeCells>
  <pageMargins left="0.7" right="0.7" top="0.75" bottom="0.75" header="0.3" footer="0.3"/>
  <headerFooter>
    <oddHeader>&amp;C&amp;"Calibri"&amp;10&amp;KFF0000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5"/>
  <dimension ref="A6:O40"/>
  <sheetViews>
    <sheetView workbookViewId="0">
      <selection activeCell="D29" sqref="D29"/>
    </sheetView>
  </sheetViews>
  <sheetFormatPr defaultRowHeight="12.5" x14ac:dyDescent="0.25"/>
  <cols>
    <col min="1" max="1" width="13.453125" bestFit="1" customWidth="1"/>
    <col min="2" max="15" width="14.1796875" customWidth="1"/>
  </cols>
  <sheetData>
    <row r="6" spans="1:15" ht="25" x14ac:dyDescent="0.25">
      <c r="A6" s="49">
        <f>Daily_Energy1!B2</f>
        <v>45505.333333333336</v>
      </c>
      <c r="B6" s="48" t="str">
        <f>'Feeder Names'!E3</f>
        <v>HT.GRID_VCB</v>
      </c>
      <c r="C6" s="48" t="str">
        <f>'Feeder Names'!F3</f>
        <v>HT.TRAFO-1</v>
      </c>
      <c r="D6" s="48" t="str">
        <f>'Feeder Names'!G3</f>
        <v>HT.TRAFO-2</v>
      </c>
      <c r="E6" s="48" t="str">
        <f>'Feeder Names'!H3</f>
        <v>HT.TRAFO-3</v>
      </c>
      <c r="F6" s="48" t="str">
        <f>'Feeder Names'!I3</f>
        <v>HT.TRAFO-4</v>
      </c>
      <c r="G6" s="48" t="str">
        <f>'Feeder Names'!J3</f>
        <v>DG.DG_INC</v>
      </c>
      <c r="H6" s="48" t="str">
        <f>'Feeder Names'!K3</f>
        <v>DG.DG-1</v>
      </c>
      <c r="I6" s="48" t="str">
        <f>'Feeder Names'!L3</f>
        <v>DG.DG-2</v>
      </c>
      <c r="J6" s="48" t="str">
        <f>'Feeder Names'!M3</f>
        <v>DG.DG-3</v>
      </c>
      <c r="K6" s="48" t="str">
        <f>'Feeder Names'!N3</f>
        <v>DG.GD-4</v>
      </c>
      <c r="L6" s="48" t="str">
        <f>'Feeder Names'!O3</f>
        <v>DG.DG-5</v>
      </c>
      <c r="M6" s="48" t="str">
        <f>'Feeder Names'!P3</f>
        <v>DG.VCB_OUTGOING</v>
      </c>
      <c r="N6" s="48" t="str">
        <f>'Feeder Names'!Q3</f>
        <v>SOLAR.SOLAR-1</v>
      </c>
      <c r="O6" s="48" t="str">
        <f>'Feeder Names'!R3</f>
        <v>SOLAR.SOLAR-2</v>
      </c>
    </row>
    <row r="7" spans="1:15" x14ac:dyDescent="0.25">
      <c r="A7">
        <v>1</v>
      </c>
      <c r="B7">
        <v>32129</v>
      </c>
      <c r="C7">
        <v>31346</v>
      </c>
      <c r="D7">
        <v>16969</v>
      </c>
      <c r="E7">
        <v>14306</v>
      </c>
      <c r="F7">
        <v>3999</v>
      </c>
      <c r="G7">
        <v>8043</v>
      </c>
      <c r="H7">
        <v>1205</v>
      </c>
      <c r="I7">
        <v>2149</v>
      </c>
      <c r="J7">
        <v>1310</v>
      </c>
      <c r="K7">
        <v>1789</v>
      </c>
      <c r="L7">
        <v>0</v>
      </c>
      <c r="M7">
        <v>0</v>
      </c>
      <c r="N7">
        <v>0</v>
      </c>
      <c r="O7">
        <v>0</v>
      </c>
    </row>
    <row r="8" spans="1:15" x14ac:dyDescent="0.25">
      <c r="A8">
        <v>2</v>
      </c>
    </row>
    <row r="9" spans="1:15" x14ac:dyDescent="0.25">
      <c r="A9">
        <v>3</v>
      </c>
    </row>
    <row r="10" spans="1:15" x14ac:dyDescent="0.25">
      <c r="A10">
        <v>4</v>
      </c>
    </row>
    <row r="11" spans="1:15" x14ac:dyDescent="0.25">
      <c r="A11">
        <v>5</v>
      </c>
    </row>
    <row r="12" spans="1:15" x14ac:dyDescent="0.25">
      <c r="A12">
        <v>6</v>
      </c>
    </row>
    <row r="13" spans="1:15" x14ac:dyDescent="0.25">
      <c r="A13">
        <v>7</v>
      </c>
    </row>
    <row r="14" spans="1:15" x14ac:dyDescent="0.25">
      <c r="A14">
        <v>8</v>
      </c>
    </row>
    <row r="15" spans="1:15" x14ac:dyDescent="0.25">
      <c r="A15">
        <v>9</v>
      </c>
    </row>
    <row r="16" spans="1:15" x14ac:dyDescent="0.25">
      <c r="A16">
        <v>10</v>
      </c>
    </row>
    <row r="17" spans="1:1" x14ac:dyDescent="0.25">
      <c r="A17">
        <v>11</v>
      </c>
    </row>
    <row r="18" spans="1:1" x14ac:dyDescent="0.25">
      <c r="A18">
        <v>12</v>
      </c>
    </row>
    <row r="19" spans="1:1" x14ac:dyDescent="0.25">
      <c r="A19">
        <v>13</v>
      </c>
    </row>
    <row r="20" spans="1:1" x14ac:dyDescent="0.25">
      <c r="A20">
        <v>14</v>
      </c>
    </row>
    <row r="21" spans="1:1" x14ac:dyDescent="0.25">
      <c r="A21">
        <v>15</v>
      </c>
    </row>
    <row r="22" spans="1:1" x14ac:dyDescent="0.25">
      <c r="A22">
        <v>16</v>
      </c>
    </row>
    <row r="23" spans="1:1" x14ac:dyDescent="0.25">
      <c r="A23">
        <v>17</v>
      </c>
    </row>
    <row r="24" spans="1:1" x14ac:dyDescent="0.25">
      <c r="A24">
        <v>18</v>
      </c>
    </row>
    <row r="25" spans="1:1" x14ac:dyDescent="0.25">
      <c r="A25">
        <v>19</v>
      </c>
    </row>
    <row r="26" spans="1:1" x14ac:dyDescent="0.25">
      <c r="A26">
        <v>20</v>
      </c>
    </row>
    <row r="27" spans="1:1" x14ac:dyDescent="0.25">
      <c r="A27">
        <v>21</v>
      </c>
    </row>
    <row r="28" spans="1:1" x14ac:dyDescent="0.25">
      <c r="A28">
        <v>22</v>
      </c>
    </row>
    <row r="29" spans="1:1" x14ac:dyDescent="0.25">
      <c r="A29">
        <v>23</v>
      </c>
    </row>
    <row r="30" spans="1:1" x14ac:dyDescent="0.25">
      <c r="A30">
        <v>24</v>
      </c>
    </row>
    <row r="31" spans="1:1" x14ac:dyDescent="0.25">
      <c r="A31">
        <v>25</v>
      </c>
    </row>
    <row r="32" spans="1:1" x14ac:dyDescent="0.25">
      <c r="A32">
        <v>26</v>
      </c>
    </row>
    <row r="33" spans="1:15" x14ac:dyDescent="0.25">
      <c r="A33">
        <v>27</v>
      </c>
    </row>
    <row r="34" spans="1:15" x14ac:dyDescent="0.25">
      <c r="A34">
        <v>28</v>
      </c>
    </row>
    <row r="35" spans="1:15" x14ac:dyDescent="0.25">
      <c r="A35">
        <v>29</v>
      </c>
    </row>
    <row r="36" spans="1:15" x14ac:dyDescent="0.25">
      <c r="A36">
        <v>30</v>
      </c>
    </row>
    <row r="37" spans="1:15" x14ac:dyDescent="0.25">
      <c r="A37">
        <v>31</v>
      </c>
    </row>
    <row r="40" spans="1:15" x14ac:dyDescent="0.25">
      <c r="A40" t="s">
        <v>50</v>
      </c>
      <c r="B40">
        <f>SUM(B7:B37)</f>
        <v>32129</v>
      </c>
      <c r="C40">
        <f t="shared" ref="C40:N40" si="0">SUM(C7:C37)</f>
        <v>31346</v>
      </c>
      <c r="D40">
        <f t="shared" si="0"/>
        <v>16969</v>
      </c>
      <c r="E40">
        <f t="shared" si="0"/>
        <v>14306</v>
      </c>
      <c r="F40">
        <f t="shared" si="0"/>
        <v>3999</v>
      </c>
      <c r="G40">
        <f t="shared" si="0"/>
        <v>8043</v>
      </c>
      <c r="H40">
        <f t="shared" si="0"/>
        <v>1205</v>
      </c>
      <c r="I40">
        <f t="shared" si="0"/>
        <v>2149</v>
      </c>
      <c r="J40">
        <f t="shared" si="0"/>
        <v>1310</v>
      </c>
      <c r="K40">
        <f t="shared" si="0"/>
        <v>1789</v>
      </c>
      <c r="L40">
        <f t="shared" si="0"/>
        <v>0</v>
      </c>
      <c r="M40">
        <f t="shared" si="0"/>
        <v>0</v>
      </c>
      <c r="N40">
        <f t="shared" si="0"/>
        <v>0</v>
      </c>
      <c r="O40">
        <f>SUM(O7:O37)</f>
        <v>0</v>
      </c>
    </row>
  </sheetData>
  <pageMargins left="0.7" right="0.7" top="0.75" bottom="0.75" header="0.3" footer="0.3"/>
  <headerFooter>
    <oddHeader>&amp;C&amp;"Calibri"&amp;10&amp;KFF0000 CONFIDENTIAL&amp;1#_x000D_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2"/>
  <dimension ref="B1:AI25"/>
  <sheetViews>
    <sheetView workbookViewId="0">
      <selection activeCell="B15" sqref="B15"/>
    </sheetView>
  </sheetViews>
  <sheetFormatPr defaultColWidth="9.1796875" defaultRowHeight="12.5" x14ac:dyDescent="0.25"/>
  <cols>
    <col min="1" max="1" width="2.453125" style="59" customWidth="1"/>
    <col min="2" max="2" width="50.453125" style="65" bestFit="1" customWidth="1"/>
    <col min="3" max="14" width="8.81640625" style="59" customWidth="1"/>
    <col min="15" max="17" width="9.1796875" style="59" customWidth="1"/>
    <col min="18" max="16384" width="9.1796875" style="59"/>
  </cols>
  <sheetData>
    <row r="1" spans="2:35" ht="32.25" customHeight="1" x14ac:dyDescent="0.25">
      <c r="B1" s="335" t="s">
        <v>88</v>
      </c>
      <c r="C1" s="336" t="s">
        <v>89</v>
      </c>
      <c r="D1" s="337"/>
      <c r="E1" s="338"/>
      <c r="F1" s="336" t="s">
        <v>90</v>
      </c>
      <c r="G1" s="337"/>
      <c r="H1" s="338"/>
      <c r="I1" s="336" t="s">
        <v>87</v>
      </c>
      <c r="J1" s="337"/>
      <c r="K1" s="338"/>
      <c r="L1" s="336" t="s">
        <v>91</v>
      </c>
      <c r="M1" s="337"/>
      <c r="N1" s="338"/>
      <c r="O1" s="336" t="s">
        <v>92</v>
      </c>
      <c r="P1" s="337"/>
      <c r="Q1" s="338"/>
      <c r="R1" s="339"/>
      <c r="S1" s="339"/>
      <c r="T1" s="339"/>
      <c r="U1" s="334"/>
      <c r="V1" s="334"/>
      <c r="W1" s="334"/>
      <c r="X1" s="334"/>
      <c r="Y1" s="334"/>
      <c r="Z1" s="334"/>
      <c r="AA1" s="334"/>
      <c r="AB1" s="334"/>
      <c r="AC1" s="334"/>
      <c r="AD1" s="334"/>
      <c r="AE1" s="334"/>
      <c r="AF1" s="334"/>
      <c r="AG1" s="334"/>
      <c r="AH1" s="334"/>
      <c r="AI1" s="334"/>
    </row>
    <row r="2" spans="2:35" ht="13" x14ac:dyDescent="0.25">
      <c r="B2" s="335"/>
      <c r="C2" s="60" t="s">
        <v>93</v>
      </c>
      <c r="D2" s="61" t="s">
        <v>94</v>
      </c>
      <c r="E2" s="61" t="s">
        <v>95</v>
      </c>
      <c r="F2" s="61" t="s">
        <v>93</v>
      </c>
      <c r="G2" s="61" t="s">
        <v>94</v>
      </c>
      <c r="H2" s="61" t="s">
        <v>95</v>
      </c>
      <c r="I2" s="61" t="s">
        <v>93</v>
      </c>
      <c r="J2" s="61" t="s">
        <v>94</v>
      </c>
      <c r="K2" s="61" t="s">
        <v>95</v>
      </c>
      <c r="L2" s="61" t="s">
        <v>93</v>
      </c>
      <c r="M2" s="61" t="s">
        <v>94</v>
      </c>
      <c r="N2" s="61" t="s">
        <v>95</v>
      </c>
      <c r="O2" s="59" t="s">
        <v>93</v>
      </c>
      <c r="P2" s="59" t="s">
        <v>94</v>
      </c>
      <c r="Q2" s="59" t="s">
        <v>95</v>
      </c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</row>
    <row r="3" spans="2:35" ht="15" customHeight="1" x14ac:dyDescent="0.35">
      <c r="B3" s="66" t="str">
        <f>DAILY_ENERGY!B4</f>
        <v>HT.GRID_VCB</v>
      </c>
      <c r="C3" s="63">
        <v>490.9209264119466</v>
      </c>
      <c r="D3" s="63">
        <v>314.98126220703125</v>
      </c>
      <c r="E3" s="63">
        <v>563.29486083984375</v>
      </c>
      <c r="F3" s="63"/>
      <c r="G3" s="63"/>
      <c r="H3" s="63"/>
      <c r="I3" s="63">
        <v>473.86069952782162</v>
      </c>
      <c r="J3" s="63">
        <v>264.73135375976563</v>
      </c>
      <c r="K3" s="63">
        <v>591.95391845703125</v>
      </c>
      <c r="L3" s="63">
        <v>487.63661511962334</v>
      </c>
      <c r="M3" s="63">
        <v>46.183631896972656</v>
      </c>
      <c r="N3" s="63">
        <v>603.90325927734375</v>
      </c>
      <c r="O3" s="64">
        <v>0.95514353497208881</v>
      </c>
      <c r="P3" s="64">
        <v>0.89589834213256836</v>
      </c>
      <c r="Q3" s="64">
        <v>0.97907090187072754</v>
      </c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</row>
    <row r="4" spans="2:35" ht="15" customHeight="1" x14ac:dyDescent="0.35">
      <c r="B4" s="66" t="str">
        <f>DAILY_ENERGY!B5</f>
        <v>HT.TRAFO-1</v>
      </c>
      <c r="C4" s="63">
        <v>321.71514892578125</v>
      </c>
      <c r="D4" s="63">
        <v>321.71514892578125</v>
      </c>
      <c r="E4" s="63">
        <v>321.71514892578125</v>
      </c>
      <c r="F4" s="63"/>
      <c r="G4" s="63"/>
      <c r="H4" s="63"/>
      <c r="I4" s="63">
        <v>252.78229389493427</v>
      </c>
      <c r="J4" s="63">
        <v>194.18472290039063</v>
      </c>
      <c r="K4" s="63">
        <v>354.234130859375</v>
      </c>
      <c r="L4" s="63">
        <v>304.00155252123636</v>
      </c>
      <c r="M4" s="63">
        <v>216.20036315917969</v>
      </c>
      <c r="N4" s="63">
        <v>405.25765991210938</v>
      </c>
      <c r="O4" s="64">
        <v>0.83046671227803304</v>
      </c>
      <c r="P4" s="64">
        <v>0.79097306728363037</v>
      </c>
      <c r="Q4" s="64">
        <v>0.86822503805160522</v>
      </c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</row>
    <row r="5" spans="2:35" ht="15" customHeight="1" x14ac:dyDescent="0.35">
      <c r="B5" s="66" t="str">
        <f>DAILY_ENERGY!B6</f>
        <v>HT.TRAFO-2</v>
      </c>
      <c r="C5" s="63">
        <v>0</v>
      </c>
      <c r="D5" s="63">
        <v>0</v>
      </c>
      <c r="E5" s="63">
        <v>0</v>
      </c>
      <c r="F5" s="63"/>
      <c r="G5" s="63"/>
      <c r="H5" s="63"/>
      <c r="I5" s="63">
        <v>229.69539769490561</v>
      </c>
      <c r="J5" s="63">
        <v>215.36700439453125</v>
      </c>
      <c r="K5" s="63">
        <v>256.37075805664063</v>
      </c>
      <c r="L5" s="63">
        <v>243.48450152079263</v>
      </c>
      <c r="M5" s="63">
        <v>224.97724914550781</v>
      </c>
      <c r="N5" s="63">
        <v>274.1270751953125</v>
      </c>
      <c r="O5" s="64">
        <v>0.93657487630844116</v>
      </c>
      <c r="P5" s="64">
        <v>0.93641942739486694</v>
      </c>
      <c r="Q5" s="64">
        <v>0.93673032522201538</v>
      </c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</row>
    <row r="6" spans="2:35" ht="15" customHeight="1" x14ac:dyDescent="0.35">
      <c r="B6" s="66" t="str">
        <f>DAILY_ENERGY!B7</f>
        <v>HT.TRAFO-3</v>
      </c>
      <c r="C6" s="63">
        <v>1095.4140272632087</v>
      </c>
      <c r="D6" s="63">
        <v>100.77365112304688</v>
      </c>
      <c r="E6" s="63">
        <v>1315.0118408203125</v>
      </c>
      <c r="F6" s="63"/>
      <c r="G6" s="63"/>
      <c r="H6" s="63"/>
      <c r="I6" s="63">
        <v>1106.2727224841499</v>
      </c>
      <c r="J6" s="63">
        <v>0.43055480718612671</v>
      </c>
      <c r="K6" s="63">
        <v>1561.2921142578125</v>
      </c>
      <c r="L6" s="63">
        <v>1114.1352941747368</v>
      </c>
      <c r="M6" s="63">
        <v>42.572353363037109</v>
      </c>
      <c r="N6" s="63">
        <v>1566.365234375</v>
      </c>
      <c r="O6" s="64">
        <v>0.98533683133779359</v>
      </c>
      <c r="P6" s="64">
        <v>1.0113484226167202E-2</v>
      </c>
      <c r="Q6" s="64">
        <v>0.99692428112030029</v>
      </c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</row>
    <row r="7" spans="2:35" ht="15" customHeight="1" x14ac:dyDescent="0.35">
      <c r="B7" s="66" t="str">
        <f>DAILY_ENERGY!B8</f>
        <v>HT.TRAFO-4</v>
      </c>
      <c r="C7" s="63">
        <v>285.57022094726563</v>
      </c>
      <c r="D7" s="63">
        <v>285.57022094726563</v>
      </c>
      <c r="E7" s="63">
        <v>285.57022094726563</v>
      </c>
      <c r="F7" s="63"/>
      <c r="G7" s="63"/>
      <c r="H7" s="63"/>
      <c r="I7" s="63">
        <v>268.79041883680554</v>
      </c>
      <c r="J7" s="63">
        <v>211.46456909179688</v>
      </c>
      <c r="K7" s="63">
        <v>371.10989379882813</v>
      </c>
      <c r="L7" s="63">
        <v>274.31416902087983</v>
      </c>
      <c r="M7" s="63">
        <v>213.33634948730469</v>
      </c>
      <c r="N7" s="63">
        <v>375.15176391601563</v>
      </c>
      <c r="O7" s="64">
        <v>0.97971807346969353</v>
      </c>
      <c r="P7" s="64">
        <v>0.97116327285766602</v>
      </c>
      <c r="Q7" s="64">
        <v>0.98478716611862183</v>
      </c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</row>
    <row r="8" spans="2:35" ht="15" customHeight="1" x14ac:dyDescent="0.35">
      <c r="B8" s="66" t="str">
        <f>DAILY_ENERGY!B9</f>
        <v>DG.DG_INC</v>
      </c>
      <c r="C8" s="63">
        <v>553.06265101481961</v>
      </c>
      <c r="D8" s="63">
        <v>365.55996704101563</v>
      </c>
      <c r="E8" s="63">
        <v>717.7841796875</v>
      </c>
      <c r="F8" s="63"/>
      <c r="G8" s="63"/>
      <c r="H8" s="63"/>
      <c r="I8" s="63">
        <v>553.65634938074209</v>
      </c>
      <c r="J8" s="63">
        <v>267.01513671875</v>
      </c>
      <c r="K8" s="63">
        <v>943.4107666015625</v>
      </c>
      <c r="L8" s="63">
        <v>555.1610418105862</v>
      </c>
      <c r="M8" s="63">
        <v>269.31036376953125</v>
      </c>
      <c r="N8" s="63">
        <v>944.2437744140625</v>
      </c>
      <c r="O8" s="64">
        <v>0.99664647024239006</v>
      </c>
      <c r="P8" s="64">
        <v>0.86451846361160278</v>
      </c>
      <c r="Q8" s="64">
        <v>0.99999314546585083</v>
      </c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</row>
    <row r="9" spans="2:35" s="70" customFormat="1" ht="15" customHeight="1" x14ac:dyDescent="0.35">
      <c r="B9" s="67" t="str">
        <f>DAILY_ENERGY!B14</f>
        <v>DG.DG-5</v>
      </c>
      <c r="C9" s="68">
        <v>201.75816902964729</v>
      </c>
      <c r="D9" s="68">
        <v>153.57957458496094</v>
      </c>
      <c r="E9" s="68">
        <v>305.24478149414063</v>
      </c>
      <c r="F9" s="68"/>
      <c r="G9" s="68"/>
      <c r="H9" s="68"/>
      <c r="I9" s="68">
        <v>165.09212600501164</v>
      </c>
      <c r="J9" s="68">
        <v>80.329376220703125</v>
      </c>
      <c r="K9" s="68">
        <v>299.60330200195313</v>
      </c>
      <c r="L9" s="68">
        <v>202.36448182022153</v>
      </c>
      <c r="M9" s="68">
        <v>108.36154174804688</v>
      </c>
      <c r="N9" s="68">
        <v>335.67144775390625</v>
      </c>
      <c r="O9" s="69">
        <v>0.80524761319616245</v>
      </c>
      <c r="P9" s="69">
        <v>0.65916192531585693</v>
      </c>
      <c r="Q9" s="69">
        <v>0.92066687345504761</v>
      </c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</row>
    <row r="10" spans="2:35" ht="15" customHeight="1" x14ac:dyDescent="0.35">
      <c r="B10" s="66" t="str">
        <f>DAILY_ENERGY!B13</f>
        <v>DG.GD-4</v>
      </c>
      <c r="C10" s="63">
        <v>277.95050048828125</v>
      </c>
      <c r="D10" s="63">
        <v>277.95050048828125</v>
      </c>
      <c r="E10" s="63">
        <v>277.95050048828125</v>
      </c>
      <c r="F10" s="63"/>
      <c r="G10" s="63"/>
      <c r="H10" s="63"/>
      <c r="I10" s="63">
        <v>205.76047963944691</v>
      </c>
      <c r="J10" s="63">
        <v>162.08203125</v>
      </c>
      <c r="K10" s="63">
        <v>283.55987548828125</v>
      </c>
      <c r="L10" s="63">
        <v>264.56948634556363</v>
      </c>
      <c r="M10" s="63">
        <v>196.37367248535156</v>
      </c>
      <c r="N10" s="63">
        <v>342.94805908203125</v>
      </c>
      <c r="O10" s="64">
        <v>0.77617737698176548</v>
      </c>
      <c r="P10" s="64">
        <v>0.74039340019226074</v>
      </c>
      <c r="Q10" s="64">
        <v>0.80679899454116821</v>
      </c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</row>
    <row r="11" spans="2:35" ht="15" customHeight="1" x14ac:dyDescent="0.35">
      <c r="B11" s="66" t="str">
        <f>DAILY_ENERGY!B12</f>
        <v>DG.DG-3</v>
      </c>
      <c r="C11" s="63">
        <v>0</v>
      </c>
      <c r="D11" s="63">
        <v>0</v>
      </c>
      <c r="E11" s="63">
        <v>0</v>
      </c>
      <c r="F11" s="63"/>
      <c r="G11" s="63"/>
      <c r="H11" s="63"/>
      <c r="I11" s="63">
        <v>25.05272499411409</v>
      </c>
      <c r="J11" s="63">
        <v>0.9616544246673584</v>
      </c>
      <c r="K11" s="63">
        <v>53.580757141113281</v>
      </c>
      <c r="L11" s="63">
        <v>0</v>
      </c>
      <c r="M11" s="63">
        <v>0</v>
      </c>
      <c r="N11" s="63">
        <v>0</v>
      </c>
      <c r="O11" s="64">
        <v>0.86456831026169445</v>
      </c>
      <c r="P11" s="64">
        <v>6.122099980711937E-2</v>
      </c>
      <c r="Q11" s="64">
        <v>0.9831550121307373</v>
      </c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</row>
    <row r="12" spans="2:35" ht="15" customHeight="1" x14ac:dyDescent="0.35">
      <c r="B12" s="66" t="str">
        <f>DAILY_ENERGY!B11</f>
        <v>DG.DG-2</v>
      </c>
      <c r="C12" s="63">
        <v>0</v>
      </c>
      <c r="D12" s="63">
        <v>0</v>
      </c>
      <c r="E12" s="63">
        <v>0</v>
      </c>
      <c r="F12" s="63"/>
      <c r="G12" s="63"/>
      <c r="H12" s="63"/>
      <c r="I12" s="63">
        <v>77.760951171874979</v>
      </c>
      <c r="J12" s="63">
        <v>46.057113281250004</v>
      </c>
      <c r="K12" s="63">
        <v>97.865617187500007</v>
      </c>
      <c r="L12" s="63">
        <v>0</v>
      </c>
      <c r="M12" s="63">
        <v>0</v>
      </c>
      <c r="N12" s="63">
        <v>0</v>
      </c>
      <c r="O12" s="64">
        <v>-80.011728805365024</v>
      </c>
      <c r="P12" s="64">
        <v>-79.688823223114014</v>
      </c>
      <c r="Q12" s="64">
        <v>-79.688823223114014</v>
      </c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</row>
    <row r="13" spans="2:35" ht="15" customHeight="1" x14ac:dyDescent="0.35">
      <c r="B13" s="66" t="str">
        <f>DAILY_ENERGY!B10</f>
        <v>DG.DG-1</v>
      </c>
      <c r="C13" s="63">
        <v>1774.8738875850554</v>
      </c>
      <c r="D13" s="63">
        <v>115.4705810546875</v>
      </c>
      <c r="E13" s="63">
        <v>2106.583740234375</v>
      </c>
      <c r="F13" s="63"/>
      <c r="G13" s="63"/>
      <c r="H13" s="63"/>
      <c r="I13" s="63">
        <v>1797.4100564395681</v>
      </c>
      <c r="J13" s="63">
        <v>879.6820068359375</v>
      </c>
      <c r="K13" s="63">
        <v>2389.42578125</v>
      </c>
      <c r="L13" s="63">
        <v>1801.8425560446346</v>
      </c>
      <c r="M13" s="63">
        <v>894.05615234375</v>
      </c>
      <c r="N13" s="63">
        <v>2397.77880859375</v>
      </c>
      <c r="O13" s="64">
        <v>0.99734674306476823</v>
      </c>
      <c r="P13" s="64">
        <v>0.97370260953903198</v>
      </c>
      <c r="Q13" s="64">
        <v>0.99993646144866943</v>
      </c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</row>
    <row r="14" spans="2:35" ht="15" customHeight="1" x14ac:dyDescent="0.35">
      <c r="B14" s="66" t="str">
        <f>DAILY_ENERGY!B15</f>
        <v>DG.VCB_OUTGOING</v>
      </c>
      <c r="C14" s="63">
        <v>1756.2136795123124</v>
      </c>
      <c r="D14" s="63">
        <v>914.4705810546875</v>
      </c>
      <c r="E14" s="63">
        <v>2054.6396484375</v>
      </c>
      <c r="F14" s="63"/>
      <c r="G14" s="63"/>
      <c r="H14" s="63"/>
      <c r="I14" s="63">
        <v>1742.2111662864334</v>
      </c>
      <c r="J14" s="63">
        <v>891.2545166015625</v>
      </c>
      <c r="K14" s="63">
        <v>2288.615966796875</v>
      </c>
      <c r="L14" s="63">
        <v>1748.4335499770855</v>
      </c>
      <c r="M14" s="63">
        <v>901.5946044921875</v>
      </c>
      <c r="N14" s="63">
        <v>2291.3017578125</v>
      </c>
      <c r="O14" s="64">
        <v>0.99613463854517903</v>
      </c>
      <c r="P14" s="64">
        <v>0.97754764556884766</v>
      </c>
      <c r="Q14" s="64">
        <v>0.99947714805603027</v>
      </c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</row>
    <row r="15" spans="2:35" ht="15" customHeight="1" x14ac:dyDescent="0.35">
      <c r="B15" s="66" t="str">
        <f>DAILY_ENERGY!B16</f>
        <v>SOLAR.SOLAR-1</v>
      </c>
      <c r="C15" s="63">
        <v>968.42141642433046</v>
      </c>
      <c r="D15" s="63">
        <v>579.85247802734375</v>
      </c>
      <c r="E15" s="63">
        <v>1234.1312255859375</v>
      </c>
      <c r="F15" s="63"/>
      <c r="G15" s="63"/>
      <c r="H15" s="63"/>
      <c r="I15" s="63">
        <v>953.75830205701232</v>
      </c>
      <c r="J15" s="63">
        <v>623.06317138671875</v>
      </c>
      <c r="K15" s="63">
        <v>1314.0274658203125</v>
      </c>
      <c r="L15" s="63">
        <v>966.85066803392579</v>
      </c>
      <c r="M15" s="63">
        <v>655.982177734375</v>
      </c>
      <c r="N15" s="63">
        <v>1318.9837646484375</v>
      </c>
      <c r="O15" s="64">
        <v>0.98509953976726639</v>
      </c>
      <c r="P15" s="64">
        <v>0.90214335918426514</v>
      </c>
      <c r="Q15" s="64">
        <v>0.99883532524108887</v>
      </c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</row>
    <row r="16" spans="2:35" ht="15" customHeight="1" x14ac:dyDescent="0.35">
      <c r="B16" s="66" t="str">
        <f>DAILY_ENERGY!B17</f>
        <v>SOLAR.SOLAR-2</v>
      </c>
      <c r="C16" s="63">
        <v>794.05823022813456</v>
      </c>
      <c r="D16" s="63">
        <v>524.17578125</v>
      </c>
      <c r="E16" s="63">
        <v>966.45086669921875</v>
      </c>
      <c r="F16" s="63"/>
      <c r="G16" s="63"/>
      <c r="H16" s="63"/>
      <c r="I16" s="63">
        <v>785.41949680392838</v>
      </c>
      <c r="J16" s="63">
        <v>520.9384765625</v>
      </c>
      <c r="K16" s="63">
        <v>1031.74951171875</v>
      </c>
      <c r="L16" s="63">
        <v>792.24821311844175</v>
      </c>
      <c r="M16" s="63">
        <v>540.27252197265625</v>
      </c>
      <c r="N16" s="63">
        <v>1034.5830078125</v>
      </c>
      <c r="O16" s="64">
        <v>0.9910526875184793</v>
      </c>
      <c r="P16" s="64">
        <v>0.96421432495117188</v>
      </c>
      <c r="Q16" s="64">
        <v>0.99783724546432495</v>
      </c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</row>
    <row r="17" spans="2:17" ht="15" customHeight="1" x14ac:dyDescent="0.35">
      <c r="B17" s="66"/>
      <c r="C17" s="63">
        <v>226.99031485453551</v>
      </c>
      <c r="D17" s="63">
        <v>115.07614135742188</v>
      </c>
      <c r="E17" s="63">
        <v>343.81930541992188</v>
      </c>
      <c r="F17" s="63"/>
      <c r="G17" s="63"/>
      <c r="H17" s="63"/>
      <c r="I17" s="63">
        <v>221.49194994203674</v>
      </c>
      <c r="J17" s="63">
        <v>90.265998840332031</v>
      </c>
      <c r="K17" s="63">
        <v>443.54281616210938</v>
      </c>
      <c r="L17" s="63">
        <v>224.76039546706269</v>
      </c>
      <c r="M17" s="63">
        <v>91.4224853515625</v>
      </c>
      <c r="N17" s="63">
        <v>447.82656860351563</v>
      </c>
      <c r="O17" s="64">
        <v>0.9838196452015564</v>
      </c>
      <c r="P17" s="64">
        <v>0.92491459846496582</v>
      </c>
      <c r="Q17" s="64">
        <v>0.99903124570846558</v>
      </c>
    </row>
    <row r="18" spans="2:17" ht="15" customHeight="1" x14ac:dyDescent="0.35">
      <c r="B18" s="66"/>
      <c r="C18" s="63">
        <v>464.38195848112798</v>
      </c>
      <c r="D18" s="63">
        <v>292.56307983398438</v>
      </c>
      <c r="E18" s="63">
        <v>507.234130859375</v>
      </c>
      <c r="F18" s="63"/>
      <c r="G18" s="63"/>
      <c r="H18" s="63"/>
      <c r="I18" s="63">
        <v>427.7652277680786</v>
      </c>
      <c r="J18" s="63">
        <v>263.21331787109375</v>
      </c>
      <c r="K18" s="63">
        <v>567.7713623046875</v>
      </c>
      <c r="L18" s="63">
        <v>464.74551087320725</v>
      </c>
      <c r="M18" s="63">
        <v>304.95486450195313</v>
      </c>
      <c r="N18" s="63">
        <v>575.78948974609375</v>
      </c>
      <c r="O18" s="64">
        <v>0.91938029539899746</v>
      </c>
      <c r="P18" s="64">
        <v>0.82237398624420166</v>
      </c>
      <c r="Q18" s="64">
        <v>0.98662900924682617</v>
      </c>
    </row>
    <row r="19" spans="2:17" ht="15" customHeight="1" x14ac:dyDescent="0.35">
      <c r="B19" s="66"/>
      <c r="C19" s="63">
        <v>300.66963696479797</v>
      </c>
      <c r="D19" s="63">
        <v>186.50544738769531</v>
      </c>
      <c r="E19" s="63">
        <v>351.52548217773438</v>
      </c>
      <c r="F19" s="63"/>
      <c r="G19" s="63"/>
      <c r="H19" s="63"/>
      <c r="I19" s="63">
        <v>310.80708642908047</v>
      </c>
      <c r="J19" s="63">
        <v>214.98628234863281</v>
      </c>
      <c r="K19" s="63">
        <v>417.16018676757813</v>
      </c>
      <c r="L19" s="63">
        <v>328.84148695662213</v>
      </c>
      <c r="M19" s="63">
        <v>230.83316040039063</v>
      </c>
      <c r="N19" s="63">
        <v>431.24188232421875</v>
      </c>
      <c r="O19" s="64">
        <v>0.94361252478651103</v>
      </c>
      <c r="P19" s="64">
        <v>0.91468125581741333</v>
      </c>
      <c r="Q19" s="64">
        <v>0.96734619140625</v>
      </c>
    </row>
    <row r="20" spans="2:17" ht="15" customHeight="1" x14ac:dyDescent="0.35">
      <c r="B20" s="66"/>
      <c r="C20" s="63">
        <v>3044.7162860696412</v>
      </c>
      <c r="D20" s="63">
        <v>56.807601928710938</v>
      </c>
      <c r="E20" s="63">
        <v>3239.6552734375</v>
      </c>
      <c r="F20" s="63"/>
      <c r="G20" s="63"/>
      <c r="H20" s="63"/>
      <c r="I20" s="63">
        <v>464.59659994114713</v>
      </c>
      <c r="J20" s="63">
        <v>88.193931579589844</v>
      </c>
      <c r="K20" s="63">
        <v>584.1497802734375</v>
      </c>
      <c r="L20" s="63">
        <v>3018.9447102621957</v>
      </c>
      <c r="M20" s="63">
        <v>90.13946533203125</v>
      </c>
      <c r="N20" s="63">
        <v>3382.636962890625</v>
      </c>
      <c r="O20" s="64">
        <v>-6.9915777184029956E-2</v>
      </c>
      <c r="P20" s="64">
        <v>0.92589503526687622</v>
      </c>
      <c r="Q20" s="64">
        <v>0.9928174614906311</v>
      </c>
    </row>
    <row r="21" spans="2:17" ht="15" customHeight="1" x14ac:dyDescent="0.35">
      <c r="B21" s="66"/>
      <c r="C21" s="63">
        <v>167.48011475960627</v>
      </c>
      <c r="D21" s="63">
        <v>2.9559019021689892E-3</v>
      </c>
      <c r="E21" s="63">
        <v>446.0689697265625</v>
      </c>
      <c r="F21" s="63"/>
      <c r="G21" s="63"/>
      <c r="H21" s="63"/>
      <c r="I21" s="63">
        <v>340.1534371847635</v>
      </c>
      <c r="J21" s="63">
        <v>169.26075744628906</v>
      </c>
      <c r="K21" s="63">
        <v>424.52243041992188</v>
      </c>
      <c r="L21" s="63">
        <v>385.20502782129978</v>
      </c>
      <c r="M21" s="63">
        <v>218.95536804199219</v>
      </c>
      <c r="N21" s="63">
        <v>467.74368286132813</v>
      </c>
      <c r="O21" s="64">
        <v>0.87970643187617203</v>
      </c>
      <c r="P21" s="64">
        <v>0.77303767204284668</v>
      </c>
      <c r="Q21" s="64">
        <v>0.98907852172851563</v>
      </c>
    </row>
    <row r="22" spans="2:17" ht="15" customHeight="1" x14ac:dyDescent="0.35">
      <c r="B22" s="66"/>
      <c r="C22" s="63">
        <v>359.68263567854092</v>
      </c>
      <c r="D22" s="63">
        <v>5.6016545295715332</v>
      </c>
      <c r="E22" s="63">
        <v>478.1302490234375</v>
      </c>
      <c r="F22" s="63"/>
      <c r="G22" s="63"/>
      <c r="H22" s="63"/>
      <c r="I22" s="63">
        <v>440.12742780602497</v>
      </c>
      <c r="J22" s="63">
        <v>21.603290557861328</v>
      </c>
      <c r="K22" s="63">
        <v>654.29425048828125</v>
      </c>
      <c r="L22" s="63">
        <v>448.56067145685233</v>
      </c>
      <c r="M22" s="63">
        <v>26.150745391845703</v>
      </c>
      <c r="N22" s="63">
        <v>660.35919189453125</v>
      </c>
      <c r="O22" s="64">
        <v>0.97128965025362757</v>
      </c>
      <c r="P22" s="64">
        <v>0.82610613107681274</v>
      </c>
      <c r="Q22" s="64">
        <v>0.99336165189743042</v>
      </c>
    </row>
    <row r="23" spans="2:17" ht="15" customHeight="1" x14ac:dyDescent="0.35">
      <c r="B23" s="66"/>
      <c r="C23" s="63">
        <v>0</v>
      </c>
      <c r="D23" s="63">
        <v>0</v>
      </c>
      <c r="E23" s="63">
        <v>0</v>
      </c>
      <c r="F23" s="63"/>
      <c r="G23" s="63"/>
      <c r="H23" s="63"/>
      <c r="I23" s="63">
        <v>68.746227013907614</v>
      </c>
      <c r="J23" s="63">
        <v>2.0376238822937012</v>
      </c>
      <c r="K23" s="63">
        <v>70.302017211914063</v>
      </c>
      <c r="L23" s="63">
        <v>0</v>
      </c>
      <c r="M23" s="63">
        <v>0</v>
      </c>
      <c r="N23" s="63">
        <v>0</v>
      </c>
      <c r="O23" s="64">
        <v>0.96371391937904749</v>
      </c>
      <c r="P23" s="64">
        <v>0.95059597492218018</v>
      </c>
      <c r="Q23" s="64">
        <v>0.97263199090957642</v>
      </c>
    </row>
    <row r="24" spans="2:17" ht="15" customHeight="1" x14ac:dyDescent="0.35">
      <c r="B24" s="66"/>
      <c r="C24" s="63">
        <v>0</v>
      </c>
      <c r="D24" s="63">
        <v>0</v>
      </c>
      <c r="E24" s="63">
        <v>0</v>
      </c>
      <c r="F24" s="63"/>
      <c r="G24" s="63"/>
      <c r="H24" s="63"/>
      <c r="I24" s="63">
        <v>85.487559804351491</v>
      </c>
      <c r="J24" s="63">
        <v>29.916248321533203</v>
      </c>
      <c r="K24" s="63">
        <v>92.245285034179688</v>
      </c>
      <c r="L24" s="63">
        <v>0</v>
      </c>
      <c r="M24" s="63">
        <v>0</v>
      </c>
      <c r="N24" s="63">
        <v>0</v>
      </c>
      <c r="O24" s="64">
        <v>0.98712213629299828</v>
      </c>
      <c r="P24" s="64">
        <v>0.87947797775268555</v>
      </c>
      <c r="Q24" s="64">
        <v>0.99161797761917114</v>
      </c>
    </row>
    <row r="25" spans="2:17" ht="15" customHeight="1" x14ac:dyDescent="0.35">
      <c r="B25" s="66"/>
      <c r="C25" s="64">
        <v>0</v>
      </c>
      <c r="D25" s="64">
        <v>0</v>
      </c>
      <c r="E25" s="64">
        <v>0</v>
      </c>
      <c r="F25" s="64"/>
      <c r="G25" s="64"/>
      <c r="H25" s="64"/>
      <c r="I25" s="64">
        <v>31.98490796983242</v>
      </c>
      <c r="J25" s="64">
        <v>6.0784106254577637</v>
      </c>
      <c r="K25" s="64">
        <v>76.748512268066406</v>
      </c>
      <c r="L25" s="64">
        <v>0</v>
      </c>
      <c r="M25" s="64">
        <v>0</v>
      </c>
      <c r="N25" s="64">
        <v>0</v>
      </c>
      <c r="O25" s="64">
        <v>0.75433599948883057</v>
      </c>
      <c r="P25" s="64">
        <v>0.62584197521209717</v>
      </c>
      <c r="Q25" s="64">
        <v>0.88283002376556396</v>
      </c>
    </row>
  </sheetData>
  <mergeCells count="12">
    <mergeCell ref="AG1:AI1"/>
    <mergeCell ref="B1:B2"/>
    <mergeCell ref="C1:E1"/>
    <mergeCell ref="F1:H1"/>
    <mergeCell ref="I1:K1"/>
    <mergeCell ref="L1:N1"/>
    <mergeCell ref="O1:Q1"/>
    <mergeCell ref="R1:T1"/>
    <mergeCell ref="U1:W1"/>
    <mergeCell ref="X1:Z1"/>
    <mergeCell ref="AA1:AC1"/>
    <mergeCell ref="AD1:AF1"/>
  </mergeCells>
  <pageMargins left="0.7" right="0.7" top="0.75" bottom="0.75" header="0.3" footer="0.3"/>
  <headerFooter>
    <oddHeader>&amp;C&amp;"Calibri"&amp;10&amp;KFF0000 CONFIDENTIAL&amp;1#_x000D_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4:I36"/>
  <sheetViews>
    <sheetView topLeftCell="A4" workbookViewId="0">
      <selection activeCell="B22" sqref="B22:B23"/>
    </sheetView>
  </sheetViews>
  <sheetFormatPr defaultRowHeight="15.5" x14ac:dyDescent="0.35"/>
  <cols>
    <col min="1" max="1" width="15.453125" style="50" bestFit="1" customWidth="1"/>
    <col min="2" max="2" width="14.453125" customWidth="1"/>
    <col min="3" max="3" width="16.453125" bestFit="1" customWidth="1"/>
  </cols>
  <sheetData>
    <row r="4" spans="1:9" s="52" customFormat="1" ht="30.65" customHeight="1" x14ac:dyDescent="0.35">
      <c r="A4" s="51">
        <f>Monthly_kWh!A6</f>
        <v>45715.333333333336</v>
      </c>
      <c r="B4" s="53" t="str">
        <f>Monthly_kWh!B6</f>
        <v>HT.GRID_VCB</v>
      </c>
      <c r="C4" s="53" t="str">
        <f>Monthly_kWh!C6</f>
        <v>HT.TRAFO-1</v>
      </c>
      <c r="D4" s="54" t="s">
        <v>85</v>
      </c>
      <c r="F4" s="53" t="str">
        <f>Monthly_kWh!D6</f>
        <v>HT.TRAFO-2</v>
      </c>
      <c r="G4" s="53" t="str">
        <f>Monthly_kWh!E6</f>
        <v>HT.TRAFO-3</v>
      </c>
      <c r="H4" s="53" t="s">
        <v>50</v>
      </c>
      <c r="I4" s="53" t="s">
        <v>86</v>
      </c>
    </row>
    <row r="5" spans="1:9" x14ac:dyDescent="0.35">
      <c r="A5" s="50">
        <v>1</v>
      </c>
      <c r="B5" s="47">
        <f>Monthly_kWh!B7</f>
        <v>8.1270000000000007</v>
      </c>
      <c r="C5" s="47">
        <f>Monthly_kWh!C7</f>
        <v>2.6685540000000301</v>
      </c>
      <c r="D5" s="47">
        <f>C5-B5</f>
        <v>-5.4584459999999702</v>
      </c>
      <c r="F5" s="47">
        <f>Monthly_kWh!D7</f>
        <v>2.8501509999999799</v>
      </c>
      <c r="G5" s="47">
        <f>Monthly_kWh!E7</f>
        <v>0</v>
      </c>
      <c r="H5" s="47">
        <f>F5+G5</f>
        <v>2.8501509999999799</v>
      </c>
      <c r="I5" s="47">
        <f>H5-C5</f>
        <v>0.18159699999994983</v>
      </c>
    </row>
    <row r="6" spans="1:9" x14ac:dyDescent="0.35">
      <c r="A6" s="50">
        <v>2</v>
      </c>
      <c r="B6" s="47">
        <f>Monthly_kWh!B8</f>
        <v>18.16825</v>
      </c>
      <c r="C6" s="47">
        <f>Monthly_kWh!C8</f>
        <v>6.0225899999999797</v>
      </c>
      <c r="D6" s="47">
        <f>C6-B6</f>
        <v>-12.145660000000021</v>
      </c>
      <c r="F6" s="47">
        <f>Monthly_kWh!D8</f>
        <v>6.30659400000002</v>
      </c>
      <c r="G6" s="47">
        <f>Monthly_kWh!E8</f>
        <v>0</v>
      </c>
      <c r="H6" s="47">
        <f t="shared" ref="H6:H36" si="0">F6+G6</f>
        <v>6.30659400000002</v>
      </c>
      <c r="I6" s="47">
        <f t="shared" ref="I6:I36" si="1">H6-C6</f>
        <v>0.28400400000004034</v>
      </c>
    </row>
    <row r="7" spans="1:9" x14ac:dyDescent="0.35">
      <c r="A7" s="50">
        <v>3</v>
      </c>
      <c r="B7" s="47">
        <f>Monthly_kWh!B9</f>
        <v>17.604749999999999</v>
      </c>
      <c r="C7" s="47">
        <f>Monthly_kWh!C9</f>
        <v>6.3520390000000502</v>
      </c>
      <c r="D7" s="47">
        <f t="shared" ref="D7:D35" si="2">C7-B7</f>
        <v>-11.252710999999948</v>
      </c>
      <c r="F7" s="47">
        <f>Monthly_kWh!D9</f>
        <v>6.6411210000000596</v>
      </c>
      <c r="G7" s="47">
        <f>Monthly_kWh!E9</f>
        <v>0</v>
      </c>
      <c r="H7" s="47">
        <f t="shared" si="0"/>
        <v>6.6411210000000596</v>
      </c>
      <c r="I7" s="47">
        <f t="shared" si="1"/>
        <v>0.28908200000000939</v>
      </c>
    </row>
    <row r="8" spans="1:9" x14ac:dyDescent="0.35">
      <c r="A8" s="50">
        <v>4</v>
      </c>
      <c r="B8" s="47">
        <f>Monthly_kWh!B10</f>
        <v>17.876000000000001</v>
      </c>
      <c r="C8" s="47">
        <f>Monthly_kWh!C10</f>
        <v>5.9006209999999397</v>
      </c>
      <c r="D8" s="47">
        <f t="shared" si="2"/>
        <v>-11.975379000000061</v>
      </c>
      <c r="F8" s="47">
        <f>Monthly_kWh!D10</f>
        <v>6.1726489999999803</v>
      </c>
      <c r="G8" s="47">
        <f>Monthly_kWh!E10</f>
        <v>0</v>
      </c>
      <c r="H8" s="47">
        <f t="shared" si="0"/>
        <v>6.1726489999999803</v>
      </c>
      <c r="I8" s="47">
        <f t="shared" si="1"/>
        <v>0.27202800000004057</v>
      </c>
    </row>
    <row r="9" spans="1:9" x14ac:dyDescent="0.35">
      <c r="A9" s="50">
        <v>5</v>
      </c>
      <c r="B9" s="47">
        <f>Monthly_kWh!B11</f>
        <v>17.007375</v>
      </c>
      <c r="C9" s="47">
        <f>Monthly_kWh!C11</f>
        <v>5.5877660000000402</v>
      </c>
      <c r="D9" s="47">
        <f t="shared" si="2"/>
        <v>-11.419608999999959</v>
      </c>
      <c r="F9" s="47">
        <f>Monthly_kWh!D11</f>
        <v>5.8483269999999798</v>
      </c>
      <c r="G9" s="47">
        <f>Monthly_kWh!E11</f>
        <v>0</v>
      </c>
      <c r="H9" s="47">
        <f t="shared" si="0"/>
        <v>5.8483269999999798</v>
      </c>
      <c r="I9" s="47">
        <f t="shared" si="1"/>
        <v>0.26056099999993965</v>
      </c>
    </row>
    <row r="10" spans="1:9" x14ac:dyDescent="0.35">
      <c r="A10" s="50">
        <v>6</v>
      </c>
      <c r="B10" s="47">
        <f>Monthly_kWh!B12</f>
        <v>21.329499999999999</v>
      </c>
      <c r="C10" s="47">
        <f>Monthly_kWh!C12</f>
        <v>7.0232219999999801</v>
      </c>
      <c r="D10" s="47">
        <f t="shared" si="2"/>
        <v>-14.30627800000002</v>
      </c>
      <c r="F10" s="47">
        <f>Monthly_kWh!D12</f>
        <v>7.3347600000000197</v>
      </c>
      <c r="G10" s="47">
        <f>Monthly_kWh!E12</f>
        <v>0</v>
      </c>
      <c r="H10" s="47">
        <f t="shared" si="0"/>
        <v>7.3347600000000197</v>
      </c>
      <c r="I10" s="47">
        <f t="shared" si="1"/>
        <v>0.31153800000003962</v>
      </c>
    </row>
    <row r="11" spans="1:9" x14ac:dyDescent="0.35">
      <c r="A11" s="50">
        <v>7</v>
      </c>
      <c r="B11" s="47">
        <f>Monthly_kWh!B13</f>
        <v>19.872375000000002</v>
      </c>
      <c r="C11" s="47">
        <f>Monthly_kWh!C13</f>
        <v>7.57841099999996</v>
      </c>
      <c r="D11" s="47">
        <f t="shared" si="2"/>
        <v>-12.293964000000042</v>
      </c>
      <c r="F11" s="47">
        <f>Monthly_kWh!D13</f>
        <v>7.9145850000000504</v>
      </c>
      <c r="G11" s="47">
        <f>Monthly_kWh!E13</f>
        <v>0</v>
      </c>
      <c r="H11" s="47">
        <f t="shared" si="0"/>
        <v>7.9145850000000504</v>
      </c>
      <c r="I11" s="47">
        <f t="shared" si="1"/>
        <v>0.33617400000009034</v>
      </c>
    </row>
    <row r="12" spans="1:9" x14ac:dyDescent="0.35">
      <c r="A12" s="50">
        <v>8</v>
      </c>
      <c r="B12" s="47">
        <f>Monthly_kWh!B14</f>
        <v>8.0449999999999999</v>
      </c>
      <c r="C12" s="47">
        <f>Monthly_kWh!C14</f>
        <v>3.7862610000000201</v>
      </c>
      <c r="D12" s="47">
        <f t="shared" si="2"/>
        <v>-4.2587389999999798</v>
      </c>
      <c r="F12" s="47">
        <f>Monthly_kWh!D14</f>
        <v>4.0142799999998697</v>
      </c>
      <c r="G12" s="47">
        <f>Monthly_kWh!E14</f>
        <v>1.1348770000000199</v>
      </c>
      <c r="H12" s="47">
        <f t="shared" si="0"/>
        <v>5.1491569999998896</v>
      </c>
      <c r="I12" s="47">
        <f t="shared" si="1"/>
        <v>1.3628959999998695</v>
      </c>
    </row>
    <row r="13" spans="1:9" x14ac:dyDescent="0.35">
      <c r="A13" s="50">
        <v>9</v>
      </c>
      <c r="B13" s="47">
        <f>Monthly_kWh!B15</f>
        <v>23.287875</v>
      </c>
      <c r="C13" s="47">
        <f>Monthly_kWh!C15</f>
        <v>7.9684829999999902</v>
      </c>
      <c r="D13" s="47">
        <f t="shared" si="2"/>
        <v>-15.319392000000009</v>
      </c>
      <c r="F13" s="47">
        <f>Monthly_kWh!D15</f>
        <v>8.3464380000000293</v>
      </c>
      <c r="G13" s="47">
        <f>Monthly_kWh!E15</f>
        <v>7.0034150000000199</v>
      </c>
      <c r="H13" s="47">
        <f t="shared" si="0"/>
        <v>15.349853000000049</v>
      </c>
      <c r="I13" s="47">
        <f t="shared" si="1"/>
        <v>7.3813700000000591</v>
      </c>
    </row>
    <row r="14" spans="1:9" x14ac:dyDescent="0.35">
      <c r="A14" s="50">
        <v>10</v>
      </c>
      <c r="B14" s="47">
        <f>Monthly_kWh!B16</f>
        <v>22.856375</v>
      </c>
      <c r="C14" s="47">
        <f>Monthly_kWh!C16</f>
        <v>7.8076540000000696</v>
      </c>
      <c r="D14" s="47">
        <f t="shared" si="2"/>
        <v>-15.048720999999929</v>
      </c>
      <c r="F14" s="47">
        <f>Monthly_kWh!D16</f>
        <v>8.1797350000000506</v>
      </c>
      <c r="G14" s="47">
        <f>Monthly_kWh!E16</f>
        <v>6.8704379999999796</v>
      </c>
      <c r="H14" s="47">
        <f t="shared" si="0"/>
        <v>15.050173000000029</v>
      </c>
      <c r="I14" s="47">
        <f t="shared" si="1"/>
        <v>7.2425189999999597</v>
      </c>
    </row>
    <row r="15" spans="1:9" x14ac:dyDescent="0.35">
      <c r="A15" s="50">
        <v>11</v>
      </c>
      <c r="B15" s="47">
        <f>Monthly_kWh!B17</f>
        <v>26.819749999999999</v>
      </c>
      <c r="C15" s="47">
        <f>Monthly_kWh!C17</f>
        <v>9.2927229999999703</v>
      </c>
      <c r="D15" s="47">
        <f t="shared" si="2"/>
        <v>-17.527027000000029</v>
      </c>
      <c r="F15" s="47">
        <f>Monthly_kWh!D17</f>
        <v>9.7034579999999604</v>
      </c>
      <c r="G15" s="47">
        <f>Monthly_kWh!E17</f>
        <v>8.1266660000000002</v>
      </c>
      <c r="H15" s="47">
        <f t="shared" si="0"/>
        <v>17.830123999999962</v>
      </c>
      <c r="I15" s="47">
        <f t="shared" si="1"/>
        <v>8.537400999999992</v>
      </c>
    </row>
    <row r="16" spans="1:9" x14ac:dyDescent="0.35">
      <c r="A16" s="50">
        <v>12</v>
      </c>
      <c r="B16" s="47">
        <f>Monthly_kWh!B18</f>
        <v>28.837624999999999</v>
      </c>
      <c r="C16" s="47">
        <f>Monthly_kWh!C18</f>
        <v>10.167475</v>
      </c>
      <c r="D16" s="47">
        <f t="shared" si="2"/>
        <v>-18.67015</v>
      </c>
      <c r="F16" s="47">
        <f>Monthly_kWh!D18</f>
        <v>10.629795000000099</v>
      </c>
      <c r="G16" s="47">
        <f>Monthly_kWh!E18</f>
        <v>8.9456030000000109</v>
      </c>
      <c r="H16" s="47">
        <f t="shared" si="0"/>
        <v>19.57539800000011</v>
      </c>
      <c r="I16" s="47">
        <f t="shared" si="1"/>
        <v>9.4079230000001104</v>
      </c>
    </row>
    <row r="17" spans="1:9" x14ac:dyDescent="0.35">
      <c r="A17" s="50">
        <v>13</v>
      </c>
      <c r="B17" s="47">
        <f>Monthly_kWh!B19</f>
        <v>28.132625000000001</v>
      </c>
      <c r="C17" s="47">
        <f>Monthly_kWh!C19</f>
        <v>9.6339070000000202</v>
      </c>
      <c r="D17" s="47">
        <f t="shared" si="2"/>
        <v>-18.498717999999982</v>
      </c>
      <c r="F17" s="47">
        <f>Monthly_kWh!D19</f>
        <v>10.0684660000001</v>
      </c>
      <c r="G17" s="47">
        <f>Monthly_kWh!E19</f>
        <v>8.4616209999999796</v>
      </c>
      <c r="H17" s="47">
        <f t="shared" si="0"/>
        <v>18.53008700000008</v>
      </c>
      <c r="I17" s="47">
        <f t="shared" si="1"/>
        <v>8.8961800000000597</v>
      </c>
    </row>
    <row r="18" spans="1:9" x14ac:dyDescent="0.35">
      <c r="A18" s="50">
        <v>14</v>
      </c>
      <c r="B18" s="47">
        <f>Monthly_kWh!B20</f>
        <v>26.031624999999998</v>
      </c>
      <c r="C18" s="47">
        <f>Monthly_kWh!C20</f>
        <v>8.9359279999999899</v>
      </c>
      <c r="D18" s="47">
        <f t="shared" si="2"/>
        <v>-17.095697000000008</v>
      </c>
      <c r="F18" s="47">
        <f>Monthly_kWh!D20</f>
        <v>9.3506059999998605</v>
      </c>
      <c r="G18" s="47">
        <f>Monthly_kWh!E20</f>
        <v>7.8264030000000302</v>
      </c>
      <c r="H18" s="47">
        <f t="shared" si="0"/>
        <v>17.177008999999892</v>
      </c>
      <c r="I18" s="47">
        <f t="shared" si="1"/>
        <v>8.2410809999999017</v>
      </c>
    </row>
    <row r="19" spans="1:9" x14ac:dyDescent="0.35">
      <c r="A19" s="50">
        <v>15</v>
      </c>
      <c r="B19" s="47">
        <f>Monthly_kWh!B21</f>
        <v>11.785625</v>
      </c>
      <c r="C19" s="47">
        <f>Monthly_kWh!C21</f>
        <v>4.4889759999999796</v>
      </c>
      <c r="D19" s="47">
        <f t="shared" si="2"/>
        <v>-7.2966490000000199</v>
      </c>
      <c r="F19" s="47">
        <f>Monthly_kWh!D21</f>
        <v>4.7623730000000304</v>
      </c>
      <c r="G19" s="47">
        <f>Monthly_kWh!E21</f>
        <v>4.0147519999999304</v>
      </c>
      <c r="H19" s="47">
        <f t="shared" si="0"/>
        <v>8.7771249999999608</v>
      </c>
      <c r="I19" s="47">
        <f t="shared" si="1"/>
        <v>4.2881489999999811</v>
      </c>
    </row>
    <row r="20" spans="1:9" x14ac:dyDescent="0.35">
      <c r="A20" s="50">
        <v>16</v>
      </c>
      <c r="B20" s="47">
        <f>Monthly_kWh!B22</f>
        <v>25.9755</v>
      </c>
      <c r="C20" s="47">
        <f>Monthly_kWh!C22</f>
        <v>8.8765300000000593</v>
      </c>
      <c r="D20" s="47">
        <f t="shared" si="2"/>
        <v>-17.098969999999941</v>
      </c>
      <c r="F20" s="47">
        <f>Monthly_kWh!D22</f>
        <v>9.2769500000000598</v>
      </c>
      <c r="G20" s="47">
        <f>Monthly_kWh!E22</f>
        <v>7.8184300000000899</v>
      </c>
      <c r="H20" s="47">
        <f t="shared" si="0"/>
        <v>17.095380000000148</v>
      </c>
      <c r="I20" s="47">
        <f t="shared" si="1"/>
        <v>8.2188500000000886</v>
      </c>
    </row>
    <row r="21" spans="1:9" x14ac:dyDescent="0.35">
      <c r="A21" s="50">
        <v>17</v>
      </c>
      <c r="B21" s="47">
        <f>Monthly_kWh!B23</f>
        <v>21.87425</v>
      </c>
      <c r="C21" s="47">
        <f>Monthly_kWh!C23</f>
        <v>8.4638219999999897</v>
      </c>
      <c r="D21" s="47">
        <f t="shared" si="2"/>
        <v>-13.41042800000001</v>
      </c>
      <c r="F21" s="47">
        <f>Monthly_kWh!D23</f>
        <v>8.8075710000000509</v>
      </c>
      <c r="G21" s="47">
        <f>Monthly_kWh!E23</f>
        <v>7.4222659999999197</v>
      </c>
      <c r="H21" s="47">
        <f t="shared" si="0"/>
        <v>16.229836999999971</v>
      </c>
      <c r="I21" s="47">
        <f t="shared" si="1"/>
        <v>7.7660149999999817</v>
      </c>
    </row>
    <row r="22" spans="1:9" x14ac:dyDescent="0.35">
      <c r="A22" s="50">
        <v>18</v>
      </c>
      <c r="B22" s="47">
        <f>Monthly_kWh!B24</f>
        <v>24.608000000000001</v>
      </c>
      <c r="C22" s="47">
        <f>Monthly_kWh!C24</f>
        <v>8.4168349999999901</v>
      </c>
      <c r="D22" s="47">
        <f t="shared" si="2"/>
        <v>-16.191165000000012</v>
      </c>
      <c r="F22" s="47">
        <f>Monthly_kWh!D24</f>
        <v>8.8246499999999095</v>
      </c>
      <c r="G22" s="47">
        <f>Monthly_kWh!E24</f>
        <v>7.3981930000000498</v>
      </c>
      <c r="H22" s="47">
        <f t="shared" si="0"/>
        <v>16.222842999999958</v>
      </c>
      <c r="I22" s="47">
        <f t="shared" si="1"/>
        <v>7.8060079999999683</v>
      </c>
    </row>
    <row r="23" spans="1:9" x14ac:dyDescent="0.35">
      <c r="A23" s="50">
        <v>19</v>
      </c>
      <c r="B23" s="47">
        <f>Monthly_kWh!B25</f>
        <v>23.935874999999999</v>
      </c>
      <c r="C23" s="47">
        <f>Monthly_kWh!C25</f>
        <v>8.1929739999999907</v>
      </c>
      <c r="D23" s="47">
        <f t="shared" si="2"/>
        <v>-15.742901000000009</v>
      </c>
      <c r="F23" s="47">
        <f>Monthly_kWh!D25</f>
        <v>8.5637970000000205</v>
      </c>
      <c r="G23" s="47">
        <f>Monthly_kWh!E25</f>
        <v>7.1990850000000304</v>
      </c>
      <c r="H23" s="47">
        <f t="shared" si="0"/>
        <v>15.762882000000051</v>
      </c>
      <c r="I23" s="47">
        <f t="shared" si="1"/>
        <v>7.5699080000000603</v>
      </c>
    </row>
    <row r="24" spans="1:9" x14ac:dyDescent="0.35">
      <c r="A24" s="50">
        <v>20</v>
      </c>
      <c r="B24" s="47">
        <f>Monthly_kWh!B26</f>
        <v>23.096125000000001</v>
      </c>
      <c r="C24" s="47">
        <f>Monthly_kWh!C26</f>
        <v>8.3521659999999507</v>
      </c>
      <c r="D24" s="47">
        <f t="shared" si="2"/>
        <v>-14.74395900000005</v>
      </c>
      <c r="F24" s="47">
        <f>Monthly_kWh!D26</f>
        <v>8.7540149999999795</v>
      </c>
      <c r="G24" s="47">
        <f>Monthly_kWh!E26</f>
        <v>7.3547449999999799</v>
      </c>
      <c r="H24" s="47">
        <f t="shared" si="0"/>
        <v>16.108759999999961</v>
      </c>
      <c r="I24" s="47">
        <f t="shared" si="1"/>
        <v>7.7565940000000104</v>
      </c>
    </row>
    <row r="25" spans="1:9" x14ac:dyDescent="0.35">
      <c r="A25" s="50">
        <v>21</v>
      </c>
      <c r="B25" s="47">
        <f>Monthly_kWh!B27</f>
        <v>23.138375</v>
      </c>
      <c r="C25" s="47">
        <f>Monthly_kWh!C27</f>
        <v>7.9391490000000404</v>
      </c>
      <c r="D25" s="47">
        <f t="shared" si="2"/>
        <v>-15.19922599999996</v>
      </c>
      <c r="F25" s="47">
        <f>Monthly_kWh!D27</f>
        <v>8.2788649999999997</v>
      </c>
      <c r="G25" s="47">
        <f>Monthly_kWh!E27</f>
        <v>6.9720540000000097</v>
      </c>
      <c r="H25" s="47">
        <f t="shared" si="0"/>
        <v>15.25091900000001</v>
      </c>
      <c r="I25" s="47">
        <f t="shared" si="1"/>
        <v>7.3117699999999699</v>
      </c>
    </row>
    <row r="26" spans="1:9" x14ac:dyDescent="0.35">
      <c r="A26" s="50">
        <v>22</v>
      </c>
      <c r="B26" s="47">
        <f>Monthly_kWh!B28</f>
        <v>6.8413750000000002</v>
      </c>
      <c r="C26" s="47">
        <f>Monthly_kWh!C28</f>
        <v>1.9609639999999899</v>
      </c>
      <c r="D26" s="47">
        <f t="shared" si="2"/>
        <v>-4.8804110000000103</v>
      </c>
      <c r="F26" s="47">
        <f>Monthly_kWh!D28</f>
        <v>2.48838000000001</v>
      </c>
      <c r="G26" s="47">
        <f>Monthly_kWh!E28</f>
        <v>2.05891299999996</v>
      </c>
      <c r="H26" s="47">
        <f t="shared" si="0"/>
        <v>4.5472929999999696</v>
      </c>
      <c r="I26" s="47">
        <f t="shared" si="1"/>
        <v>2.5863289999999797</v>
      </c>
    </row>
    <row r="27" spans="1:9" x14ac:dyDescent="0.35">
      <c r="A27" s="50">
        <v>23</v>
      </c>
      <c r="B27" s="47">
        <f>Monthly_kWh!B29</f>
        <v>10.66775</v>
      </c>
      <c r="C27" s="47">
        <f>Monthly_kWh!C29</f>
        <v>0</v>
      </c>
      <c r="D27" s="47">
        <f t="shared" si="2"/>
        <v>-10.66775</v>
      </c>
      <c r="F27" s="47">
        <f>Monthly_kWh!D29</f>
        <v>3.8229500000001102</v>
      </c>
      <c r="G27" s="47">
        <f>Monthly_kWh!E29</f>
        <v>3.22515800000002</v>
      </c>
      <c r="H27" s="47">
        <f t="shared" si="0"/>
        <v>7.0481080000001306</v>
      </c>
      <c r="I27" s="47">
        <f t="shared" si="1"/>
        <v>7.0481080000001306</v>
      </c>
    </row>
    <row r="28" spans="1:9" x14ac:dyDescent="0.35">
      <c r="A28" s="50">
        <v>24</v>
      </c>
      <c r="B28" s="47">
        <f>Monthly_kWh!B30</f>
        <v>9.2390000000000008</v>
      </c>
      <c r="C28" s="47">
        <f>Monthly_kWh!C30</f>
        <v>0</v>
      </c>
      <c r="D28" s="47">
        <f t="shared" si="2"/>
        <v>-9.2390000000000008</v>
      </c>
      <c r="F28" s="47">
        <f>Monthly_kWh!D30</f>
        <v>4.0320259999998598</v>
      </c>
      <c r="G28" s="47">
        <f>Monthly_kWh!E30</f>
        <v>3.4139419999999601</v>
      </c>
      <c r="H28" s="47">
        <f t="shared" si="0"/>
        <v>7.4459679999998194</v>
      </c>
      <c r="I28" s="47">
        <f t="shared" si="1"/>
        <v>7.4459679999998194</v>
      </c>
    </row>
    <row r="29" spans="1:9" x14ac:dyDescent="0.35">
      <c r="A29" s="50">
        <v>25</v>
      </c>
      <c r="B29" s="47">
        <f>Monthly_kWh!B31</f>
        <v>13.030374999999999</v>
      </c>
      <c r="C29" s="47">
        <f>Monthly_kWh!C31</f>
        <v>0</v>
      </c>
      <c r="D29" s="47">
        <f t="shared" si="2"/>
        <v>-13.030374999999999</v>
      </c>
      <c r="F29" s="47">
        <f>Monthly_kWh!D31</f>
        <v>4.6681660000000402</v>
      </c>
      <c r="G29" s="47">
        <f>Monthly_kWh!E31</f>
        <v>3.9464670000000401</v>
      </c>
      <c r="H29" s="47">
        <f t="shared" si="0"/>
        <v>8.6146330000000795</v>
      </c>
      <c r="I29" s="47">
        <f t="shared" si="1"/>
        <v>8.6146330000000795</v>
      </c>
    </row>
    <row r="30" spans="1:9" x14ac:dyDescent="0.35">
      <c r="A30" s="50">
        <v>26</v>
      </c>
      <c r="B30" s="47">
        <f>Monthly_kWh!B32</f>
        <v>10.984624999999999</v>
      </c>
      <c r="C30" s="47">
        <f>Monthly_kWh!C32</f>
        <v>0</v>
      </c>
      <c r="D30" s="47">
        <f t="shared" si="2"/>
        <v>-10.984624999999999</v>
      </c>
      <c r="F30" s="47">
        <f>Monthly_kWh!D32</f>
        <v>3.9192709999999802</v>
      </c>
      <c r="G30" s="47">
        <f>Monthly_kWh!E32</f>
        <v>3.32427899999999</v>
      </c>
      <c r="H30" s="47">
        <f t="shared" si="0"/>
        <v>7.2435499999999706</v>
      </c>
      <c r="I30" s="47">
        <f t="shared" si="1"/>
        <v>7.2435499999999706</v>
      </c>
    </row>
    <row r="31" spans="1:9" x14ac:dyDescent="0.35">
      <c r="A31" s="50">
        <v>27</v>
      </c>
      <c r="B31" s="47">
        <f>Monthly_kWh!B33</f>
        <v>10.198</v>
      </c>
      <c r="C31" s="47">
        <f>Monthly_kWh!C33</f>
        <v>0</v>
      </c>
      <c r="D31" s="47">
        <f t="shared" si="2"/>
        <v>-10.198</v>
      </c>
      <c r="F31" s="47">
        <f>Monthly_kWh!D33</f>
        <v>3.6679629999999901</v>
      </c>
      <c r="G31" s="47">
        <f>Monthly_kWh!E33</f>
        <v>3.0722219999999498</v>
      </c>
      <c r="H31" s="47">
        <f t="shared" si="0"/>
        <v>6.7401849999999399</v>
      </c>
      <c r="I31" s="47">
        <f t="shared" si="1"/>
        <v>6.7401849999999399</v>
      </c>
    </row>
    <row r="32" spans="1:9" x14ac:dyDescent="0.35">
      <c r="A32" s="50">
        <v>28</v>
      </c>
      <c r="B32" s="47">
        <f>Monthly_kWh!B34</f>
        <v>11.806875</v>
      </c>
      <c r="C32" s="47">
        <f>Monthly_kWh!C34</f>
        <v>0</v>
      </c>
      <c r="D32" s="47">
        <f t="shared" si="2"/>
        <v>-11.806875</v>
      </c>
      <c r="F32" s="47">
        <f>Monthly_kWh!D34</f>
        <v>4.2247019999999802</v>
      </c>
      <c r="G32" s="47">
        <f>Monthly_kWh!E34</f>
        <v>3.5634800000000801</v>
      </c>
      <c r="H32" s="47">
        <f t="shared" si="0"/>
        <v>7.7881820000000603</v>
      </c>
      <c r="I32" s="47">
        <f t="shared" si="1"/>
        <v>7.7881820000000603</v>
      </c>
    </row>
    <row r="33" spans="1:9" x14ac:dyDescent="0.35">
      <c r="A33" s="50">
        <v>29</v>
      </c>
      <c r="B33" s="47">
        <f>Monthly_kWh!B35</f>
        <v>10.951625</v>
      </c>
      <c r="C33" s="47">
        <f>Monthly_kWh!C35</f>
        <v>0</v>
      </c>
      <c r="D33" s="47">
        <f t="shared" si="2"/>
        <v>-10.951625</v>
      </c>
      <c r="F33" s="47">
        <f>Monthly_kWh!D35</f>
        <v>3.9147060000000198</v>
      </c>
      <c r="G33" s="47">
        <f>Monthly_kWh!E35</f>
        <v>3.29601399999996</v>
      </c>
      <c r="H33" s="47">
        <f t="shared" si="0"/>
        <v>7.2107199999999798</v>
      </c>
      <c r="I33" s="47">
        <f t="shared" si="1"/>
        <v>7.2107199999999798</v>
      </c>
    </row>
    <row r="34" spans="1:9" x14ac:dyDescent="0.35">
      <c r="A34" s="50">
        <v>30</v>
      </c>
      <c r="B34" s="47">
        <f>Monthly_kWh!B36</f>
        <v>22.303374999999999</v>
      </c>
      <c r="C34" s="47">
        <f>Monthly_kWh!C36</f>
        <v>0</v>
      </c>
      <c r="D34" s="47">
        <f t="shared" si="2"/>
        <v>-22.303374999999999</v>
      </c>
      <c r="F34" s="47">
        <f>Monthly_kWh!D36</f>
        <v>7.9670260000000299</v>
      </c>
      <c r="G34" s="47">
        <f>Monthly_kWh!E36</f>
        <v>6.7715319999999801</v>
      </c>
      <c r="H34" s="47">
        <f t="shared" si="0"/>
        <v>14.73855800000001</v>
      </c>
      <c r="I34" s="47">
        <f t="shared" si="1"/>
        <v>14.73855800000001</v>
      </c>
    </row>
    <row r="35" spans="1:9" x14ac:dyDescent="0.35">
      <c r="A35" s="50">
        <v>31</v>
      </c>
      <c r="B35" s="47">
        <f>Monthly_kWh!B37</f>
        <v>0</v>
      </c>
      <c r="C35" s="47">
        <f>Monthly_kWh!C37</f>
        <v>0</v>
      </c>
      <c r="D35" s="47">
        <f t="shared" si="2"/>
        <v>0</v>
      </c>
      <c r="F35" s="47">
        <f>Monthly_kWh!D37</f>
        <v>0</v>
      </c>
      <c r="G35" s="47">
        <f>Monthly_kWh!E37</f>
        <v>0</v>
      </c>
      <c r="H35" s="47">
        <f t="shared" si="0"/>
        <v>0</v>
      </c>
      <c r="I35" s="47">
        <f t="shared" si="1"/>
        <v>0</v>
      </c>
    </row>
    <row r="36" spans="1:9" x14ac:dyDescent="0.35">
      <c r="A36" s="55" t="s">
        <v>50</v>
      </c>
      <c r="B36" s="47">
        <f>SUM(B5:B35)</f>
        <v>544.43287499999997</v>
      </c>
      <c r="C36" s="47">
        <f t="shared" ref="C36:D36" si="3">SUM(C5:C35)</f>
        <v>155.41705000000005</v>
      </c>
      <c r="D36" s="47">
        <f t="shared" si="3"/>
        <v>-389.01582500000001</v>
      </c>
      <c r="F36" s="47">
        <f>Monthly_kWh!D38</f>
        <v>0</v>
      </c>
      <c r="G36" s="47">
        <f>Monthly_kWh!E38</f>
        <v>0</v>
      </c>
      <c r="H36" s="47">
        <f t="shared" si="0"/>
        <v>0</v>
      </c>
      <c r="I36" s="47">
        <f t="shared" si="1"/>
        <v>-155.41705000000005</v>
      </c>
    </row>
  </sheetData>
  <pageMargins left="0.7" right="0.7" top="0.75" bottom="0.75" header="0.3" footer="0.3"/>
  <pageSetup paperSize="9" orientation="portrait" horizontalDpi="300" verticalDpi="0" copies="0" r:id="rId1"/>
  <headerFooter>
    <oddHeader>&amp;C&amp;"Calibri"&amp;10&amp;KFF0000 CONFIDENTIAL&amp;1#_x000D_</oddHeader>
  </headerFooter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6:GS20"/>
  <sheetViews>
    <sheetView workbookViewId="0">
      <selection activeCell="B7" sqref="B7"/>
    </sheetView>
  </sheetViews>
  <sheetFormatPr defaultRowHeight="12.5" x14ac:dyDescent="0.25"/>
  <cols>
    <col min="1" max="1" width="18.81640625" customWidth="1"/>
    <col min="2" max="15" width="12.453125" customWidth="1"/>
  </cols>
  <sheetData>
    <row r="6" spans="1:201" ht="91" x14ac:dyDescent="0.25">
      <c r="A6" s="56">
        <f>Daily_Energy1!B2</f>
        <v>45505.333333333336</v>
      </c>
      <c r="B6" s="33" t="s">
        <v>238</v>
      </c>
      <c r="C6" s="33" t="s">
        <v>239</v>
      </c>
      <c r="D6" s="33" t="s">
        <v>240</v>
      </c>
      <c r="E6" s="33" t="s">
        <v>241</v>
      </c>
      <c r="F6" s="33" t="s">
        <v>242</v>
      </c>
      <c r="G6" s="33" t="s">
        <v>243</v>
      </c>
      <c r="H6" s="33" t="s">
        <v>248</v>
      </c>
      <c r="I6" s="33" t="s">
        <v>247</v>
      </c>
      <c r="J6" s="33" t="s">
        <v>246</v>
      </c>
      <c r="K6" s="33" t="s">
        <v>245</v>
      </c>
      <c r="L6" s="33" t="s">
        <v>244</v>
      </c>
      <c r="M6" s="33" t="s">
        <v>249</v>
      </c>
      <c r="N6" s="33" t="s">
        <v>250</v>
      </c>
      <c r="O6" s="33" t="s">
        <v>251</v>
      </c>
      <c r="P6" s="33" t="s">
        <v>252</v>
      </c>
      <c r="Q6" s="33" t="s">
        <v>253</v>
      </c>
      <c r="R6" s="33" t="s">
        <v>254</v>
      </c>
      <c r="S6" s="33" t="s">
        <v>255</v>
      </c>
      <c r="T6" s="33" t="s">
        <v>256</v>
      </c>
      <c r="U6" s="33" t="s">
        <v>138</v>
      </c>
      <c r="V6" s="33" t="s">
        <v>139</v>
      </c>
      <c r="W6" s="33" t="s">
        <v>140</v>
      </c>
      <c r="X6" s="33" t="s">
        <v>141</v>
      </c>
      <c r="Y6" s="33" t="s">
        <v>142</v>
      </c>
      <c r="Z6" s="33" t="s">
        <v>143</v>
      </c>
      <c r="AA6" s="33" t="s">
        <v>144</v>
      </c>
      <c r="AB6" s="33" t="s">
        <v>145</v>
      </c>
      <c r="AC6" s="33" t="s">
        <v>146</v>
      </c>
      <c r="AD6" s="33" t="s">
        <v>147</v>
      </c>
      <c r="AE6" s="33" t="s">
        <v>148</v>
      </c>
      <c r="AF6" s="33" t="s">
        <v>149</v>
      </c>
      <c r="AG6" s="33" t="s">
        <v>150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257</v>
      </c>
      <c r="AS6" s="33" t="s">
        <v>258</v>
      </c>
      <c r="AT6" s="33" t="s">
        <v>259</v>
      </c>
      <c r="AU6" s="33" t="s">
        <v>260</v>
      </c>
      <c r="AV6" s="33" t="s">
        <v>261</v>
      </c>
      <c r="AW6" s="33" t="s">
        <v>262</v>
      </c>
      <c r="AX6" s="33" t="s">
        <v>263</v>
      </c>
      <c r="AY6" s="33" t="s">
        <v>264</v>
      </c>
      <c r="AZ6" s="33" t="s">
        <v>265</v>
      </c>
      <c r="BA6" s="33" t="s">
        <v>266</v>
      </c>
      <c r="BB6" s="33" t="s">
        <v>267</v>
      </c>
      <c r="BC6" s="33" t="s">
        <v>268</v>
      </c>
      <c r="BD6" s="33" t="s">
        <v>269</v>
      </c>
      <c r="BE6" s="33" t="s">
        <v>270</v>
      </c>
      <c r="BF6" s="33" t="s">
        <v>271</v>
      </c>
      <c r="BG6" s="33" t="s">
        <v>272</v>
      </c>
      <c r="BH6" s="33" t="s">
        <v>273</v>
      </c>
      <c r="BI6" s="33" t="s">
        <v>274</v>
      </c>
      <c r="BJ6" s="33" t="s">
        <v>275</v>
      </c>
      <c r="BK6" s="33" t="s">
        <v>276</v>
      </c>
      <c r="BL6" s="33" t="s">
        <v>277</v>
      </c>
      <c r="BM6" s="33" t="s">
        <v>278</v>
      </c>
      <c r="BN6" s="33" t="s">
        <v>279</v>
      </c>
      <c r="BO6" s="33" t="s">
        <v>280</v>
      </c>
      <c r="BP6" s="33" t="s">
        <v>281</v>
      </c>
      <c r="BQ6" s="33" t="s">
        <v>282</v>
      </c>
      <c r="BR6" s="33" t="s">
        <v>283</v>
      </c>
      <c r="BS6" s="33" t="s">
        <v>284</v>
      </c>
      <c r="BT6" s="33" t="s">
        <v>285</v>
      </c>
      <c r="BU6" s="33" t="s">
        <v>286</v>
      </c>
      <c r="BV6" s="33" t="s">
        <v>287</v>
      </c>
      <c r="BW6" s="33" t="s">
        <v>288</v>
      </c>
      <c r="BX6" s="33" t="s">
        <v>289</v>
      </c>
      <c r="BY6" s="33" t="s">
        <v>290</v>
      </c>
      <c r="BZ6" s="33" t="s">
        <v>291</v>
      </c>
      <c r="CA6" s="33" t="s">
        <v>292</v>
      </c>
      <c r="CB6" s="33" t="s">
        <v>293</v>
      </c>
      <c r="CC6" s="33" t="s">
        <v>294</v>
      </c>
      <c r="CD6" s="33" t="s">
        <v>295</v>
      </c>
      <c r="CE6" s="33" t="s">
        <v>296</v>
      </c>
      <c r="CF6" s="33" t="s">
        <v>297</v>
      </c>
      <c r="CG6" s="33" t="s">
        <v>298</v>
      </c>
      <c r="CH6" s="33" t="s">
        <v>299</v>
      </c>
      <c r="CI6" s="33" t="s">
        <v>300</v>
      </c>
      <c r="CJ6" s="33" t="s">
        <v>301</v>
      </c>
      <c r="CK6" s="33" t="s">
        <v>302</v>
      </c>
      <c r="CL6" s="33" t="s">
        <v>303</v>
      </c>
      <c r="CM6" s="33" t="s">
        <v>304</v>
      </c>
      <c r="CN6" s="33" t="s">
        <v>305</v>
      </c>
      <c r="CO6" s="33" t="s">
        <v>306</v>
      </c>
      <c r="CP6" s="33" t="s">
        <v>307</v>
      </c>
      <c r="CQ6" s="33" t="s">
        <v>308</v>
      </c>
      <c r="CR6" s="33" t="s">
        <v>309</v>
      </c>
      <c r="CS6" s="33" t="s">
        <v>310</v>
      </c>
      <c r="CT6" s="33" t="s">
        <v>311</v>
      </c>
      <c r="CU6" s="33" t="s">
        <v>312</v>
      </c>
      <c r="CV6" s="33" t="s">
        <v>313</v>
      </c>
      <c r="CW6" s="33" t="s">
        <v>314</v>
      </c>
      <c r="CX6" s="33" t="s">
        <v>315</v>
      </c>
      <c r="CY6" s="33" t="s">
        <v>316</v>
      </c>
      <c r="CZ6" s="33" t="s">
        <v>317</v>
      </c>
      <c r="DA6" s="33" t="s">
        <v>318</v>
      </c>
      <c r="DB6" s="33" t="s">
        <v>319</v>
      </c>
      <c r="DC6" s="33" t="s">
        <v>320</v>
      </c>
      <c r="DD6" s="33" t="s">
        <v>321</v>
      </c>
      <c r="DE6" s="33" t="s">
        <v>322</v>
      </c>
      <c r="DF6" s="33" t="s">
        <v>323</v>
      </c>
      <c r="DG6" s="33" t="s">
        <v>324</v>
      </c>
      <c r="DH6" s="33" t="s">
        <v>325</v>
      </c>
      <c r="DI6" s="33" t="s">
        <v>326</v>
      </c>
      <c r="DJ6" s="33" t="s">
        <v>327</v>
      </c>
      <c r="DK6" s="33" t="s">
        <v>328</v>
      </c>
      <c r="DL6" s="33" t="s">
        <v>329</v>
      </c>
      <c r="DM6" s="33" t="s">
        <v>330</v>
      </c>
      <c r="DN6" s="33" t="s">
        <v>331</v>
      </c>
      <c r="DO6" s="33" t="s">
        <v>332</v>
      </c>
      <c r="DP6" s="33" t="s">
        <v>333</v>
      </c>
      <c r="DQ6" s="33" t="s">
        <v>334</v>
      </c>
      <c r="DR6" s="33" t="s">
        <v>335</v>
      </c>
      <c r="DS6" s="33" t="s">
        <v>336</v>
      </c>
      <c r="DT6" s="33" t="s">
        <v>337</v>
      </c>
      <c r="DU6" s="33" t="s">
        <v>338</v>
      </c>
      <c r="DV6" s="33" t="s">
        <v>339</v>
      </c>
      <c r="DW6" s="33" t="s">
        <v>340</v>
      </c>
      <c r="DX6" s="33" t="s">
        <v>341</v>
      </c>
      <c r="DY6" s="33" t="s">
        <v>342</v>
      </c>
      <c r="DZ6" s="33" t="s">
        <v>343</v>
      </c>
      <c r="EA6" s="33" t="s">
        <v>344</v>
      </c>
      <c r="EB6" s="33" t="s">
        <v>345</v>
      </c>
      <c r="EC6" s="33" t="s">
        <v>346</v>
      </c>
      <c r="ED6" s="33" t="s">
        <v>347</v>
      </c>
      <c r="EE6" s="33" t="s">
        <v>348</v>
      </c>
      <c r="EF6" s="33" t="s">
        <v>349</v>
      </c>
      <c r="EG6" s="33" t="s">
        <v>350</v>
      </c>
      <c r="EH6" s="33" t="s">
        <v>351</v>
      </c>
      <c r="EI6" s="33" t="s">
        <v>352</v>
      </c>
      <c r="EJ6" s="33" t="s">
        <v>353</v>
      </c>
      <c r="EK6" s="33" t="s">
        <v>354</v>
      </c>
      <c r="EL6" s="33" t="s">
        <v>355</v>
      </c>
      <c r="EM6" s="33" t="s">
        <v>356</v>
      </c>
      <c r="EN6" s="33" t="s">
        <v>357</v>
      </c>
      <c r="EO6" s="33" t="s">
        <v>358</v>
      </c>
      <c r="EP6" s="33" t="s">
        <v>359</v>
      </c>
      <c r="EQ6" s="33" t="str">
        <f>'Feeder Names'!ET3</f>
        <v>MLTP5.SPARE-6</v>
      </c>
    </row>
    <row r="7" spans="1:201" ht="15.5" x14ac:dyDescent="0.25">
      <c r="A7" s="57" t="s">
        <v>73</v>
      </c>
      <c r="B7" s="134"/>
      <c r="C7" s="134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34"/>
      <c r="O7" s="134"/>
      <c r="P7" s="134"/>
      <c r="Q7" s="134"/>
      <c r="R7" s="134"/>
      <c r="S7" s="134"/>
      <c r="T7" s="134"/>
      <c r="U7" s="134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4"/>
      <c r="AG7" s="134"/>
      <c r="AH7" s="134"/>
      <c r="AI7" s="134"/>
      <c r="AJ7" s="134"/>
      <c r="AK7" s="134"/>
      <c r="AL7" s="134"/>
      <c r="AM7" s="134"/>
      <c r="AN7" s="134"/>
      <c r="AO7" s="134"/>
      <c r="AP7" s="134"/>
      <c r="AQ7" s="134"/>
      <c r="AR7" s="134"/>
      <c r="AS7" s="134"/>
      <c r="AT7" s="134"/>
      <c r="AU7" s="134"/>
      <c r="AV7" s="134"/>
      <c r="AW7" s="134"/>
      <c r="AX7" s="134"/>
      <c r="AY7" s="134"/>
      <c r="AZ7" s="134"/>
      <c r="BA7" s="134"/>
      <c r="BB7" s="134"/>
      <c r="BC7" s="134"/>
      <c r="BD7" s="134"/>
      <c r="BE7" s="134"/>
      <c r="BF7" s="134"/>
      <c r="BG7" s="134"/>
      <c r="BH7" s="134"/>
      <c r="BI7" s="134"/>
      <c r="BJ7" s="134"/>
      <c r="BK7" s="134"/>
      <c r="BL7" s="134"/>
      <c r="BM7" s="134"/>
      <c r="BN7" s="134"/>
      <c r="BO7" s="134"/>
      <c r="BP7" s="134"/>
      <c r="BQ7" s="134"/>
      <c r="BR7" s="134"/>
      <c r="BS7" s="134"/>
      <c r="BT7" s="134"/>
      <c r="BU7" s="134"/>
      <c r="BV7" s="134"/>
      <c r="BW7" s="134"/>
      <c r="BX7" s="134"/>
      <c r="BY7" s="134"/>
      <c r="BZ7" s="134"/>
      <c r="CA7" s="134"/>
      <c r="CB7" s="134"/>
      <c r="CC7" s="134"/>
      <c r="CD7" s="134"/>
      <c r="CE7" s="134"/>
      <c r="CF7" s="134"/>
      <c r="CG7" s="134"/>
      <c r="CH7" s="134"/>
      <c r="CI7" s="134"/>
      <c r="CJ7" s="134"/>
      <c r="CK7" s="134"/>
      <c r="CL7" s="134"/>
      <c r="CM7" s="134"/>
      <c r="CN7" s="134"/>
      <c r="CO7" s="134"/>
      <c r="CP7" s="134"/>
      <c r="CQ7" s="134"/>
      <c r="CR7" s="134"/>
      <c r="CS7" s="134"/>
      <c r="CT7" s="134"/>
      <c r="CU7" s="134"/>
      <c r="CV7" s="134"/>
      <c r="CW7" s="134"/>
      <c r="CX7" s="134"/>
      <c r="CY7" s="134"/>
      <c r="CZ7" s="134"/>
      <c r="DA7" s="134"/>
      <c r="DB7" s="134"/>
      <c r="DC7" s="134"/>
      <c r="DD7" s="134"/>
      <c r="DE7" s="134"/>
      <c r="DF7" s="134"/>
      <c r="DG7" s="134"/>
      <c r="DH7" s="134"/>
      <c r="DI7" s="134"/>
      <c r="DJ7" s="134"/>
      <c r="DK7" s="134"/>
      <c r="DL7" s="134"/>
      <c r="DM7" s="134"/>
      <c r="DN7" s="134"/>
      <c r="DO7" s="134"/>
      <c r="DP7" s="134"/>
      <c r="DQ7" s="134"/>
      <c r="DR7" s="134"/>
      <c r="DS7" s="134"/>
      <c r="DT7" s="134"/>
      <c r="DU7" s="134"/>
      <c r="DV7" s="134"/>
      <c r="DW7" s="134"/>
      <c r="DX7" s="134"/>
      <c r="DY7" s="134"/>
      <c r="DZ7" s="134"/>
      <c r="EA7" s="134"/>
      <c r="EB7" s="134"/>
      <c r="EC7" s="134"/>
      <c r="ED7" s="134"/>
      <c r="EE7" s="134"/>
      <c r="EF7" s="134"/>
      <c r="EG7" s="134"/>
      <c r="EH7" s="134"/>
      <c r="EI7" s="134"/>
      <c r="EJ7" s="134"/>
      <c r="EK7" s="134"/>
      <c r="EL7" s="134"/>
      <c r="EM7" s="134"/>
      <c r="EN7" s="134"/>
      <c r="EO7" s="134"/>
      <c r="EP7" s="134"/>
      <c r="EQ7" s="134"/>
      <c r="ER7" s="134"/>
      <c r="ES7" s="134"/>
      <c r="ET7" s="134"/>
      <c r="EU7" s="134"/>
      <c r="EV7" s="134"/>
      <c r="EW7" s="134"/>
      <c r="EX7" s="134"/>
      <c r="EY7" s="134"/>
      <c r="EZ7" s="134"/>
      <c r="FA7" s="134"/>
      <c r="FB7" s="134"/>
      <c r="FC7" s="134"/>
      <c r="FD7" s="134"/>
      <c r="FE7" s="134"/>
      <c r="FF7" s="134"/>
      <c r="FG7" s="134"/>
      <c r="FH7" s="134"/>
      <c r="FI7" s="134"/>
      <c r="FJ7" s="134"/>
      <c r="FK7" s="134"/>
      <c r="FL7" s="134"/>
      <c r="FM7" s="134"/>
      <c r="FN7" s="134"/>
      <c r="FO7" s="134"/>
      <c r="FP7" s="134"/>
      <c r="FQ7" s="134"/>
      <c r="FR7" s="134"/>
      <c r="FS7" s="134"/>
      <c r="FT7" s="134"/>
      <c r="FU7" s="134"/>
      <c r="FV7" s="134"/>
      <c r="FW7" s="134"/>
      <c r="FX7" s="134"/>
      <c r="FY7" s="134"/>
      <c r="FZ7" s="134"/>
      <c r="GA7" s="134"/>
      <c r="GB7" s="134"/>
      <c r="GC7" s="134"/>
      <c r="GD7" s="134"/>
      <c r="GE7" s="134"/>
      <c r="GF7" s="134"/>
      <c r="GG7" s="134"/>
      <c r="GH7" s="134"/>
      <c r="GI7" s="134"/>
      <c r="GJ7" s="134"/>
      <c r="GK7" s="134"/>
      <c r="GL7" s="134"/>
      <c r="GM7" s="134"/>
      <c r="GN7" s="134"/>
      <c r="GO7" s="134"/>
      <c r="GP7" s="134"/>
      <c r="GQ7" s="134"/>
      <c r="GR7" s="134"/>
      <c r="GS7" s="134"/>
    </row>
    <row r="8" spans="1:201" ht="15.5" x14ac:dyDescent="0.25">
      <c r="A8" s="57" t="s">
        <v>74</v>
      </c>
      <c r="B8" s="134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H8" s="134"/>
      <c r="AI8" s="134"/>
      <c r="AJ8" s="134"/>
      <c r="AK8" s="134"/>
      <c r="AL8" s="134"/>
      <c r="AM8" s="134"/>
      <c r="AN8" s="134"/>
      <c r="AO8" s="134"/>
      <c r="AP8" s="134"/>
      <c r="AQ8" s="134"/>
      <c r="AR8" s="134"/>
      <c r="AS8" s="134"/>
      <c r="AT8" s="134"/>
      <c r="AU8" s="134"/>
      <c r="AV8" s="134"/>
      <c r="AW8" s="134"/>
      <c r="AX8" s="134"/>
      <c r="AY8" s="134"/>
      <c r="AZ8" s="134"/>
      <c r="BA8" s="134"/>
      <c r="BB8" s="134"/>
      <c r="BC8" s="134"/>
      <c r="BD8" s="134"/>
      <c r="BE8" s="134"/>
      <c r="BF8" s="134"/>
      <c r="BG8" s="134"/>
      <c r="BH8" s="134"/>
      <c r="BI8" s="134"/>
      <c r="BJ8" s="134"/>
      <c r="BK8" s="134"/>
      <c r="BL8" s="134"/>
      <c r="BM8" s="134"/>
      <c r="BN8" s="134"/>
      <c r="BO8" s="134"/>
      <c r="BP8" s="134"/>
      <c r="BQ8" s="134"/>
      <c r="BR8" s="134"/>
      <c r="BS8" s="134"/>
      <c r="BT8" s="134"/>
      <c r="BU8" s="134"/>
      <c r="BV8" s="134"/>
      <c r="BW8" s="134"/>
      <c r="BX8" s="134"/>
      <c r="BY8" s="134"/>
      <c r="BZ8" s="134"/>
      <c r="CA8" s="134"/>
      <c r="CB8" s="134"/>
      <c r="CC8" s="134"/>
      <c r="CD8" s="134"/>
      <c r="CE8" s="134"/>
      <c r="CF8" s="134"/>
      <c r="CG8" s="134"/>
      <c r="CH8" s="134"/>
      <c r="CI8" s="134"/>
      <c r="CJ8" s="134"/>
      <c r="CK8" s="134"/>
      <c r="CL8" s="134"/>
      <c r="CM8" s="134"/>
      <c r="CN8" s="134"/>
      <c r="CO8" s="134"/>
      <c r="CP8" s="134"/>
      <c r="CQ8" s="134"/>
      <c r="CR8" s="134"/>
      <c r="CS8" s="134"/>
      <c r="CT8" s="134"/>
      <c r="CU8" s="134"/>
      <c r="CV8" s="134"/>
      <c r="CW8" s="134"/>
      <c r="CX8" s="134"/>
      <c r="CY8" s="134"/>
      <c r="CZ8" s="134"/>
      <c r="DA8" s="134"/>
      <c r="DB8" s="134"/>
      <c r="DC8" s="134"/>
      <c r="DD8" s="134"/>
      <c r="DE8" s="134"/>
      <c r="DF8" s="134"/>
      <c r="DG8" s="134"/>
      <c r="DH8" s="134"/>
      <c r="DI8" s="134"/>
      <c r="DJ8" s="134"/>
      <c r="DK8" s="134"/>
      <c r="DL8" s="134"/>
      <c r="DM8" s="134"/>
      <c r="DN8" s="134"/>
      <c r="DO8" s="134"/>
      <c r="DP8" s="134"/>
      <c r="DQ8" s="134"/>
      <c r="DR8" s="134"/>
      <c r="DS8" s="134"/>
      <c r="DT8" s="134"/>
      <c r="DU8" s="134"/>
      <c r="DV8" s="134"/>
      <c r="DW8" s="134"/>
      <c r="DX8" s="134"/>
      <c r="DY8" s="134"/>
      <c r="DZ8" s="134"/>
      <c r="EA8" s="134"/>
      <c r="EB8" s="134"/>
      <c r="EC8" s="134"/>
      <c r="ED8" s="134"/>
      <c r="EE8" s="134"/>
      <c r="EF8" s="134"/>
      <c r="EG8" s="134"/>
      <c r="EH8" s="134"/>
      <c r="EI8" s="134"/>
      <c r="EJ8" s="134"/>
      <c r="EK8" s="134"/>
      <c r="EL8" s="134"/>
      <c r="EM8" s="134"/>
      <c r="EN8" s="134"/>
      <c r="EO8" s="134"/>
      <c r="EP8" s="134"/>
      <c r="EQ8" s="134"/>
      <c r="ER8" s="134"/>
      <c r="ES8" s="134"/>
      <c r="ET8" s="134"/>
      <c r="EU8" s="134"/>
      <c r="EV8" s="134"/>
      <c r="EW8" s="134"/>
      <c r="EX8" s="134"/>
      <c r="EY8" s="134"/>
      <c r="EZ8" s="134"/>
      <c r="FA8" s="134"/>
      <c r="FB8" s="134"/>
      <c r="FC8" s="134"/>
      <c r="FD8" s="134"/>
      <c r="FE8" s="134"/>
      <c r="FF8" s="134"/>
      <c r="FG8" s="134"/>
      <c r="FH8" s="134"/>
      <c r="FI8" s="134"/>
      <c r="FJ8" s="134"/>
      <c r="FK8" s="134"/>
      <c r="FL8" s="134"/>
      <c r="FM8" s="134"/>
      <c r="FN8" s="134"/>
      <c r="FO8" s="134"/>
      <c r="FP8" s="134"/>
      <c r="FQ8" s="134"/>
      <c r="FR8" s="134"/>
      <c r="FS8" s="134"/>
      <c r="FT8" s="134"/>
      <c r="FU8" s="134"/>
      <c r="FV8" s="134"/>
      <c r="FW8" s="134"/>
      <c r="FX8" s="134"/>
      <c r="FY8" s="134"/>
      <c r="FZ8" s="134"/>
      <c r="GA8" s="134"/>
      <c r="GB8" s="134"/>
      <c r="GC8" s="134"/>
      <c r="GD8" s="134"/>
      <c r="GE8" s="134"/>
      <c r="GF8" s="134"/>
      <c r="GG8" s="134"/>
      <c r="GH8" s="134"/>
      <c r="GI8" s="134"/>
      <c r="GJ8" s="134"/>
      <c r="GK8" s="134"/>
      <c r="GL8" s="134"/>
      <c r="GM8" s="134"/>
      <c r="GN8" s="134"/>
      <c r="GO8" s="134"/>
      <c r="GP8" s="134"/>
      <c r="GQ8" s="134"/>
      <c r="GR8" s="134"/>
      <c r="GS8" s="134"/>
    </row>
    <row r="9" spans="1:201" ht="15.5" x14ac:dyDescent="0.25">
      <c r="A9" s="57" t="s">
        <v>75</v>
      </c>
      <c r="B9" s="134"/>
      <c r="C9" s="134"/>
      <c r="D9" s="134"/>
      <c r="E9" s="134"/>
      <c r="F9" s="134"/>
      <c r="G9" s="134"/>
      <c r="H9" s="134"/>
      <c r="I9" s="134"/>
      <c r="J9" s="134"/>
      <c r="K9" s="134"/>
      <c r="L9" s="134"/>
      <c r="M9" s="134"/>
      <c r="N9" s="134"/>
      <c r="O9" s="134"/>
      <c r="P9" s="134"/>
      <c r="Q9" s="134"/>
      <c r="R9" s="134"/>
      <c r="S9" s="134"/>
      <c r="T9" s="134"/>
      <c r="U9" s="134"/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4"/>
      <c r="AG9" s="134"/>
      <c r="AH9" s="134"/>
      <c r="AI9" s="134"/>
      <c r="AJ9" s="134"/>
      <c r="AK9" s="134"/>
      <c r="AL9" s="134"/>
      <c r="AM9" s="134"/>
      <c r="AN9" s="134"/>
      <c r="AO9" s="134"/>
      <c r="AP9" s="134"/>
      <c r="AQ9" s="134"/>
      <c r="AR9" s="134"/>
      <c r="AS9" s="134"/>
      <c r="AT9" s="134"/>
      <c r="AU9" s="134"/>
      <c r="AV9" s="134"/>
      <c r="AW9" s="134"/>
      <c r="AX9" s="134"/>
      <c r="AY9" s="134"/>
      <c r="AZ9" s="134"/>
      <c r="BA9" s="134"/>
      <c r="BB9" s="134"/>
      <c r="BC9" s="134"/>
      <c r="BD9" s="134"/>
      <c r="BE9" s="134"/>
      <c r="BF9" s="134"/>
      <c r="BG9" s="134"/>
      <c r="BH9" s="134"/>
      <c r="BI9" s="134"/>
      <c r="BJ9" s="134"/>
      <c r="BK9" s="134"/>
      <c r="BL9" s="134"/>
      <c r="BM9" s="134"/>
      <c r="BN9" s="134"/>
      <c r="BO9" s="134"/>
      <c r="BP9" s="134"/>
      <c r="BQ9" s="134"/>
      <c r="BR9" s="134"/>
      <c r="BS9" s="134"/>
      <c r="BT9" s="134"/>
      <c r="BU9" s="134"/>
      <c r="BV9" s="134"/>
      <c r="BW9" s="134"/>
      <c r="BX9" s="134"/>
      <c r="BY9" s="134"/>
      <c r="BZ9" s="134"/>
      <c r="CA9" s="134"/>
      <c r="CB9" s="134"/>
      <c r="CC9" s="134"/>
      <c r="CD9" s="134"/>
      <c r="CE9" s="134"/>
      <c r="CF9" s="134"/>
      <c r="CG9" s="134"/>
      <c r="CH9" s="134"/>
      <c r="CI9" s="134"/>
      <c r="CJ9" s="134"/>
      <c r="CK9" s="134"/>
      <c r="CL9" s="134"/>
      <c r="CM9" s="134"/>
      <c r="CN9" s="134"/>
      <c r="CO9" s="134"/>
      <c r="CP9" s="134"/>
      <c r="CQ9" s="134"/>
      <c r="CR9" s="134"/>
      <c r="CS9" s="134"/>
      <c r="CT9" s="134"/>
      <c r="CU9" s="134"/>
      <c r="CV9" s="134"/>
      <c r="CW9" s="134"/>
      <c r="CX9" s="134"/>
      <c r="CY9" s="134"/>
      <c r="CZ9" s="134"/>
      <c r="DA9" s="134"/>
      <c r="DB9" s="134"/>
      <c r="DC9" s="134"/>
      <c r="DD9" s="134"/>
      <c r="DE9" s="134"/>
      <c r="DF9" s="134"/>
      <c r="DG9" s="134"/>
      <c r="DH9" s="134"/>
      <c r="DI9" s="134"/>
      <c r="DJ9" s="134"/>
      <c r="DK9" s="134"/>
      <c r="DL9" s="134"/>
      <c r="DM9" s="134"/>
      <c r="DN9" s="134"/>
      <c r="DO9" s="134"/>
      <c r="DP9" s="134"/>
      <c r="DQ9" s="134"/>
      <c r="DR9" s="134"/>
      <c r="DS9" s="134"/>
      <c r="DT9" s="134"/>
      <c r="DU9" s="134"/>
      <c r="DV9" s="134"/>
      <c r="DW9" s="134"/>
      <c r="DX9" s="134"/>
      <c r="DY9" s="134"/>
      <c r="DZ9" s="134"/>
      <c r="EA9" s="134"/>
      <c r="EB9" s="134"/>
      <c r="EC9" s="134"/>
      <c r="ED9" s="134"/>
      <c r="EE9" s="134"/>
      <c r="EF9" s="134"/>
      <c r="EG9" s="134"/>
      <c r="EH9" s="134"/>
      <c r="EI9" s="134"/>
      <c r="EJ9" s="134"/>
      <c r="EK9" s="134"/>
      <c r="EL9" s="134"/>
      <c r="EM9" s="134"/>
      <c r="EN9" s="134"/>
      <c r="EO9" s="134"/>
      <c r="EP9" s="134"/>
      <c r="EQ9" s="134"/>
      <c r="ER9" s="134"/>
      <c r="ES9" s="134"/>
      <c r="ET9" s="134"/>
      <c r="EU9" s="134"/>
      <c r="EV9" s="134"/>
      <c r="EW9" s="134"/>
      <c r="EX9" s="134"/>
      <c r="EY9" s="134"/>
      <c r="EZ9" s="134"/>
      <c r="FA9" s="134"/>
      <c r="FB9" s="134"/>
      <c r="FC9" s="134"/>
      <c r="FD9" s="134"/>
      <c r="FE9" s="134"/>
      <c r="FF9" s="134"/>
      <c r="FG9" s="134"/>
      <c r="FH9" s="134"/>
      <c r="FI9" s="134"/>
      <c r="FJ9" s="134"/>
      <c r="FK9" s="134"/>
      <c r="FL9" s="134"/>
      <c r="FM9" s="134"/>
      <c r="FN9" s="134"/>
      <c r="FO9" s="134"/>
      <c r="FP9" s="134"/>
      <c r="FQ9" s="134"/>
      <c r="FR9" s="134"/>
      <c r="FS9" s="134"/>
      <c r="FT9" s="134"/>
      <c r="FU9" s="134"/>
      <c r="FV9" s="134"/>
      <c r="FW9" s="134"/>
      <c r="FX9" s="134"/>
      <c r="FY9" s="134"/>
      <c r="FZ9" s="134"/>
      <c r="GA9" s="134"/>
      <c r="GB9" s="134"/>
      <c r="GC9" s="134"/>
      <c r="GD9" s="134"/>
      <c r="GE9" s="134"/>
      <c r="GF9" s="134"/>
      <c r="GG9" s="134"/>
      <c r="GH9" s="134"/>
      <c r="GI9" s="134"/>
      <c r="GJ9" s="134"/>
      <c r="GK9" s="134"/>
      <c r="GL9" s="134"/>
      <c r="GM9" s="134"/>
      <c r="GN9" s="134"/>
      <c r="GO9" s="134"/>
      <c r="GP9" s="134"/>
      <c r="GQ9" s="134"/>
      <c r="GR9" s="134"/>
      <c r="GS9" s="134"/>
    </row>
    <row r="10" spans="1:201" ht="15.5" x14ac:dyDescent="0.25">
      <c r="A10" s="57" t="s">
        <v>76</v>
      </c>
      <c r="B10" s="134">
        <v>470.45971875000004</v>
      </c>
      <c r="C10" s="134">
        <v>99.630034999999992</v>
      </c>
      <c r="D10" s="134">
        <v>162.14761000000001</v>
      </c>
      <c r="E10" s="134">
        <v>136.18546100000003</v>
      </c>
      <c r="F10" s="134">
        <v>56.185717999999973</v>
      </c>
      <c r="G10" s="134">
        <v>3.5638190000000005</v>
      </c>
      <c r="H10" s="134">
        <v>1.0811380000000002</v>
      </c>
      <c r="I10" s="134">
        <v>0.74798799999999999</v>
      </c>
      <c r="J10" s="134">
        <v>8.5940000000000016E-2</v>
      </c>
      <c r="K10" s="134">
        <v>0.53002899999999997</v>
      </c>
      <c r="L10" s="134">
        <v>0.93309500000000078</v>
      </c>
      <c r="M10" s="134">
        <v>3.5573439999999978</v>
      </c>
      <c r="N10" s="134">
        <v>87.991025999999962</v>
      </c>
      <c r="O10" s="134">
        <v>108.00513199999997</v>
      </c>
      <c r="P10" s="134">
        <v>10.134324000000003</v>
      </c>
      <c r="Q10" s="134">
        <v>93.805448000000055</v>
      </c>
      <c r="R10" s="134">
        <v>155.07958400000135</v>
      </c>
      <c r="S10" s="134">
        <v>129.33468800000094</v>
      </c>
      <c r="T10" s="134">
        <v>54.527999999998428</v>
      </c>
      <c r="U10" s="134">
        <v>11.835067999999998</v>
      </c>
      <c r="V10" s="134">
        <v>3.3890160000000007</v>
      </c>
      <c r="W10" s="134">
        <v>1.8280179999999999</v>
      </c>
      <c r="X10" s="134">
        <v>1.9593564999999988</v>
      </c>
      <c r="Y10" s="134">
        <v>0</v>
      </c>
      <c r="Z10" s="134">
        <v>1.4087114999999995</v>
      </c>
      <c r="AA10" s="134">
        <v>3.1834019999999996</v>
      </c>
      <c r="AB10" s="134">
        <v>4.3301670000000003</v>
      </c>
      <c r="AC10" s="134">
        <v>3.0314180000000004</v>
      </c>
      <c r="AD10" s="134">
        <v>1.3578745000000003</v>
      </c>
      <c r="AE10" s="134">
        <v>0.60595612499999962</v>
      </c>
      <c r="AF10" s="134">
        <v>1.00399999999823E-3</v>
      </c>
      <c r="AG10" s="134">
        <v>0.25407100000000055</v>
      </c>
      <c r="AH10" s="134">
        <v>49.690727999999972</v>
      </c>
      <c r="AI10" s="134">
        <v>0</v>
      </c>
      <c r="AJ10" s="134">
        <v>0.828148</v>
      </c>
      <c r="AK10" s="134">
        <v>0</v>
      </c>
      <c r="AL10" s="134">
        <v>7.6579760000000041</v>
      </c>
      <c r="AM10" s="134">
        <v>12.745708000000004</v>
      </c>
      <c r="AN10" s="134">
        <v>9.9763959999999976</v>
      </c>
      <c r="AO10" s="134">
        <v>4.4612220000000011</v>
      </c>
      <c r="AP10" s="134">
        <v>2.3062870000000006</v>
      </c>
      <c r="AQ10" s="134">
        <v>8.1011520000000026</v>
      </c>
      <c r="AR10" s="134">
        <v>129.39443999999997</v>
      </c>
      <c r="AS10" s="134">
        <v>0.9567777500000002</v>
      </c>
      <c r="AT10" s="134">
        <v>0</v>
      </c>
      <c r="AU10" s="134">
        <v>1.1521020000000051</v>
      </c>
      <c r="AV10" s="134">
        <v>0.72786474999999995</v>
      </c>
      <c r="AW10" s="134">
        <v>52.881232000000111</v>
      </c>
      <c r="AX10" s="134">
        <v>0</v>
      </c>
      <c r="AY10" s="134">
        <v>1.490048375</v>
      </c>
      <c r="AZ10" s="134">
        <v>1.0200000000052969E-4</v>
      </c>
      <c r="BA10" s="134">
        <v>0</v>
      </c>
      <c r="BB10" s="134">
        <v>0</v>
      </c>
      <c r="BC10" s="134">
        <v>0</v>
      </c>
      <c r="BD10" s="134">
        <v>0.10507837500000024</v>
      </c>
      <c r="BE10" s="134">
        <v>3.8277300000000012</v>
      </c>
      <c r="BF10" s="134">
        <v>0</v>
      </c>
      <c r="BG10" s="134">
        <v>0.59957199999999999</v>
      </c>
      <c r="BH10" s="134">
        <v>0.62710599999999972</v>
      </c>
      <c r="BI10" s="134">
        <v>60.146119999999996</v>
      </c>
      <c r="BJ10" s="134">
        <v>2.0229999999991422E-3</v>
      </c>
      <c r="BK10" s="134">
        <v>1.6512365000000007</v>
      </c>
      <c r="BL10" s="134">
        <v>3.0290780000000117</v>
      </c>
      <c r="BM10" s="134">
        <v>48.815943999999973</v>
      </c>
      <c r="BN10" s="134">
        <v>0</v>
      </c>
      <c r="BO10" s="134">
        <v>5.3897377669677908</v>
      </c>
      <c r="BP10" s="134">
        <v>0</v>
      </c>
      <c r="BQ10" s="134">
        <v>0</v>
      </c>
      <c r="BR10" s="134">
        <v>0.34157430419921869</v>
      </c>
      <c r="BS10" s="134">
        <v>0</v>
      </c>
      <c r="BT10" s="134">
        <v>6.3992919999999982</v>
      </c>
      <c r="BU10" s="134">
        <v>0.84777018750000033</v>
      </c>
      <c r="BV10" s="134">
        <v>0</v>
      </c>
      <c r="BW10" s="134">
        <v>0</v>
      </c>
      <c r="BX10" s="134">
        <v>0.39852575939941376</v>
      </c>
      <c r="BY10" s="134">
        <v>0</v>
      </c>
      <c r="BZ10" s="134">
        <v>23.415671999999997</v>
      </c>
      <c r="CA10" s="134">
        <v>6.9394080000000073</v>
      </c>
      <c r="CB10" s="134">
        <v>0</v>
      </c>
      <c r="CC10" s="134">
        <v>0</v>
      </c>
      <c r="CD10" s="134">
        <v>0</v>
      </c>
      <c r="CE10" s="134">
        <v>0</v>
      </c>
      <c r="CF10" s="134">
        <v>1.5052170000000002</v>
      </c>
      <c r="CG10" s="134">
        <v>0</v>
      </c>
      <c r="CH10" s="134">
        <v>4.6161500000000077E-2</v>
      </c>
      <c r="CI10" s="134">
        <v>0</v>
      </c>
      <c r="CJ10" s="134">
        <v>0</v>
      </c>
      <c r="CK10" s="134">
        <v>0</v>
      </c>
      <c r="CL10" s="134">
        <v>45.612764000000048</v>
      </c>
      <c r="CM10" s="134">
        <v>103.78491199999996</v>
      </c>
      <c r="CN10" s="134">
        <v>1.0415810000000008</v>
      </c>
      <c r="CO10" s="134">
        <v>12.394032000000003</v>
      </c>
      <c r="CP10" s="134">
        <v>0</v>
      </c>
      <c r="CQ10" s="134">
        <v>6.4687499999878134E-6</v>
      </c>
      <c r="CR10" s="134">
        <v>2.5618519999999996</v>
      </c>
      <c r="CS10" s="134">
        <v>0</v>
      </c>
      <c r="CT10" s="134">
        <v>4.7457799999999963</v>
      </c>
      <c r="CU10" s="134">
        <v>0</v>
      </c>
      <c r="CV10" s="134">
        <v>0.36004425000000012</v>
      </c>
      <c r="CW10" s="134">
        <v>0.89828799999999509</v>
      </c>
      <c r="CX10" s="134">
        <v>7.0544179999999983</v>
      </c>
      <c r="CY10" s="134">
        <v>0.42009500000000005</v>
      </c>
      <c r="CZ10" s="134">
        <v>0.46950050000000021</v>
      </c>
      <c r="DA10" s="134">
        <v>8.0453600000000005</v>
      </c>
      <c r="DB10" s="134">
        <v>2.901076999999999</v>
      </c>
      <c r="DC10" s="134">
        <v>0.93638399999999999</v>
      </c>
      <c r="DD10" s="134">
        <v>0.28743199999999808</v>
      </c>
      <c r="DE10" s="134">
        <v>0</v>
      </c>
      <c r="DF10" s="134">
        <v>0</v>
      </c>
      <c r="DG10" s="134">
        <v>0.27150250000000026</v>
      </c>
      <c r="DH10" s="134">
        <v>14.275708</v>
      </c>
      <c r="DI10" s="134">
        <v>127.03995199999994</v>
      </c>
      <c r="DJ10" s="134">
        <v>0</v>
      </c>
      <c r="DK10" s="134">
        <v>1.7985400000000016</v>
      </c>
      <c r="DL10" s="134">
        <v>0.50742650000000067</v>
      </c>
      <c r="DM10" s="134">
        <v>1.2156089999999991</v>
      </c>
      <c r="DN10" s="134">
        <v>3.4285500000000121E-2</v>
      </c>
      <c r="DO10" s="134">
        <v>18.746936000000012</v>
      </c>
      <c r="DP10" s="134">
        <v>1.0488694999999995</v>
      </c>
      <c r="DQ10" s="134">
        <v>0</v>
      </c>
      <c r="DR10" s="134">
        <v>0</v>
      </c>
      <c r="DS10" s="134">
        <v>37.010864000000005</v>
      </c>
      <c r="DT10" s="134">
        <v>10.314816000000004</v>
      </c>
      <c r="DU10" s="134">
        <v>0.40217399999999959</v>
      </c>
      <c r="DV10" s="134">
        <v>0.26131724999999972</v>
      </c>
      <c r="DW10" s="134">
        <v>0</v>
      </c>
      <c r="DX10" s="134">
        <v>3.7087774921874956</v>
      </c>
      <c r="DY10" s="134">
        <v>0.32200551855468745</v>
      </c>
      <c r="DZ10" s="134">
        <v>2.5247100000000051</v>
      </c>
      <c r="EA10" s="134">
        <v>3.1067374999999942E-2</v>
      </c>
      <c r="EB10" s="134">
        <v>33.595752000000026</v>
      </c>
      <c r="EC10" s="134">
        <v>15.955983999999969</v>
      </c>
      <c r="ED10" s="134">
        <v>1.1481171875</v>
      </c>
      <c r="EE10" s="134">
        <v>99.143725999999987</v>
      </c>
      <c r="EF10" s="134">
        <v>186.61742500000037</v>
      </c>
      <c r="EG10" s="134">
        <v>0</v>
      </c>
      <c r="EH10" s="134">
        <v>11.277055999999931</v>
      </c>
      <c r="EI10" s="134">
        <v>11.359743999999937</v>
      </c>
      <c r="EJ10" s="134">
        <v>0.87139200000002814</v>
      </c>
      <c r="EK10" s="134">
        <v>2.126079999999837</v>
      </c>
      <c r="EL10" s="134">
        <v>22.190208000000055</v>
      </c>
      <c r="EM10" s="134">
        <v>40.650751999999926</v>
      </c>
      <c r="EN10" s="134">
        <v>29.051136000000358</v>
      </c>
      <c r="EO10" s="134">
        <v>20.733439999999934</v>
      </c>
      <c r="EP10" s="134">
        <v>1.1520000000018601E-3</v>
      </c>
      <c r="EQ10" s="134">
        <v>0</v>
      </c>
      <c r="ER10" s="134">
        <v>0</v>
      </c>
      <c r="ES10" s="134">
        <v>0</v>
      </c>
      <c r="ET10" s="134">
        <v>0</v>
      </c>
      <c r="EU10" s="134">
        <v>0</v>
      </c>
      <c r="EV10" s="134">
        <v>0</v>
      </c>
      <c r="EW10" s="134">
        <v>0</v>
      </c>
      <c r="EX10" s="134">
        <v>0</v>
      </c>
      <c r="EY10" s="134">
        <v>0</v>
      </c>
      <c r="EZ10" s="134">
        <v>0</v>
      </c>
      <c r="FA10" s="134">
        <v>0</v>
      </c>
      <c r="FB10" s="134">
        <v>0</v>
      </c>
      <c r="FC10" s="134">
        <v>0</v>
      </c>
      <c r="FD10" s="134">
        <v>0</v>
      </c>
      <c r="FE10" s="134">
        <v>0</v>
      </c>
      <c r="FF10" s="134">
        <v>0</v>
      </c>
      <c r="FG10" s="134">
        <v>0</v>
      </c>
      <c r="FH10" s="134">
        <v>0</v>
      </c>
      <c r="FI10" s="134">
        <v>0</v>
      </c>
      <c r="FJ10" s="134">
        <v>0</v>
      </c>
      <c r="FK10" s="134">
        <v>0</v>
      </c>
      <c r="FL10" s="134">
        <v>0</v>
      </c>
      <c r="FM10" s="134">
        <v>0</v>
      </c>
      <c r="FN10" s="134">
        <v>0</v>
      </c>
      <c r="FO10" s="134">
        <v>0</v>
      </c>
      <c r="FP10" s="134">
        <v>0</v>
      </c>
      <c r="FQ10" s="134">
        <v>0</v>
      </c>
      <c r="FR10" s="134">
        <v>0</v>
      </c>
      <c r="FS10" s="134">
        <v>0</v>
      </c>
      <c r="FT10" s="134">
        <v>0</v>
      </c>
      <c r="FU10" s="134">
        <v>0</v>
      </c>
      <c r="FV10" s="134">
        <v>0</v>
      </c>
      <c r="FW10" s="134">
        <v>0</v>
      </c>
      <c r="FX10" s="134">
        <v>0</v>
      </c>
      <c r="FY10" s="134">
        <v>0</v>
      </c>
      <c r="FZ10" s="134">
        <v>0</v>
      </c>
      <c r="GA10" s="134">
        <v>0</v>
      </c>
      <c r="GB10" s="134">
        <v>0</v>
      </c>
      <c r="GC10" s="134">
        <v>0</v>
      </c>
      <c r="GD10" s="134">
        <v>0</v>
      </c>
      <c r="GE10" s="134">
        <v>0</v>
      </c>
      <c r="GF10" s="134">
        <v>0</v>
      </c>
      <c r="GG10" s="134">
        <v>0</v>
      </c>
      <c r="GH10" s="134">
        <v>0</v>
      </c>
      <c r="GI10" s="134">
        <v>0</v>
      </c>
      <c r="GJ10" s="134">
        <v>0</v>
      </c>
      <c r="GK10" s="134">
        <v>0</v>
      </c>
      <c r="GL10" s="134">
        <v>0</v>
      </c>
      <c r="GM10" s="134">
        <v>0</v>
      </c>
      <c r="GN10" s="134">
        <v>0</v>
      </c>
      <c r="GO10" s="134">
        <v>0</v>
      </c>
      <c r="GP10" s="134">
        <v>0</v>
      </c>
      <c r="GQ10" s="134">
        <v>0</v>
      </c>
      <c r="GR10" s="134">
        <v>0</v>
      </c>
      <c r="GS10" s="134">
        <v>0</v>
      </c>
    </row>
    <row r="11" spans="1:201" ht="15.5" x14ac:dyDescent="0.25">
      <c r="A11" s="57" t="s">
        <v>77</v>
      </c>
      <c r="B11" s="134">
        <v>520.69737499999997</v>
      </c>
      <c r="C11" s="134">
        <v>93.765378999999996</v>
      </c>
      <c r="D11" s="134">
        <v>182.58832100000006</v>
      </c>
      <c r="E11" s="134">
        <v>71.224301000000011</v>
      </c>
      <c r="F11" s="134">
        <v>173.10741699999997</v>
      </c>
      <c r="G11" s="134">
        <v>14.031363000000002</v>
      </c>
      <c r="H11" s="134">
        <v>3.2147490000000003</v>
      </c>
      <c r="I11" s="134">
        <v>3.5458029999999994</v>
      </c>
      <c r="J11" s="134">
        <v>1.2886140000000001</v>
      </c>
      <c r="K11" s="134">
        <v>0.78343600000000002</v>
      </c>
      <c r="L11" s="134">
        <v>2.537385</v>
      </c>
      <c r="M11" s="134">
        <v>14.002668999999999</v>
      </c>
      <c r="N11" s="134">
        <v>104.66609099999989</v>
      </c>
      <c r="O11" s="134">
        <v>109.05477199999997</v>
      </c>
      <c r="P11" s="134">
        <v>7.7220280000000034</v>
      </c>
      <c r="Q11" s="134">
        <v>91.369471999998524</v>
      </c>
      <c r="R11" s="134">
        <v>178.25689599999532</v>
      </c>
      <c r="S11" s="134">
        <v>69.246975999999435</v>
      </c>
      <c r="T11" s="134">
        <v>168.39680000000226</v>
      </c>
      <c r="U11" s="134">
        <v>12.205163999999989</v>
      </c>
      <c r="V11" s="134">
        <v>3.2724419999999994</v>
      </c>
      <c r="W11" s="134">
        <v>1.6116399999999977</v>
      </c>
      <c r="X11" s="134">
        <v>1.9054989999999989</v>
      </c>
      <c r="Y11" s="134">
        <v>0</v>
      </c>
      <c r="Z11" s="134">
        <v>1.1823299999999983</v>
      </c>
      <c r="AA11" s="134">
        <v>2.9132459999999973</v>
      </c>
      <c r="AB11" s="134">
        <v>4.1729399999999988</v>
      </c>
      <c r="AC11" s="134">
        <v>2.9601089999999988</v>
      </c>
      <c r="AD11" s="134">
        <v>1.2400674999999997</v>
      </c>
      <c r="AE11" s="134">
        <v>1.9942447500000005</v>
      </c>
      <c r="AF11" s="134">
        <v>0</v>
      </c>
      <c r="AG11" s="134">
        <v>0.44267824999999983</v>
      </c>
      <c r="AH11" s="134">
        <v>47.772735999999952</v>
      </c>
      <c r="AI11" s="134">
        <v>0</v>
      </c>
      <c r="AJ11" s="134">
        <v>0.78231474999999939</v>
      </c>
      <c r="AK11" s="134">
        <v>0</v>
      </c>
      <c r="AL11" s="134">
        <v>7.7194719999999961</v>
      </c>
      <c r="AM11" s="134">
        <v>12.438808000000002</v>
      </c>
      <c r="AN11" s="134">
        <v>9.5780000000000118</v>
      </c>
      <c r="AO11" s="134">
        <v>3.6022979999999989</v>
      </c>
      <c r="AP11" s="134">
        <v>2.2242610000000003</v>
      </c>
      <c r="AQ11" s="134">
        <v>7.9237080000000049</v>
      </c>
      <c r="AR11" s="134">
        <v>124.79465600000003</v>
      </c>
      <c r="AS11" s="134">
        <v>1.46198775</v>
      </c>
      <c r="AT11" s="134">
        <v>0</v>
      </c>
      <c r="AU11" s="134">
        <v>1.0537919999999943</v>
      </c>
      <c r="AV11" s="134">
        <v>0.87647350000000057</v>
      </c>
      <c r="AW11" s="134">
        <v>46.182015999999976</v>
      </c>
      <c r="AX11" s="134">
        <v>0</v>
      </c>
      <c r="AY11" s="134">
        <v>1.7909152499999998</v>
      </c>
      <c r="AZ11" s="134">
        <v>1.0499999999957763E-4</v>
      </c>
      <c r="BA11" s="134">
        <v>0</v>
      </c>
      <c r="BB11" s="134">
        <v>0</v>
      </c>
      <c r="BC11" s="134">
        <v>0</v>
      </c>
      <c r="BD11" s="134">
        <v>0.10776774999999984</v>
      </c>
      <c r="BE11" s="134">
        <v>4.3297499999999998</v>
      </c>
      <c r="BF11" s="134">
        <v>0</v>
      </c>
      <c r="BG11" s="134">
        <v>0.53252200000000016</v>
      </c>
      <c r="BH11" s="134">
        <v>1.2742299999999993</v>
      </c>
      <c r="BI11" s="134">
        <v>60.238607999999985</v>
      </c>
      <c r="BJ11" s="134">
        <v>4.9425000000002904E-2</v>
      </c>
      <c r="BK11" s="134">
        <v>1.4904174999999995</v>
      </c>
      <c r="BL11" s="134">
        <v>22.32307999999998</v>
      </c>
      <c r="BM11" s="134">
        <v>46.073408000000001</v>
      </c>
      <c r="BN11" s="134">
        <v>0</v>
      </c>
      <c r="BO11" s="134">
        <v>5.5728817499999996</v>
      </c>
      <c r="BP11" s="134">
        <v>0</v>
      </c>
      <c r="BQ11" s="134">
        <v>0</v>
      </c>
      <c r="BR11" s="134">
        <v>0.30379934374999995</v>
      </c>
      <c r="BS11" s="134">
        <v>0</v>
      </c>
      <c r="BT11" s="134">
        <v>5.8206599999999984</v>
      </c>
      <c r="BU11" s="134">
        <v>0.31616799999999962</v>
      </c>
      <c r="BV11" s="134">
        <v>0</v>
      </c>
      <c r="BW11" s="134">
        <v>0</v>
      </c>
      <c r="BX11" s="134">
        <v>0.25929106249999978</v>
      </c>
      <c r="BY11" s="134">
        <v>1.3160000000000901E-3</v>
      </c>
      <c r="BZ11" s="134">
        <v>22.289011999999985</v>
      </c>
      <c r="CA11" s="134">
        <v>6.7997519999999971</v>
      </c>
      <c r="CB11" s="134">
        <v>0</v>
      </c>
      <c r="CC11" s="134">
        <v>0</v>
      </c>
      <c r="CD11" s="134">
        <v>0</v>
      </c>
      <c r="CE11" s="134">
        <v>0</v>
      </c>
      <c r="CF11" s="134">
        <v>1.6225789999999982</v>
      </c>
      <c r="CG11" s="134">
        <v>0</v>
      </c>
      <c r="CH11" s="134">
        <v>0.26650149999999984</v>
      </c>
      <c r="CI11" s="134">
        <v>0</v>
      </c>
      <c r="CJ11" s="134">
        <v>0</v>
      </c>
      <c r="CK11" s="134">
        <v>0</v>
      </c>
      <c r="CL11" s="134">
        <v>33.07883200000002</v>
      </c>
      <c r="CM11" s="134">
        <v>112.78924800000004</v>
      </c>
      <c r="CN11" s="134">
        <v>1.141067500000001</v>
      </c>
      <c r="CO11" s="134">
        <v>17.440191999999996</v>
      </c>
      <c r="CP11" s="134">
        <v>0</v>
      </c>
      <c r="CQ11" s="134">
        <v>3.9999999999484892E-6</v>
      </c>
      <c r="CR11" s="134">
        <v>3.1459859999999988</v>
      </c>
      <c r="CS11" s="134">
        <v>0</v>
      </c>
      <c r="CT11" s="134">
        <v>4.2288480000000011</v>
      </c>
      <c r="CU11" s="134">
        <v>0</v>
      </c>
      <c r="CV11" s="134">
        <v>0.39639068750000006</v>
      </c>
      <c r="CW11" s="134">
        <v>0.68563600000000224</v>
      </c>
      <c r="CX11" s="134">
        <v>7.2739399999999899</v>
      </c>
      <c r="CY11" s="134">
        <v>0.35280100000000025</v>
      </c>
      <c r="CZ11" s="134">
        <v>0.42758812499999999</v>
      </c>
      <c r="DA11" s="134">
        <v>8.1040440000000018</v>
      </c>
      <c r="DB11" s="134">
        <v>3.1526389999999989</v>
      </c>
      <c r="DC11" s="134">
        <v>1.0028000000000004</v>
      </c>
      <c r="DD11" s="134">
        <v>0.66055636523437522</v>
      </c>
      <c r="DE11" s="134">
        <v>0</v>
      </c>
      <c r="DF11" s="134">
        <v>0</v>
      </c>
      <c r="DG11" s="134">
        <v>0.26030649999999955</v>
      </c>
      <c r="DH11" s="134">
        <v>6.5086820000000101</v>
      </c>
      <c r="DI11" s="134">
        <v>127.25983999999994</v>
      </c>
      <c r="DJ11" s="134">
        <v>0</v>
      </c>
      <c r="DK11" s="134">
        <v>1.7041020000000024</v>
      </c>
      <c r="DL11" s="134">
        <v>0.48290099999999819</v>
      </c>
      <c r="DM11" s="134">
        <v>1.1541920000000001</v>
      </c>
      <c r="DN11" s="134">
        <v>4.4294687500000006E-2</v>
      </c>
      <c r="DO11" s="134">
        <v>18.394592000000021</v>
      </c>
      <c r="DP11" s="134">
        <v>0.94436300000000017</v>
      </c>
      <c r="DQ11" s="134">
        <v>0</v>
      </c>
      <c r="DR11" s="134">
        <v>0</v>
      </c>
      <c r="DS11" s="134">
        <v>40.287136000000054</v>
      </c>
      <c r="DT11" s="134">
        <v>9.7493759999999856</v>
      </c>
      <c r="DU11" s="134">
        <v>0.40332900000000316</v>
      </c>
      <c r="DV11" s="134">
        <v>0.21369899999999994</v>
      </c>
      <c r="DW11" s="134">
        <v>0</v>
      </c>
      <c r="DX11" s="134">
        <v>4.9048988750000007</v>
      </c>
      <c r="DY11" s="134">
        <v>0.31918798437500001</v>
      </c>
      <c r="DZ11" s="134">
        <v>2.2624959999999983</v>
      </c>
      <c r="EA11" s="134">
        <v>3.8450000000000901E-3</v>
      </c>
      <c r="EB11" s="134">
        <v>32.317087999999977</v>
      </c>
      <c r="EC11" s="134">
        <v>14.746240000000029</v>
      </c>
      <c r="ED11" s="134">
        <v>0.7955253750000002</v>
      </c>
      <c r="EE11" s="134">
        <v>27.728119500000037</v>
      </c>
      <c r="EF11" s="134">
        <v>280.12855699999739</v>
      </c>
      <c r="EG11" s="134">
        <v>0</v>
      </c>
      <c r="EH11" s="134">
        <v>11.696383999999968</v>
      </c>
      <c r="EI11" s="134">
        <v>17.724544000000147</v>
      </c>
      <c r="EJ11" s="134">
        <v>0.96947199999999611</v>
      </c>
      <c r="EK11" s="134">
        <v>0</v>
      </c>
      <c r="EL11" s="134">
        <v>56.4586240000001</v>
      </c>
      <c r="EM11" s="134">
        <v>72.42086399999971</v>
      </c>
      <c r="EN11" s="134">
        <v>61.642240000000136</v>
      </c>
      <c r="EO11" s="134">
        <v>3.0912000000057522E-2</v>
      </c>
      <c r="EP11" s="134">
        <v>0</v>
      </c>
      <c r="EQ11" s="134">
        <v>0</v>
      </c>
      <c r="ER11" s="134">
        <v>19.033065000000001</v>
      </c>
      <c r="ES11" s="134">
        <v>0</v>
      </c>
      <c r="ET11" s="134">
        <v>0</v>
      </c>
      <c r="EU11" s="134">
        <v>0</v>
      </c>
      <c r="EV11" s="134">
        <v>0</v>
      </c>
      <c r="EW11" s="134">
        <v>0</v>
      </c>
      <c r="EX11" s="134">
        <v>0</v>
      </c>
      <c r="EY11" s="134">
        <v>0</v>
      </c>
      <c r="EZ11" s="134">
        <v>0</v>
      </c>
      <c r="FA11" s="134">
        <v>0</v>
      </c>
      <c r="FB11" s="134">
        <v>0</v>
      </c>
      <c r="FC11" s="134">
        <v>0</v>
      </c>
      <c r="FD11" s="134">
        <v>0</v>
      </c>
      <c r="FE11" s="134">
        <v>0</v>
      </c>
      <c r="FF11" s="134">
        <v>0</v>
      </c>
      <c r="FG11" s="134">
        <v>0</v>
      </c>
      <c r="FH11" s="134">
        <v>0</v>
      </c>
      <c r="FI11" s="134">
        <v>0</v>
      </c>
      <c r="FJ11" s="134">
        <v>0</v>
      </c>
      <c r="FK11" s="134">
        <v>0</v>
      </c>
      <c r="FL11" s="134">
        <v>0</v>
      </c>
      <c r="FM11" s="134">
        <v>0</v>
      </c>
      <c r="FN11" s="134">
        <v>0</v>
      </c>
      <c r="FO11" s="134">
        <v>0</v>
      </c>
      <c r="FP11" s="134">
        <v>0</v>
      </c>
      <c r="FQ11" s="134">
        <v>0</v>
      </c>
      <c r="FR11" s="134">
        <v>0</v>
      </c>
      <c r="FS11" s="134">
        <v>0</v>
      </c>
      <c r="FT11" s="134">
        <v>0</v>
      </c>
      <c r="FU11" s="134">
        <v>0</v>
      </c>
      <c r="FV11" s="134">
        <v>0</v>
      </c>
      <c r="FW11" s="134">
        <v>0</v>
      </c>
      <c r="FX11" s="134">
        <v>0</v>
      </c>
      <c r="FY11" s="134">
        <v>0</v>
      </c>
      <c r="FZ11" s="134">
        <v>0</v>
      </c>
      <c r="GA11" s="134">
        <v>0</v>
      </c>
      <c r="GB11" s="134">
        <v>0</v>
      </c>
      <c r="GC11" s="134">
        <v>0</v>
      </c>
      <c r="GD11" s="134">
        <v>0</v>
      </c>
      <c r="GE11" s="134">
        <v>0</v>
      </c>
      <c r="GF11" s="134">
        <v>0</v>
      </c>
      <c r="GG11" s="134">
        <v>0</v>
      </c>
      <c r="GH11" s="134">
        <v>0</v>
      </c>
      <c r="GI11" s="134">
        <v>0</v>
      </c>
      <c r="GJ11" s="134">
        <v>0</v>
      </c>
      <c r="GK11" s="134">
        <v>0</v>
      </c>
      <c r="GL11" s="134">
        <v>0</v>
      </c>
      <c r="GM11" s="134">
        <v>0</v>
      </c>
      <c r="GN11" s="134">
        <v>0</v>
      </c>
      <c r="GO11" s="134">
        <v>0</v>
      </c>
      <c r="GP11" s="134">
        <v>0</v>
      </c>
      <c r="GQ11" s="134">
        <v>0</v>
      </c>
      <c r="GR11" s="134">
        <v>0</v>
      </c>
      <c r="GS11" s="134">
        <v>0</v>
      </c>
    </row>
    <row r="12" spans="1:201" ht="15.5" x14ac:dyDescent="0.25">
      <c r="A12" s="57" t="s">
        <v>78</v>
      </c>
      <c r="B12" s="134">
        <v>544.43287499999997</v>
      </c>
      <c r="C12" s="134">
        <v>155.41705000000005</v>
      </c>
      <c r="D12" s="134">
        <v>199.33437600000013</v>
      </c>
      <c r="E12" s="134">
        <v>129.22055499999999</v>
      </c>
      <c r="F12" s="134">
        <v>78.31487199999998</v>
      </c>
      <c r="G12" s="134">
        <v>17.17399799999999</v>
      </c>
      <c r="H12" s="134">
        <v>4.0273710000000005</v>
      </c>
      <c r="I12" s="134">
        <v>4.7435829999999983</v>
      </c>
      <c r="J12" s="134">
        <v>1.3901389999999996</v>
      </c>
      <c r="K12" s="134">
        <v>0.97925899999999988</v>
      </c>
      <c r="L12" s="134">
        <v>3.1092139999999988</v>
      </c>
      <c r="M12" s="134">
        <v>17.151282999999985</v>
      </c>
      <c r="N12" s="134">
        <v>110.47305100000005</v>
      </c>
      <c r="O12" s="134">
        <v>111.09342500000014</v>
      </c>
      <c r="P12" s="134">
        <v>7.6628319999999945</v>
      </c>
      <c r="Q12" s="134">
        <v>151.39635199999975</v>
      </c>
      <c r="R12" s="134">
        <v>194.7381759999989</v>
      </c>
      <c r="S12" s="134">
        <v>125.67705599999955</v>
      </c>
      <c r="T12" s="134">
        <v>76.027904000002309</v>
      </c>
      <c r="U12" s="134">
        <v>13.141823999999998</v>
      </c>
      <c r="V12" s="134">
        <v>3.7740539999999991</v>
      </c>
      <c r="W12" s="134">
        <v>1.6838770000000007</v>
      </c>
      <c r="X12" s="134">
        <v>1.9131800000000005</v>
      </c>
      <c r="Y12" s="134">
        <v>0</v>
      </c>
      <c r="Z12" s="134">
        <v>1.3473400000000011</v>
      </c>
      <c r="AA12" s="134">
        <v>3.0588079999999986</v>
      </c>
      <c r="AB12" s="134">
        <v>4.7117499999999986</v>
      </c>
      <c r="AC12" s="134">
        <v>3.5413060000000041</v>
      </c>
      <c r="AD12" s="134">
        <v>1.6591389999999997</v>
      </c>
      <c r="AE12" s="134">
        <v>2.9231884999999984</v>
      </c>
      <c r="AF12" s="134">
        <v>0</v>
      </c>
      <c r="AG12" s="134">
        <v>0.53561274999999975</v>
      </c>
      <c r="AH12" s="134">
        <v>51.397759999999998</v>
      </c>
      <c r="AI12" s="134">
        <v>0</v>
      </c>
      <c r="AJ12" s="134">
        <v>1.0602035000000003</v>
      </c>
      <c r="AK12" s="134">
        <v>0</v>
      </c>
      <c r="AL12" s="134">
        <v>8.6217362968749978</v>
      </c>
      <c r="AM12" s="134">
        <v>12.536623999999987</v>
      </c>
      <c r="AN12" s="134">
        <v>10.019431999999997</v>
      </c>
      <c r="AO12" s="134">
        <v>4.0864899999999995</v>
      </c>
      <c r="AP12" s="134">
        <v>2.4404579999999996</v>
      </c>
      <c r="AQ12" s="134">
        <v>8.3326520000000048</v>
      </c>
      <c r="AR12" s="134">
        <v>135.83023999999997</v>
      </c>
      <c r="AS12" s="134">
        <v>1.7098859999999991</v>
      </c>
      <c r="AT12" s="134">
        <v>0</v>
      </c>
      <c r="AU12" s="134">
        <v>1.4000920000000008</v>
      </c>
      <c r="AV12" s="134">
        <v>0.86065800000000003</v>
      </c>
      <c r="AW12" s="134">
        <v>48.029248000000052</v>
      </c>
      <c r="AX12" s="134">
        <v>0</v>
      </c>
      <c r="AY12" s="134">
        <v>2.3367729999999995</v>
      </c>
      <c r="AZ12" s="134">
        <v>1.2849999999975381E-4</v>
      </c>
      <c r="BA12" s="134">
        <v>0</v>
      </c>
      <c r="BB12" s="134">
        <v>0</v>
      </c>
      <c r="BC12" s="134">
        <v>0</v>
      </c>
      <c r="BD12" s="134">
        <v>0.1036623920288087</v>
      </c>
      <c r="BE12" s="134">
        <v>4.5285519999999968</v>
      </c>
      <c r="BF12" s="134">
        <v>0</v>
      </c>
      <c r="BG12" s="134">
        <v>0.47568799999999983</v>
      </c>
      <c r="BH12" s="134">
        <v>0.54119400000000084</v>
      </c>
      <c r="BI12" s="134">
        <v>67.333167999999944</v>
      </c>
      <c r="BJ12" s="134">
        <v>5.8973999999999187E-2</v>
      </c>
      <c r="BK12" s="134">
        <v>1.9954485000000002</v>
      </c>
      <c r="BL12" s="134">
        <v>2.3040000000023064E-3</v>
      </c>
      <c r="BM12" s="134">
        <v>44.662335999999982</v>
      </c>
      <c r="BN12" s="134">
        <v>0</v>
      </c>
      <c r="BO12" s="134">
        <v>8.3317330000000016</v>
      </c>
      <c r="BP12" s="134">
        <v>0</v>
      </c>
      <c r="BQ12" s="134">
        <v>0</v>
      </c>
      <c r="BR12" s="134">
        <v>0</v>
      </c>
      <c r="BS12" s="134">
        <v>0</v>
      </c>
      <c r="BT12" s="134">
        <v>5.2186679999999992</v>
      </c>
      <c r="BU12" s="134">
        <v>0</v>
      </c>
      <c r="BV12" s="134">
        <v>0</v>
      </c>
      <c r="BW12" s="134">
        <v>0</v>
      </c>
      <c r="BX12" s="134">
        <v>0</v>
      </c>
      <c r="BY12" s="134">
        <v>6.8399999999990701E-4</v>
      </c>
      <c r="BZ12" s="134">
        <v>20.076736000000022</v>
      </c>
      <c r="CA12" s="134">
        <v>6.7434576874999976</v>
      </c>
      <c r="CB12" s="134">
        <v>0</v>
      </c>
      <c r="CC12" s="134">
        <v>0</v>
      </c>
      <c r="CD12" s="134">
        <v>0</v>
      </c>
      <c r="CE12" s="134">
        <v>0</v>
      </c>
      <c r="CF12" s="134">
        <v>1.0956500000000009</v>
      </c>
      <c r="CG12" s="134">
        <v>0</v>
      </c>
      <c r="CH12" s="134">
        <v>0.19730624999999979</v>
      </c>
      <c r="CI12" s="134">
        <v>0</v>
      </c>
      <c r="CJ12" s="134">
        <v>0</v>
      </c>
      <c r="CK12" s="134">
        <v>0</v>
      </c>
      <c r="CL12" s="134">
        <v>2.1760660000000001</v>
      </c>
      <c r="CM12" s="134">
        <v>126.39935999999987</v>
      </c>
      <c r="CN12" s="134">
        <v>1.3730510000000002</v>
      </c>
      <c r="CO12" s="134">
        <v>18.860447999999998</v>
      </c>
      <c r="CP12" s="134">
        <v>0</v>
      </c>
      <c r="CQ12" s="134">
        <v>0</v>
      </c>
      <c r="CR12" s="134">
        <v>3.9197340000000005</v>
      </c>
      <c r="CS12" s="134">
        <v>0</v>
      </c>
      <c r="CT12" s="134">
        <v>3.9594960000000015</v>
      </c>
      <c r="CU12" s="134">
        <v>0</v>
      </c>
      <c r="CV12" s="134">
        <v>0.41698787500000012</v>
      </c>
      <c r="CW12" s="134">
        <v>1.0892920000000004</v>
      </c>
      <c r="CX12" s="134">
        <v>5.8000920000000011</v>
      </c>
      <c r="CY12" s="134">
        <v>0.43904499999999952</v>
      </c>
      <c r="CZ12" s="134">
        <v>0.59332200000000024</v>
      </c>
      <c r="DA12" s="134">
        <v>7.6017919999999988</v>
      </c>
      <c r="DB12" s="134">
        <v>3.1897739999999999</v>
      </c>
      <c r="DC12" s="134">
        <v>5.0983332499999934</v>
      </c>
      <c r="DD12" s="134">
        <v>0.83668543750000002</v>
      </c>
      <c r="DE12" s="134">
        <v>0</v>
      </c>
      <c r="DF12" s="134">
        <v>0</v>
      </c>
      <c r="DG12" s="134">
        <v>0.42970249999999938</v>
      </c>
      <c r="DH12" s="134">
        <v>0.41909800000000008</v>
      </c>
      <c r="DI12" s="134">
        <v>110.19871999999998</v>
      </c>
      <c r="DJ12" s="134">
        <v>0</v>
      </c>
      <c r="DK12" s="134">
        <v>1.7865940000000011</v>
      </c>
      <c r="DL12" s="134">
        <v>0.49615290039062454</v>
      </c>
      <c r="DM12" s="134">
        <v>0.95942900000000009</v>
      </c>
      <c r="DN12" s="134">
        <v>3.6614624999999998E-2</v>
      </c>
      <c r="DO12" s="134">
        <v>15.749728000000006</v>
      </c>
      <c r="DP12" s="134">
        <v>1.0302495000000007</v>
      </c>
      <c r="DQ12" s="134">
        <v>0</v>
      </c>
      <c r="DR12" s="134">
        <v>0</v>
      </c>
      <c r="DS12" s="134">
        <v>30.793696000000018</v>
      </c>
      <c r="DT12" s="134">
        <v>8.1405212812500007</v>
      </c>
      <c r="DU12" s="134">
        <v>0.33624500000000013</v>
      </c>
      <c r="DV12" s="134">
        <v>0.26302624999999985</v>
      </c>
      <c r="DW12" s="134">
        <v>0</v>
      </c>
      <c r="DX12" s="134">
        <v>4.1505515000000015</v>
      </c>
      <c r="DY12" s="134">
        <v>0.17340406250000004</v>
      </c>
      <c r="DZ12" s="134">
        <v>2.6648439999999982</v>
      </c>
      <c r="EA12" s="134">
        <v>0</v>
      </c>
      <c r="EB12" s="134">
        <v>28.787967999999982</v>
      </c>
      <c r="EC12" s="134">
        <v>14.077200000000003</v>
      </c>
      <c r="ED12" s="134">
        <v>0.66179400000000022</v>
      </c>
      <c r="EE12" s="134">
        <v>3.3271264999999999</v>
      </c>
      <c r="EF12" s="134">
        <v>321.06004800000034</v>
      </c>
      <c r="EG12" s="134">
        <v>0</v>
      </c>
      <c r="EH12" s="134">
        <v>13.465407999999909</v>
      </c>
      <c r="EI12" s="134">
        <v>18.896384000000015</v>
      </c>
      <c r="EJ12" s="134">
        <v>1.283456000000001</v>
      </c>
      <c r="EK12" s="134">
        <v>0</v>
      </c>
      <c r="EL12" s="134">
        <v>48.869375999999882</v>
      </c>
      <c r="EM12" s="134">
        <v>91.728128000000197</v>
      </c>
      <c r="EN12" s="134">
        <v>56.579584000000075</v>
      </c>
      <c r="EO12" s="134">
        <v>18.202432000000034</v>
      </c>
      <c r="EP12" s="134">
        <v>0</v>
      </c>
      <c r="EQ12" s="134">
        <v>0</v>
      </c>
      <c r="ER12" s="134">
        <v>72.327778000000023</v>
      </c>
      <c r="ES12" s="134">
        <v>20</v>
      </c>
      <c r="ET12" s="134">
        <v>0</v>
      </c>
      <c r="EU12" s="134">
        <v>0</v>
      </c>
      <c r="EV12" s="134">
        <v>0</v>
      </c>
      <c r="EW12" s="134">
        <v>0</v>
      </c>
      <c r="EX12" s="134">
        <v>0</v>
      </c>
      <c r="EY12" s="134">
        <v>0</v>
      </c>
      <c r="EZ12" s="134">
        <v>0</v>
      </c>
      <c r="FA12" s="134">
        <v>0</v>
      </c>
      <c r="FB12" s="134">
        <v>0</v>
      </c>
      <c r="FC12" s="134">
        <v>0</v>
      </c>
      <c r="FD12" s="134">
        <v>0</v>
      </c>
      <c r="FE12" s="134">
        <v>0</v>
      </c>
      <c r="FF12" s="134">
        <v>0</v>
      </c>
      <c r="FG12" s="134">
        <v>0</v>
      </c>
      <c r="FH12" s="134">
        <v>0</v>
      </c>
      <c r="FI12" s="134">
        <v>0</v>
      </c>
      <c r="FJ12" s="134">
        <v>0</v>
      </c>
      <c r="FK12" s="134">
        <v>0</v>
      </c>
      <c r="FL12" s="134">
        <v>0</v>
      </c>
      <c r="FM12" s="134">
        <v>0</v>
      </c>
      <c r="FN12" s="134">
        <v>0</v>
      </c>
      <c r="FO12" s="134">
        <v>0</v>
      </c>
      <c r="FP12" s="134">
        <v>0</v>
      </c>
      <c r="FQ12" s="134">
        <v>0</v>
      </c>
      <c r="FR12" s="134">
        <v>0</v>
      </c>
      <c r="FS12" s="134">
        <v>0</v>
      </c>
      <c r="FT12" s="134">
        <v>0</v>
      </c>
      <c r="FU12" s="134">
        <v>0</v>
      </c>
      <c r="FV12" s="134">
        <v>0</v>
      </c>
      <c r="FW12" s="134">
        <v>0</v>
      </c>
      <c r="FX12" s="134">
        <v>0</v>
      </c>
      <c r="FY12" s="134">
        <v>0</v>
      </c>
      <c r="FZ12" s="134">
        <v>0</v>
      </c>
      <c r="GA12" s="134">
        <v>0</v>
      </c>
      <c r="GB12" s="134">
        <v>0</v>
      </c>
      <c r="GC12" s="134">
        <v>0</v>
      </c>
      <c r="GD12" s="134">
        <v>0</v>
      </c>
      <c r="GE12" s="134">
        <v>0</v>
      </c>
      <c r="GF12" s="134">
        <v>0</v>
      </c>
      <c r="GG12" s="134">
        <v>0</v>
      </c>
      <c r="GH12" s="134">
        <v>0</v>
      </c>
      <c r="GI12" s="134">
        <v>0</v>
      </c>
      <c r="GJ12" s="134">
        <v>0</v>
      </c>
      <c r="GK12" s="134">
        <v>0</v>
      </c>
      <c r="GL12" s="134">
        <v>0</v>
      </c>
      <c r="GM12" s="134">
        <v>0</v>
      </c>
      <c r="GN12" s="134">
        <v>0</v>
      </c>
      <c r="GO12" s="134">
        <v>0</v>
      </c>
      <c r="GP12" s="134">
        <v>0</v>
      </c>
      <c r="GQ12" s="134">
        <v>0</v>
      </c>
      <c r="GR12" s="134">
        <v>0</v>
      </c>
      <c r="GS12" s="134">
        <v>0</v>
      </c>
    </row>
    <row r="13" spans="1:201" ht="15.5" x14ac:dyDescent="0.25">
      <c r="A13" s="57" t="s">
        <v>79</v>
      </c>
      <c r="B13" s="134"/>
      <c r="C13" s="134"/>
      <c r="D13" s="134"/>
      <c r="E13" s="134"/>
      <c r="F13" s="134"/>
      <c r="G13" s="134"/>
      <c r="H13" s="134"/>
      <c r="I13" s="134"/>
      <c r="J13" s="134"/>
      <c r="K13" s="134"/>
      <c r="L13" s="134"/>
      <c r="M13" s="134"/>
      <c r="N13" s="134"/>
      <c r="O13" s="134"/>
      <c r="P13" s="134"/>
      <c r="Q13" s="134"/>
      <c r="R13" s="134"/>
      <c r="S13" s="134"/>
      <c r="T13" s="134"/>
      <c r="U13" s="134"/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  <c r="AS13" s="134"/>
      <c r="AT13" s="134"/>
      <c r="AU13" s="134"/>
      <c r="AV13" s="134"/>
      <c r="AW13" s="134"/>
      <c r="AX13" s="134"/>
      <c r="AY13" s="134"/>
      <c r="AZ13" s="134"/>
      <c r="BA13" s="134"/>
      <c r="BB13" s="134"/>
      <c r="BC13" s="134"/>
      <c r="BD13" s="134"/>
      <c r="BE13" s="134"/>
      <c r="BF13" s="134"/>
      <c r="BG13" s="134"/>
      <c r="BH13" s="134"/>
      <c r="BI13" s="134"/>
      <c r="BJ13" s="134"/>
      <c r="BK13" s="134"/>
      <c r="BL13" s="134"/>
      <c r="BM13" s="134"/>
      <c r="BN13" s="134"/>
      <c r="BO13" s="134"/>
      <c r="BP13" s="134"/>
      <c r="BQ13" s="134"/>
      <c r="BR13" s="134"/>
      <c r="BS13" s="134"/>
      <c r="BT13" s="134"/>
      <c r="BU13" s="134"/>
      <c r="BV13" s="134"/>
      <c r="BW13" s="134"/>
      <c r="BX13" s="134"/>
      <c r="BY13" s="134"/>
      <c r="BZ13" s="134"/>
      <c r="CA13" s="134"/>
      <c r="CB13" s="134"/>
      <c r="CC13" s="134"/>
      <c r="CD13" s="134"/>
      <c r="CE13" s="134"/>
      <c r="CF13" s="134"/>
      <c r="CG13" s="134"/>
      <c r="CH13" s="134"/>
      <c r="CI13" s="134"/>
      <c r="CJ13" s="134"/>
      <c r="CK13" s="134"/>
      <c r="CL13" s="134"/>
      <c r="CM13" s="134"/>
      <c r="CN13" s="134"/>
      <c r="CO13" s="134"/>
      <c r="CP13" s="134"/>
      <c r="CQ13" s="134"/>
      <c r="CR13" s="134"/>
      <c r="CS13" s="134"/>
      <c r="CT13" s="134"/>
      <c r="CU13" s="134"/>
      <c r="CV13" s="134"/>
      <c r="CW13" s="134"/>
      <c r="CX13" s="134"/>
      <c r="CY13" s="134"/>
      <c r="CZ13" s="134"/>
      <c r="DA13" s="134"/>
      <c r="DB13" s="134"/>
      <c r="DC13" s="134"/>
      <c r="DD13" s="134"/>
      <c r="DE13" s="134"/>
      <c r="DF13" s="134"/>
      <c r="DG13" s="134"/>
      <c r="DH13" s="134"/>
      <c r="DI13" s="134"/>
      <c r="DJ13" s="134"/>
      <c r="DK13" s="134"/>
      <c r="DL13" s="134"/>
      <c r="DM13" s="134"/>
      <c r="DN13" s="134"/>
      <c r="DO13" s="134"/>
      <c r="DP13" s="134"/>
      <c r="DQ13" s="134"/>
      <c r="DR13" s="134"/>
      <c r="DS13" s="134"/>
      <c r="DT13" s="134"/>
      <c r="DU13" s="134"/>
      <c r="DV13" s="134"/>
      <c r="DW13" s="134"/>
      <c r="DX13" s="134"/>
      <c r="DY13" s="134"/>
      <c r="DZ13" s="134"/>
      <c r="EA13" s="134"/>
      <c r="EB13" s="134"/>
      <c r="EC13" s="134"/>
      <c r="ED13" s="134"/>
      <c r="EE13" s="134"/>
      <c r="EF13" s="134"/>
      <c r="EG13" s="134"/>
      <c r="EH13" s="134"/>
      <c r="EI13" s="134"/>
      <c r="EJ13" s="134"/>
      <c r="EK13" s="134"/>
      <c r="EL13" s="134"/>
      <c r="EM13" s="134"/>
      <c r="EN13" s="134"/>
      <c r="EO13" s="134"/>
      <c r="EP13" s="134"/>
      <c r="EQ13" s="134"/>
      <c r="ER13" s="134"/>
      <c r="ES13" s="134"/>
      <c r="ET13" s="134"/>
      <c r="EU13" s="134"/>
      <c r="EV13" s="134"/>
      <c r="EW13" s="134"/>
      <c r="EX13" s="134"/>
      <c r="EY13" s="134"/>
      <c r="EZ13" s="134"/>
      <c r="FA13" s="134"/>
      <c r="FB13" s="134"/>
      <c r="FC13" s="134"/>
      <c r="FD13" s="134"/>
      <c r="FE13" s="134"/>
      <c r="FF13" s="134"/>
      <c r="FG13" s="134"/>
      <c r="FH13" s="134"/>
      <c r="FI13" s="134"/>
      <c r="FJ13" s="134"/>
      <c r="FK13" s="134"/>
      <c r="FL13" s="134"/>
      <c r="FM13" s="134"/>
      <c r="FN13" s="134"/>
      <c r="FO13" s="134"/>
      <c r="FP13" s="134"/>
      <c r="FQ13" s="134"/>
      <c r="FR13" s="134"/>
      <c r="FS13" s="134"/>
      <c r="FT13" s="134"/>
      <c r="FU13" s="134"/>
      <c r="FV13" s="134"/>
      <c r="FW13" s="134"/>
      <c r="FX13" s="134"/>
      <c r="FY13" s="134"/>
      <c r="FZ13" s="134"/>
      <c r="GA13" s="134"/>
      <c r="GB13" s="134"/>
      <c r="GC13" s="134"/>
      <c r="GD13" s="134"/>
      <c r="GE13" s="134"/>
      <c r="GF13" s="134"/>
      <c r="GG13" s="134"/>
      <c r="GH13" s="134"/>
      <c r="GI13" s="134"/>
      <c r="GJ13" s="134"/>
      <c r="GK13" s="134"/>
      <c r="GL13" s="134"/>
      <c r="GM13" s="134"/>
      <c r="GN13" s="134"/>
      <c r="GO13" s="134"/>
      <c r="GP13" s="134"/>
      <c r="GQ13" s="134"/>
      <c r="GR13" s="134"/>
      <c r="GS13" s="134"/>
    </row>
    <row r="14" spans="1:201" ht="15.5" x14ac:dyDescent="0.25">
      <c r="A14" s="57" t="s">
        <v>80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  <c r="AS14" s="134"/>
      <c r="AT14" s="134"/>
      <c r="AU14" s="134"/>
      <c r="AV14" s="134"/>
      <c r="AW14" s="134"/>
      <c r="AX14" s="134"/>
      <c r="AY14" s="134"/>
      <c r="AZ14" s="134"/>
      <c r="BA14" s="134"/>
      <c r="BB14" s="134"/>
      <c r="BC14" s="134"/>
      <c r="BD14" s="134"/>
      <c r="BE14" s="134"/>
      <c r="BF14" s="134"/>
      <c r="BG14" s="134"/>
      <c r="BH14" s="134"/>
      <c r="BI14" s="134"/>
      <c r="BJ14" s="134"/>
      <c r="BK14" s="134"/>
      <c r="BL14" s="134"/>
      <c r="BM14" s="134"/>
      <c r="BN14" s="134"/>
      <c r="BO14" s="134"/>
      <c r="BP14" s="134"/>
      <c r="BQ14" s="134"/>
      <c r="BR14" s="134"/>
      <c r="BS14" s="134"/>
      <c r="BT14" s="134"/>
      <c r="BU14" s="134"/>
      <c r="BV14" s="134"/>
      <c r="BW14" s="134"/>
      <c r="BX14" s="134"/>
      <c r="BY14" s="134"/>
      <c r="BZ14" s="134"/>
      <c r="CA14" s="134"/>
      <c r="CB14" s="134"/>
      <c r="CC14" s="134"/>
      <c r="CD14" s="134"/>
      <c r="CE14" s="134"/>
      <c r="CF14" s="134"/>
      <c r="CG14" s="134"/>
      <c r="CH14" s="134"/>
      <c r="CI14" s="134"/>
      <c r="CJ14" s="134"/>
      <c r="CK14" s="134"/>
      <c r="CL14" s="134"/>
      <c r="CM14" s="134"/>
      <c r="CN14" s="134"/>
      <c r="CO14" s="134"/>
      <c r="CP14" s="134"/>
      <c r="CQ14" s="134"/>
      <c r="CR14" s="134"/>
      <c r="CS14" s="134"/>
      <c r="CT14" s="134"/>
      <c r="CU14" s="134"/>
      <c r="CV14" s="134"/>
      <c r="CW14" s="134"/>
      <c r="CX14" s="134"/>
      <c r="CY14" s="134"/>
      <c r="CZ14" s="134"/>
      <c r="DA14" s="134"/>
      <c r="DB14" s="134"/>
      <c r="DC14" s="134"/>
      <c r="DD14" s="134"/>
      <c r="DE14" s="134"/>
      <c r="DF14" s="134"/>
      <c r="DG14" s="134"/>
      <c r="DH14" s="134"/>
      <c r="DI14" s="134"/>
      <c r="DJ14" s="134"/>
      <c r="DK14" s="134"/>
      <c r="DL14" s="134"/>
      <c r="DM14" s="134"/>
      <c r="DN14" s="134"/>
      <c r="DO14" s="134"/>
      <c r="DP14" s="134"/>
      <c r="DQ14" s="134"/>
      <c r="DR14" s="134"/>
      <c r="DS14" s="134"/>
      <c r="DT14" s="134"/>
      <c r="DU14" s="134"/>
      <c r="DV14" s="134"/>
      <c r="DW14" s="134"/>
      <c r="DX14" s="134"/>
      <c r="DY14" s="134"/>
      <c r="DZ14" s="134"/>
      <c r="EA14" s="134"/>
      <c r="EB14" s="134"/>
      <c r="EC14" s="134"/>
      <c r="ED14" s="134"/>
      <c r="EE14" s="134"/>
      <c r="EF14" s="134"/>
      <c r="EG14" s="134"/>
      <c r="EH14" s="134"/>
      <c r="EI14" s="134"/>
      <c r="EJ14" s="134"/>
      <c r="EK14" s="134"/>
      <c r="EL14" s="134"/>
      <c r="EM14" s="134"/>
      <c r="EN14" s="134"/>
      <c r="EO14" s="134"/>
      <c r="EP14" s="134"/>
      <c r="EQ14" s="134"/>
      <c r="ER14" s="134"/>
      <c r="ES14" s="134"/>
      <c r="ET14" s="134"/>
      <c r="EU14" s="134"/>
      <c r="EV14" s="134"/>
      <c r="EW14" s="134"/>
      <c r="EX14" s="134"/>
      <c r="EY14" s="134"/>
      <c r="EZ14" s="134"/>
      <c r="FA14" s="134"/>
      <c r="FB14" s="134"/>
      <c r="FC14" s="134"/>
      <c r="FD14" s="134"/>
      <c r="FE14" s="134"/>
      <c r="FF14" s="134"/>
      <c r="FG14" s="134"/>
      <c r="FH14" s="134"/>
      <c r="FI14" s="134"/>
      <c r="FJ14" s="134"/>
      <c r="FK14" s="134"/>
      <c r="FL14" s="134"/>
      <c r="FM14" s="134"/>
      <c r="FN14" s="134"/>
      <c r="FO14" s="134"/>
      <c r="FP14" s="134"/>
      <c r="FQ14" s="134"/>
      <c r="FR14" s="134"/>
      <c r="FS14" s="134"/>
      <c r="FT14" s="134"/>
      <c r="FU14" s="134"/>
      <c r="FV14" s="134"/>
      <c r="FW14" s="134"/>
      <c r="FX14" s="134"/>
      <c r="FY14" s="134"/>
      <c r="FZ14" s="134"/>
      <c r="GA14" s="134"/>
      <c r="GB14" s="134"/>
      <c r="GC14" s="134"/>
      <c r="GD14" s="134"/>
      <c r="GE14" s="134"/>
      <c r="GF14" s="134"/>
      <c r="GG14" s="134"/>
      <c r="GH14" s="134"/>
      <c r="GI14" s="134"/>
      <c r="GJ14" s="134"/>
      <c r="GK14" s="134"/>
      <c r="GL14" s="134"/>
      <c r="GM14" s="134"/>
      <c r="GN14" s="134"/>
      <c r="GO14" s="134"/>
      <c r="GP14" s="134"/>
      <c r="GQ14" s="134"/>
      <c r="GR14" s="134"/>
      <c r="GS14" s="134"/>
    </row>
    <row r="15" spans="1:201" ht="15.5" x14ac:dyDescent="0.25">
      <c r="A15" s="57" t="s">
        <v>81</v>
      </c>
      <c r="B15" s="134"/>
      <c r="C15" s="134"/>
      <c r="D15" s="134"/>
      <c r="E15" s="134"/>
      <c r="F15" s="134"/>
      <c r="G15" s="134"/>
      <c r="H15" s="134"/>
      <c r="I15" s="134"/>
      <c r="J15" s="134"/>
      <c r="K15" s="134"/>
      <c r="L15" s="134"/>
      <c r="M15" s="134"/>
      <c r="N15" s="134"/>
      <c r="O15" s="134"/>
      <c r="P15" s="134"/>
      <c r="Q15" s="134"/>
      <c r="R15" s="134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  <c r="AS15" s="134"/>
      <c r="AT15" s="134"/>
      <c r="AU15" s="134"/>
      <c r="AV15" s="134"/>
      <c r="AW15" s="134"/>
      <c r="AX15" s="134"/>
      <c r="AY15" s="134"/>
      <c r="AZ15" s="134"/>
      <c r="BA15" s="134"/>
      <c r="BB15" s="134"/>
      <c r="BC15" s="134"/>
      <c r="BD15" s="134"/>
      <c r="BE15" s="134"/>
      <c r="BF15" s="134"/>
      <c r="BG15" s="134"/>
      <c r="BH15" s="134"/>
      <c r="BI15" s="134"/>
      <c r="BJ15" s="134"/>
      <c r="BK15" s="134"/>
      <c r="BL15" s="134"/>
      <c r="BM15" s="134"/>
      <c r="BN15" s="134"/>
      <c r="BO15" s="134"/>
      <c r="BP15" s="134"/>
      <c r="BQ15" s="134"/>
      <c r="BR15" s="134"/>
      <c r="BS15" s="134"/>
      <c r="BT15" s="134"/>
      <c r="BU15" s="134"/>
      <c r="BV15" s="134"/>
      <c r="BW15" s="134"/>
      <c r="BX15" s="134"/>
      <c r="BY15" s="134"/>
      <c r="BZ15" s="134"/>
      <c r="CA15" s="134"/>
      <c r="CB15" s="134"/>
      <c r="CC15" s="134"/>
      <c r="CD15" s="134"/>
      <c r="CE15" s="134"/>
      <c r="CF15" s="134"/>
      <c r="CG15" s="134"/>
      <c r="CH15" s="134"/>
      <c r="CI15" s="134"/>
      <c r="CJ15" s="134"/>
      <c r="CK15" s="134"/>
      <c r="CL15" s="134"/>
      <c r="CM15" s="134"/>
      <c r="CN15" s="134"/>
      <c r="CO15" s="134"/>
      <c r="CP15" s="134"/>
      <c r="CQ15" s="134"/>
      <c r="CR15" s="134"/>
      <c r="CS15" s="134"/>
      <c r="CT15" s="134"/>
      <c r="CU15" s="134"/>
      <c r="CV15" s="134"/>
      <c r="CW15" s="134"/>
      <c r="CX15" s="134"/>
      <c r="CY15" s="134"/>
      <c r="CZ15" s="134"/>
      <c r="DA15" s="134"/>
      <c r="DB15" s="134"/>
      <c r="DC15" s="134"/>
      <c r="DD15" s="134"/>
      <c r="DE15" s="134"/>
      <c r="DF15" s="134"/>
      <c r="DG15" s="134"/>
      <c r="DH15" s="134"/>
      <c r="DI15" s="134"/>
      <c r="DJ15" s="134"/>
      <c r="DK15" s="134"/>
      <c r="DL15" s="134"/>
      <c r="DM15" s="134"/>
      <c r="DN15" s="134"/>
      <c r="DO15" s="134"/>
      <c r="DP15" s="134"/>
      <c r="DQ15" s="134"/>
      <c r="DR15" s="134"/>
      <c r="DS15" s="134"/>
      <c r="DT15" s="134"/>
      <c r="DU15" s="134"/>
      <c r="DV15" s="134"/>
      <c r="DW15" s="134"/>
      <c r="DX15" s="134"/>
      <c r="DY15" s="134"/>
      <c r="DZ15" s="134"/>
      <c r="EA15" s="134"/>
      <c r="EB15" s="134"/>
      <c r="EC15" s="134"/>
      <c r="ED15" s="134"/>
      <c r="EE15" s="134"/>
      <c r="EF15" s="134"/>
      <c r="EG15" s="134"/>
      <c r="EH15" s="134"/>
      <c r="EI15" s="134"/>
      <c r="EJ15" s="134"/>
      <c r="EK15" s="134"/>
      <c r="EL15" s="134"/>
      <c r="EM15" s="134"/>
      <c r="EN15" s="134"/>
      <c r="EO15" s="134"/>
      <c r="EP15" s="134"/>
      <c r="EQ15" s="134"/>
      <c r="ER15" s="134"/>
      <c r="ES15" s="134"/>
      <c r="ET15" s="134"/>
      <c r="EU15" s="134"/>
      <c r="EV15" s="134"/>
      <c r="EW15" s="134"/>
      <c r="EX15" s="134"/>
      <c r="EY15" s="134"/>
      <c r="EZ15" s="134"/>
      <c r="FA15" s="134"/>
      <c r="FB15" s="134"/>
      <c r="FC15" s="134"/>
      <c r="FD15" s="134"/>
      <c r="FE15" s="134"/>
      <c r="FF15" s="134"/>
      <c r="FG15" s="134"/>
      <c r="FH15" s="134"/>
      <c r="FI15" s="134"/>
      <c r="FJ15" s="134"/>
      <c r="FK15" s="134"/>
      <c r="FL15" s="134"/>
      <c r="FM15" s="134"/>
      <c r="FN15" s="134"/>
      <c r="FO15" s="134"/>
      <c r="FP15" s="134"/>
      <c r="FQ15" s="134"/>
      <c r="FR15" s="134"/>
      <c r="FS15" s="134"/>
      <c r="FT15" s="134"/>
      <c r="FU15" s="134"/>
      <c r="FV15" s="134"/>
      <c r="FW15" s="134"/>
      <c r="FX15" s="134"/>
      <c r="FY15" s="134"/>
      <c r="FZ15" s="134"/>
      <c r="GA15" s="134"/>
      <c r="GB15" s="134"/>
      <c r="GC15" s="134"/>
      <c r="GD15" s="134"/>
      <c r="GE15" s="134"/>
      <c r="GF15" s="134"/>
      <c r="GG15" s="134"/>
      <c r="GH15" s="134"/>
      <c r="GI15" s="134"/>
      <c r="GJ15" s="134"/>
      <c r="GK15" s="134"/>
      <c r="GL15" s="134"/>
      <c r="GM15" s="134"/>
      <c r="GN15" s="134"/>
      <c r="GO15" s="134"/>
      <c r="GP15" s="134"/>
      <c r="GQ15" s="134"/>
      <c r="GR15" s="134"/>
      <c r="GS15" s="134"/>
    </row>
    <row r="16" spans="1:201" ht="15.5" x14ac:dyDescent="0.25">
      <c r="A16" s="57" t="s">
        <v>82</v>
      </c>
      <c r="B16" s="134"/>
      <c r="C16" s="134"/>
      <c r="D16" s="134"/>
      <c r="E16" s="134"/>
      <c r="F16" s="134"/>
      <c r="G16" s="134"/>
      <c r="H16" s="134"/>
      <c r="I16" s="134"/>
      <c r="J16" s="134"/>
      <c r="K16" s="134"/>
      <c r="L16" s="134"/>
      <c r="M16" s="134"/>
      <c r="N16" s="134"/>
      <c r="O16" s="134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  <c r="AS16" s="134"/>
      <c r="AT16" s="134"/>
      <c r="AU16" s="134"/>
      <c r="AV16" s="134"/>
      <c r="AW16" s="134"/>
      <c r="AX16" s="134"/>
      <c r="AY16" s="134"/>
      <c r="AZ16" s="134"/>
      <c r="BA16" s="134"/>
      <c r="BB16" s="134"/>
      <c r="BC16" s="134"/>
      <c r="BD16" s="134"/>
      <c r="BE16" s="134"/>
      <c r="BF16" s="134"/>
      <c r="BG16" s="134"/>
      <c r="BH16" s="134"/>
      <c r="BI16" s="134"/>
      <c r="BJ16" s="134"/>
      <c r="BK16" s="134"/>
      <c r="BL16" s="134"/>
      <c r="BM16" s="134"/>
      <c r="BN16" s="134"/>
      <c r="BO16" s="134"/>
      <c r="BP16" s="134"/>
      <c r="BQ16" s="134"/>
      <c r="BR16" s="134"/>
      <c r="BS16" s="134"/>
      <c r="BT16" s="134"/>
      <c r="BU16" s="134"/>
      <c r="BV16" s="134"/>
      <c r="BW16" s="134"/>
      <c r="BX16" s="134"/>
      <c r="BY16" s="134"/>
      <c r="BZ16" s="134"/>
      <c r="CA16" s="134"/>
      <c r="CB16" s="134"/>
      <c r="CC16" s="134"/>
      <c r="CD16" s="134"/>
      <c r="CE16" s="134"/>
      <c r="CF16" s="134"/>
      <c r="CG16" s="134"/>
      <c r="CH16" s="134"/>
      <c r="CI16" s="134"/>
      <c r="CJ16" s="134"/>
      <c r="CK16" s="134"/>
      <c r="CL16" s="134"/>
      <c r="CM16" s="134"/>
      <c r="CN16" s="134"/>
      <c r="CO16" s="134"/>
      <c r="CP16" s="134"/>
      <c r="CQ16" s="134"/>
      <c r="CR16" s="134"/>
      <c r="CS16" s="134"/>
      <c r="CT16" s="134"/>
      <c r="CU16" s="134"/>
      <c r="CV16" s="134"/>
      <c r="CW16" s="134"/>
      <c r="CX16" s="134"/>
      <c r="CY16" s="134"/>
      <c r="CZ16" s="134"/>
      <c r="DA16" s="134"/>
      <c r="DB16" s="134"/>
      <c r="DC16" s="134"/>
      <c r="DD16" s="134"/>
      <c r="DE16" s="134"/>
      <c r="DF16" s="134"/>
      <c r="DG16" s="134"/>
      <c r="DH16" s="134"/>
      <c r="DI16" s="134"/>
      <c r="DJ16" s="134"/>
      <c r="DK16" s="134"/>
      <c r="DL16" s="134"/>
      <c r="DM16" s="134"/>
      <c r="DN16" s="134"/>
      <c r="DO16" s="134"/>
      <c r="DP16" s="134"/>
      <c r="DQ16" s="134"/>
      <c r="DR16" s="134"/>
      <c r="DS16" s="134"/>
      <c r="DT16" s="134"/>
      <c r="DU16" s="134"/>
      <c r="DV16" s="134"/>
      <c r="DW16" s="134"/>
      <c r="DX16" s="134"/>
      <c r="DY16" s="134"/>
      <c r="DZ16" s="134"/>
      <c r="EA16" s="134"/>
      <c r="EB16" s="134"/>
      <c r="EC16" s="134"/>
      <c r="ED16" s="134"/>
      <c r="EE16" s="134"/>
      <c r="EF16" s="134"/>
      <c r="EG16" s="134"/>
      <c r="EH16" s="134"/>
      <c r="EI16" s="134"/>
      <c r="EJ16" s="134"/>
      <c r="EK16" s="134"/>
      <c r="EL16" s="134"/>
      <c r="EM16" s="134"/>
      <c r="EN16" s="134"/>
      <c r="EO16" s="134"/>
      <c r="EP16" s="134"/>
      <c r="EQ16" s="134"/>
      <c r="ER16" s="134"/>
      <c r="ES16" s="134"/>
      <c r="ET16" s="134"/>
      <c r="EU16" s="134"/>
      <c r="EV16" s="134"/>
      <c r="EW16" s="134"/>
      <c r="EX16" s="134"/>
      <c r="EY16" s="134"/>
      <c r="EZ16" s="134"/>
      <c r="FA16" s="134"/>
      <c r="FB16" s="134"/>
      <c r="FC16" s="134"/>
      <c r="FD16" s="134"/>
      <c r="FE16" s="134"/>
      <c r="FF16" s="134"/>
      <c r="FG16" s="134"/>
      <c r="FH16" s="134"/>
      <c r="FI16" s="134"/>
      <c r="FJ16" s="134"/>
      <c r="FK16" s="134"/>
      <c r="FL16" s="134"/>
      <c r="FM16" s="134"/>
      <c r="FN16" s="134"/>
      <c r="FO16" s="134"/>
      <c r="FP16" s="134"/>
      <c r="FQ16" s="134"/>
      <c r="FR16" s="134"/>
      <c r="FS16" s="134"/>
      <c r="FT16" s="134"/>
      <c r="FU16" s="134"/>
      <c r="FV16" s="134"/>
      <c r="FW16" s="134"/>
      <c r="FX16" s="134"/>
      <c r="FY16" s="134"/>
      <c r="FZ16" s="134"/>
      <c r="GA16" s="134"/>
      <c r="GB16" s="134"/>
      <c r="GC16" s="134"/>
      <c r="GD16" s="134"/>
      <c r="GE16" s="134"/>
      <c r="GF16" s="134"/>
      <c r="GG16" s="134"/>
      <c r="GH16" s="134"/>
      <c r="GI16" s="134"/>
      <c r="GJ16" s="134"/>
      <c r="GK16" s="134"/>
      <c r="GL16" s="134"/>
      <c r="GM16" s="134"/>
      <c r="GN16" s="134"/>
      <c r="GO16" s="134"/>
      <c r="GP16" s="134"/>
      <c r="GQ16" s="134"/>
      <c r="GR16" s="134"/>
      <c r="GS16" s="134"/>
    </row>
    <row r="17" spans="1:201" ht="15.5" x14ac:dyDescent="0.25">
      <c r="A17" s="57" t="s">
        <v>83</v>
      </c>
      <c r="B17" s="134"/>
      <c r="C17" s="134"/>
      <c r="D17" s="134"/>
      <c r="E17" s="134"/>
      <c r="F17" s="134"/>
      <c r="G17" s="134"/>
      <c r="H17" s="134"/>
      <c r="I17" s="134"/>
      <c r="J17" s="134"/>
      <c r="K17" s="134"/>
      <c r="L17" s="134"/>
      <c r="M17" s="134"/>
      <c r="N17" s="134"/>
      <c r="O17" s="134"/>
      <c r="P17" s="134"/>
      <c r="Q17" s="134"/>
      <c r="R17" s="134"/>
      <c r="S17" s="134"/>
      <c r="T17" s="134"/>
      <c r="U17" s="134"/>
      <c r="V17" s="134"/>
      <c r="W17" s="134"/>
      <c r="X17" s="134"/>
      <c r="Y17" s="134"/>
      <c r="Z17" s="134"/>
      <c r="AA17" s="134"/>
      <c r="AB17" s="134"/>
      <c r="AC17" s="134"/>
      <c r="AD17" s="134"/>
      <c r="AE17" s="134"/>
      <c r="AF17" s="134"/>
      <c r="AG17" s="134"/>
      <c r="AH17" s="134"/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  <c r="AS17" s="134"/>
      <c r="AT17" s="134"/>
      <c r="AU17" s="134"/>
      <c r="AV17" s="134"/>
      <c r="AW17" s="134"/>
      <c r="AX17" s="134"/>
      <c r="AY17" s="134"/>
      <c r="AZ17" s="134"/>
      <c r="BA17" s="134"/>
      <c r="BB17" s="134"/>
      <c r="BC17" s="134"/>
      <c r="BD17" s="134"/>
      <c r="BE17" s="134"/>
      <c r="BF17" s="134"/>
      <c r="BG17" s="134"/>
      <c r="BH17" s="134"/>
      <c r="BI17" s="134"/>
      <c r="BJ17" s="134"/>
      <c r="BK17" s="134"/>
      <c r="BL17" s="134"/>
      <c r="BM17" s="134"/>
      <c r="BN17" s="134"/>
      <c r="BO17" s="134"/>
      <c r="BP17" s="134"/>
      <c r="BQ17" s="134"/>
      <c r="BR17" s="134"/>
      <c r="BS17" s="134"/>
      <c r="BT17" s="134"/>
      <c r="BU17" s="134"/>
      <c r="BV17" s="134"/>
      <c r="BW17" s="134"/>
      <c r="BX17" s="134"/>
      <c r="BY17" s="134"/>
      <c r="BZ17" s="134"/>
      <c r="CA17" s="134"/>
      <c r="CB17" s="134"/>
      <c r="CC17" s="134"/>
      <c r="CD17" s="134"/>
      <c r="CE17" s="134"/>
      <c r="CF17" s="134"/>
      <c r="CG17" s="134"/>
      <c r="CH17" s="134"/>
      <c r="CI17" s="134"/>
      <c r="CJ17" s="134"/>
      <c r="CK17" s="134"/>
      <c r="CL17" s="134"/>
      <c r="CM17" s="134"/>
      <c r="CN17" s="134"/>
      <c r="CO17" s="134"/>
      <c r="CP17" s="134"/>
      <c r="CQ17" s="134"/>
      <c r="CR17" s="134"/>
      <c r="CS17" s="134"/>
      <c r="CT17" s="134"/>
      <c r="CU17" s="134"/>
      <c r="CV17" s="134"/>
      <c r="CW17" s="134"/>
      <c r="CX17" s="134"/>
      <c r="CY17" s="134"/>
      <c r="CZ17" s="134"/>
      <c r="DA17" s="134"/>
      <c r="DB17" s="134"/>
      <c r="DC17" s="134"/>
      <c r="DD17" s="134"/>
      <c r="DE17" s="134"/>
      <c r="DF17" s="134"/>
      <c r="DG17" s="134"/>
      <c r="DH17" s="134"/>
      <c r="DI17" s="134"/>
      <c r="DJ17" s="134"/>
      <c r="DK17" s="134"/>
      <c r="DL17" s="134"/>
      <c r="DM17" s="134"/>
      <c r="DN17" s="134"/>
      <c r="DO17" s="134"/>
      <c r="DP17" s="134"/>
      <c r="DQ17" s="134"/>
      <c r="DR17" s="134"/>
      <c r="DS17" s="134"/>
      <c r="DT17" s="134"/>
      <c r="DU17" s="134"/>
      <c r="DV17" s="134"/>
      <c r="DW17" s="134"/>
      <c r="DX17" s="134"/>
      <c r="DY17" s="134"/>
      <c r="DZ17" s="134"/>
      <c r="EA17" s="134"/>
      <c r="EB17" s="134"/>
      <c r="EC17" s="134"/>
      <c r="ED17" s="134"/>
      <c r="EE17" s="134"/>
      <c r="EF17" s="134"/>
      <c r="EG17" s="134"/>
      <c r="EH17" s="134"/>
      <c r="EI17" s="134"/>
      <c r="EJ17" s="134"/>
      <c r="EK17" s="134"/>
      <c r="EL17" s="134"/>
      <c r="EM17" s="134"/>
      <c r="EN17" s="134"/>
      <c r="EO17" s="134"/>
      <c r="EP17" s="134"/>
      <c r="EQ17" s="134"/>
      <c r="ER17" s="134"/>
      <c r="ES17" s="134"/>
      <c r="ET17" s="134"/>
      <c r="EU17" s="134"/>
      <c r="EV17" s="134"/>
      <c r="EW17" s="134"/>
      <c r="EX17" s="134"/>
      <c r="EY17" s="134"/>
      <c r="EZ17" s="134"/>
      <c r="FA17" s="134"/>
      <c r="FB17" s="134"/>
      <c r="FC17" s="134"/>
      <c r="FD17" s="134"/>
      <c r="FE17" s="134"/>
      <c r="FF17" s="134"/>
      <c r="FG17" s="134"/>
      <c r="FH17" s="134"/>
      <c r="FI17" s="134"/>
      <c r="FJ17" s="134"/>
      <c r="FK17" s="134"/>
      <c r="FL17" s="134"/>
      <c r="FM17" s="134"/>
      <c r="FN17" s="134"/>
      <c r="FO17" s="134"/>
      <c r="FP17" s="134"/>
      <c r="FQ17" s="134"/>
      <c r="FR17" s="134"/>
      <c r="FS17" s="134"/>
      <c r="FT17" s="134"/>
      <c r="FU17" s="134"/>
      <c r="FV17" s="134"/>
      <c r="FW17" s="134"/>
      <c r="FX17" s="134"/>
      <c r="FY17" s="134"/>
      <c r="FZ17" s="134"/>
      <c r="GA17" s="134"/>
      <c r="GB17" s="134"/>
      <c r="GC17" s="134"/>
      <c r="GD17" s="134"/>
      <c r="GE17" s="134"/>
      <c r="GF17" s="134"/>
      <c r="GG17" s="134"/>
      <c r="GH17" s="134"/>
      <c r="GI17" s="134"/>
      <c r="GJ17" s="134"/>
      <c r="GK17" s="134"/>
      <c r="GL17" s="134"/>
      <c r="GM17" s="134"/>
      <c r="GN17" s="134"/>
      <c r="GO17" s="134"/>
      <c r="GP17" s="134"/>
      <c r="GQ17" s="134"/>
      <c r="GR17" s="134"/>
      <c r="GS17" s="134"/>
    </row>
    <row r="18" spans="1:201" ht="15.5" x14ac:dyDescent="0.25">
      <c r="A18" s="57" t="s">
        <v>84</v>
      </c>
      <c r="B18" s="134"/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  <c r="AS18" s="134"/>
      <c r="AT18" s="134"/>
      <c r="AU18" s="134"/>
      <c r="AV18" s="134"/>
      <c r="AW18" s="134"/>
      <c r="AX18" s="134"/>
      <c r="AY18" s="134"/>
      <c r="AZ18" s="134"/>
      <c r="BA18" s="134"/>
      <c r="BB18" s="134"/>
      <c r="BC18" s="134"/>
      <c r="BD18" s="134"/>
      <c r="BE18" s="134"/>
      <c r="BF18" s="134"/>
      <c r="BG18" s="134"/>
      <c r="BH18" s="134"/>
      <c r="BI18" s="134"/>
      <c r="BJ18" s="134"/>
      <c r="BK18" s="134"/>
      <c r="BL18" s="134"/>
      <c r="BM18" s="134"/>
      <c r="BN18" s="134"/>
      <c r="BO18" s="134"/>
      <c r="BP18" s="134"/>
      <c r="BQ18" s="134"/>
      <c r="BR18" s="134"/>
      <c r="BS18" s="134"/>
      <c r="BT18" s="134"/>
      <c r="BU18" s="134"/>
      <c r="BV18" s="134"/>
      <c r="BW18" s="134"/>
      <c r="BX18" s="134"/>
      <c r="BY18" s="134"/>
      <c r="BZ18" s="134"/>
      <c r="CA18" s="134"/>
      <c r="CB18" s="134"/>
      <c r="CC18" s="134"/>
      <c r="CD18" s="134"/>
      <c r="CE18" s="134"/>
      <c r="CF18" s="134"/>
      <c r="CG18" s="134"/>
      <c r="CH18" s="134"/>
      <c r="CI18" s="134"/>
      <c r="CJ18" s="134"/>
      <c r="CK18" s="134"/>
      <c r="CL18" s="134"/>
      <c r="CM18" s="134"/>
      <c r="CN18" s="134"/>
      <c r="CO18" s="134"/>
      <c r="CP18" s="134"/>
      <c r="CQ18" s="134"/>
      <c r="CR18" s="134"/>
      <c r="CS18" s="134"/>
      <c r="CT18" s="134"/>
      <c r="CU18" s="134"/>
      <c r="CV18" s="134"/>
      <c r="CW18" s="134"/>
      <c r="CX18" s="134"/>
      <c r="CY18" s="134"/>
      <c r="CZ18" s="134"/>
      <c r="DA18" s="134"/>
      <c r="DB18" s="134"/>
      <c r="DC18" s="134"/>
      <c r="DD18" s="134"/>
      <c r="DE18" s="134"/>
      <c r="DF18" s="134"/>
      <c r="DG18" s="134"/>
      <c r="DH18" s="134"/>
      <c r="DI18" s="134"/>
      <c r="DJ18" s="134"/>
      <c r="DK18" s="134"/>
      <c r="DL18" s="134"/>
      <c r="DM18" s="134"/>
      <c r="DN18" s="134"/>
      <c r="DO18" s="134"/>
      <c r="DP18" s="134"/>
      <c r="DQ18" s="134"/>
      <c r="DR18" s="134"/>
      <c r="DS18" s="134"/>
      <c r="DT18" s="134"/>
      <c r="DU18" s="134"/>
      <c r="DV18" s="134"/>
      <c r="DW18" s="134"/>
      <c r="DX18" s="134"/>
      <c r="DY18" s="134"/>
      <c r="DZ18" s="134"/>
      <c r="EA18" s="134"/>
      <c r="EB18" s="134"/>
      <c r="EC18" s="134"/>
      <c r="ED18" s="134"/>
      <c r="EE18" s="134"/>
      <c r="EF18" s="134"/>
      <c r="EG18" s="134"/>
      <c r="EH18" s="134"/>
      <c r="EI18" s="134"/>
      <c r="EJ18" s="134"/>
      <c r="EK18" s="134"/>
      <c r="EL18" s="134"/>
      <c r="EM18" s="134"/>
      <c r="EN18" s="134"/>
      <c r="EO18" s="134"/>
      <c r="EP18" s="134"/>
      <c r="EQ18" s="134"/>
      <c r="ER18" s="134"/>
      <c r="ES18" s="134"/>
      <c r="ET18" s="134"/>
      <c r="EU18" s="134"/>
      <c r="EV18" s="134"/>
      <c r="EW18" s="134"/>
      <c r="EX18" s="134"/>
      <c r="EY18" s="134"/>
      <c r="EZ18" s="134"/>
      <c r="FA18" s="134"/>
      <c r="FB18" s="134"/>
      <c r="FC18" s="134"/>
      <c r="FD18" s="134"/>
      <c r="FE18" s="134"/>
      <c r="FF18" s="134"/>
      <c r="FG18" s="134"/>
      <c r="FH18" s="134"/>
      <c r="FI18" s="134"/>
      <c r="FJ18" s="134"/>
      <c r="FK18" s="134"/>
      <c r="FL18" s="134"/>
      <c r="FM18" s="134"/>
      <c r="FN18" s="134"/>
      <c r="FO18" s="134"/>
      <c r="FP18" s="134"/>
      <c r="FQ18" s="134"/>
      <c r="FR18" s="134"/>
      <c r="FS18" s="134"/>
      <c r="FT18" s="134"/>
      <c r="FU18" s="134"/>
      <c r="FV18" s="134"/>
      <c r="FW18" s="134"/>
      <c r="FX18" s="134"/>
      <c r="FY18" s="134"/>
      <c r="FZ18" s="134"/>
      <c r="GA18" s="134"/>
      <c r="GB18" s="134"/>
      <c r="GC18" s="134"/>
      <c r="GD18" s="134"/>
      <c r="GE18" s="134"/>
      <c r="GF18" s="134"/>
      <c r="GG18" s="134"/>
      <c r="GH18" s="134"/>
      <c r="GI18" s="134"/>
      <c r="GJ18" s="134"/>
      <c r="GK18" s="134"/>
      <c r="GL18" s="134"/>
      <c r="GM18" s="134"/>
      <c r="GN18" s="134"/>
      <c r="GO18" s="134"/>
      <c r="GP18" s="134"/>
      <c r="GQ18" s="134"/>
      <c r="GR18" s="134"/>
      <c r="GS18" s="134"/>
    </row>
    <row r="19" spans="1:201" x14ac:dyDescent="0.25">
      <c r="B19" s="134"/>
      <c r="C19" s="134"/>
      <c r="D19" s="134"/>
      <c r="E19" s="134"/>
      <c r="F19" s="134"/>
      <c r="G19" s="134"/>
      <c r="H19" s="134"/>
      <c r="I19" s="134"/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  <c r="AS19" s="134"/>
      <c r="AT19" s="134"/>
      <c r="AU19" s="134"/>
      <c r="AV19" s="134"/>
      <c r="AW19" s="134"/>
      <c r="AX19" s="134"/>
      <c r="AY19" s="134"/>
      <c r="AZ19" s="134"/>
      <c r="BA19" s="134"/>
      <c r="BB19" s="134"/>
      <c r="BC19" s="134"/>
      <c r="BD19" s="134"/>
      <c r="BE19" s="134"/>
      <c r="BF19" s="134"/>
      <c r="BG19" s="134"/>
      <c r="BH19" s="134"/>
      <c r="BI19" s="134"/>
      <c r="BJ19" s="134"/>
      <c r="BK19" s="134"/>
      <c r="BL19" s="134"/>
      <c r="BM19" s="134"/>
      <c r="BN19" s="134"/>
      <c r="BO19" s="134"/>
      <c r="BP19" s="134"/>
      <c r="BQ19" s="134"/>
      <c r="BR19" s="134"/>
      <c r="BS19" s="134"/>
      <c r="BT19" s="134"/>
      <c r="BU19" s="134"/>
      <c r="BV19" s="134"/>
      <c r="BW19" s="134"/>
      <c r="BX19" s="134"/>
      <c r="BY19" s="134"/>
      <c r="BZ19" s="134"/>
      <c r="CA19" s="134"/>
      <c r="CB19" s="134"/>
      <c r="CC19" s="134"/>
      <c r="CD19" s="134"/>
      <c r="CE19" s="134"/>
      <c r="CF19" s="134"/>
      <c r="CG19" s="134"/>
      <c r="CH19" s="134"/>
      <c r="CI19" s="134"/>
      <c r="CJ19" s="134"/>
      <c r="CK19" s="134"/>
      <c r="CL19" s="134"/>
      <c r="CM19" s="134"/>
      <c r="CN19" s="134"/>
      <c r="CO19" s="134"/>
      <c r="CP19" s="134"/>
      <c r="CQ19" s="134"/>
      <c r="CR19" s="134"/>
      <c r="CS19" s="134"/>
      <c r="CT19" s="134"/>
      <c r="CU19" s="134"/>
      <c r="CV19" s="134"/>
      <c r="CW19" s="134"/>
      <c r="CX19" s="134"/>
      <c r="CY19" s="134"/>
      <c r="CZ19" s="134"/>
      <c r="DA19" s="134"/>
      <c r="DB19" s="134"/>
      <c r="DC19" s="134"/>
      <c r="DD19" s="134"/>
      <c r="DE19" s="134"/>
      <c r="DF19" s="134"/>
      <c r="DG19" s="134"/>
      <c r="DH19" s="134"/>
      <c r="DI19" s="134"/>
      <c r="DJ19" s="134"/>
      <c r="DK19" s="134"/>
      <c r="DL19" s="134"/>
      <c r="DM19" s="134"/>
      <c r="DN19" s="134"/>
      <c r="DO19" s="134"/>
      <c r="DP19" s="134"/>
      <c r="DQ19" s="134"/>
      <c r="DR19" s="134"/>
      <c r="DS19" s="134"/>
      <c r="DT19" s="134"/>
      <c r="DU19" s="134"/>
      <c r="DV19" s="134"/>
      <c r="DW19" s="134"/>
      <c r="DX19" s="134"/>
      <c r="DY19" s="134"/>
      <c r="DZ19" s="134"/>
      <c r="EA19" s="134"/>
      <c r="EB19" s="134"/>
      <c r="EC19" s="134"/>
      <c r="ED19" s="134"/>
      <c r="EE19" s="134"/>
      <c r="EF19" s="134"/>
      <c r="EG19" s="134"/>
      <c r="EH19" s="134"/>
      <c r="EI19" s="134"/>
      <c r="EJ19" s="134"/>
      <c r="EK19" s="134"/>
      <c r="EL19" s="134"/>
      <c r="EM19" s="134"/>
      <c r="EN19" s="134"/>
      <c r="EO19" s="134"/>
      <c r="EP19" s="134"/>
      <c r="EQ19" s="134"/>
      <c r="ER19" s="134"/>
      <c r="ES19" s="134"/>
      <c r="ET19" s="134"/>
      <c r="EU19" s="134"/>
      <c r="EV19" s="134"/>
      <c r="EW19" s="134"/>
      <c r="EX19" s="134"/>
      <c r="EY19" s="134"/>
      <c r="EZ19" s="134"/>
      <c r="FA19" s="134"/>
      <c r="FB19" s="134"/>
      <c r="FC19" s="134"/>
      <c r="FD19" s="134"/>
      <c r="FE19" s="134"/>
      <c r="FF19" s="134"/>
      <c r="FG19" s="134"/>
      <c r="FH19" s="134"/>
      <c r="FI19" s="134"/>
      <c r="FJ19" s="134"/>
      <c r="FK19" s="134"/>
      <c r="FL19" s="134"/>
      <c r="FM19" s="134"/>
      <c r="FN19" s="134"/>
      <c r="FO19" s="134"/>
      <c r="FP19" s="134"/>
      <c r="FQ19" s="134"/>
      <c r="FR19" s="134"/>
      <c r="FS19" s="134"/>
      <c r="FT19" s="134"/>
      <c r="FU19" s="134"/>
      <c r="FV19" s="134"/>
      <c r="FW19" s="134"/>
      <c r="FX19" s="134"/>
      <c r="FY19" s="134"/>
      <c r="FZ19" s="134"/>
      <c r="GA19" s="134"/>
      <c r="GB19" s="134"/>
      <c r="GC19" s="134"/>
      <c r="GD19" s="134"/>
      <c r="GE19" s="134"/>
      <c r="GF19" s="134"/>
      <c r="GG19" s="134"/>
      <c r="GH19" s="134"/>
      <c r="GI19" s="134"/>
      <c r="GJ19" s="134"/>
      <c r="GK19" s="134"/>
      <c r="GL19" s="134"/>
      <c r="GM19" s="134"/>
      <c r="GN19" s="134"/>
      <c r="GO19" s="134"/>
      <c r="GP19" s="134"/>
      <c r="GQ19" s="134"/>
      <c r="GR19" s="134"/>
      <c r="GS19" s="134"/>
    </row>
    <row r="20" spans="1:201" ht="15.5" x14ac:dyDescent="0.25">
      <c r="A20" s="94" t="s">
        <v>50</v>
      </c>
      <c r="B20" s="134">
        <f>SUM(B7:B18)</f>
        <v>1535.58996875</v>
      </c>
      <c r="C20" s="134">
        <f t="shared" ref="C20:BN20" si="0">SUM(C7:C18)</f>
        <v>348.81246400000003</v>
      </c>
      <c r="D20" s="134">
        <f t="shared" si="0"/>
        <v>544.07030700000018</v>
      </c>
      <c r="E20" s="134">
        <f t="shared" si="0"/>
        <v>336.63031700000005</v>
      </c>
      <c r="F20" s="134">
        <f t="shared" si="0"/>
        <v>307.60800699999993</v>
      </c>
      <c r="G20" s="134">
        <f t="shared" si="0"/>
        <v>34.769179999999992</v>
      </c>
      <c r="H20" s="134">
        <f t="shared" si="0"/>
        <v>8.3232580000000009</v>
      </c>
      <c r="I20" s="134">
        <f t="shared" si="0"/>
        <v>9.037373999999998</v>
      </c>
      <c r="J20" s="134">
        <f t="shared" si="0"/>
        <v>2.7646929999999998</v>
      </c>
      <c r="K20" s="134">
        <f t="shared" si="0"/>
        <v>2.2927239999999998</v>
      </c>
      <c r="L20" s="134">
        <f t="shared" si="0"/>
        <v>6.5796939999999999</v>
      </c>
      <c r="M20" s="134">
        <f t="shared" si="0"/>
        <v>34.711295999999983</v>
      </c>
      <c r="N20" s="134">
        <f t="shared" si="0"/>
        <v>303.13016799999991</v>
      </c>
      <c r="O20" s="134">
        <f t="shared" si="0"/>
        <v>328.1533290000001</v>
      </c>
      <c r="P20" s="134">
        <f t="shared" si="0"/>
        <v>25.519184000000003</v>
      </c>
      <c r="Q20" s="134">
        <f t="shared" si="0"/>
        <v>336.57127199999832</v>
      </c>
      <c r="R20" s="134">
        <f t="shared" si="0"/>
        <v>528.07465599999557</v>
      </c>
      <c r="S20" s="134">
        <f t="shared" si="0"/>
        <v>324.25871999999993</v>
      </c>
      <c r="T20" s="134">
        <f t="shared" si="0"/>
        <v>298.952704000003</v>
      </c>
      <c r="U20" s="134">
        <f t="shared" si="0"/>
        <v>37.182055999999989</v>
      </c>
      <c r="V20" s="134">
        <f t="shared" si="0"/>
        <v>10.435511999999999</v>
      </c>
      <c r="W20" s="134">
        <f t="shared" si="0"/>
        <v>5.1235349999999986</v>
      </c>
      <c r="X20" s="134">
        <f t="shared" si="0"/>
        <v>5.7780354999999979</v>
      </c>
      <c r="Y20" s="134">
        <f t="shared" si="0"/>
        <v>0</v>
      </c>
      <c r="Z20" s="134">
        <f t="shared" si="0"/>
        <v>3.9383814999999984</v>
      </c>
      <c r="AA20" s="134">
        <f t="shared" si="0"/>
        <v>9.1554559999999956</v>
      </c>
      <c r="AB20" s="134">
        <f t="shared" si="0"/>
        <v>13.214856999999999</v>
      </c>
      <c r="AC20" s="134">
        <f t="shared" si="0"/>
        <v>9.5328330000000037</v>
      </c>
      <c r="AD20" s="134">
        <f t="shared" si="0"/>
        <v>4.2570809999999994</v>
      </c>
      <c r="AE20" s="134">
        <f t="shared" si="0"/>
        <v>5.5233893749999989</v>
      </c>
      <c r="AF20" s="134">
        <f t="shared" si="0"/>
        <v>1.00399999999823E-3</v>
      </c>
      <c r="AG20" s="134">
        <f t="shared" si="0"/>
        <v>1.2323620000000002</v>
      </c>
      <c r="AH20" s="134">
        <f t="shared" si="0"/>
        <v>148.86122399999994</v>
      </c>
      <c r="AI20" s="134">
        <f t="shared" si="0"/>
        <v>0</v>
      </c>
      <c r="AJ20" s="134">
        <f t="shared" si="0"/>
        <v>2.67066625</v>
      </c>
      <c r="AK20" s="134">
        <f t="shared" si="0"/>
        <v>0</v>
      </c>
      <c r="AL20" s="134">
        <f t="shared" si="0"/>
        <v>23.999184296875001</v>
      </c>
      <c r="AM20" s="134">
        <f t="shared" si="0"/>
        <v>37.721139999999991</v>
      </c>
      <c r="AN20" s="134">
        <f t="shared" si="0"/>
        <v>29.573828000000006</v>
      </c>
      <c r="AO20" s="134">
        <f t="shared" si="0"/>
        <v>12.15001</v>
      </c>
      <c r="AP20" s="134">
        <f t="shared" si="0"/>
        <v>6.9710060000000009</v>
      </c>
      <c r="AQ20" s="134">
        <f t="shared" si="0"/>
        <v>24.357512000000014</v>
      </c>
      <c r="AR20" s="134">
        <f t="shared" si="0"/>
        <v>390.01933599999995</v>
      </c>
      <c r="AS20" s="134">
        <f t="shared" si="0"/>
        <v>4.1286514999999993</v>
      </c>
      <c r="AT20" s="134">
        <f t="shared" si="0"/>
        <v>0</v>
      </c>
      <c r="AU20" s="134">
        <f t="shared" si="0"/>
        <v>3.6059860000000001</v>
      </c>
      <c r="AV20" s="134">
        <f t="shared" si="0"/>
        <v>2.4649962500000004</v>
      </c>
      <c r="AW20" s="134">
        <f t="shared" si="0"/>
        <v>147.09249600000015</v>
      </c>
      <c r="AX20" s="134">
        <f t="shared" si="0"/>
        <v>0</v>
      </c>
      <c r="AY20" s="134">
        <f t="shared" si="0"/>
        <v>5.6177366249999992</v>
      </c>
      <c r="AZ20" s="134">
        <f t="shared" si="0"/>
        <v>3.3549999999986114E-4</v>
      </c>
      <c r="BA20" s="134">
        <f t="shared" si="0"/>
        <v>0</v>
      </c>
      <c r="BB20" s="134">
        <f t="shared" si="0"/>
        <v>0</v>
      </c>
      <c r="BC20" s="134">
        <f t="shared" si="0"/>
        <v>0</v>
      </c>
      <c r="BD20" s="134">
        <f t="shared" si="0"/>
        <v>0.31650851702880878</v>
      </c>
      <c r="BE20" s="134">
        <f t="shared" si="0"/>
        <v>12.686031999999997</v>
      </c>
      <c r="BF20" s="134">
        <f t="shared" si="0"/>
        <v>0</v>
      </c>
      <c r="BG20" s="134">
        <f t="shared" si="0"/>
        <v>1.607782</v>
      </c>
      <c r="BH20" s="134">
        <f t="shared" si="0"/>
        <v>2.4425299999999996</v>
      </c>
      <c r="BI20" s="134">
        <f t="shared" si="0"/>
        <v>187.71789599999994</v>
      </c>
      <c r="BJ20" s="134">
        <f t="shared" si="0"/>
        <v>0.11042200000000124</v>
      </c>
      <c r="BK20" s="134">
        <f t="shared" si="0"/>
        <v>5.1371025000000001</v>
      </c>
      <c r="BL20" s="134">
        <f t="shared" si="0"/>
        <v>25.354461999999995</v>
      </c>
      <c r="BM20" s="134">
        <f t="shared" si="0"/>
        <v>139.55168799999996</v>
      </c>
      <c r="BN20" s="134">
        <f t="shared" si="0"/>
        <v>0</v>
      </c>
      <c r="BO20" s="134">
        <f t="shared" ref="BO20:DZ20" si="1">SUM(BO7:BO18)</f>
        <v>19.294352516967791</v>
      </c>
      <c r="BP20" s="134">
        <f t="shared" si="1"/>
        <v>0</v>
      </c>
      <c r="BQ20" s="134">
        <f t="shared" si="1"/>
        <v>0</v>
      </c>
      <c r="BR20" s="134">
        <f t="shared" si="1"/>
        <v>0.6453736479492187</v>
      </c>
      <c r="BS20" s="134">
        <f t="shared" si="1"/>
        <v>0</v>
      </c>
      <c r="BT20" s="134">
        <f t="shared" si="1"/>
        <v>17.438619999999993</v>
      </c>
      <c r="BU20" s="134">
        <f t="shared" si="1"/>
        <v>1.1639381874999999</v>
      </c>
      <c r="BV20" s="134">
        <f t="shared" si="1"/>
        <v>0</v>
      </c>
      <c r="BW20" s="134">
        <f t="shared" si="1"/>
        <v>0</v>
      </c>
      <c r="BX20" s="134">
        <f t="shared" si="1"/>
        <v>0.6578168218994136</v>
      </c>
      <c r="BY20" s="134">
        <f t="shared" si="1"/>
        <v>1.999999999999997E-3</v>
      </c>
      <c r="BZ20" s="134">
        <f t="shared" si="1"/>
        <v>65.781420000000011</v>
      </c>
      <c r="CA20" s="134">
        <f t="shared" si="1"/>
        <v>20.482617687500003</v>
      </c>
      <c r="CB20" s="134">
        <f t="shared" si="1"/>
        <v>0</v>
      </c>
      <c r="CC20" s="134">
        <f t="shared" si="1"/>
        <v>0</v>
      </c>
      <c r="CD20" s="134">
        <f t="shared" si="1"/>
        <v>0</v>
      </c>
      <c r="CE20" s="134">
        <f t="shared" si="1"/>
        <v>0</v>
      </c>
      <c r="CF20" s="134">
        <f t="shared" si="1"/>
        <v>4.2234459999999991</v>
      </c>
      <c r="CG20" s="134">
        <f t="shared" si="1"/>
        <v>0</v>
      </c>
      <c r="CH20" s="134">
        <f t="shared" si="1"/>
        <v>0.50996924999999971</v>
      </c>
      <c r="CI20" s="134">
        <f t="shared" si="1"/>
        <v>0</v>
      </c>
      <c r="CJ20" s="134">
        <f t="shared" si="1"/>
        <v>0</v>
      </c>
      <c r="CK20" s="134">
        <f t="shared" si="1"/>
        <v>0</v>
      </c>
      <c r="CL20" s="134">
        <f t="shared" si="1"/>
        <v>80.867662000000067</v>
      </c>
      <c r="CM20" s="134">
        <f t="shared" si="1"/>
        <v>342.97351999999989</v>
      </c>
      <c r="CN20" s="134">
        <f t="shared" si="1"/>
        <v>3.555699500000002</v>
      </c>
      <c r="CO20" s="134">
        <f t="shared" si="1"/>
        <v>48.694671999999997</v>
      </c>
      <c r="CP20" s="134">
        <f t="shared" si="1"/>
        <v>0</v>
      </c>
      <c r="CQ20" s="134">
        <f t="shared" si="1"/>
        <v>1.0468749999936303E-5</v>
      </c>
      <c r="CR20" s="134">
        <f t="shared" si="1"/>
        <v>9.6275719999999989</v>
      </c>
      <c r="CS20" s="134">
        <f t="shared" si="1"/>
        <v>0</v>
      </c>
      <c r="CT20" s="134">
        <f t="shared" si="1"/>
        <v>12.934123999999999</v>
      </c>
      <c r="CU20" s="134">
        <f t="shared" si="1"/>
        <v>0</v>
      </c>
      <c r="CV20" s="134">
        <f t="shared" si="1"/>
        <v>1.1734228125000001</v>
      </c>
      <c r="CW20" s="134">
        <f t="shared" si="1"/>
        <v>2.6732159999999978</v>
      </c>
      <c r="CX20" s="134">
        <f t="shared" si="1"/>
        <v>20.128449999999987</v>
      </c>
      <c r="CY20" s="134">
        <f t="shared" si="1"/>
        <v>1.2119409999999997</v>
      </c>
      <c r="CZ20" s="134">
        <f t="shared" si="1"/>
        <v>1.4904106250000004</v>
      </c>
      <c r="DA20" s="134">
        <f t="shared" si="1"/>
        <v>23.751196000000004</v>
      </c>
      <c r="DB20" s="134">
        <f t="shared" si="1"/>
        <v>9.2434899999999978</v>
      </c>
      <c r="DC20" s="134">
        <f t="shared" si="1"/>
        <v>7.0375172499999934</v>
      </c>
      <c r="DD20" s="134">
        <f t="shared" si="1"/>
        <v>1.7846738027343734</v>
      </c>
      <c r="DE20" s="134">
        <f t="shared" si="1"/>
        <v>0</v>
      </c>
      <c r="DF20" s="134">
        <f t="shared" si="1"/>
        <v>0</v>
      </c>
      <c r="DG20" s="134">
        <f t="shared" si="1"/>
        <v>0.96151149999999919</v>
      </c>
      <c r="DH20" s="134">
        <f t="shared" si="1"/>
        <v>21.203488000000011</v>
      </c>
      <c r="DI20" s="134">
        <f t="shared" si="1"/>
        <v>364.49851199999989</v>
      </c>
      <c r="DJ20" s="134">
        <f t="shared" si="1"/>
        <v>0</v>
      </c>
      <c r="DK20" s="134">
        <f t="shared" si="1"/>
        <v>5.2892360000000052</v>
      </c>
      <c r="DL20" s="134">
        <f t="shared" si="1"/>
        <v>1.4864804003906236</v>
      </c>
      <c r="DM20" s="134">
        <f t="shared" si="1"/>
        <v>3.329229999999999</v>
      </c>
      <c r="DN20" s="134">
        <f t="shared" si="1"/>
        <v>0.11519481250000012</v>
      </c>
      <c r="DO20" s="134">
        <f t="shared" si="1"/>
        <v>52.891256000000041</v>
      </c>
      <c r="DP20" s="134">
        <f t="shared" si="1"/>
        <v>3.0234820000000004</v>
      </c>
      <c r="DQ20" s="134">
        <f t="shared" si="1"/>
        <v>0</v>
      </c>
      <c r="DR20" s="134">
        <f t="shared" si="1"/>
        <v>0</v>
      </c>
      <c r="DS20" s="134">
        <f t="shared" si="1"/>
        <v>108.09169600000007</v>
      </c>
      <c r="DT20" s="134">
        <f t="shared" si="1"/>
        <v>28.204713281249994</v>
      </c>
      <c r="DU20" s="134">
        <f t="shared" si="1"/>
        <v>1.1417480000000029</v>
      </c>
      <c r="DV20" s="134">
        <f t="shared" si="1"/>
        <v>0.73804249999999949</v>
      </c>
      <c r="DW20" s="134">
        <f t="shared" si="1"/>
        <v>0</v>
      </c>
      <c r="DX20" s="134">
        <f t="shared" si="1"/>
        <v>12.764227867187497</v>
      </c>
      <c r="DY20" s="134">
        <f t="shared" si="1"/>
        <v>0.81459756542968753</v>
      </c>
      <c r="DZ20" s="134">
        <f t="shared" si="1"/>
        <v>7.4520500000000016</v>
      </c>
      <c r="EA20" s="134">
        <f t="shared" ref="EA20:GL20" si="2">SUM(EA7:EA18)</f>
        <v>3.491237500000003E-2</v>
      </c>
      <c r="EB20" s="134">
        <f t="shared" si="2"/>
        <v>94.700807999999981</v>
      </c>
      <c r="EC20" s="134">
        <f t="shared" si="2"/>
        <v>44.779423999999999</v>
      </c>
      <c r="ED20" s="134">
        <f t="shared" si="2"/>
        <v>2.6054365625000004</v>
      </c>
      <c r="EE20" s="134">
        <f t="shared" si="2"/>
        <v>130.19897200000003</v>
      </c>
      <c r="EF20" s="134">
        <f t="shared" si="2"/>
        <v>787.80602999999815</v>
      </c>
      <c r="EG20" s="134">
        <f t="shared" si="2"/>
        <v>0</v>
      </c>
      <c r="EH20" s="134">
        <f t="shared" si="2"/>
        <v>36.438847999999808</v>
      </c>
      <c r="EI20" s="134">
        <f t="shared" si="2"/>
        <v>47.980672000000098</v>
      </c>
      <c r="EJ20" s="134">
        <f t="shared" si="2"/>
        <v>3.1243200000000253</v>
      </c>
      <c r="EK20" s="134">
        <f t="shared" si="2"/>
        <v>2.126079999999837</v>
      </c>
      <c r="EL20" s="134">
        <f t="shared" si="2"/>
        <v>127.51820800000004</v>
      </c>
      <c r="EM20" s="134">
        <f t="shared" si="2"/>
        <v>204.79974399999983</v>
      </c>
      <c r="EN20" s="134">
        <f t="shared" si="2"/>
        <v>147.27296000000058</v>
      </c>
      <c r="EO20" s="134">
        <f t="shared" si="2"/>
        <v>38.966784000000025</v>
      </c>
      <c r="EP20" s="134">
        <f t="shared" si="2"/>
        <v>1.1520000000018601E-3</v>
      </c>
      <c r="EQ20" s="134">
        <f t="shared" si="2"/>
        <v>0</v>
      </c>
      <c r="ER20" s="134">
        <f t="shared" si="2"/>
        <v>91.360843000000017</v>
      </c>
      <c r="ES20" s="134">
        <f t="shared" si="2"/>
        <v>20</v>
      </c>
      <c r="ET20" s="134">
        <f t="shared" si="2"/>
        <v>0</v>
      </c>
      <c r="EU20" s="134">
        <f t="shared" si="2"/>
        <v>0</v>
      </c>
      <c r="EV20" s="134">
        <f t="shared" si="2"/>
        <v>0</v>
      </c>
      <c r="EW20" s="134">
        <f t="shared" si="2"/>
        <v>0</v>
      </c>
      <c r="EX20" s="134">
        <f t="shared" si="2"/>
        <v>0</v>
      </c>
      <c r="EY20" s="134">
        <f t="shared" si="2"/>
        <v>0</v>
      </c>
      <c r="EZ20" s="134">
        <f t="shared" si="2"/>
        <v>0</v>
      </c>
      <c r="FA20" s="134">
        <f t="shared" si="2"/>
        <v>0</v>
      </c>
      <c r="FB20" s="134">
        <f t="shared" si="2"/>
        <v>0</v>
      </c>
      <c r="FC20" s="134">
        <f t="shared" si="2"/>
        <v>0</v>
      </c>
      <c r="FD20" s="134">
        <f t="shared" si="2"/>
        <v>0</v>
      </c>
      <c r="FE20" s="134">
        <f t="shared" si="2"/>
        <v>0</v>
      </c>
      <c r="FF20" s="134">
        <f t="shared" si="2"/>
        <v>0</v>
      </c>
      <c r="FG20" s="134">
        <f t="shared" si="2"/>
        <v>0</v>
      </c>
      <c r="FH20" s="134">
        <f t="shared" si="2"/>
        <v>0</v>
      </c>
      <c r="FI20" s="134">
        <f t="shared" si="2"/>
        <v>0</v>
      </c>
      <c r="FJ20" s="134">
        <f t="shared" si="2"/>
        <v>0</v>
      </c>
      <c r="FK20" s="134">
        <f t="shared" si="2"/>
        <v>0</v>
      </c>
      <c r="FL20" s="134">
        <f t="shared" si="2"/>
        <v>0</v>
      </c>
      <c r="FM20" s="134">
        <f t="shared" si="2"/>
        <v>0</v>
      </c>
      <c r="FN20" s="134">
        <f t="shared" si="2"/>
        <v>0</v>
      </c>
      <c r="FO20" s="134">
        <f t="shared" si="2"/>
        <v>0</v>
      </c>
      <c r="FP20" s="134">
        <f t="shared" si="2"/>
        <v>0</v>
      </c>
      <c r="FQ20" s="134">
        <f t="shared" si="2"/>
        <v>0</v>
      </c>
      <c r="FR20" s="134">
        <f t="shared" si="2"/>
        <v>0</v>
      </c>
      <c r="FS20" s="134">
        <f t="shared" si="2"/>
        <v>0</v>
      </c>
      <c r="FT20" s="134">
        <f t="shared" si="2"/>
        <v>0</v>
      </c>
      <c r="FU20" s="134">
        <f t="shared" si="2"/>
        <v>0</v>
      </c>
      <c r="FV20" s="134">
        <f t="shared" si="2"/>
        <v>0</v>
      </c>
      <c r="FW20" s="134">
        <f t="shared" si="2"/>
        <v>0</v>
      </c>
      <c r="FX20" s="134">
        <f t="shared" si="2"/>
        <v>0</v>
      </c>
      <c r="FY20" s="134">
        <f t="shared" si="2"/>
        <v>0</v>
      </c>
      <c r="FZ20" s="134">
        <f t="shared" si="2"/>
        <v>0</v>
      </c>
      <c r="GA20" s="134">
        <f t="shared" si="2"/>
        <v>0</v>
      </c>
      <c r="GB20" s="134">
        <f t="shared" si="2"/>
        <v>0</v>
      </c>
      <c r="GC20" s="134">
        <f t="shared" si="2"/>
        <v>0</v>
      </c>
      <c r="GD20" s="134">
        <f t="shared" si="2"/>
        <v>0</v>
      </c>
      <c r="GE20" s="134">
        <f t="shared" si="2"/>
        <v>0</v>
      </c>
      <c r="GF20" s="134">
        <f t="shared" si="2"/>
        <v>0</v>
      </c>
      <c r="GG20" s="134">
        <f t="shared" si="2"/>
        <v>0</v>
      </c>
      <c r="GH20" s="134">
        <f t="shared" si="2"/>
        <v>0</v>
      </c>
      <c r="GI20" s="134">
        <f t="shared" si="2"/>
        <v>0</v>
      </c>
      <c r="GJ20" s="134">
        <f t="shared" si="2"/>
        <v>0</v>
      </c>
      <c r="GK20" s="134">
        <f t="shared" si="2"/>
        <v>0</v>
      </c>
      <c r="GL20" s="134">
        <f t="shared" si="2"/>
        <v>0</v>
      </c>
      <c r="GM20" s="134">
        <f t="shared" ref="GM20:GS20" si="3">SUM(GM7:GM18)</f>
        <v>0</v>
      </c>
      <c r="GN20" s="134">
        <f t="shared" si="3"/>
        <v>0</v>
      </c>
      <c r="GO20" s="134">
        <f t="shared" si="3"/>
        <v>0</v>
      </c>
      <c r="GP20" s="134">
        <f t="shared" si="3"/>
        <v>0</v>
      </c>
      <c r="GQ20" s="134">
        <f t="shared" si="3"/>
        <v>0</v>
      </c>
      <c r="GR20" s="134">
        <f t="shared" si="3"/>
        <v>0</v>
      </c>
      <c r="GS20" s="134">
        <f t="shared" si="3"/>
        <v>0</v>
      </c>
    </row>
  </sheetData>
  <pageMargins left="0.7" right="0.7" top="0.75" bottom="0.75" header="0.3" footer="0.3"/>
  <pageSetup paperSize="9" orientation="portrait" verticalDpi="0" r:id="rId1"/>
  <headerFooter>
    <oddHeader>&amp;C&amp;"Calibri"&amp;10&amp;KFF0000 CONFIDENTIAL&amp;1#_x000D_</oddHead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3"/>
  <dimension ref="A6:EQ20"/>
  <sheetViews>
    <sheetView workbookViewId="0">
      <selection activeCell="G27" sqref="G27"/>
    </sheetView>
  </sheetViews>
  <sheetFormatPr defaultRowHeight="12.5" x14ac:dyDescent="0.25"/>
  <cols>
    <col min="1" max="1" width="19.54296875" customWidth="1"/>
    <col min="2" max="15" width="12.453125" customWidth="1"/>
  </cols>
  <sheetData>
    <row r="6" spans="1:147" ht="91" x14ac:dyDescent="0.25">
      <c r="A6" s="56">
        <f>Daily_Energy1!B2</f>
        <v>45505.333333333336</v>
      </c>
      <c r="B6" s="33" t="s">
        <v>238</v>
      </c>
      <c r="C6" s="33" t="s">
        <v>239</v>
      </c>
      <c r="D6" s="33" t="s">
        <v>240</v>
      </c>
      <c r="E6" s="33" t="s">
        <v>241</v>
      </c>
      <c r="F6" s="33" t="s">
        <v>242</v>
      </c>
      <c r="G6" s="33" t="s">
        <v>243</v>
      </c>
      <c r="H6" s="33" t="s">
        <v>248</v>
      </c>
      <c r="I6" s="33" t="s">
        <v>247</v>
      </c>
      <c r="J6" s="33" t="s">
        <v>246</v>
      </c>
      <c r="K6" s="33" t="s">
        <v>245</v>
      </c>
      <c r="L6" s="33" t="s">
        <v>244</v>
      </c>
      <c r="M6" s="33" t="s">
        <v>249</v>
      </c>
      <c r="N6" s="33" t="s">
        <v>250</v>
      </c>
      <c r="O6" s="33" t="s">
        <v>251</v>
      </c>
      <c r="P6" s="33" t="s">
        <v>252</v>
      </c>
      <c r="Q6" s="33" t="s">
        <v>253</v>
      </c>
      <c r="R6" s="33" t="s">
        <v>254</v>
      </c>
      <c r="S6" s="33" t="s">
        <v>255</v>
      </c>
      <c r="T6" s="33" t="s">
        <v>256</v>
      </c>
      <c r="U6" s="33" t="s">
        <v>138</v>
      </c>
      <c r="V6" s="33" t="s">
        <v>139</v>
      </c>
      <c r="W6" s="33" t="s">
        <v>140</v>
      </c>
      <c r="X6" s="33" t="s">
        <v>141</v>
      </c>
      <c r="Y6" s="33" t="s">
        <v>142</v>
      </c>
      <c r="Z6" s="33" t="s">
        <v>143</v>
      </c>
      <c r="AA6" s="33" t="s">
        <v>144</v>
      </c>
      <c r="AB6" s="33" t="s">
        <v>145</v>
      </c>
      <c r="AC6" s="33" t="s">
        <v>146</v>
      </c>
      <c r="AD6" s="33" t="s">
        <v>147</v>
      </c>
      <c r="AE6" s="33" t="s">
        <v>148</v>
      </c>
      <c r="AF6" s="33" t="s">
        <v>149</v>
      </c>
      <c r="AG6" s="33" t="s">
        <v>150</v>
      </c>
      <c r="AH6" s="33" t="s">
        <v>128</v>
      </c>
      <c r="AI6" s="33" t="s">
        <v>129</v>
      </c>
      <c r="AJ6" s="33" t="s">
        <v>130</v>
      </c>
      <c r="AK6" s="33" t="s">
        <v>131</v>
      </c>
      <c r="AL6" s="33" t="s">
        <v>132</v>
      </c>
      <c r="AM6" s="33" t="s">
        <v>133</v>
      </c>
      <c r="AN6" s="33" t="s">
        <v>134</v>
      </c>
      <c r="AO6" s="33" t="s">
        <v>135</v>
      </c>
      <c r="AP6" s="33" t="s">
        <v>136</v>
      </c>
      <c r="AQ6" s="33" t="s">
        <v>137</v>
      </c>
      <c r="AR6" s="33" t="s">
        <v>257</v>
      </c>
      <c r="AS6" s="33" t="s">
        <v>258</v>
      </c>
      <c r="AT6" s="33" t="s">
        <v>259</v>
      </c>
      <c r="AU6" s="33" t="s">
        <v>260</v>
      </c>
      <c r="AV6" s="33" t="s">
        <v>261</v>
      </c>
      <c r="AW6" s="33" t="s">
        <v>262</v>
      </c>
      <c r="AX6" s="33" t="s">
        <v>263</v>
      </c>
      <c r="AY6" s="33" t="s">
        <v>264</v>
      </c>
      <c r="AZ6" s="33" t="s">
        <v>265</v>
      </c>
      <c r="BA6" s="33" t="s">
        <v>266</v>
      </c>
      <c r="BB6" s="33" t="s">
        <v>267</v>
      </c>
      <c r="BC6" s="33" t="s">
        <v>268</v>
      </c>
      <c r="BD6" s="33" t="s">
        <v>269</v>
      </c>
      <c r="BE6" s="33" t="s">
        <v>270</v>
      </c>
      <c r="BF6" s="33" t="s">
        <v>271</v>
      </c>
      <c r="BG6" s="33" t="s">
        <v>272</v>
      </c>
      <c r="BH6" s="33" t="s">
        <v>273</v>
      </c>
      <c r="BI6" s="33" t="s">
        <v>274</v>
      </c>
      <c r="BJ6" s="33" t="s">
        <v>275</v>
      </c>
      <c r="BK6" s="33" t="s">
        <v>276</v>
      </c>
      <c r="BL6" s="33" t="s">
        <v>277</v>
      </c>
      <c r="BM6" s="33" t="s">
        <v>278</v>
      </c>
      <c r="BN6" s="33" t="s">
        <v>279</v>
      </c>
      <c r="BO6" s="33" t="s">
        <v>280</v>
      </c>
      <c r="BP6" s="33" t="s">
        <v>281</v>
      </c>
      <c r="BQ6" s="33" t="s">
        <v>282</v>
      </c>
      <c r="BR6" s="33" t="s">
        <v>283</v>
      </c>
      <c r="BS6" s="33" t="s">
        <v>284</v>
      </c>
      <c r="BT6" s="33" t="s">
        <v>285</v>
      </c>
      <c r="BU6" s="33" t="s">
        <v>286</v>
      </c>
      <c r="BV6" s="33" t="s">
        <v>287</v>
      </c>
      <c r="BW6" s="33" t="s">
        <v>288</v>
      </c>
      <c r="BX6" s="33" t="s">
        <v>289</v>
      </c>
      <c r="BY6" s="33" t="s">
        <v>290</v>
      </c>
      <c r="BZ6" s="33" t="s">
        <v>291</v>
      </c>
      <c r="CA6" s="33" t="s">
        <v>292</v>
      </c>
      <c r="CB6" s="33" t="s">
        <v>293</v>
      </c>
      <c r="CC6" s="33" t="s">
        <v>294</v>
      </c>
      <c r="CD6" s="33" t="s">
        <v>295</v>
      </c>
      <c r="CE6" s="33" t="s">
        <v>296</v>
      </c>
      <c r="CF6" s="33" t="s">
        <v>297</v>
      </c>
      <c r="CG6" s="33" t="s">
        <v>298</v>
      </c>
      <c r="CH6" s="33" t="s">
        <v>299</v>
      </c>
      <c r="CI6" s="33" t="s">
        <v>300</v>
      </c>
      <c r="CJ6" s="33" t="s">
        <v>301</v>
      </c>
      <c r="CK6" s="33" t="s">
        <v>302</v>
      </c>
      <c r="CL6" s="33" t="s">
        <v>303</v>
      </c>
      <c r="CM6" s="33" t="s">
        <v>304</v>
      </c>
      <c r="CN6" s="33" t="s">
        <v>305</v>
      </c>
      <c r="CO6" s="33" t="s">
        <v>306</v>
      </c>
      <c r="CP6" s="33" t="s">
        <v>307</v>
      </c>
      <c r="CQ6" s="33" t="s">
        <v>308</v>
      </c>
      <c r="CR6" s="33" t="s">
        <v>309</v>
      </c>
      <c r="CS6" s="33" t="s">
        <v>310</v>
      </c>
      <c r="CT6" s="33" t="s">
        <v>311</v>
      </c>
      <c r="CU6" s="33" t="s">
        <v>312</v>
      </c>
      <c r="CV6" s="33" t="s">
        <v>313</v>
      </c>
      <c r="CW6" s="33" t="s">
        <v>314</v>
      </c>
      <c r="CX6" s="33" t="s">
        <v>315</v>
      </c>
      <c r="CY6" s="33" t="s">
        <v>316</v>
      </c>
      <c r="CZ6" s="33" t="s">
        <v>317</v>
      </c>
      <c r="DA6" s="33" t="s">
        <v>318</v>
      </c>
      <c r="DB6" s="33" t="s">
        <v>319</v>
      </c>
      <c r="DC6" s="33" t="s">
        <v>320</v>
      </c>
      <c r="DD6" s="33" t="s">
        <v>321</v>
      </c>
      <c r="DE6" s="33" t="s">
        <v>322</v>
      </c>
      <c r="DF6" s="33" t="s">
        <v>323</v>
      </c>
      <c r="DG6" s="33" t="s">
        <v>324</v>
      </c>
      <c r="DH6" s="33" t="s">
        <v>325</v>
      </c>
      <c r="DI6" s="33" t="s">
        <v>326</v>
      </c>
      <c r="DJ6" s="33" t="s">
        <v>327</v>
      </c>
      <c r="DK6" s="33" t="s">
        <v>328</v>
      </c>
      <c r="DL6" s="33" t="s">
        <v>329</v>
      </c>
      <c r="DM6" s="33" t="s">
        <v>330</v>
      </c>
      <c r="DN6" s="33" t="s">
        <v>331</v>
      </c>
      <c r="DO6" s="33" t="s">
        <v>332</v>
      </c>
      <c r="DP6" s="33" t="s">
        <v>333</v>
      </c>
      <c r="DQ6" s="33" t="s">
        <v>334</v>
      </c>
      <c r="DR6" s="33" t="s">
        <v>335</v>
      </c>
      <c r="DS6" s="33" t="s">
        <v>336</v>
      </c>
      <c r="DT6" s="33" t="s">
        <v>337</v>
      </c>
      <c r="DU6" s="33" t="s">
        <v>338</v>
      </c>
      <c r="DV6" s="33" t="s">
        <v>339</v>
      </c>
      <c r="DW6" s="33" t="s">
        <v>340</v>
      </c>
      <c r="DX6" s="33" t="s">
        <v>341</v>
      </c>
      <c r="DY6" s="33" t="s">
        <v>342</v>
      </c>
      <c r="DZ6" s="33" t="s">
        <v>343</v>
      </c>
      <c r="EA6" s="33" t="s">
        <v>344</v>
      </c>
      <c r="EB6" s="33" t="s">
        <v>345</v>
      </c>
      <c r="EC6" s="33" t="s">
        <v>346</v>
      </c>
      <c r="ED6" s="33" t="s">
        <v>347</v>
      </c>
      <c r="EE6" s="33" t="s">
        <v>348</v>
      </c>
      <c r="EF6" s="33" t="s">
        <v>349</v>
      </c>
      <c r="EG6" s="33" t="s">
        <v>350</v>
      </c>
      <c r="EH6" s="33" t="s">
        <v>351</v>
      </c>
      <c r="EI6" s="33" t="s">
        <v>352</v>
      </c>
      <c r="EJ6" s="33" t="s">
        <v>353</v>
      </c>
      <c r="EK6" s="33" t="s">
        <v>354</v>
      </c>
      <c r="EL6" s="33" t="s">
        <v>355</v>
      </c>
      <c r="EM6" s="33" t="s">
        <v>356</v>
      </c>
      <c r="EN6" s="33" t="s">
        <v>357</v>
      </c>
      <c r="EO6" s="33" t="s">
        <v>358</v>
      </c>
      <c r="EP6" s="33" t="s">
        <v>359</v>
      </c>
      <c r="EQ6" s="33" t="str">
        <f>'Feeder Names'!ET3</f>
        <v>MLTP5.SPARE-6</v>
      </c>
    </row>
    <row r="7" spans="1:147" ht="15.5" x14ac:dyDescent="0.25">
      <c r="A7" s="57" t="s">
        <v>73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</row>
    <row r="8" spans="1:147" ht="15.5" x14ac:dyDescent="0.25">
      <c r="A8" s="57" t="s">
        <v>74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</row>
    <row r="9" spans="1:147" ht="15.5" x14ac:dyDescent="0.25">
      <c r="A9" s="57" t="s">
        <v>75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</row>
    <row r="10" spans="1:147" ht="15.5" x14ac:dyDescent="0.25">
      <c r="A10" s="57" t="s">
        <v>76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</row>
    <row r="11" spans="1:147" ht="15.5" x14ac:dyDescent="0.25">
      <c r="A11" s="57" t="s">
        <v>77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147" ht="15.5" x14ac:dyDescent="0.25">
      <c r="A12" s="57" t="s">
        <v>78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</row>
    <row r="13" spans="1:147" ht="15.5" x14ac:dyDescent="0.25">
      <c r="A13" s="57" t="s">
        <v>79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spans="1:147" ht="15.5" x14ac:dyDescent="0.25">
      <c r="A14" s="57" t="s">
        <v>80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</row>
    <row r="15" spans="1:147" ht="15.5" x14ac:dyDescent="0.25">
      <c r="A15" s="57" t="s">
        <v>81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</row>
    <row r="16" spans="1:147" ht="15.5" x14ac:dyDescent="0.25">
      <c r="A16" s="57" t="s">
        <v>82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</row>
    <row r="17" spans="1:41" ht="15.5" x14ac:dyDescent="0.25">
      <c r="A17" s="57" t="s">
        <v>83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1:41" ht="15.5" x14ac:dyDescent="0.25">
      <c r="A18" s="57" t="s">
        <v>84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  <row r="20" spans="1:41" ht="15.5" x14ac:dyDescent="0.25">
      <c r="A20" s="94" t="s">
        <v>50</v>
      </c>
      <c r="B20">
        <f>SUM(B7:B18)</f>
        <v>0</v>
      </c>
      <c r="C20">
        <f t="shared" ref="C20:AO20" si="0">SUM(C7:C18)</f>
        <v>0</v>
      </c>
      <c r="D20">
        <f t="shared" si="0"/>
        <v>0</v>
      </c>
      <c r="E20">
        <f t="shared" si="0"/>
        <v>0</v>
      </c>
      <c r="F20">
        <f t="shared" si="0"/>
        <v>0</v>
      </c>
      <c r="G20">
        <f t="shared" si="0"/>
        <v>0</v>
      </c>
      <c r="H20">
        <f t="shared" si="0"/>
        <v>0</v>
      </c>
      <c r="I20">
        <f t="shared" si="0"/>
        <v>0</v>
      </c>
      <c r="J20">
        <f t="shared" si="0"/>
        <v>0</v>
      </c>
      <c r="K20">
        <f t="shared" si="0"/>
        <v>0</v>
      </c>
      <c r="L20">
        <f t="shared" si="0"/>
        <v>0</v>
      </c>
      <c r="M20">
        <f t="shared" si="0"/>
        <v>0</v>
      </c>
      <c r="N20">
        <f t="shared" si="0"/>
        <v>0</v>
      </c>
      <c r="O20">
        <f t="shared" si="0"/>
        <v>0</v>
      </c>
      <c r="P20">
        <f t="shared" si="0"/>
        <v>0</v>
      </c>
      <c r="Q20">
        <f t="shared" si="0"/>
        <v>0</v>
      </c>
      <c r="R20">
        <f t="shared" si="0"/>
        <v>0</v>
      </c>
      <c r="S20">
        <f t="shared" si="0"/>
        <v>0</v>
      </c>
      <c r="T20">
        <f t="shared" si="0"/>
        <v>0</v>
      </c>
      <c r="U20">
        <f t="shared" si="0"/>
        <v>0</v>
      </c>
      <c r="V20">
        <f t="shared" si="0"/>
        <v>0</v>
      </c>
      <c r="W20">
        <f t="shared" si="0"/>
        <v>0</v>
      </c>
      <c r="X20">
        <f t="shared" si="0"/>
        <v>0</v>
      </c>
      <c r="Y20">
        <f t="shared" si="0"/>
        <v>0</v>
      </c>
      <c r="Z20">
        <f t="shared" si="0"/>
        <v>0</v>
      </c>
      <c r="AA20">
        <f t="shared" si="0"/>
        <v>0</v>
      </c>
      <c r="AB20">
        <f t="shared" si="0"/>
        <v>0</v>
      </c>
      <c r="AC20">
        <f t="shared" si="0"/>
        <v>0</v>
      </c>
      <c r="AD20">
        <f t="shared" si="0"/>
        <v>0</v>
      </c>
      <c r="AE20">
        <f t="shared" si="0"/>
        <v>0</v>
      </c>
      <c r="AF20">
        <f t="shared" si="0"/>
        <v>0</v>
      </c>
      <c r="AG20">
        <f t="shared" si="0"/>
        <v>0</v>
      </c>
      <c r="AH20">
        <f t="shared" si="0"/>
        <v>0</v>
      </c>
      <c r="AI20">
        <f t="shared" si="0"/>
        <v>0</v>
      </c>
      <c r="AJ20">
        <f t="shared" si="0"/>
        <v>0</v>
      </c>
      <c r="AK20">
        <f t="shared" si="0"/>
        <v>0</v>
      </c>
      <c r="AL20">
        <f t="shared" si="0"/>
        <v>0</v>
      </c>
      <c r="AM20">
        <f t="shared" si="0"/>
        <v>0</v>
      </c>
      <c r="AN20">
        <f t="shared" si="0"/>
        <v>0</v>
      </c>
      <c r="AO20">
        <f t="shared" si="0"/>
        <v>0</v>
      </c>
    </row>
  </sheetData>
  <pageMargins left="0.7" right="0.7" top="0.75" bottom="0.75" header="0.3" footer="0.3"/>
  <pageSetup paperSize="9" orientation="portrait" verticalDpi="0" r:id="rId1"/>
  <headerFooter>
    <oddHeader>&amp;C&amp;"Calibri"&amp;10&amp;KFF0000 CONFIDENTIAL&amp;1#_x000D_</oddHead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0"/>
  <dimension ref="A6:O18"/>
  <sheetViews>
    <sheetView workbookViewId="0">
      <selection activeCell="F14" sqref="F14"/>
    </sheetView>
  </sheetViews>
  <sheetFormatPr defaultRowHeight="12.5" x14ac:dyDescent="0.25"/>
  <cols>
    <col min="1" max="1" width="16.81640625" bestFit="1" customWidth="1"/>
    <col min="2" max="15" width="12.453125" customWidth="1"/>
  </cols>
  <sheetData>
    <row r="6" spans="1:15" ht="26" x14ac:dyDescent="0.3">
      <c r="A6" s="56">
        <f>Daily_Energy1!B2</f>
        <v>45505.333333333336</v>
      </c>
      <c r="B6" s="58" t="str">
        <f>'Feeder Names'!E3</f>
        <v>HT.GRID_VCB</v>
      </c>
      <c r="C6" s="58" t="str">
        <f>'Feeder Names'!F3</f>
        <v>HT.TRAFO-1</v>
      </c>
      <c r="D6" s="58" t="str">
        <f>'Feeder Names'!G3</f>
        <v>HT.TRAFO-2</v>
      </c>
      <c r="E6" s="58" t="str">
        <f>'Feeder Names'!H3</f>
        <v>HT.TRAFO-3</v>
      </c>
      <c r="F6" s="58" t="str">
        <f>'Feeder Names'!I3</f>
        <v>HT.TRAFO-4</v>
      </c>
      <c r="G6" s="58" t="str">
        <f>'Feeder Names'!J3</f>
        <v>DG.DG_INC</v>
      </c>
      <c r="H6" s="58" t="str">
        <f>'Feeder Names'!K3</f>
        <v>DG.DG-1</v>
      </c>
      <c r="I6" s="58" t="str">
        <f>'Feeder Names'!L3</f>
        <v>DG.DG-2</v>
      </c>
      <c r="J6" s="58" t="str">
        <f>'Feeder Names'!M3</f>
        <v>DG.DG-3</v>
      </c>
      <c r="K6" s="58" t="str">
        <f>'Feeder Names'!N3</f>
        <v>DG.GD-4</v>
      </c>
      <c r="L6" s="58" t="str">
        <f>'Feeder Names'!O3</f>
        <v>DG.DG-5</v>
      </c>
      <c r="M6" s="58" t="str">
        <f>'Feeder Names'!P3</f>
        <v>DG.VCB_OUTGOING</v>
      </c>
      <c r="N6" s="58" t="str">
        <f>'Feeder Names'!Q3</f>
        <v>SOLAR.SOLAR-1</v>
      </c>
      <c r="O6" s="58" t="str">
        <f>'Feeder Names'!R3</f>
        <v>SOLAR.SOLAR-2</v>
      </c>
    </row>
    <row r="7" spans="1:15" ht="15.5" x14ac:dyDescent="0.25">
      <c r="A7" s="57" t="s">
        <v>73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</row>
    <row r="8" spans="1:15" ht="15.5" x14ac:dyDescent="0.25">
      <c r="A8" s="57" t="s">
        <v>74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</row>
    <row r="9" spans="1:15" ht="15.5" x14ac:dyDescent="0.25">
      <c r="A9" s="57" t="s">
        <v>75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</row>
    <row r="10" spans="1:15" ht="15.5" x14ac:dyDescent="0.25">
      <c r="A10" s="57" t="s">
        <v>76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</row>
    <row r="11" spans="1:15" ht="15.5" x14ac:dyDescent="0.25">
      <c r="A11" s="57" t="s">
        <v>77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</row>
    <row r="12" spans="1:15" ht="15.5" x14ac:dyDescent="0.25">
      <c r="A12" s="57" t="s">
        <v>78</v>
      </c>
      <c r="B12" s="4">
        <v>537649</v>
      </c>
      <c r="C12" s="4">
        <v>319481</v>
      </c>
      <c r="D12" s="4">
        <v>175836</v>
      </c>
      <c r="E12" s="4">
        <v>144331</v>
      </c>
      <c r="F12" s="4">
        <v>43609</v>
      </c>
      <c r="G12" s="4">
        <v>84444</v>
      </c>
      <c r="H12" s="4">
        <v>1113</v>
      </c>
      <c r="I12" s="4">
        <v>2152</v>
      </c>
      <c r="J12" s="4">
        <v>1500</v>
      </c>
      <c r="K12" s="4">
        <v>1921</v>
      </c>
      <c r="L12" s="4">
        <v>0</v>
      </c>
      <c r="M12" s="4">
        <v>0</v>
      </c>
      <c r="N12" s="4">
        <v>0</v>
      </c>
      <c r="O12" s="4">
        <v>0</v>
      </c>
    </row>
    <row r="13" spans="1:15" ht="15.5" x14ac:dyDescent="0.25">
      <c r="A13" s="57" t="s">
        <v>79</v>
      </c>
      <c r="B13" s="4">
        <v>1129846</v>
      </c>
      <c r="C13" s="4">
        <v>1526347</v>
      </c>
      <c r="D13" s="4">
        <v>610274</v>
      </c>
      <c r="E13" s="4">
        <v>496128</v>
      </c>
      <c r="F13" s="4">
        <v>147182</v>
      </c>
      <c r="G13" s="4">
        <v>282307</v>
      </c>
      <c r="H13" s="4">
        <v>14442</v>
      </c>
      <c r="I13" s="4">
        <v>26035</v>
      </c>
      <c r="J13" s="4">
        <v>17830</v>
      </c>
      <c r="K13" s="4">
        <v>23107</v>
      </c>
      <c r="L13" s="4">
        <v>0</v>
      </c>
      <c r="M13" s="4">
        <v>0</v>
      </c>
      <c r="N13" s="4">
        <v>0</v>
      </c>
      <c r="O13" s="4">
        <v>0</v>
      </c>
    </row>
    <row r="14" spans="1:15" ht="15.5" x14ac:dyDescent="0.25">
      <c r="A14" s="57" t="s">
        <v>80</v>
      </c>
      <c r="B14" s="4">
        <v>968481</v>
      </c>
      <c r="C14" s="4">
        <v>943771</v>
      </c>
      <c r="D14" s="4">
        <v>521998</v>
      </c>
      <c r="E14" s="4">
        <v>423987</v>
      </c>
      <c r="F14" s="4">
        <v>126120</v>
      </c>
      <c r="G14" s="4">
        <v>242385</v>
      </c>
      <c r="H14" s="4">
        <v>5354</v>
      </c>
      <c r="I14" s="4">
        <v>99426</v>
      </c>
      <c r="J14" s="4">
        <v>6640</v>
      </c>
      <c r="K14" s="4">
        <v>7766</v>
      </c>
      <c r="L14" s="4">
        <v>0</v>
      </c>
      <c r="M14" s="4">
        <v>0</v>
      </c>
      <c r="N14" s="4">
        <v>0</v>
      </c>
      <c r="O14" s="4">
        <v>0</v>
      </c>
    </row>
    <row r="15" spans="1:15" ht="15.5" x14ac:dyDescent="0.25">
      <c r="A15" s="57" t="s">
        <v>81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</row>
    <row r="16" spans="1:15" ht="15.5" x14ac:dyDescent="0.25">
      <c r="A16" s="57" t="s">
        <v>82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</row>
    <row r="17" spans="1:15" ht="15.5" x14ac:dyDescent="0.25">
      <c r="A17" s="57" t="s">
        <v>83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spans="1:15" ht="15.5" x14ac:dyDescent="0.25">
      <c r="A18" s="57" t="s">
        <v>84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</row>
  </sheetData>
  <pageMargins left="0.7" right="0.7" top="0.75" bottom="0.75" header="0.3" footer="0.3"/>
  <pageSetup paperSize="9" orientation="portrait" verticalDpi="0" r:id="rId1"/>
  <headerFooter>
    <oddHeader>&amp;C&amp;"Calibri"&amp;10&amp;KFF0000 CONFIDENTIAL&amp;1#_x000D_</oddHeader>
  </headerFooter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6"/>
  <dimension ref="B1:P98"/>
  <sheetViews>
    <sheetView workbookViewId="0">
      <selection sqref="A1:XFD1048576"/>
    </sheetView>
  </sheetViews>
  <sheetFormatPr defaultColWidth="8.54296875" defaultRowHeight="12.5" x14ac:dyDescent="0.25"/>
  <cols>
    <col min="1" max="16" width="11.81640625" customWidth="1"/>
  </cols>
  <sheetData>
    <row r="1" spans="2:16" ht="53.25" customHeight="1" x14ac:dyDescent="0.25">
      <c r="B1" s="34" t="s">
        <v>51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2:16" ht="40.4" customHeight="1" x14ac:dyDescent="0.25">
      <c r="B2" s="35" t="e">
        <f>#REF!</f>
        <v>#REF!</v>
      </c>
      <c r="C2" s="33" t="str">
        <f>'Feeder Names'!E3</f>
        <v>HT.GRID_VCB</v>
      </c>
      <c r="D2" s="33" t="str">
        <f>'Feeder Names'!F3</f>
        <v>HT.TRAFO-1</v>
      </c>
      <c r="E2" s="33" t="str">
        <f>'Feeder Names'!G3</f>
        <v>HT.TRAFO-2</v>
      </c>
      <c r="F2" s="33" t="str">
        <f>'Feeder Names'!H3</f>
        <v>HT.TRAFO-3</v>
      </c>
      <c r="G2" s="33" t="str">
        <f>'Feeder Names'!I3</f>
        <v>HT.TRAFO-4</v>
      </c>
      <c r="H2" s="33" t="str">
        <f>'Feeder Names'!J3</f>
        <v>DG.DG_INC</v>
      </c>
      <c r="I2" s="33" t="str">
        <f>'Feeder Names'!K3</f>
        <v>DG.DG-1</v>
      </c>
      <c r="J2" s="33" t="str">
        <f>'Feeder Names'!L3</f>
        <v>DG.DG-2</v>
      </c>
      <c r="K2" s="33" t="str">
        <f>'Feeder Names'!M3</f>
        <v>DG.DG-3</v>
      </c>
      <c r="L2" s="33" t="str">
        <f>'Feeder Names'!N3</f>
        <v>DG.GD-4</v>
      </c>
      <c r="M2" s="33" t="str">
        <f>'Feeder Names'!O3</f>
        <v>DG.DG-5</v>
      </c>
      <c r="N2" s="33" t="str">
        <f>'Feeder Names'!P3</f>
        <v>DG.VCB_OUTGOING</v>
      </c>
      <c r="O2" s="33" t="str">
        <f>'Feeder Names'!Q3</f>
        <v>SOLAR.SOLAR-1</v>
      </c>
      <c r="P2" s="33" t="str">
        <f>'Feeder Names'!R3</f>
        <v>SOLAR.SOLAR-2</v>
      </c>
    </row>
    <row r="3" spans="2:16" ht="12.75" customHeight="1" x14ac:dyDescent="0.25">
      <c r="B3" s="36"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18.608000000007451</v>
      </c>
      <c r="N3" s="37">
        <v>15.715000000083819</v>
      </c>
      <c r="O3" s="37">
        <v>0.45800000000053842</v>
      </c>
      <c r="P3" s="37">
        <v>0</v>
      </c>
    </row>
    <row r="4" spans="2:16" ht="12.75" customHeight="1" x14ac:dyDescent="0.25">
      <c r="B4" s="36">
        <v>1.0416666666666666E-2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17.779999999969732</v>
      </c>
      <c r="N4" s="37">
        <v>23.078999999910593</v>
      </c>
      <c r="O4" s="37">
        <v>0.45900000000074215</v>
      </c>
      <c r="P4" s="37">
        <v>0</v>
      </c>
    </row>
    <row r="5" spans="2:16" ht="12.75" customHeight="1" x14ac:dyDescent="0.25">
      <c r="B5" s="36">
        <v>2.0833333333333301E-2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0.23499999999999943</v>
      </c>
      <c r="M5" s="37">
        <v>18.429999999993015</v>
      </c>
      <c r="N5" s="37">
        <v>23.003000000026077</v>
      </c>
      <c r="O5" s="37">
        <v>0.47799999999915599</v>
      </c>
      <c r="P5" s="37">
        <v>0</v>
      </c>
    </row>
    <row r="6" spans="2:16" x14ac:dyDescent="0.25">
      <c r="B6" s="36">
        <v>3.125E-2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37">
        <v>0</v>
      </c>
      <c r="L6" s="37">
        <v>0</v>
      </c>
      <c r="M6" s="37">
        <v>18.465000000025611</v>
      </c>
      <c r="N6" s="37">
        <v>23.385000000009313</v>
      </c>
      <c r="O6" s="37">
        <v>0.32200000000011642</v>
      </c>
      <c r="P6" s="37">
        <v>0</v>
      </c>
    </row>
    <row r="7" spans="2:16" x14ac:dyDescent="0.25">
      <c r="B7" s="36">
        <v>4.1666666666666699E-2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18.143999999971129</v>
      </c>
      <c r="N7" s="37">
        <v>23.120000000111759</v>
      </c>
      <c r="O7" s="37">
        <v>0.49699999999938882</v>
      </c>
      <c r="P7" s="37">
        <v>0</v>
      </c>
    </row>
    <row r="8" spans="2:16" x14ac:dyDescent="0.25">
      <c r="B8" s="36">
        <v>5.2083333333333301E-2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11.908000000054017</v>
      </c>
      <c r="N8" s="37">
        <v>23.391999999992549</v>
      </c>
      <c r="O8" s="37">
        <v>0.51100000000042201</v>
      </c>
      <c r="P8" s="37">
        <v>0</v>
      </c>
    </row>
    <row r="9" spans="2:16" x14ac:dyDescent="0.25">
      <c r="B9" s="36">
        <v>6.25E-2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18.936999999976251</v>
      </c>
      <c r="N9" s="37">
        <v>23.160999999847263</v>
      </c>
      <c r="O9" s="37">
        <v>0.48799999999937427</v>
      </c>
      <c r="P9" s="37">
        <v>0</v>
      </c>
    </row>
    <row r="10" spans="2:16" x14ac:dyDescent="0.25">
      <c r="B10" s="36">
        <v>7.2916666666666699E-2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18.289999999979045</v>
      </c>
      <c r="N10" s="37">
        <v>22.908000000054017</v>
      </c>
      <c r="O10" s="37">
        <v>0.4430000000011205</v>
      </c>
      <c r="P10" s="37">
        <v>0</v>
      </c>
    </row>
    <row r="11" spans="2:16" x14ac:dyDescent="0.25">
      <c r="B11" s="36">
        <v>8.3333333333333301E-2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0</v>
      </c>
      <c r="J11" s="37">
        <v>0</v>
      </c>
      <c r="K11" s="37">
        <v>0</v>
      </c>
      <c r="L11" s="37">
        <v>0</v>
      </c>
      <c r="M11" s="37">
        <v>18.52900000003865</v>
      </c>
      <c r="N11" s="37">
        <v>22.512000000104308</v>
      </c>
      <c r="O11" s="37">
        <v>0.49699999999938882</v>
      </c>
      <c r="P11" s="37">
        <v>0</v>
      </c>
    </row>
    <row r="12" spans="2:16" x14ac:dyDescent="0.25">
      <c r="B12" s="36">
        <v>9.375E-2</v>
      </c>
      <c r="C12" s="37">
        <v>0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0</v>
      </c>
      <c r="J12" s="37">
        <v>0</v>
      </c>
      <c r="K12" s="37">
        <v>0</v>
      </c>
      <c r="L12" s="37">
        <v>0</v>
      </c>
      <c r="M12" s="37">
        <v>18.00099999998929</v>
      </c>
      <c r="N12" s="37">
        <v>14.270999999949709</v>
      </c>
      <c r="O12" s="37">
        <v>0.53000000000065484</v>
      </c>
      <c r="P12" s="37">
        <v>0</v>
      </c>
    </row>
    <row r="13" spans="2:16" x14ac:dyDescent="0.25">
      <c r="B13" s="36">
        <v>0.104166666666667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0</v>
      </c>
      <c r="M13" s="37">
        <v>18.099999999976717</v>
      </c>
      <c r="N13" s="37">
        <v>20.425999999977648</v>
      </c>
      <c r="O13" s="37">
        <v>0.5139999999992142</v>
      </c>
      <c r="P13" s="37">
        <v>0</v>
      </c>
    </row>
    <row r="14" spans="2:16" x14ac:dyDescent="0.25">
      <c r="B14" s="36">
        <v>0.114583333333333</v>
      </c>
      <c r="C14" s="37">
        <v>0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0</v>
      </c>
      <c r="J14" s="37">
        <v>0</v>
      </c>
      <c r="K14" s="37">
        <v>0</v>
      </c>
      <c r="L14" s="37">
        <v>0.23200000000000109</v>
      </c>
      <c r="M14" s="37">
        <v>18.619000000006054</v>
      </c>
      <c r="N14" s="37">
        <v>22.358000000007451</v>
      </c>
      <c r="O14" s="37">
        <v>0.30400000000008731</v>
      </c>
      <c r="P14" s="37">
        <v>0</v>
      </c>
    </row>
    <row r="15" spans="2:16" x14ac:dyDescent="0.25">
      <c r="B15" s="36">
        <v>0.125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12.552000000025146</v>
      </c>
      <c r="N15" s="37">
        <v>23.888999999966472</v>
      </c>
      <c r="O15" s="37">
        <v>0.44200000000091677</v>
      </c>
      <c r="P15" s="37">
        <v>0</v>
      </c>
    </row>
    <row r="16" spans="2:16" x14ac:dyDescent="0.25">
      <c r="B16" s="36">
        <v>0.13541666666666699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18.149999999965075</v>
      </c>
      <c r="N16" s="37">
        <v>24.945999999996275</v>
      </c>
      <c r="O16" s="37">
        <v>0.49499999999898137</v>
      </c>
      <c r="P16" s="37">
        <v>0</v>
      </c>
    </row>
    <row r="17" spans="2:16" x14ac:dyDescent="0.25">
      <c r="B17" s="36">
        <v>0.14583333333333301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18.165000000037253</v>
      </c>
      <c r="N17" s="37">
        <v>24.023999999975786</v>
      </c>
      <c r="O17" s="37">
        <v>0.52200000000084401</v>
      </c>
      <c r="P17" s="37">
        <v>0</v>
      </c>
    </row>
    <row r="18" spans="2:16" x14ac:dyDescent="0.25">
      <c r="B18" s="36">
        <v>0.15625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0</v>
      </c>
      <c r="J18" s="37">
        <v>0</v>
      </c>
      <c r="K18" s="37">
        <v>0</v>
      </c>
      <c r="L18" s="37">
        <v>0</v>
      </c>
      <c r="M18" s="37">
        <v>18.224999999976717</v>
      </c>
      <c r="N18" s="37">
        <v>22.955000000074506</v>
      </c>
      <c r="O18" s="37">
        <v>0.48799999999937427</v>
      </c>
      <c r="P18" s="37">
        <v>0</v>
      </c>
    </row>
    <row r="19" spans="2:16" x14ac:dyDescent="0.25">
      <c r="B19" s="36">
        <v>0.16666666666666699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0</v>
      </c>
      <c r="J19" s="37">
        <v>0</v>
      </c>
      <c r="K19" s="37">
        <v>0</v>
      </c>
      <c r="L19" s="37">
        <v>0</v>
      </c>
      <c r="M19" s="37">
        <v>18.201999999990221</v>
      </c>
      <c r="N19" s="37">
        <v>16.669999999925494</v>
      </c>
      <c r="O19" s="37">
        <v>0.47099999999954889</v>
      </c>
      <c r="P19" s="37">
        <v>0</v>
      </c>
    </row>
    <row r="20" spans="2:16" x14ac:dyDescent="0.25">
      <c r="B20" s="36">
        <v>0.17708333333333301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18.363000000012107</v>
      </c>
      <c r="N20" s="37">
        <v>24.32300000009127</v>
      </c>
      <c r="O20" s="37">
        <v>0.48800000000119326</v>
      </c>
      <c r="P20" s="37">
        <v>0</v>
      </c>
    </row>
    <row r="21" spans="2:16" x14ac:dyDescent="0.25">
      <c r="B21" s="36">
        <v>0.1875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17.989000000001397</v>
      </c>
      <c r="N21" s="37">
        <v>23.653999999864027</v>
      </c>
      <c r="O21" s="37">
        <v>0.52099999999882129</v>
      </c>
      <c r="P21" s="37">
        <v>0</v>
      </c>
    </row>
    <row r="22" spans="2:16" x14ac:dyDescent="0.25">
      <c r="B22" s="36">
        <v>0.19791666666666699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12.065000000002328</v>
      </c>
      <c r="N22" s="37">
        <v>23.945999999996275</v>
      </c>
      <c r="O22" s="37">
        <v>0.34699999999975262</v>
      </c>
      <c r="P22" s="37">
        <v>0</v>
      </c>
    </row>
    <row r="23" spans="2:16" x14ac:dyDescent="0.25">
      <c r="B23" s="36">
        <v>0.20833333333333301</v>
      </c>
      <c r="C23" s="37">
        <v>268.99399999901652</v>
      </c>
      <c r="D23" s="37">
        <v>262.11899999994785</v>
      </c>
      <c r="E23" s="37">
        <v>43.199999999953434</v>
      </c>
      <c r="F23" s="37">
        <v>132.90500000002794</v>
      </c>
      <c r="G23" s="37">
        <v>47.619999999995343</v>
      </c>
      <c r="H23" s="37">
        <v>54.746999999973923</v>
      </c>
      <c r="I23" s="37">
        <v>0.17999999999999972</v>
      </c>
      <c r="J23" s="37">
        <v>0.51499999999999702</v>
      </c>
      <c r="K23" s="37">
        <v>0.37999999999999901</v>
      </c>
      <c r="L23" s="37">
        <v>3.0999999999998806E-2</v>
      </c>
      <c r="M23" s="37">
        <v>12.759000000020023</v>
      </c>
      <c r="N23" s="37">
        <v>18.049000000115484</v>
      </c>
      <c r="O23" s="37">
        <v>6.4070000000010623</v>
      </c>
      <c r="P23" s="37">
        <v>0</v>
      </c>
    </row>
    <row r="24" spans="2:16" x14ac:dyDescent="0.25">
      <c r="B24" s="36">
        <v>0.21875</v>
      </c>
      <c r="C24" s="37">
        <v>466.48200000077486</v>
      </c>
      <c r="D24" s="37">
        <v>445.12099999981001</v>
      </c>
      <c r="E24" s="37">
        <v>76.94800000009127</v>
      </c>
      <c r="F24" s="37">
        <v>224.17599999997765</v>
      </c>
      <c r="G24" s="37">
        <v>74.972000000008848</v>
      </c>
      <c r="H24" s="37">
        <v>105.43800000008196</v>
      </c>
      <c r="I24" s="37">
        <v>0</v>
      </c>
      <c r="J24" s="37">
        <v>0</v>
      </c>
      <c r="K24" s="37">
        <v>0</v>
      </c>
      <c r="L24" s="37">
        <v>0</v>
      </c>
      <c r="M24" s="37">
        <v>18.007999999972526</v>
      </c>
      <c r="N24" s="37">
        <v>21.66800000006333</v>
      </c>
      <c r="O24" s="37">
        <v>0.4750000000003638</v>
      </c>
      <c r="P24" s="37">
        <v>0</v>
      </c>
    </row>
    <row r="25" spans="2:16" x14ac:dyDescent="0.25">
      <c r="B25" s="36">
        <v>0.22916666666666699</v>
      </c>
      <c r="C25" s="37">
        <v>518.80499999970198</v>
      </c>
      <c r="D25" s="37">
        <v>512.17900000000373</v>
      </c>
      <c r="E25" s="37">
        <v>90.356999999959953</v>
      </c>
      <c r="F25" s="37">
        <v>252.76699999999255</v>
      </c>
      <c r="G25" s="37">
        <v>82.589000000036322</v>
      </c>
      <c r="H25" s="37">
        <v>120.60599999991246</v>
      </c>
      <c r="I25" s="37">
        <v>0</v>
      </c>
      <c r="J25" s="37">
        <v>0</v>
      </c>
      <c r="K25" s="37">
        <v>0</v>
      </c>
      <c r="L25" s="37">
        <v>0</v>
      </c>
      <c r="M25" s="37">
        <v>17.951999999990221</v>
      </c>
      <c r="N25" s="37">
        <v>23.139999999897555</v>
      </c>
      <c r="O25" s="37">
        <v>0.46099999999933061</v>
      </c>
      <c r="P25" s="37">
        <v>0</v>
      </c>
    </row>
    <row r="26" spans="2:16" x14ac:dyDescent="0.25">
      <c r="B26" s="36">
        <v>0.23958333333333301</v>
      </c>
      <c r="C26" s="37">
        <v>520.59899999946356</v>
      </c>
      <c r="D26" s="37">
        <v>497.93600000021979</v>
      </c>
      <c r="E26" s="37">
        <v>92.807999999960884</v>
      </c>
      <c r="F26" s="37">
        <v>241.31400000001304</v>
      </c>
      <c r="G26" s="37">
        <v>82.676999999966938</v>
      </c>
      <c r="H26" s="37">
        <v>116.17600000009406</v>
      </c>
      <c r="I26" s="37">
        <v>0</v>
      </c>
      <c r="J26" s="37">
        <v>0</v>
      </c>
      <c r="K26" s="37">
        <v>0</v>
      </c>
      <c r="L26" s="37">
        <v>0</v>
      </c>
      <c r="M26" s="37">
        <v>17.934000000008382</v>
      </c>
      <c r="N26" s="37">
        <v>22.952000000048429</v>
      </c>
      <c r="O26" s="37">
        <v>0.48699999999917054</v>
      </c>
      <c r="P26" s="37">
        <v>0</v>
      </c>
    </row>
    <row r="27" spans="2:16" x14ac:dyDescent="0.25">
      <c r="B27" s="36">
        <v>0.25</v>
      </c>
      <c r="C27" s="37">
        <v>526.02199999988079</v>
      </c>
      <c r="D27" s="37">
        <v>517.82299999985844</v>
      </c>
      <c r="E27" s="37">
        <v>94.881000000052154</v>
      </c>
      <c r="F27" s="37">
        <v>248.17500000004657</v>
      </c>
      <c r="G27" s="37">
        <v>76.754000000015367</v>
      </c>
      <c r="H27" s="37">
        <v>118.47099999990314</v>
      </c>
      <c r="I27" s="37">
        <v>0</v>
      </c>
      <c r="J27" s="37">
        <v>0</v>
      </c>
      <c r="K27" s="37">
        <v>0</v>
      </c>
      <c r="L27" s="37">
        <v>0</v>
      </c>
      <c r="M27" s="37">
        <v>17.973999999987427</v>
      </c>
      <c r="N27" s="37">
        <v>23.225000000093132</v>
      </c>
      <c r="O27" s="37">
        <v>0.47400000000016007</v>
      </c>
      <c r="P27" s="37">
        <v>0</v>
      </c>
    </row>
    <row r="28" spans="2:16" x14ac:dyDescent="0.25">
      <c r="B28" s="36">
        <v>0.26041666666666702</v>
      </c>
      <c r="C28" s="37">
        <v>505.10700000077486</v>
      </c>
      <c r="D28" s="37">
        <v>490.23499999986961</v>
      </c>
      <c r="E28" s="37">
        <v>94.692000000039116</v>
      </c>
      <c r="F28" s="37">
        <v>226.82099999999627</v>
      </c>
      <c r="G28" s="37">
        <v>80.87400000001071</v>
      </c>
      <c r="H28" s="37">
        <v>105.72700000007171</v>
      </c>
      <c r="I28" s="37">
        <v>0</v>
      </c>
      <c r="J28" s="37">
        <v>0</v>
      </c>
      <c r="K28" s="37">
        <v>0</v>
      </c>
      <c r="L28" s="37">
        <v>0</v>
      </c>
      <c r="M28" s="37">
        <v>17.617000000027474</v>
      </c>
      <c r="N28" s="37">
        <v>15.464999999850988</v>
      </c>
      <c r="O28" s="37">
        <v>0.47100000000136788</v>
      </c>
      <c r="P28" s="37">
        <v>0</v>
      </c>
    </row>
    <row r="29" spans="2:16" x14ac:dyDescent="0.25">
      <c r="B29" s="36">
        <v>0.27083333333333298</v>
      </c>
      <c r="C29" s="37">
        <v>455.88800000026822</v>
      </c>
      <c r="D29" s="37">
        <v>435.62400000030175</v>
      </c>
      <c r="E29" s="37">
        <v>83.144999999902211</v>
      </c>
      <c r="F29" s="37">
        <v>208.35699999984354</v>
      </c>
      <c r="G29" s="37">
        <v>83.152999999991152</v>
      </c>
      <c r="H29" s="37">
        <v>88.358999999938533</v>
      </c>
      <c r="I29" s="37">
        <v>0</v>
      </c>
      <c r="J29" s="37">
        <v>0</v>
      </c>
      <c r="K29" s="37">
        <v>0</v>
      </c>
      <c r="L29" s="37">
        <v>0</v>
      </c>
      <c r="M29" s="37">
        <v>17.489000000001397</v>
      </c>
      <c r="N29" s="37">
        <v>22.370000000111759</v>
      </c>
      <c r="O29" s="37">
        <v>0.47799999999915599</v>
      </c>
      <c r="P29" s="37">
        <v>0</v>
      </c>
    </row>
    <row r="30" spans="2:16" x14ac:dyDescent="0.25">
      <c r="B30" s="36">
        <v>0.28125</v>
      </c>
      <c r="C30" s="37">
        <v>435.16600000113249</v>
      </c>
      <c r="D30" s="37">
        <v>424.34700000006706</v>
      </c>
      <c r="E30" s="37">
        <v>79.810000000055879</v>
      </c>
      <c r="F30" s="37">
        <v>212.25300000002608</v>
      </c>
      <c r="G30" s="37">
        <v>88.531000000017229</v>
      </c>
      <c r="H30" s="37">
        <v>84.287000000011176</v>
      </c>
      <c r="I30" s="37">
        <v>0</v>
      </c>
      <c r="J30" s="37">
        <v>0</v>
      </c>
      <c r="K30" s="37">
        <v>0</v>
      </c>
      <c r="L30" s="37">
        <v>0</v>
      </c>
      <c r="M30" s="37">
        <v>18.118000000016764</v>
      </c>
      <c r="N30" s="37">
        <v>21.349999999860302</v>
      </c>
      <c r="O30" s="37">
        <v>0.49699999999938882</v>
      </c>
      <c r="P30" s="37">
        <v>0</v>
      </c>
    </row>
    <row r="31" spans="2:16" x14ac:dyDescent="0.25">
      <c r="B31" s="36">
        <v>0.29166666666666702</v>
      </c>
      <c r="C31" s="37">
        <v>439.07699999958277</v>
      </c>
      <c r="D31" s="37">
        <v>430.6089999997057</v>
      </c>
      <c r="E31" s="37">
        <v>74.177999999956228</v>
      </c>
      <c r="F31" s="37">
        <v>225.08499999996275</v>
      </c>
      <c r="G31" s="37">
        <v>94.870999999984633</v>
      </c>
      <c r="H31" s="37">
        <v>95.119999999995343</v>
      </c>
      <c r="I31" s="37">
        <v>0</v>
      </c>
      <c r="J31" s="37">
        <v>0</v>
      </c>
      <c r="K31" s="37">
        <v>0</v>
      </c>
      <c r="L31" s="37">
        <v>0</v>
      </c>
      <c r="M31" s="37">
        <v>11.601999999955297</v>
      </c>
      <c r="N31" s="37">
        <v>20.381000000052154</v>
      </c>
      <c r="O31" s="37">
        <v>0.32400000000052387</v>
      </c>
      <c r="P31" s="37">
        <v>0</v>
      </c>
    </row>
    <row r="32" spans="2:16" x14ac:dyDescent="0.25">
      <c r="B32" s="36">
        <v>0.30208333333333298</v>
      </c>
      <c r="C32" s="37">
        <v>449.72100000083447</v>
      </c>
      <c r="D32" s="37">
        <v>430.56600000010803</v>
      </c>
      <c r="E32" s="37">
        <v>75.907000000006519</v>
      </c>
      <c r="F32" s="37">
        <v>225.88600000017323</v>
      </c>
      <c r="G32" s="37">
        <v>76.618000000016764</v>
      </c>
      <c r="H32" s="37">
        <v>112.47800000000279</v>
      </c>
      <c r="I32" s="37">
        <v>0</v>
      </c>
      <c r="J32" s="37">
        <v>0</v>
      </c>
      <c r="K32" s="37">
        <v>0</v>
      </c>
      <c r="L32" s="37">
        <v>0</v>
      </c>
      <c r="M32" s="37">
        <v>18.314000000013039</v>
      </c>
      <c r="N32" s="37">
        <v>21.324999999953434</v>
      </c>
      <c r="O32" s="37">
        <v>0.4819999999999709</v>
      </c>
      <c r="P32" s="37">
        <v>0</v>
      </c>
    </row>
    <row r="33" spans="2:16" x14ac:dyDescent="0.25">
      <c r="B33" s="36">
        <v>0.3125</v>
      </c>
      <c r="C33" s="37">
        <v>448.50499999895692</v>
      </c>
      <c r="D33" s="37">
        <v>435.71199999982491</v>
      </c>
      <c r="E33" s="37">
        <v>75.827999999979511</v>
      </c>
      <c r="F33" s="37">
        <v>222.50499999988824</v>
      </c>
      <c r="G33" s="37">
        <v>68.00199999997858</v>
      </c>
      <c r="H33" s="37">
        <v>118.75900000007823</v>
      </c>
      <c r="I33" s="37">
        <v>0</v>
      </c>
      <c r="J33" s="37">
        <v>0</v>
      </c>
      <c r="K33" s="37">
        <v>0</v>
      </c>
      <c r="L33" s="37">
        <v>0</v>
      </c>
      <c r="M33" s="37">
        <v>17.782000000006519</v>
      </c>
      <c r="N33" s="37">
        <v>22.246000000042841</v>
      </c>
      <c r="O33" s="37">
        <v>0.4819999999999709</v>
      </c>
      <c r="P33" s="37">
        <v>0</v>
      </c>
    </row>
    <row r="34" spans="2:16" x14ac:dyDescent="0.25">
      <c r="B34" s="36">
        <v>0.32291666666666702</v>
      </c>
      <c r="C34" s="37">
        <v>464.19099999964237</v>
      </c>
      <c r="D34" s="37">
        <v>460.02600000007078</v>
      </c>
      <c r="E34" s="37">
        <v>78.210000000079162</v>
      </c>
      <c r="F34" s="37">
        <v>231.16400000010617</v>
      </c>
      <c r="G34" s="37">
        <v>71.917000000015832</v>
      </c>
      <c r="H34" s="37">
        <v>119.8739999999525</v>
      </c>
      <c r="I34" s="37">
        <v>0</v>
      </c>
      <c r="J34" s="37">
        <v>0</v>
      </c>
      <c r="K34" s="37">
        <v>0</v>
      </c>
      <c r="L34" s="37">
        <v>0</v>
      </c>
      <c r="M34" s="37">
        <v>17.706000000005588</v>
      </c>
      <c r="N34" s="37">
        <v>22.874000000068918</v>
      </c>
      <c r="O34" s="37">
        <v>0.47999999999956344</v>
      </c>
      <c r="P34" s="37">
        <v>0</v>
      </c>
    </row>
    <row r="35" spans="2:16" x14ac:dyDescent="0.25">
      <c r="B35" s="36">
        <v>0.33333333333333298</v>
      </c>
      <c r="C35" s="37">
        <v>393.70499999821186</v>
      </c>
      <c r="D35" s="37">
        <v>380.9250000002794</v>
      </c>
      <c r="E35" s="37">
        <v>67.529999999911524</v>
      </c>
      <c r="F35" s="37">
        <v>187.51699999999255</v>
      </c>
      <c r="G35" s="37">
        <v>60.093999999982771</v>
      </c>
      <c r="H35" s="37">
        <v>93.868999999947846</v>
      </c>
      <c r="I35" s="37">
        <v>0</v>
      </c>
      <c r="J35" s="37">
        <v>0</v>
      </c>
      <c r="K35" s="37">
        <v>0</v>
      </c>
      <c r="L35" s="37">
        <v>0</v>
      </c>
      <c r="M35" s="37">
        <v>11.945999999996275</v>
      </c>
      <c r="N35" s="37">
        <v>15.734999999869615</v>
      </c>
      <c r="O35" s="37">
        <v>0.30200000000149885</v>
      </c>
      <c r="P35" s="37">
        <v>0</v>
      </c>
    </row>
    <row r="36" spans="2:16" x14ac:dyDescent="0.25">
      <c r="B36" s="36">
        <v>0.34375</v>
      </c>
      <c r="C36" s="37">
        <v>3.9270000010728836</v>
      </c>
      <c r="D36" s="37">
        <v>2.1769999996758997</v>
      </c>
      <c r="E36" s="37">
        <v>0</v>
      </c>
      <c r="F36" s="37">
        <v>0</v>
      </c>
      <c r="G36" s="37">
        <v>0</v>
      </c>
      <c r="H36" s="37">
        <v>0</v>
      </c>
      <c r="I36" s="37">
        <v>0.12999999999999989</v>
      </c>
      <c r="J36" s="37">
        <v>9.2000000000002302E-2</v>
      </c>
      <c r="K36" s="37">
        <v>5.9000000000001052E-2</v>
      </c>
      <c r="L36" s="37">
        <v>1.9000000000000128E-2</v>
      </c>
      <c r="M36" s="37">
        <v>17.327999999979511</v>
      </c>
      <c r="N36" s="37">
        <v>21.751000000163913</v>
      </c>
      <c r="O36" s="37">
        <v>3.4179999999996653</v>
      </c>
      <c r="P36" s="37">
        <v>0</v>
      </c>
    </row>
    <row r="37" spans="2:16" x14ac:dyDescent="0.25">
      <c r="B37" s="36">
        <v>0.35416666666666702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17.107000000018161</v>
      </c>
      <c r="N37" s="37">
        <v>23.087999999988824</v>
      </c>
      <c r="O37" s="37">
        <v>1.841999999998734</v>
      </c>
      <c r="P37" s="37">
        <v>0</v>
      </c>
    </row>
    <row r="38" spans="2:16" x14ac:dyDescent="0.25">
      <c r="B38" s="36">
        <v>0.36458333333333298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0.15300000000000047</v>
      </c>
      <c r="M38" s="37">
        <v>17.436999999976251</v>
      </c>
      <c r="N38" s="37">
        <v>22.057000000029802</v>
      </c>
      <c r="O38" s="37">
        <v>2.772000000000844</v>
      </c>
      <c r="P38" s="37">
        <v>0</v>
      </c>
    </row>
    <row r="39" spans="2:16" x14ac:dyDescent="0.25">
      <c r="B39" s="36">
        <v>0.375</v>
      </c>
      <c r="C39" s="37">
        <v>232.77300000190735</v>
      </c>
      <c r="D39" s="37">
        <v>226.06199999991804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0.21499999999999986</v>
      </c>
      <c r="K39" s="37">
        <v>0.14799999999999969</v>
      </c>
      <c r="L39" s="37">
        <v>0.23099999999999987</v>
      </c>
      <c r="M39" s="37">
        <v>16.87400000001071</v>
      </c>
      <c r="N39" s="37">
        <v>19.916999999899417</v>
      </c>
      <c r="O39" s="37">
        <v>3.3809999999994034</v>
      </c>
      <c r="P39" s="37">
        <v>0</v>
      </c>
    </row>
    <row r="40" spans="2:16" x14ac:dyDescent="0.25">
      <c r="B40" s="36">
        <v>0.38541666666666702</v>
      </c>
      <c r="C40" s="37">
        <v>398.38699999824166</v>
      </c>
      <c r="D40" s="37">
        <v>386.72900000028312</v>
      </c>
      <c r="E40" s="37">
        <v>70.850000000093132</v>
      </c>
      <c r="F40" s="37">
        <v>191.69800000009127</v>
      </c>
      <c r="G40" s="37">
        <v>51.714000000036322</v>
      </c>
      <c r="H40" s="37">
        <v>101.92700000002515</v>
      </c>
      <c r="I40" s="37">
        <v>0</v>
      </c>
      <c r="J40" s="37">
        <v>0</v>
      </c>
      <c r="K40" s="37">
        <v>0</v>
      </c>
      <c r="L40" s="37">
        <v>0</v>
      </c>
      <c r="M40" s="37">
        <v>18.162000000011176</v>
      </c>
      <c r="N40" s="37">
        <v>22.173999999882653</v>
      </c>
      <c r="O40" s="37">
        <v>1.3000000000829459E-2</v>
      </c>
      <c r="P40" s="37">
        <v>0</v>
      </c>
    </row>
    <row r="41" spans="2:16" x14ac:dyDescent="0.25">
      <c r="B41" s="36">
        <v>0.39583333333333298</v>
      </c>
      <c r="C41" s="37">
        <v>468.05099999904633</v>
      </c>
      <c r="D41" s="37">
        <v>454.90100000007078</v>
      </c>
      <c r="E41" s="37">
        <v>87.326999999932013</v>
      </c>
      <c r="F41" s="37">
        <v>206.18299999996088</v>
      </c>
      <c r="G41" s="37">
        <v>50.960999999952037</v>
      </c>
      <c r="H41" s="37">
        <v>117.39399999997113</v>
      </c>
      <c r="I41" s="37">
        <v>0</v>
      </c>
      <c r="J41" s="37">
        <v>0</v>
      </c>
      <c r="K41" s="37">
        <v>0</v>
      </c>
      <c r="L41" s="37">
        <v>0</v>
      </c>
      <c r="M41" s="37">
        <v>17.495999999984633</v>
      </c>
      <c r="N41" s="37">
        <v>22.561000000219792</v>
      </c>
      <c r="O41" s="37">
        <v>0.48599999999896681</v>
      </c>
      <c r="P41" s="37">
        <v>0</v>
      </c>
    </row>
    <row r="42" spans="2:16" x14ac:dyDescent="0.25">
      <c r="B42" s="36">
        <v>0.40625</v>
      </c>
      <c r="C42" s="37">
        <v>489.32500000298023</v>
      </c>
      <c r="D42" s="37">
        <v>475.64899999974295</v>
      </c>
      <c r="E42" s="37">
        <v>95.66800000006333</v>
      </c>
      <c r="F42" s="37">
        <v>212.45099999988452</v>
      </c>
      <c r="G42" s="37">
        <v>53.141999999992549</v>
      </c>
      <c r="H42" s="37">
        <v>119.5329999999376</v>
      </c>
      <c r="I42" s="37">
        <v>0</v>
      </c>
      <c r="J42" s="37">
        <v>0</v>
      </c>
      <c r="K42" s="37">
        <v>0</v>
      </c>
      <c r="L42" s="37">
        <v>0</v>
      </c>
      <c r="M42" s="37">
        <v>18.023000000044703</v>
      </c>
      <c r="N42" s="37">
        <v>15.381999999983236</v>
      </c>
      <c r="O42" s="37">
        <v>0.29600000000027649</v>
      </c>
      <c r="P42" s="37">
        <v>0</v>
      </c>
    </row>
    <row r="43" spans="2:16" x14ac:dyDescent="0.25">
      <c r="B43" s="36">
        <v>0.41666666666666702</v>
      </c>
      <c r="C43" s="37">
        <v>495.25899999961257</v>
      </c>
      <c r="D43" s="37">
        <v>480.55400000000373</v>
      </c>
      <c r="E43" s="37">
        <v>97.996999999973923</v>
      </c>
      <c r="F43" s="37">
        <v>205.17700000014156</v>
      </c>
      <c r="G43" s="37">
        <v>48.332000000053085</v>
      </c>
      <c r="H43" s="37">
        <v>118.2390000000596</v>
      </c>
      <c r="I43" s="37">
        <v>0</v>
      </c>
      <c r="J43" s="37">
        <v>0</v>
      </c>
      <c r="K43" s="37">
        <v>0</v>
      </c>
      <c r="L43" s="37">
        <v>0</v>
      </c>
      <c r="M43" s="37">
        <v>11.97099999996135</v>
      </c>
      <c r="N43" s="37">
        <v>22.591999999945983</v>
      </c>
      <c r="O43" s="37">
        <v>0.46200000000135333</v>
      </c>
      <c r="P43" s="37">
        <v>0</v>
      </c>
    </row>
    <row r="44" spans="2:16" x14ac:dyDescent="0.25">
      <c r="B44" s="36">
        <v>0.42708333333333298</v>
      </c>
      <c r="C44" s="37">
        <v>499.14799999818206</v>
      </c>
      <c r="D44" s="37">
        <v>485.28500000014901</v>
      </c>
      <c r="E44" s="37">
        <v>98.96999999997206</v>
      </c>
      <c r="F44" s="37">
        <v>201.01499999989755</v>
      </c>
      <c r="G44" s="37">
        <v>46.396999999997206</v>
      </c>
      <c r="H44" s="37">
        <v>116.87100000004284</v>
      </c>
      <c r="I44" s="37">
        <v>0</v>
      </c>
      <c r="J44" s="37">
        <v>0</v>
      </c>
      <c r="K44" s="37">
        <v>0</v>
      </c>
      <c r="L44" s="37">
        <v>0</v>
      </c>
      <c r="M44" s="37">
        <v>17.601000000024214</v>
      </c>
      <c r="N44" s="37">
        <v>22.44399999990128</v>
      </c>
      <c r="O44" s="37">
        <v>0.47899999999935972</v>
      </c>
      <c r="P44" s="37">
        <v>0</v>
      </c>
    </row>
    <row r="45" spans="2:16" x14ac:dyDescent="0.25">
      <c r="B45" s="36">
        <v>0.4375</v>
      </c>
      <c r="C45" s="37">
        <v>514.56599999964237</v>
      </c>
      <c r="D45" s="37">
        <v>499.28099999995902</v>
      </c>
      <c r="E45" s="37">
        <v>100.83100000000559</v>
      </c>
      <c r="F45" s="37">
        <v>211.7730000000447</v>
      </c>
      <c r="G45" s="37">
        <v>55.405999999959022</v>
      </c>
      <c r="H45" s="37">
        <v>116.47399999992922</v>
      </c>
      <c r="I45" s="37">
        <v>0</v>
      </c>
      <c r="J45" s="37">
        <v>0</v>
      </c>
      <c r="K45" s="37">
        <v>0</v>
      </c>
      <c r="L45" s="37">
        <v>0</v>
      </c>
      <c r="M45" s="37">
        <v>17.371999999973923</v>
      </c>
      <c r="N45" s="37">
        <v>22.824999999953434</v>
      </c>
      <c r="O45" s="37">
        <v>0.49499999999898137</v>
      </c>
      <c r="P45" s="37">
        <v>0</v>
      </c>
    </row>
    <row r="46" spans="2:16" x14ac:dyDescent="0.25">
      <c r="B46" s="36">
        <v>0.44791666666666702</v>
      </c>
      <c r="C46" s="37">
        <v>511.50400000065565</v>
      </c>
      <c r="D46" s="37">
        <v>497.47599999979138</v>
      </c>
      <c r="E46" s="37">
        <v>96.927000000025146</v>
      </c>
      <c r="F46" s="37">
        <v>215.125</v>
      </c>
      <c r="G46" s="37">
        <v>64.855000000039581</v>
      </c>
      <c r="H46" s="37">
        <v>112.75300000002608</v>
      </c>
      <c r="I46" s="37">
        <v>0</v>
      </c>
      <c r="J46" s="37">
        <v>0</v>
      </c>
      <c r="K46" s="37">
        <v>0</v>
      </c>
      <c r="L46" s="37">
        <v>0</v>
      </c>
      <c r="M46" s="37">
        <v>18.119999999995343</v>
      </c>
      <c r="N46" s="37">
        <v>22.855000000214204</v>
      </c>
      <c r="O46" s="37">
        <v>0.50500000000101863</v>
      </c>
      <c r="P46" s="37">
        <v>0</v>
      </c>
    </row>
    <row r="47" spans="2:16" x14ac:dyDescent="0.25">
      <c r="B47" s="36">
        <v>0.45833333333333298</v>
      </c>
      <c r="C47" s="37">
        <v>496.62900000065565</v>
      </c>
      <c r="D47" s="37">
        <v>483.67200000025332</v>
      </c>
      <c r="E47" s="37">
        <v>95.673999999999069</v>
      </c>
      <c r="F47" s="37">
        <v>211.4769999999553</v>
      </c>
      <c r="G47" s="37">
        <v>61.604999999981374</v>
      </c>
      <c r="H47" s="37">
        <v>114.6940000000177</v>
      </c>
      <c r="I47" s="37">
        <v>0</v>
      </c>
      <c r="J47" s="37">
        <v>0</v>
      </c>
      <c r="K47" s="37">
        <v>0</v>
      </c>
      <c r="L47" s="37">
        <v>0</v>
      </c>
      <c r="M47" s="37">
        <v>17.712999999988824</v>
      </c>
      <c r="N47" s="37">
        <v>22.09499999997206</v>
      </c>
      <c r="O47" s="37">
        <v>0.50200000000040745</v>
      </c>
      <c r="P47" s="37">
        <v>0</v>
      </c>
    </row>
    <row r="48" spans="2:16" x14ac:dyDescent="0.25">
      <c r="B48" s="36">
        <v>0.46875</v>
      </c>
      <c r="C48" s="37">
        <v>481.42799999937415</v>
      </c>
      <c r="D48" s="37">
        <v>467.7909999997355</v>
      </c>
      <c r="E48" s="37">
        <v>92.98499999998603</v>
      </c>
      <c r="F48" s="37">
        <v>198.91599999996834</v>
      </c>
      <c r="G48" s="37">
        <v>53.150000000023283</v>
      </c>
      <c r="H48" s="37">
        <v>116.52899999998044</v>
      </c>
      <c r="I48" s="37">
        <v>0</v>
      </c>
      <c r="J48" s="37">
        <v>0</v>
      </c>
      <c r="K48" s="37">
        <v>0</v>
      </c>
      <c r="L48" s="37">
        <v>0</v>
      </c>
      <c r="M48" s="37">
        <v>17.825000000011642</v>
      </c>
      <c r="N48" s="37">
        <v>22.059999999823049</v>
      </c>
      <c r="O48" s="37">
        <v>0.46899999999914144</v>
      </c>
      <c r="P48" s="37">
        <v>0</v>
      </c>
    </row>
    <row r="49" spans="2:16" x14ac:dyDescent="0.25">
      <c r="B49" s="36">
        <v>0.47916666666666702</v>
      </c>
      <c r="C49" s="37">
        <v>447.48999999836087</v>
      </c>
      <c r="D49" s="37">
        <v>435.08700000029057</v>
      </c>
      <c r="E49" s="37">
        <v>83.400999999954365</v>
      </c>
      <c r="F49" s="37">
        <v>192.60400000005029</v>
      </c>
      <c r="G49" s="37">
        <v>49.429999999993015</v>
      </c>
      <c r="H49" s="37">
        <v>116.10800000000745</v>
      </c>
      <c r="I49" s="37">
        <v>0</v>
      </c>
      <c r="J49" s="37">
        <v>0</v>
      </c>
      <c r="K49" s="37">
        <v>0</v>
      </c>
      <c r="L49" s="37">
        <v>0</v>
      </c>
      <c r="M49" s="37">
        <v>17.913999999989755</v>
      </c>
      <c r="N49" s="37">
        <v>21.700000000186265</v>
      </c>
      <c r="O49" s="37">
        <v>0.50599999999940337</v>
      </c>
      <c r="P49" s="37">
        <v>0</v>
      </c>
    </row>
    <row r="50" spans="2:16" x14ac:dyDescent="0.25">
      <c r="B50" s="36">
        <v>0.48958333333333298</v>
      </c>
      <c r="C50" s="37">
        <v>425.89900000020862</v>
      </c>
      <c r="D50" s="37">
        <v>414.12999999988824</v>
      </c>
      <c r="E50" s="37">
        <v>81.829000000027008</v>
      </c>
      <c r="F50" s="37">
        <v>180.55799999996088</v>
      </c>
      <c r="G50" s="37">
        <v>43.418000000005122</v>
      </c>
      <c r="H50" s="37">
        <v>108.05799999996088</v>
      </c>
      <c r="I50" s="37">
        <v>0</v>
      </c>
      <c r="J50" s="37">
        <v>0</v>
      </c>
      <c r="K50" s="37">
        <v>0</v>
      </c>
      <c r="L50" s="37">
        <v>0</v>
      </c>
      <c r="M50" s="37">
        <v>17.817000000039116</v>
      </c>
      <c r="N50" s="37">
        <v>21.919999999925494</v>
      </c>
      <c r="O50" s="37">
        <v>0.48000000000138243</v>
      </c>
      <c r="P50" s="37">
        <v>0</v>
      </c>
    </row>
    <row r="51" spans="2:16" x14ac:dyDescent="0.25">
      <c r="B51" s="36">
        <v>0.5</v>
      </c>
      <c r="C51" s="37">
        <v>449.53500000014901</v>
      </c>
      <c r="D51" s="37">
        <v>436.63299999991432</v>
      </c>
      <c r="E51" s="37">
        <v>88.26300000003539</v>
      </c>
      <c r="F51" s="37">
        <v>181.2980000001844</v>
      </c>
      <c r="G51" s="37">
        <v>38.067999999970198</v>
      </c>
      <c r="H51" s="37">
        <v>111.07600000000093</v>
      </c>
      <c r="I51" s="37">
        <v>0</v>
      </c>
      <c r="J51" s="37">
        <v>0</v>
      </c>
      <c r="K51" s="37">
        <v>0</v>
      </c>
      <c r="L51" s="37">
        <v>0</v>
      </c>
      <c r="M51" s="37">
        <v>18.273999999975786</v>
      </c>
      <c r="N51" s="37">
        <v>22.827999999979511</v>
      </c>
      <c r="O51" s="37">
        <v>0.31599999999889405</v>
      </c>
      <c r="P51" s="37">
        <v>0</v>
      </c>
    </row>
    <row r="52" spans="2:16" x14ac:dyDescent="0.25">
      <c r="B52" s="36">
        <v>0.51041666666666696</v>
      </c>
      <c r="C52" s="37">
        <v>450.11100000143051</v>
      </c>
      <c r="D52" s="37">
        <v>437.81700000027195</v>
      </c>
      <c r="E52" s="37">
        <v>90.187000000034459</v>
      </c>
      <c r="F52" s="37">
        <v>175.85499999998137</v>
      </c>
      <c r="G52" s="37">
        <v>33.777000000001863</v>
      </c>
      <c r="H52" s="37">
        <v>112.66500000003725</v>
      </c>
      <c r="I52" s="37">
        <v>0</v>
      </c>
      <c r="J52" s="37">
        <v>0</v>
      </c>
      <c r="K52" s="37">
        <v>0</v>
      </c>
      <c r="L52" s="37">
        <v>0</v>
      </c>
      <c r="M52" s="37">
        <v>17.467999999993481</v>
      </c>
      <c r="N52" s="37">
        <v>22.584999999962747</v>
      </c>
      <c r="O52" s="37">
        <v>0.50700000000142609</v>
      </c>
      <c r="P52" s="37">
        <v>0</v>
      </c>
    </row>
    <row r="53" spans="2:16" x14ac:dyDescent="0.25">
      <c r="B53" s="36">
        <v>0.52083333333333304</v>
      </c>
      <c r="C53" s="37">
        <v>461.80200000107288</v>
      </c>
      <c r="D53" s="37">
        <v>450.19099999964237</v>
      </c>
      <c r="E53" s="37">
        <v>90.966999999945983</v>
      </c>
      <c r="F53" s="37">
        <v>186.13999999989755</v>
      </c>
      <c r="G53" s="37">
        <v>40.289999999979045</v>
      </c>
      <c r="H53" s="37">
        <v>110.66799999994691</v>
      </c>
      <c r="I53" s="37">
        <v>0</v>
      </c>
      <c r="J53" s="37">
        <v>0</v>
      </c>
      <c r="K53" s="37">
        <v>0</v>
      </c>
      <c r="L53" s="37">
        <v>0</v>
      </c>
      <c r="M53" s="37">
        <v>11.99900000001071</v>
      </c>
      <c r="N53" s="37">
        <v>15.567000000039116</v>
      </c>
      <c r="O53" s="37">
        <v>0.50799999999981083</v>
      </c>
      <c r="P53" s="37">
        <v>0</v>
      </c>
    </row>
    <row r="54" spans="2:16" x14ac:dyDescent="0.25">
      <c r="B54" s="36">
        <v>0.53125</v>
      </c>
      <c r="C54" s="37">
        <v>461.72899999842048</v>
      </c>
      <c r="D54" s="37">
        <v>449.11600000038743</v>
      </c>
      <c r="E54" s="37">
        <v>89.067000000039116</v>
      </c>
      <c r="F54" s="37">
        <v>198.73699999996461</v>
      </c>
      <c r="G54" s="37">
        <v>43.491000000038184</v>
      </c>
      <c r="H54" s="37">
        <v>112.20200000004843</v>
      </c>
      <c r="I54" s="37">
        <v>0</v>
      </c>
      <c r="J54" s="37">
        <v>0</v>
      </c>
      <c r="K54" s="37">
        <v>0</v>
      </c>
      <c r="L54" s="37">
        <v>0</v>
      </c>
      <c r="M54" s="37">
        <v>17.576999999990221</v>
      </c>
      <c r="N54" s="37">
        <v>22.918999999994412</v>
      </c>
      <c r="O54" s="37">
        <v>0.50499999999919964</v>
      </c>
      <c r="P54" s="37">
        <v>0</v>
      </c>
    </row>
    <row r="55" spans="2:16" x14ac:dyDescent="0.25">
      <c r="B55" s="36">
        <v>0.54166666666666696</v>
      </c>
      <c r="C55" s="37">
        <v>462.57800000160933</v>
      </c>
      <c r="D55" s="37">
        <v>450.39099999982864</v>
      </c>
      <c r="E55" s="37">
        <v>88.84499999997206</v>
      </c>
      <c r="F55" s="37">
        <v>197.94700000016019</v>
      </c>
      <c r="G55" s="37">
        <v>40.375</v>
      </c>
      <c r="H55" s="37">
        <v>111.59299999999348</v>
      </c>
      <c r="I55" s="37">
        <v>0</v>
      </c>
      <c r="J55" s="37">
        <v>0</v>
      </c>
      <c r="K55" s="37">
        <v>0</v>
      </c>
      <c r="L55" s="37">
        <v>0</v>
      </c>
      <c r="M55" s="37">
        <v>17.643000000040047</v>
      </c>
      <c r="N55" s="37">
        <v>22.110000000102445</v>
      </c>
      <c r="O55" s="37">
        <v>0.51100000000042201</v>
      </c>
      <c r="P55" s="37">
        <v>0</v>
      </c>
    </row>
    <row r="56" spans="2:16" x14ac:dyDescent="0.25">
      <c r="B56" s="36">
        <v>0.55208333333333304</v>
      </c>
      <c r="C56" s="37">
        <v>450.6659999974072</v>
      </c>
      <c r="D56" s="37">
        <v>439.29600000008941</v>
      </c>
      <c r="E56" s="37">
        <v>86.091999999945983</v>
      </c>
      <c r="F56" s="37">
        <v>196.22799999988638</v>
      </c>
      <c r="G56" s="37">
        <v>42.947999999974854</v>
      </c>
      <c r="H56" s="37">
        <v>108.71100000001024</v>
      </c>
      <c r="I56" s="37">
        <v>0</v>
      </c>
      <c r="J56" s="37">
        <v>0</v>
      </c>
      <c r="K56" s="37">
        <v>0</v>
      </c>
      <c r="L56" s="37">
        <v>0</v>
      </c>
      <c r="M56" s="37">
        <v>17.811999999976251</v>
      </c>
      <c r="N56" s="37">
        <v>22.257999999914318</v>
      </c>
      <c r="O56" s="37">
        <v>0.50499999999919964</v>
      </c>
      <c r="P56" s="37">
        <v>0</v>
      </c>
    </row>
    <row r="57" spans="2:16" x14ac:dyDescent="0.25">
      <c r="B57" s="36">
        <v>0.5625</v>
      </c>
      <c r="C57" s="37">
        <v>466.18300000205636</v>
      </c>
      <c r="D57" s="37">
        <v>453.83499999996275</v>
      </c>
      <c r="E57" s="37">
        <v>81.94800000009127</v>
      </c>
      <c r="F57" s="37">
        <v>214.80199999990873</v>
      </c>
      <c r="G57" s="37">
        <v>62.303000000014435</v>
      </c>
      <c r="H57" s="37">
        <v>104.88899999996647</v>
      </c>
      <c r="I57" s="37">
        <v>0</v>
      </c>
      <c r="J57" s="37">
        <v>0</v>
      </c>
      <c r="K57" s="37">
        <v>0</v>
      </c>
      <c r="L57" s="37">
        <v>0</v>
      </c>
      <c r="M57" s="37">
        <v>17.945999999996275</v>
      </c>
      <c r="N57" s="37">
        <v>22.618000000016764</v>
      </c>
      <c r="O57" s="37">
        <v>0.49500000000080036</v>
      </c>
      <c r="P57" s="37">
        <v>0</v>
      </c>
    </row>
    <row r="58" spans="2:16" x14ac:dyDescent="0.25">
      <c r="B58" s="36">
        <v>0.57291666666666696</v>
      </c>
      <c r="C58" s="37">
        <v>464.49899999797344</v>
      </c>
      <c r="D58" s="37">
        <v>451.73600000003353</v>
      </c>
      <c r="E58" s="37">
        <v>84.648999999975786</v>
      </c>
      <c r="F58" s="37">
        <v>219.67400000011548</v>
      </c>
      <c r="G58" s="37">
        <v>69.069000000017695</v>
      </c>
      <c r="H58" s="37">
        <v>104.93700000003446</v>
      </c>
      <c r="I58" s="37">
        <v>0</v>
      </c>
      <c r="J58" s="37">
        <v>0</v>
      </c>
      <c r="K58" s="37">
        <v>0</v>
      </c>
      <c r="L58" s="37">
        <v>0</v>
      </c>
      <c r="M58" s="37">
        <v>17.637999999977183</v>
      </c>
      <c r="N58" s="37">
        <v>21.804999999934807</v>
      </c>
      <c r="O58" s="37">
        <v>0.50100000000020373</v>
      </c>
      <c r="P58" s="37">
        <v>0</v>
      </c>
    </row>
    <row r="59" spans="2:16" x14ac:dyDescent="0.25">
      <c r="B59" s="36">
        <v>0.58333333333333304</v>
      </c>
      <c r="C59" s="37">
        <v>435.75</v>
      </c>
      <c r="D59" s="37">
        <v>419.9660000000149</v>
      </c>
      <c r="E59" s="37">
        <v>74.407000000006519</v>
      </c>
      <c r="F59" s="37">
        <v>212.82400000002235</v>
      </c>
      <c r="G59" s="37">
        <v>66.952999999979511</v>
      </c>
      <c r="H59" s="37">
        <v>98.59699999995064</v>
      </c>
      <c r="I59" s="37">
        <v>0</v>
      </c>
      <c r="J59" s="37">
        <v>0</v>
      </c>
      <c r="K59" s="37">
        <v>0</v>
      </c>
      <c r="L59" s="37">
        <v>0</v>
      </c>
      <c r="M59" s="37">
        <v>17.897000000055414</v>
      </c>
      <c r="N59" s="37">
        <v>21.377000000094995</v>
      </c>
      <c r="O59" s="37">
        <v>0.51699999999982538</v>
      </c>
      <c r="P59" s="37">
        <v>0</v>
      </c>
    </row>
    <row r="60" spans="2:16" x14ac:dyDescent="0.25">
      <c r="B60" s="36">
        <v>0.59375</v>
      </c>
      <c r="C60" s="37">
        <v>382.21499999985099</v>
      </c>
      <c r="D60" s="37">
        <v>376.67299999995157</v>
      </c>
      <c r="E60" s="37">
        <v>67.716999999945983</v>
      </c>
      <c r="F60" s="37">
        <v>189.76799999992363</v>
      </c>
      <c r="G60" s="37">
        <v>65.371999999973923</v>
      </c>
      <c r="H60" s="37">
        <v>84.580000000074506</v>
      </c>
      <c r="I60" s="37">
        <v>0</v>
      </c>
      <c r="J60" s="37">
        <v>0</v>
      </c>
      <c r="K60" s="37">
        <v>0</v>
      </c>
      <c r="L60" s="37">
        <v>0</v>
      </c>
      <c r="M60" s="37">
        <v>17.589999999967404</v>
      </c>
      <c r="N60" s="37">
        <v>21.082999999867752</v>
      </c>
      <c r="O60" s="37">
        <v>0.51299999999901047</v>
      </c>
      <c r="P60" s="37">
        <v>0</v>
      </c>
    </row>
    <row r="61" spans="2:16" x14ac:dyDescent="0.25">
      <c r="B61" s="36">
        <v>0.60416666666666696</v>
      </c>
      <c r="C61" s="37">
        <v>392.74000000208616</v>
      </c>
      <c r="D61" s="37">
        <v>375.35999999986961</v>
      </c>
      <c r="E61" s="37">
        <v>65.896999999997206</v>
      </c>
      <c r="F61" s="37">
        <v>190.50600000005215</v>
      </c>
      <c r="G61" s="37">
        <v>63.722000000008848</v>
      </c>
      <c r="H61" s="37">
        <v>87.821999999927357</v>
      </c>
      <c r="I61" s="37">
        <v>0</v>
      </c>
      <c r="J61" s="37">
        <v>0</v>
      </c>
      <c r="K61" s="37">
        <v>0</v>
      </c>
      <c r="L61" s="37">
        <v>0</v>
      </c>
      <c r="M61" s="37">
        <v>17.173999999999069</v>
      </c>
      <c r="N61" s="37">
        <v>19.695000000065193</v>
      </c>
      <c r="O61" s="37">
        <v>0.35600000000158616</v>
      </c>
      <c r="P61" s="37">
        <v>0</v>
      </c>
    </row>
    <row r="62" spans="2:16" x14ac:dyDescent="0.25">
      <c r="B62" s="36">
        <v>0.61458333333333304</v>
      </c>
      <c r="C62" s="37">
        <v>450.17700000107288</v>
      </c>
      <c r="D62" s="37">
        <v>438.32299999985844</v>
      </c>
      <c r="E62" s="37">
        <v>74.322000000043772</v>
      </c>
      <c r="F62" s="37">
        <v>219.18999999994412</v>
      </c>
      <c r="G62" s="37">
        <v>65.523000000044703</v>
      </c>
      <c r="H62" s="37">
        <v>110.99800000002142</v>
      </c>
      <c r="I62" s="37">
        <v>0</v>
      </c>
      <c r="J62" s="37">
        <v>0</v>
      </c>
      <c r="K62" s="37">
        <v>0</v>
      </c>
      <c r="L62" s="37">
        <v>0</v>
      </c>
      <c r="M62" s="37">
        <v>17.555999999982305</v>
      </c>
      <c r="N62" s="37">
        <v>21.80600000009872</v>
      </c>
      <c r="O62" s="37">
        <v>0.45099999999911233</v>
      </c>
      <c r="P62" s="37">
        <v>0</v>
      </c>
    </row>
    <row r="63" spans="2:16" x14ac:dyDescent="0.25">
      <c r="B63" s="36">
        <v>0.625</v>
      </c>
      <c r="C63" s="37">
        <v>467.20799999684095</v>
      </c>
      <c r="D63" s="37">
        <v>458.01300000026822</v>
      </c>
      <c r="E63" s="37">
        <v>78.853999999933876</v>
      </c>
      <c r="F63" s="37">
        <v>228.32099999999627</v>
      </c>
      <c r="G63" s="37">
        <v>69.555999999982305</v>
      </c>
      <c r="H63" s="37">
        <v>114.32000000006519</v>
      </c>
      <c r="I63" s="37">
        <v>0</v>
      </c>
      <c r="J63" s="37">
        <v>0</v>
      </c>
      <c r="K63" s="37">
        <v>0</v>
      </c>
      <c r="L63" s="37">
        <v>0</v>
      </c>
      <c r="M63" s="37">
        <v>17.607000000018161</v>
      </c>
      <c r="N63" s="37">
        <v>22.352999999886379</v>
      </c>
      <c r="O63" s="37">
        <v>0.44900000000052387</v>
      </c>
      <c r="P63" s="37">
        <v>0</v>
      </c>
    </row>
    <row r="64" spans="2:16" x14ac:dyDescent="0.25">
      <c r="B64" s="36">
        <v>0.63541666666666696</v>
      </c>
      <c r="C64" s="37">
        <v>439.35900000110269</v>
      </c>
      <c r="D64" s="37">
        <v>433.47599999979138</v>
      </c>
      <c r="E64" s="37">
        <v>78.222999999998137</v>
      </c>
      <c r="F64" s="37">
        <v>204.16000000014901</v>
      </c>
      <c r="G64" s="37">
        <v>58.252999999967869</v>
      </c>
      <c r="H64" s="37">
        <v>112.90099999995437</v>
      </c>
      <c r="I64" s="37">
        <v>0</v>
      </c>
      <c r="J64" s="37">
        <v>0</v>
      </c>
      <c r="K64" s="37">
        <v>0</v>
      </c>
      <c r="L64" s="37">
        <v>0</v>
      </c>
      <c r="M64" s="37">
        <v>17.853000000002794</v>
      </c>
      <c r="N64" s="37">
        <v>14.79300000006333</v>
      </c>
      <c r="O64" s="37">
        <v>0.43800000000010186</v>
      </c>
      <c r="P64" s="37">
        <v>0</v>
      </c>
    </row>
    <row r="65" spans="2:16" x14ac:dyDescent="0.25">
      <c r="B65" s="36">
        <v>0.64583333333333304</v>
      </c>
      <c r="C65" s="37">
        <v>421.85900000110269</v>
      </c>
      <c r="D65" s="37">
        <v>410.93900000024587</v>
      </c>
      <c r="E65" s="37">
        <v>76.465000000083819</v>
      </c>
      <c r="F65" s="37">
        <v>192.45600000000559</v>
      </c>
      <c r="G65" s="37">
        <v>47.400000000023283</v>
      </c>
      <c r="H65" s="37">
        <v>110.51899999997113</v>
      </c>
      <c r="I65" s="37">
        <v>0</v>
      </c>
      <c r="J65" s="37">
        <v>0</v>
      </c>
      <c r="K65" s="37">
        <v>0</v>
      </c>
      <c r="L65" s="37">
        <v>0</v>
      </c>
      <c r="M65" s="37">
        <v>11.706999999994878</v>
      </c>
      <c r="N65" s="37">
        <v>22.564999999944121</v>
      </c>
      <c r="O65" s="37">
        <v>0.46099999999933061</v>
      </c>
      <c r="P65" s="37">
        <v>0</v>
      </c>
    </row>
    <row r="66" spans="2:16" x14ac:dyDescent="0.25">
      <c r="B66" s="36">
        <v>0.65625</v>
      </c>
      <c r="C66" s="37">
        <v>429.94500000029802</v>
      </c>
      <c r="D66" s="37">
        <v>418.40299999993294</v>
      </c>
      <c r="E66" s="37">
        <v>75.528999999980442</v>
      </c>
      <c r="F66" s="37">
        <v>191.96199999982491</v>
      </c>
      <c r="G66" s="37">
        <v>46.62400000001071</v>
      </c>
      <c r="H66" s="37">
        <v>110.39199999999255</v>
      </c>
      <c r="I66" s="37">
        <v>0</v>
      </c>
      <c r="J66" s="37">
        <v>0</v>
      </c>
      <c r="K66" s="37">
        <v>0</v>
      </c>
      <c r="L66" s="37">
        <v>0</v>
      </c>
      <c r="M66" s="37">
        <v>17.597999999998137</v>
      </c>
      <c r="N66" s="37">
        <v>22.686999999918044</v>
      </c>
      <c r="O66" s="37">
        <v>0.44800000000032014</v>
      </c>
      <c r="P66" s="37">
        <v>0</v>
      </c>
    </row>
    <row r="67" spans="2:16" x14ac:dyDescent="0.25">
      <c r="B67" s="36">
        <v>0.66666666666666696</v>
      </c>
      <c r="C67" s="37">
        <v>440.09299999848008</v>
      </c>
      <c r="D67" s="37">
        <v>429.23400000017136</v>
      </c>
      <c r="E67" s="37">
        <v>82.849999999976717</v>
      </c>
      <c r="F67" s="37">
        <v>195.34700000006706</v>
      </c>
      <c r="G67" s="37">
        <v>45.752999999967869</v>
      </c>
      <c r="H67" s="37">
        <v>110.04700000002049</v>
      </c>
      <c r="I67" s="37">
        <v>0</v>
      </c>
      <c r="J67" s="37">
        <v>0</v>
      </c>
      <c r="K67" s="37">
        <v>0</v>
      </c>
      <c r="L67" s="37">
        <v>0</v>
      </c>
      <c r="M67" s="37">
        <v>17.718999999982771</v>
      </c>
      <c r="N67" s="37">
        <v>22.479000000050291</v>
      </c>
      <c r="O67" s="37">
        <v>0.43499999999949068</v>
      </c>
      <c r="P67" s="37">
        <v>0</v>
      </c>
    </row>
    <row r="68" spans="2:16" x14ac:dyDescent="0.25">
      <c r="B68" s="36">
        <v>0.67708333333333304</v>
      </c>
      <c r="C68" s="37">
        <v>463.0109999999404</v>
      </c>
      <c r="D68" s="37">
        <v>451.35499999998137</v>
      </c>
      <c r="E68" s="37">
        <v>84.704000000027008</v>
      </c>
      <c r="F68" s="37">
        <v>201.96200000005774</v>
      </c>
      <c r="G68" s="37">
        <v>55.269000000029337</v>
      </c>
      <c r="H68" s="37">
        <v>108.32799999997951</v>
      </c>
      <c r="I68" s="37">
        <v>0</v>
      </c>
      <c r="J68" s="37">
        <v>0</v>
      </c>
      <c r="K68" s="37">
        <v>0</v>
      </c>
      <c r="L68" s="37">
        <v>0</v>
      </c>
      <c r="M68" s="37">
        <v>17.823000000033062</v>
      </c>
      <c r="N68" s="37">
        <v>22.54300000006333</v>
      </c>
      <c r="O68" s="37">
        <v>0.52300000000104774</v>
      </c>
      <c r="P68" s="37">
        <v>0</v>
      </c>
    </row>
    <row r="69" spans="2:16" x14ac:dyDescent="0.25">
      <c r="B69" s="36">
        <v>0.6875</v>
      </c>
      <c r="C69" s="37">
        <v>470.9809999987483</v>
      </c>
      <c r="D69" s="37">
        <v>453.710999999661</v>
      </c>
      <c r="E69" s="37">
        <v>86.177999999956228</v>
      </c>
      <c r="F69" s="37">
        <v>202.9749999998603</v>
      </c>
      <c r="G69" s="37">
        <v>54.418999999994412</v>
      </c>
      <c r="H69" s="37">
        <v>109.95700000005309</v>
      </c>
      <c r="I69" s="37">
        <v>0</v>
      </c>
      <c r="J69" s="37">
        <v>0</v>
      </c>
      <c r="K69" s="37">
        <v>0</v>
      </c>
      <c r="L69" s="37">
        <v>0</v>
      </c>
      <c r="M69" s="37">
        <v>17.728000000002794</v>
      </c>
      <c r="N69" s="37">
        <v>22.645000000018626</v>
      </c>
      <c r="O69" s="37">
        <v>0.45799999999871943</v>
      </c>
      <c r="P69" s="37">
        <v>0</v>
      </c>
    </row>
    <row r="70" spans="2:16" x14ac:dyDescent="0.25">
      <c r="B70" s="36">
        <v>0.69791666666666696</v>
      </c>
      <c r="C70" s="37">
        <v>476.36700000241399</v>
      </c>
      <c r="D70" s="37">
        <v>469.85400000028312</v>
      </c>
      <c r="E70" s="37">
        <v>87.494999999995343</v>
      </c>
      <c r="F70" s="37">
        <v>214.79399999999441</v>
      </c>
      <c r="G70" s="37">
        <v>63.653999999980442</v>
      </c>
      <c r="H70" s="37">
        <v>111.62599999993108</v>
      </c>
      <c r="I70" s="37">
        <v>0</v>
      </c>
      <c r="J70" s="37">
        <v>0</v>
      </c>
      <c r="K70" s="37">
        <v>0</v>
      </c>
      <c r="L70" s="37">
        <v>0</v>
      </c>
      <c r="M70" s="37">
        <v>17.73399999999674</v>
      </c>
      <c r="N70" s="37">
        <v>22.533999999985099</v>
      </c>
      <c r="O70" s="37">
        <v>0.52300000000104774</v>
      </c>
      <c r="P70" s="37">
        <v>0</v>
      </c>
    </row>
    <row r="71" spans="2:16" x14ac:dyDescent="0.25">
      <c r="B71" s="36">
        <v>0.70833333333333304</v>
      </c>
      <c r="C71" s="37">
        <v>297.71000000089407</v>
      </c>
      <c r="D71" s="37">
        <v>289.26699999999255</v>
      </c>
      <c r="E71" s="37">
        <v>52.548999999999069</v>
      </c>
      <c r="F71" s="37">
        <v>131.40700000012293</v>
      </c>
      <c r="G71" s="37">
        <v>45.63900000002468</v>
      </c>
      <c r="H71" s="37">
        <v>67.206000000005588</v>
      </c>
      <c r="I71" s="37">
        <v>0</v>
      </c>
      <c r="J71" s="37">
        <v>3.399999999999892E-2</v>
      </c>
      <c r="K71" s="37">
        <v>2.8000000000000469E-2</v>
      </c>
      <c r="L71" s="37">
        <v>0</v>
      </c>
      <c r="M71" s="37">
        <v>13.331000000005588</v>
      </c>
      <c r="N71" s="37">
        <v>14.776000000070781</v>
      </c>
      <c r="O71" s="37">
        <v>1.1459999999988213</v>
      </c>
      <c r="P71" s="37">
        <v>0</v>
      </c>
    </row>
    <row r="72" spans="2:16" x14ac:dyDescent="0.25">
      <c r="B72" s="36">
        <v>0.71875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4.9000000000000377E-2</v>
      </c>
      <c r="J72" s="37">
        <v>0</v>
      </c>
      <c r="K72" s="37">
        <v>0</v>
      </c>
      <c r="L72" s="37">
        <v>0.21700000000000053</v>
      </c>
      <c r="M72" s="37">
        <v>18.09499999997206</v>
      </c>
      <c r="N72" s="37">
        <v>10.710999999893829</v>
      </c>
      <c r="O72" s="37">
        <v>12.084000000000742</v>
      </c>
      <c r="P72" s="37">
        <v>0</v>
      </c>
    </row>
    <row r="73" spans="2:16" x14ac:dyDescent="0.25">
      <c r="B73" s="36">
        <v>0.72916666666666696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12.554999999993015</v>
      </c>
      <c r="N73" s="37">
        <v>22.243999999947846</v>
      </c>
      <c r="O73" s="37">
        <v>0.49599999999918509</v>
      </c>
      <c r="P73" s="37">
        <v>0</v>
      </c>
    </row>
    <row r="74" spans="2:16" x14ac:dyDescent="0.25">
      <c r="B74" s="36">
        <v>0.73958333333333304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0.21899999999999942</v>
      </c>
      <c r="M74" s="37">
        <v>18.77900000003865</v>
      </c>
      <c r="N74" s="37">
        <v>23.430000000167638</v>
      </c>
      <c r="O74" s="37">
        <v>0.47900000000117871</v>
      </c>
      <c r="P74" s="37">
        <v>0</v>
      </c>
    </row>
    <row r="75" spans="2:16" x14ac:dyDescent="0.25">
      <c r="B75" s="36">
        <v>0.75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18.081999999994878</v>
      </c>
      <c r="N75" s="37">
        <v>23.578999999910593</v>
      </c>
      <c r="O75" s="37">
        <v>0.30400000000008731</v>
      </c>
      <c r="P75" s="37">
        <v>0</v>
      </c>
    </row>
    <row r="76" spans="2:16" x14ac:dyDescent="0.25">
      <c r="B76" s="36">
        <v>0.76041666666666696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18.453999999968801</v>
      </c>
      <c r="N76" s="37">
        <v>23.604999999981374</v>
      </c>
      <c r="O76" s="37">
        <v>0.44599999999991269</v>
      </c>
      <c r="P76" s="37">
        <v>0</v>
      </c>
    </row>
    <row r="77" spans="2:16" x14ac:dyDescent="0.25">
      <c r="B77" s="36">
        <v>0.77083333333333304</v>
      </c>
      <c r="C77" s="37">
        <v>247.20399999991059</v>
      </c>
      <c r="D77" s="37">
        <v>237.59499999973923</v>
      </c>
      <c r="E77" s="37">
        <v>0</v>
      </c>
      <c r="F77" s="37">
        <v>0</v>
      </c>
      <c r="G77" s="37">
        <v>0</v>
      </c>
      <c r="H77" s="37">
        <v>0</v>
      </c>
      <c r="I77" s="37">
        <v>0.12199999999999989</v>
      </c>
      <c r="J77" s="37">
        <v>0</v>
      </c>
      <c r="K77" s="37">
        <v>0</v>
      </c>
      <c r="L77" s="37">
        <v>0</v>
      </c>
      <c r="M77" s="37">
        <v>16.950000000011642</v>
      </c>
      <c r="N77" s="37">
        <v>22.08600000012666</v>
      </c>
      <c r="O77" s="37">
        <v>3.2559999999994034</v>
      </c>
      <c r="P77" s="37">
        <v>0</v>
      </c>
    </row>
    <row r="78" spans="2:16" x14ac:dyDescent="0.25">
      <c r="B78" s="36">
        <v>0.78125</v>
      </c>
      <c r="C78" s="37">
        <v>373.95799999684095</v>
      </c>
      <c r="D78" s="37">
        <v>362.65500000026077</v>
      </c>
      <c r="E78" s="37">
        <v>70.944000000017695</v>
      </c>
      <c r="F78" s="37">
        <v>159.8159999998752</v>
      </c>
      <c r="G78" s="37">
        <v>44.27800000004936</v>
      </c>
      <c r="H78" s="37">
        <v>81.050000000046566</v>
      </c>
      <c r="I78" s="37">
        <v>0</v>
      </c>
      <c r="J78" s="37">
        <v>0</v>
      </c>
      <c r="K78" s="37">
        <v>0</v>
      </c>
      <c r="L78" s="37">
        <v>0</v>
      </c>
      <c r="M78" s="37">
        <v>18.576999999990221</v>
      </c>
      <c r="N78" s="37">
        <v>23.294999999925494</v>
      </c>
      <c r="O78" s="37">
        <v>0.46700000000055297</v>
      </c>
      <c r="P78" s="37">
        <v>0</v>
      </c>
    </row>
    <row r="79" spans="2:16" x14ac:dyDescent="0.25">
      <c r="B79" s="36">
        <v>0.79166666666666696</v>
      </c>
      <c r="C79" s="37">
        <v>419.7580000013113</v>
      </c>
      <c r="D79" s="37">
        <v>414.4320000000298</v>
      </c>
      <c r="E79" s="37">
        <v>67.348999999929219</v>
      </c>
      <c r="F79" s="37">
        <v>182.77399999997579</v>
      </c>
      <c r="G79" s="37">
        <v>41.182999999960884</v>
      </c>
      <c r="H79" s="37">
        <v>100.22299999999814</v>
      </c>
      <c r="I79" s="37">
        <v>0</v>
      </c>
      <c r="J79" s="37">
        <v>0</v>
      </c>
      <c r="K79" s="37">
        <v>0</v>
      </c>
      <c r="L79" s="37">
        <v>0</v>
      </c>
      <c r="M79" s="37">
        <v>12.12400000001071</v>
      </c>
      <c r="N79" s="37">
        <v>14.139999999897555</v>
      </c>
      <c r="O79" s="37">
        <v>0.47599999999874854</v>
      </c>
      <c r="P79" s="37">
        <v>0</v>
      </c>
    </row>
    <row r="80" spans="2:16" x14ac:dyDescent="0.25">
      <c r="B80" s="36">
        <v>0.80208333333333304</v>
      </c>
      <c r="C80" s="37">
        <v>401.59499999880791</v>
      </c>
      <c r="D80" s="37">
        <v>386.42099999962375</v>
      </c>
      <c r="E80" s="37">
        <v>87.420999999972992</v>
      </c>
      <c r="F80" s="37">
        <v>172.42200000002049</v>
      </c>
      <c r="G80" s="37">
        <v>43.284000000043306</v>
      </c>
      <c r="H80" s="37">
        <v>96.724999999976717</v>
      </c>
      <c r="I80" s="37">
        <v>0</v>
      </c>
      <c r="J80" s="37">
        <v>0</v>
      </c>
      <c r="K80" s="37">
        <v>0</v>
      </c>
      <c r="L80" s="37">
        <v>0</v>
      </c>
      <c r="M80" s="37">
        <v>17.98499999998603</v>
      </c>
      <c r="N80" s="37">
        <v>21.942999999970198</v>
      </c>
      <c r="O80" s="37">
        <v>0.54800000000068394</v>
      </c>
      <c r="P80" s="37">
        <v>0</v>
      </c>
    </row>
    <row r="81" spans="2:16" x14ac:dyDescent="0.25">
      <c r="B81" s="36">
        <v>0.8125</v>
      </c>
      <c r="C81" s="37">
        <v>318.57100000232458</v>
      </c>
      <c r="D81" s="37">
        <v>309.45000000018626</v>
      </c>
      <c r="E81" s="37">
        <v>62.349000000045635</v>
      </c>
      <c r="F81" s="37">
        <v>141.4769999999553</v>
      </c>
      <c r="G81" s="37">
        <v>39.286999999952968</v>
      </c>
      <c r="H81" s="37">
        <v>73.704000000027008</v>
      </c>
      <c r="I81" s="37">
        <v>0</v>
      </c>
      <c r="J81" s="37">
        <v>0</v>
      </c>
      <c r="K81" s="37">
        <v>0</v>
      </c>
      <c r="L81" s="37">
        <v>0</v>
      </c>
      <c r="M81" s="37">
        <v>17.747000000032131</v>
      </c>
      <c r="N81" s="37">
        <v>20.083000000100583</v>
      </c>
      <c r="O81" s="37">
        <v>0.50200000000040745</v>
      </c>
      <c r="P81" s="37">
        <v>0</v>
      </c>
    </row>
    <row r="82" spans="2:16" x14ac:dyDescent="0.25">
      <c r="B82" s="36">
        <v>0.82291666666666696</v>
      </c>
      <c r="C82" s="37">
        <v>294.13299999758601</v>
      </c>
      <c r="D82" s="37">
        <v>284.17599999997765</v>
      </c>
      <c r="E82" s="37">
        <v>57.869000000064261</v>
      </c>
      <c r="F82" s="37">
        <v>127.81600000010803</v>
      </c>
      <c r="G82" s="37">
        <v>33.594000000040978</v>
      </c>
      <c r="H82" s="37">
        <v>70.243000000016764</v>
      </c>
      <c r="I82" s="37">
        <v>0</v>
      </c>
      <c r="J82" s="37">
        <v>0</v>
      </c>
      <c r="K82" s="37">
        <v>0</v>
      </c>
      <c r="L82" s="37">
        <v>0</v>
      </c>
      <c r="M82" s="37">
        <v>17.914999999979045</v>
      </c>
      <c r="N82" s="37">
        <v>19.027000000001863</v>
      </c>
      <c r="O82" s="37">
        <v>0.56899999999950523</v>
      </c>
      <c r="P82" s="37">
        <v>0</v>
      </c>
    </row>
    <row r="83" spans="2:16" x14ac:dyDescent="0.25">
      <c r="B83" s="36">
        <v>0.83333333333333304</v>
      </c>
      <c r="C83" s="37">
        <v>364.06000000238419</v>
      </c>
      <c r="D83" s="37">
        <v>354.47600000025705</v>
      </c>
      <c r="E83" s="37">
        <v>75.09499999997206</v>
      </c>
      <c r="F83" s="37">
        <v>150.63199999998324</v>
      </c>
      <c r="G83" s="37">
        <v>37.964999999967404</v>
      </c>
      <c r="H83" s="37">
        <v>83.81899999990128</v>
      </c>
      <c r="I83" s="37">
        <v>0</v>
      </c>
      <c r="J83" s="37">
        <v>0</v>
      </c>
      <c r="K83" s="37">
        <v>0</v>
      </c>
      <c r="L83" s="37">
        <v>0</v>
      </c>
      <c r="M83" s="37">
        <v>17.511999999987893</v>
      </c>
      <c r="N83" s="37">
        <v>19.583000000100583</v>
      </c>
      <c r="O83" s="37">
        <v>0.38999999999941792</v>
      </c>
      <c r="P83" s="37">
        <v>0</v>
      </c>
    </row>
    <row r="84" spans="2:16" x14ac:dyDescent="0.25">
      <c r="B84" s="36">
        <v>0.84375</v>
      </c>
      <c r="C84" s="37">
        <v>432.31199999898672</v>
      </c>
      <c r="D84" s="37">
        <v>425.23799999989569</v>
      </c>
      <c r="E84" s="37">
        <v>86.971000000019558</v>
      </c>
      <c r="F84" s="37">
        <v>172.19500000006519</v>
      </c>
      <c r="G84" s="37">
        <v>41.483000000007451</v>
      </c>
      <c r="H84" s="37">
        <v>103.03700000001118</v>
      </c>
      <c r="I84" s="37">
        <v>0</v>
      </c>
      <c r="J84" s="37">
        <v>0</v>
      </c>
      <c r="K84" s="37">
        <v>0</v>
      </c>
      <c r="L84" s="37">
        <v>0</v>
      </c>
      <c r="M84" s="37">
        <v>17.992000000027474</v>
      </c>
      <c r="N84" s="37">
        <v>22.093999999808148</v>
      </c>
      <c r="O84" s="37">
        <v>0.57700000000113505</v>
      </c>
      <c r="P84" s="37">
        <v>0</v>
      </c>
    </row>
    <row r="85" spans="2:16" x14ac:dyDescent="0.25">
      <c r="B85" s="36">
        <v>0.85416666666666696</v>
      </c>
      <c r="C85" s="37">
        <v>454.62999999895692</v>
      </c>
      <c r="D85" s="37">
        <v>436.00799999991432</v>
      </c>
      <c r="E85" s="37">
        <v>93.760999999940395</v>
      </c>
      <c r="F85" s="37">
        <v>171.36599999992177</v>
      </c>
      <c r="G85" s="37">
        <v>40.184000000008382</v>
      </c>
      <c r="H85" s="37">
        <v>107.1589999999851</v>
      </c>
      <c r="I85" s="37">
        <v>0</v>
      </c>
      <c r="J85" s="37">
        <v>0</v>
      </c>
      <c r="K85" s="37">
        <v>0</v>
      </c>
      <c r="L85" s="37">
        <v>0</v>
      </c>
      <c r="M85" s="37">
        <v>17.787000000011176</v>
      </c>
      <c r="N85" s="37">
        <v>22.304000000003725</v>
      </c>
      <c r="O85" s="37">
        <v>0.56099999999969441</v>
      </c>
      <c r="P85" s="37">
        <v>0</v>
      </c>
    </row>
    <row r="86" spans="2:16" x14ac:dyDescent="0.25">
      <c r="B86" s="36">
        <v>0.86458333333333304</v>
      </c>
      <c r="C86" s="37">
        <v>468.1900000013411</v>
      </c>
      <c r="D86" s="37">
        <v>462.64300000015646</v>
      </c>
      <c r="E86" s="37">
        <v>93.847999999998137</v>
      </c>
      <c r="F86" s="37">
        <v>181.7390000000596</v>
      </c>
      <c r="G86" s="37">
        <v>46.134000000020023</v>
      </c>
      <c r="H86" s="37">
        <v>108.64400000008754</v>
      </c>
      <c r="I86" s="37">
        <v>0</v>
      </c>
      <c r="J86" s="37">
        <v>0</v>
      </c>
      <c r="K86" s="37">
        <v>0</v>
      </c>
      <c r="L86" s="37">
        <v>0</v>
      </c>
      <c r="M86" s="37">
        <v>17.244000000006054</v>
      </c>
      <c r="N86" s="37">
        <v>23.468000000109896</v>
      </c>
      <c r="O86" s="37">
        <v>0.52200000000084401</v>
      </c>
      <c r="P86" s="37">
        <v>0</v>
      </c>
    </row>
    <row r="87" spans="2:16" x14ac:dyDescent="0.25">
      <c r="B87" s="36">
        <v>0.875</v>
      </c>
      <c r="C87" s="37">
        <v>495.68699999898672</v>
      </c>
      <c r="D87" s="37">
        <v>482.69799999985844</v>
      </c>
      <c r="E87" s="37">
        <v>98.90300000004936</v>
      </c>
      <c r="F87" s="37">
        <v>189.58999999985099</v>
      </c>
      <c r="G87" s="37">
        <v>45.093999999982771</v>
      </c>
      <c r="H87" s="37">
        <v>105.99499999999534</v>
      </c>
      <c r="I87" s="37">
        <v>0</v>
      </c>
      <c r="J87" s="37">
        <v>0</v>
      </c>
      <c r="K87" s="37">
        <v>0</v>
      </c>
      <c r="L87" s="37">
        <v>0</v>
      </c>
      <c r="M87" s="37">
        <v>18.081000000005588</v>
      </c>
      <c r="N87" s="37">
        <v>22.523000000044703</v>
      </c>
      <c r="O87" s="37">
        <v>0.48899999999957799</v>
      </c>
      <c r="P87" s="37">
        <v>0</v>
      </c>
    </row>
    <row r="88" spans="2:16" x14ac:dyDescent="0.25">
      <c r="B88" s="36">
        <v>0.88541666666666696</v>
      </c>
      <c r="C88" s="37">
        <v>481.81900000199676</v>
      </c>
      <c r="D88" s="37">
        <v>471.05299999983981</v>
      </c>
      <c r="E88" s="37">
        <v>96.263999999966472</v>
      </c>
      <c r="F88" s="37">
        <v>186.61700000008568</v>
      </c>
      <c r="G88" s="37">
        <v>44.150000000023283</v>
      </c>
      <c r="H88" s="37">
        <v>108.08600000001024</v>
      </c>
      <c r="I88" s="37">
        <v>0</v>
      </c>
      <c r="J88" s="37">
        <v>0</v>
      </c>
      <c r="K88" s="37">
        <v>0</v>
      </c>
      <c r="L88" s="37">
        <v>0</v>
      </c>
      <c r="M88" s="37">
        <v>12.027999999991152</v>
      </c>
      <c r="N88" s="37">
        <v>21.983999999938533</v>
      </c>
      <c r="O88" s="37">
        <v>0.45999999999912689</v>
      </c>
      <c r="P88" s="37">
        <v>0</v>
      </c>
    </row>
    <row r="89" spans="2:16" x14ac:dyDescent="0.25">
      <c r="B89" s="36">
        <v>0.89583333333333304</v>
      </c>
      <c r="C89" s="37">
        <v>469.0409999974072</v>
      </c>
      <c r="D89" s="37">
        <v>454.664000000339</v>
      </c>
      <c r="E89" s="37">
        <v>91.290999999968335</v>
      </c>
      <c r="F89" s="37">
        <v>187.90400000009686</v>
      </c>
      <c r="G89" s="37">
        <v>47.748999999952503</v>
      </c>
      <c r="H89" s="37">
        <v>104.19099999999162</v>
      </c>
      <c r="I89" s="37">
        <v>0</v>
      </c>
      <c r="J89" s="37">
        <v>0</v>
      </c>
      <c r="K89" s="37">
        <v>0</v>
      </c>
      <c r="L89" s="37">
        <v>0</v>
      </c>
      <c r="M89" s="37">
        <v>17.87599999998929</v>
      </c>
      <c r="N89" s="37">
        <v>15.364000000059605</v>
      </c>
      <c r="O89" s="37">
        <v>0.44399999999950523</v>
      </c>
      <c r="P89" s="37">
        <v>0</v>
      </c>
    </row>
    <row r="90" spans="2:16" x14ac:dyDescent="0.25">
      <c r="B90" s="36">
        <v>0.90625</v>
      </c>
      <c r="C90" s="37">
        <v>441.50400000065565</v>
      </c>
      <c r="D90" s="37">
        <v>434.12899999972433</v>
      </c>
      <c r="E90" s="37">
        <v>82.258000000030734</v>
      </c>
      <c r="F90" s="37">
        <v>193.68399999989197</v>
      </c>
      <c r="G90" s="37">
        <v>45.380999999993946</v>
      </c>
      <c r="H90" s="37">
        <v>104.23399999993853</v>
      </c>
      <c r="I90" s="37">
        <v>0</v>
      </c>
      <c r="J90" s="37">
        <v>0</v>
      </c>
      <c r="K90" s="37">
        <v>0</v>
      </c>
      <c r="L90" s="37">
        <v>0</v>
      </c>
      <c r="M90" s="37">
        <v>17.835000000020955</v>
      </c>
      <c r="N90" s="37">
        <v>22.824000000022352</v>
      </c>
      <c r="O90" s="37">
        <v>0.45600000000013097</v>
      </c>
      <c r="P90" s="37">
        <v>0</v>
      </c>
    </row>
    <row r="91" spans="2:16" x14ac:dyDescent="0.25">
      <c r="B91" s="36">
        <v>0.91666666666666696</v>
      </c>
      <c r="C91" s="37">
        <v>479.83000000193715</v>
      </c>
      <c r="D91" s="37">
        <v>455.49699999997392</v>
      </c>
      <c r="E91" s="37">
        <v>79.770999999949709</v>
      </c>
      <c r="F91" s="37">
        <v>233.85599999991246</v>
      </c>
      <c r="G91" s="37">
        <v>81.200000000011642</v>
      </c>
      <c r="H91" s="37">
        <v>107.90800000005402</v>
      </c>
      <c r="I91" s="37">
        <v>0</v>
      </c>
      <c r="J91" s="37">
        <v>0</v>
      </c>
      <c r="K91" s="37">
        <v>0</v>
      </c>
      <c r="L91" s="37">
        <v>0</v>
      </c>
      <c r="M91" s="37">
        <v>17.711999999999534</v>
      </c>
      <c r="N91" s="37">
        <v>22.744999999878928</v>
      </c>
      <c r="O91" s="37">
        <v>0.45300000000133878</v>
      </c>
      <c r="P91" s="37">
        <v>0</v>
      </c>
    </row>
    <row r="92" spans="2:16" x14ac:dyDescent="0.25">
      <c r="B92" s="36">
        <v>0.92708333333333304</v>
      </c>
      <c r="C92" s="37">
        <v>477.08599999919534</v>
      </c>
      <c r="D92" s="37">
        <v>466.61500000022352</v>
      </c>
      <c r="E92" s="37">
        <v>79.887000000104308</v>
      </c>
      <c r="F92" s="37">
        <v>230.51800000015646</v>
      </c>
      <c r="G92" s="37">
        <v>78.401000000012573</v>
      </c>
      <c r="H92" s="37">
        <v>107.75399999995716</v>
      </c>
      <c r="I92" s="37">
        <v>0</v>
      </c>
      <c r="J92" s="37">
        <v>0</v>
      </c>
      <c r="K92" s="37">
        <v>0</v>
      </c>
      <c r="L92" s="37">
        <v>0</v>
      </c>
      <c r="M92" s="37">
        <v>17.680999999982305</v>
      </c>
      <c r="N92" s="37">
        <v>22.800999999977648</v>
      </c>
      <c r="O92" s="37">
        <v>0.45399999999972351</v>
      </c>
      <c r="P92" s="37">
        <v>0</v>
      </c>
    </row>
    <row r="93" spans="2:16" x14ac:dyDescent="0.25">
      <c r="B93" s="36">
        <v>0.9375</v>
      </c>
      <c r="C93" s="37">
        <v>465.12400000169873</v>
      </c>
      <c r="D93" s="37">
        <v>450.73799999989569</v>
      </c>
      <c r="E93" s="37">
        <v>80.574999999953434</v>
      </c>
      <c r="F93" s="37">
        <v>226.4769999999553</v>
      </c>
      <c r="G93" s="37">
        <v>69.532999999995809</v>
      </c>
      <c r="H93" s="37">
        <v>106.54200000001583</v>
      </c>
      <c r="I93" s="37">
        <v>0</v>
      </c>
      <c r="J93" s="37">
        <v>0</v>
      </c>
      <c r="K93" s="37">
        <v>0</v>
      </c>
      <c r="L93" s="37">
        <v>0</v>
      </c>
      <c r="M93" s="37">
        <v>17.784999999974389</v>
      </c>
      <c r="N93" s="37">
        <v>22.559000000124797</v>
      </c>
      <c r="O93" s="37">
        <v>0.31300000000010186</v>
      </c>
      <c r="P93" s="37">
        <v>0</v>
      </c>
    </row>
    <row r="94" spans="2:16" x14ac:dyDescent="0.25">
      <c r="B94" s="36">
        <v>0.94791666666666696</v>
      </c>
      <c r="C94" s="37">
        <v>468.85099999979138</v>
      </c>
      <c r="D94" s="37">
        <v>457.97299999976531</v>
      </c>
      <c r="E94" s="37">
        <v>81.035999999963678</v>
      </c>
      <c r="F94" s="37">
        <v>223.48399999993853</v>
      </c>
      <c r="G94" s="37">
        <v>71.096000000019558</v>
      </c>
      <c r="H94" s="37">
        <v>106.45200000004843</v>
      </c>
      <c r="I94" s="37">
        <v>0</v>
      </c>
      <c r="J94" s="37">
        <v>0</v>
      </c>
      <c r="K94" s="37">
        <v>0</v>
      </c>
      <c r="L94" s="37">
        <v>0</v>
      </c>
      <c r="M94" s="37">
        <v>17.341000000014901</v>
      </c>
      <c r="N94" s="37">
        <v>22.014999999897555</v>
      </c>
      <c r="O94" s="37">
        <v>0.46199999999953434</v>
      </c>
      <c r="P94" s="37">
        <v>0</v>
      </c>
    </row>
    <row r="95" spans="2:16" x14ac:dyDescent="0.25">
      <c r="B95" s="36">
        <v>0.95833333333333304</v>
      </c>
      <c r="C95" s="37">
        <v>457.10999999940395</v>
      </c>
      <c r="D95" s="37">
        <v>445.90800000028685</v>
      </c>
      <c r="E95" s="37">
        <v>82.229000000050291</v>
      </c>
      <c r="F95" s="37">
        <v>207.40100000007078</v>
      </c>
      <c r="G95" s="37">
        <v>59.727000000013504</v>
      </c>
      <c r="H95" s="37">
        <v>106.66499999992084</v>
      </c>
      <c r="I95" s="37">
        <v>0</v>
      </c>
      <c r="J95" s="37">
        <v>0</v>
      </c>
      <c r="K95" s="37">
        <v>0</v>
      </c>
      <c r="L95" s="37">
        <v>0</v>
      </c>
      <c r="M95" s="37">
        <v>17.629000000015367</v>
      </c>
      <c r="N95" s="37">
        <v>22.704000000143424</v>
      </c>
      <c r="O95" s="37">
        <v>0.48899999999957799</v>
      </c>
      <c r="P95" s="37">
        <v>0</v>
      </c>
    </row>
    <row r="96" spans="2:16" x14ac:dyDescent="0.25">
      <c r="B96" s="36">
        <v>0.96875</v>
      </c>
      <c r="C96" s="37">
        <v>419.02600000053644</v>
      </c>
      <c r="D96" s="37">
        <v>406.91699999989942</v>
      </c>
      <c r="E96" s="37">
        <v>75.929000000003725</v>
      </c>
      <c r="F96" s="37">
        <v>189.4890000000596</v>
      </c>
      <c r="G96" s="37">
        <v>43.491999999969266</v>
      </c>
      <c r="H96" s="37">
        <v>106.1809999999823</v>
      </c>
      <c r="I96" s="37">
        <v>0</v>
      </c>
      <c r="J96" s="37">
        <v>0</v>
      </c>
      <c r="K96" s="37">
        <v>0</v>
      </c>
      <c r="L96" s="37">
        <v>0</v>
      </c>
      <c r="M96" s="37">
        <v>18.086999999999534</v>
      </c>
      <c r="N96" s="37">
        <v>21.875999999931082</v>
      </c>
      <c r="O96" s="37">
        <v>0.50600000000122236</v>
      </c>
      <c r="P96" s="37">
        <v>0</v>
      </c>
    </row>
    <row r="97" spans="2:16" x14ac:dyDescent="0.25">
      <c r="B97" s="36">
        <v>0.97916666666666696</v>
      </c>
      <c r="C97" s="37">
        <v>401.22800000011921</v>
      </c>
      <c r="D97" s="37">
        <v>392.7730000000447</v>
      </c>
      <c r="E97" s="37">
        <v>72.962999999988824</v>
      </c>
      <c r="F97" s="37">
        <v>191.47099999990314</v>
      </c>
      <c r="G97" s="37">
        <v>46.886999999987893</v>
      </c>
      <c r="H97" s="37">
        <v>106.0580000000773</v>
      </c>
      <c r="I97" s="37">
        <v>0</v>
      </c>
      <c r="J97" s="37">
        <v>0</v>
      </c>
      <c r="K97" s="37">
        <v>0</v>
      </c>
      <c r="L97" s="37">
        <v>0</v>
      </c>
      <c r="M97" s="37">
        <v>11.791999999957625</v>
      </c>
      <c r="N97" s="37">
        <v>23.088999999919906</v>
      </c>
      <c r="O97" s="37">
        <v>0.49699999999938882</v>
      </c>
      <c r="P97" s="37">
        <v>0</v>
      </c>
    </row>
    <row r="98" spans="2:16" x14ac:dyDescent="0.25">
      <c r="B98" s="36">
        <v>0.98958333333333304</v>
      </c>
      <c r="C98" s="37">
        <v>390.71899999678135</v>
      </c>
      <c r="D98" s="37">
        <v>384.92599999997765</v>
      </c>
      <c r="E98" s="37">
        <v>73.023999999975786</v>
      </c>
      <c r="F98" s="37">
        <v>176.15200000000186</v>
      </c>
      <c r="G98" s="37">
        <v>42.433000000019092</v>
      </c>
      <c r="H98" s="37">
        <v>104.1589999999851</v>
      </c>
      <c r="I98" s="37">
        <v>0</v>
      </c>
      <c r="J98" s="37">
        <v>0</v>
      </c>
      <c r="K98" s="37">
        <v>0</v>
      </c>
      <c r="L98" s="37">
        <v>0</v>
      </c>
      <c r="M98" s="37">
        <v>18.0120000000461</v>
      </c>
      <c r="N98" s="37">
        <v>21.779000000096858</v>
      </c>
      <c r="O98" s="37">
        <v>0.47899999999935972</v>
      </c>
      <c r="P98" s="37">
        <v>0</v>
      </c>
    </row>
  </sheetData>
  <pageMargins left="0.7" right="0.7" top="0.75" bottom="0.75" header="0.3" footer="0.3"/>
  <headerFooter>
    <oddHeader>&amp;C&amp;"Calibri"&amp;10&amp;KFF0000 CONFIDENTIAL&amp;1#_x000D_</oddHead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7"/>
  <dimension ref="A1:P98"/>
  <sheetViews>
    <sheetView workbookViewId="0">
      <selection sqref="A1:XFD1048576"/>
    </sheetView>
  </sheetViews>
  <sheetFormatPr defaultColWidth="8.54296875" defaultRowHeight="12.5" x14ac:dyDescent="0.25"/>
  <cols>
    <col min="1" max="16" width="11.54296875" customWidth="1"/>
  </cols>
  <sheetData>
    <row r="1" spans="1:16" ht="53.25" customHeight="1" x14ac:dyDescent="0.25">
      <c r="A1" s="34" t="s">
        <v>52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26" x14ac:dyDescent="0.3">
      <c r="A2" s="340">
        <f>Hourly_kWh!A6</f>
        <v>45838.291666666664</v>
      </c>
      <c r="B2" s="340"/>
      <c r="C2" s="38" t="str">
        <f>'Feeder Names'!E3</f>
        <v>HT.GRID_VCB</v>
      </c>
      <c r="D2" s="38" t="str">
        <f>'Feeder Names'!F3</f>
        <v>HT.TRAFO-1</v>
      </c>
      <c r="E2" s="38" t="str">
        <f>'Feeder Names'!G3</f>
        <v>HT.TRAFO-2</v>
      </c>
      <c r="F2" s="38" t="str">
        <f>'Feeder Names'!H3</f>
        <v>HT.TRAFO-3</v>
      </c>
      <c r="G2" s="38" t="str">
        <f>'Feeder Names'!I3</f>
        <v>HT.TRAFO-4</v>
      </c>
      <c r="H2" s="38" t="str">
        <f>'Feeder Names'!J3</f>
        <v>DG.DG_INC</v>
      </c>
      <c r="I2" s="38" t="str">
        <f>'Feeder Names'!K3</f>
        <v>DG.DG-1</v>
      </c>
      <c r="J2" s="38" t="str">
        <f>'Feeder Names'!L3</f>
        <v>DG.DG-2</v>
      </c>
      <c r="K2" s="38" t="str">
        <f>'Feeder Names'!M3</f>
        <v>DG.DG-3</v>
      </c>
      <c r="L2" s="38" t="str">
        <f>'Feeder Names'!N3</f>
        <v>DG.GD-4</v>
      </c>
      <c r="M2" s="38" t="str">
        <f>'Feeder Names'!O3</f>
        <v>DG.DG-5</v>
      </c>
      <c r="N2" s="38" t="str">
        <f>'Feeder Names'!P3</f>
        <v>DG.VCB_OUTGOING</v>
      </c>
      <c r="O2" s="38" t="str">
        <f>'Feeder Names'!Q3</f>
        <v>SOLAR.SOLAR-1</v>
      </c>
      <c r="P2" s="38" t="str">
        <f>'Feeder Names'!R3</f>
        <v>SOLAR.SOLAR-2</v>
      </c>
    </row>
    <row r="3" spans="1:16" x14ac:dyDescent="0.25">
      <c r="A3" s="36"/>
      <c r="B3" s="36">
        <f>Interval_kwh!B3</f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490.34609985351563</v>
      </c>
      <c r="J3" s="37">
        <v>964.03533935546875</v>
      </c>
      <c r="K3" s="37">
        <v>560.42083740234375</v>
      </c>
      <c r="L3" s="37">
        <v>649.22283935546875</v>
      </c>
      <c r="M3" s="37">
        <v>103.63826751708984</v>
      </c>
      <c r="N3" s="37">
        <v>139.01298522949219</v>
      </c>
      <c r="O3" s="37">
        <v>66.816246032714844</v>
      </c>
      <c r="P3" s="37">
        <v>0</v>
      </c>
    </row>
    <row r="4" spans="1:16" x14ac:dyDescent="0.25">
      <c r="A4" s="36"/>
      <c r="B4" s="36">
        <f>Interval_kwh!B4</f>
        <v>1.0416666666666666E-2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551.978271484375</v>
      </c>
      <c r="J4" s="37">
        <v>782.89483642578125</v>
      </c>
      <c r="K4" s="37">
        <v>448.21469116210938</v>
      </c>
      <c r="L4" s="37">
        <v>983.04425048828125</v>
      </c>
      <c r="M4" s="37">
        <v>102.09664916992188</v>
      </c>
      <c r="N4" s="37">
        <v>138.55648803710938</v>
      </c>
      <c r="O4" s="37">
        <v>67.890739440917969</v>
      </c>
      <c r="P4" s="37">
        <v>0</v>
      </c>
    </row>
    <row r="5" spans="1:16" x14ac:dyDescent="0.25">
      <c r="A5" s="36"/>
      <c r="B5" s="36">
        <f>Interval_kwh!B5</f>
        <v>2.0833333333333301E-2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574.8916015625</v>
      </c>
      <c r="J5" s="37">
        <v>792.86712646484375</v>
      </c>
      <c r="K5" s="37">
        <v>491.3406982421875</v>
      </c>
      <c r="L5" s="37">
        <v>731.39935302734375</v>
      </c>
      <c r="M5" s="37">
        <v>101.61440277099609</v>
      </c>
      <c r="N5" s="37">
        <v>137.66297912597656</v>
      </c>
      <c r="O5" s="37">
        <v>67.007484436035156</v>
      </c>
      <c r="P5" s="37">
        <v>0</v>
      </c>
    </row>
    <row r="6" spans="1:16" x14ac:dyDescent="0.25">
      <c r="A6" s="36"/>
      <c r="B6" s="36">
        <f>Interval_kwh!B6</f>
        <v>3.125E-2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492.86709594726563</v>
      </c>
      <c r="J6" s="37">
        <v>887.080078125</v>
      </c>
      <c r="K6" s="37">
        <v>546.92413330078125</v>
      </c>
      <c r="L6" s="37">
        <v>690.09326171875</v>
      </c>
      <c r="M6" s="37">
        <v>102.71979522705078</v>
      </c>
      <c r="N6" s="37">
        <v>139.48631286621094</v>
      </c>
      <c r="O6" s="37">
        <v>67.718254089355469</v>
      </c>
      <c r="P6" s="37">
        <v>0</v>
      </c>
    </row>
    <row r="7" spans="1:16" x14ac:dyDescent="0.25">
      <c r="A7" s="36"/>
      <c r="B7" s="36">
        <f>Interval_kwh!B7</f>
        <v>4.1666666666666699E-2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486.14599609375</v>
      </c>
      <c r="J7" s="37">
        <v>810.97802734375</v>
      </c>
      <c r="K7" s="37">
        <v>454.58901977539063</v>
      </c>
      <c r="L7" s="37">
        <v>703.51220703125</v>
      </c>
      <c r="M7" s="37">
        <v>101.17653656005859</v>
      </c>
      <c r="N7" s="37">
        <v>139.00953674316406</v>
      </c>
      <c r="O7" s="37">
        <v>67.433326721191406</v>
      </c>
      <c r="P7" s="37">
        <v>0</v>
      </c>
    </row>
    <row r="8" spans="1:16" x14ac:dyDescent="0.25">
      <c r="A8" s="36"/>
      <c r="B8" s="36">
        <f>Interval_kwh!B8</f>
        <v>5.2083333333333301E-2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501.73165893554688</v>
      </c>
      <c r="J8" s="37">
        <v>790.21820068359375</v>
      </c>
      <c r="K8" s="37">
        <v>493.1051025390625</v>
      </c>
      <c r="L8" s="37">
        <v>754.44256591796875</v>
      </c>
      <c r="M8" s="37">
        <v>103.75545501708984</v>
      </c>
      <c r="N8" s="37">
        <v>138.76387023925781</v>
      </c>
      <c r="O8" s="37">
        <v>67.380943298339844</v>
      </c>
      <c r="P8" s="37">
        <v>0</v>
      </c>
    </row>
    <row r="9" spans="1:16" x14ac:dyDescent="0.25">
      <c r="A9" s="36"/>
      <c r="B9" s="36">
        <f>Interval_kwh!B9</f>
        <v>6.25E-2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562.93035888671875</v>
      </c>
      <c r="J9" s="37">
        <v>688.563720703125</v>
      </c>
      <c r="K9" s="37">
        <v>528.48626708984375</v>
      </c>
      <c r="L9" s="37">
        <v>707.88800048828125</v>
      </c>
      <c r="M9" s="37">
        <v>103.68457794189453</v>
      </c>
      <c r="N9" s="37">
        <v>136.20545959472656</v>
      </c>
      <c r="O9" s="37">
        <v>67.318183898925781</v>
      </c>
      <c r="P9" s="37">
        <v>0</v>
      </c>
    </row>
    <row r="10" spans="1:16" x14ac:dyDescent="0.25">
      <c r="A10" s="36"/>
      <c r="B10" s="36">
        <f>Interval_kwh!B10</f>
        <v>7.2916666666666699E-2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689.559326171875</v>
      </c>
      <c r="J10" s="37">
        <v>648.95709228515625</v>
      </c>
      <c r="K10" s="37">
        <v>507.46633911132813</v>
      </c>
      <c r="L10" s="37">
        <v>563.73883056640625</v>
      </c>
      <c r="M10" s="37">
        <v>103.96533966064453</v>
      </c>
      <c r="N10" s="37">
        <v>85.682929992675781</v>
      </c>
      <c r="O10" s="37">
        <v>67.431594848632813</v>
      </c>
      <c r="P10" s="37">
        <v>0</v>
      </c>
    </row>
    <row r="11" spans="1:16" x14ac:dyDescent="0.25">
      <c r="A11" s="36"/>
      <c r="B11" s="36">
        <f>Interval_kwh!B11</f>
        <v>8.3333333333333301E-2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619.55804443359375</v>
      </c>
      <c r="J11" s="37">
        <v>793.14727783203125</v>
      </c>
      <c r="K11" s="37">
        <v>542.69549560546875</v>
      </c>
      <c r="L11" s="37">
        <v>504.71353149414063</v>
      </c>
      <c r="M11" s="37">
        <v>101.85839080810547</v>
      </c>
      <c r="N11" s="37">
        <v>138.23106384277344</v>
      </c>
      <c r="O11" s="37">
        <v>66.810005187988281</v>
      </c>
      <c r="P11" s="37">
        <v>0</v>
      </c>
    </row>
    <row r="12" spans="1:16" x14ac:dyDescent="0.25">
      <c r="A12" s="36"/>
      <c r="B12" s="36">
        <f>Interval_kwh!B12</f>
        <v>9.375E-2</v>
      </c>
      <c r="C12" s="37">
        <v>0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469.90786743164063</v>
      </c>
      <c r="J12" s="37">
        <v>727.72296142578125</v>
      </c>
      <c r="K12" s="37">
        <v>451.96554565429688</v>
      </c>
      <c r="L12" s="37">
        <v>378.87362670898438</v>
      </c>
      <c r="M12" s="37">
        <v>101.17815399169922</v>
      </c>
      <c r="N12" s="37">
        <v>137.59320068359375</v>
      </c>
      <c r="O12" s="37">
        <v>66.999481201171875</v>
      </c>
      <c r="P12" s="37">
        <v>0</v>
      </c>
    </row>
    <row r="13" spans="1:16" x14ac:dyDescent="0.25">
      <c r="A13" s="36"/>
      <c r="B13" s="36">
        <f>Interval_kwh!B13</f>
        <v>0.104166666666667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431.94882202148438</v>
      </c>
      <c r="J13" s="37">
        <v>453.51370239257813</v>
      </c>
      <c r="K13" s="37">
        <v>435.73263549804688</v>
      </c>
      <c r="L13" s="37">
        <v>409.092529296875</v>
      </c>
      <c r="M13" s="37">
        <v>102.64203643798828</v>
      </c>
      <c r="N13" s="37">
        <v>84.696952819824219</v>
      </c>
      <c r="O13" s="37">
        <v>68.412940979003906</v>
      </c>
      <c r="P13" s="37">
        <v>0</v>
      </c>
    </row>
    <row r="14" spans="1:16" x14ac:dyDescent="0.25">
      <c r="A14" s="36"/>
      <c r="B14" s="36">
        <f>Interval_kwh!B14</f>
        <v>0.114583333333333</v>
      </c>
      <c r="C14" s="37">
        <v>0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402.79248046875</v>
      </c>
      <c r="J14" s="37">
        <v>563.73974609375</v>
      </c>
      <c r="K14" s="37">
        <v>688.69207763671875</v>
      </c>
      <c r="L14" s="37">
        <v>406.7513427734375</v>
      </c>
      <c r="M14" s="37">
        <v>101.11697387695313</v>
      </c>
      <c r="N14" s="37">
        <v>84.562767028808594</v>
      </c>
      <c r="O14" s="37">
        <v>67.271522521972656</v>
      </c>
      <c r="P14" s="37">
        <v>0</v>
      </c>
    </row>
    <row r="15" spans="1:16" x14ac:dyDescent="0.25">
      <c r="A15" s="36"/>
      <c r="B15" s="36">
        <f>Interval_kwh!B15</f>
        <v>0.125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377.40206909179688</v>
      </c>
      <c r="J15" s="37">
        <v>660.63934326171875</v>
      </c>
      <c r="K15" s="37">
        <v>561.76800537109375</v>
      </c>
      <c r="L15" s="37">
        <v>586.4715576171875</v>
      </c>
      <c r="M15" s="37">
        <v>102.83319091796875</v>
      </c>
      <c r="N15" s="37">
        <v>136.42228698730469</v>
      </c>
      <c r="O15" s="37">
        <v>68.256507873535156</v>
      </c>
      <c r="P15" s="37">
        <v>0</v>
      </c>
    </row>
    <row r="16" spans="1:16" x14ac:dyDescent="0.25">
      <c r="A16" s="36"/>
      <c r="B16" s="36">
        <f>Interval_kwh!B16</f>
        <v>0.13541666666666699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464.35464477539063</v>
      </c>
      <c r="J16" s="37">
        <v>783.50531005859375</v>
      </c>
      <c r="K16" s="37">
        <v>515.1739501953125</v>
      </c>
      <c r="L16" s="37">
        <v>660.12908935546875</v>
      </c>
      <c r="M16" s="37">
        <v>102.68260955810547</v>
      </c>
      <c r="N16" s="37">
        <v>137.60752868652344</v>
      </c>
      <c r="O16" s="37">
        <v>67.489013671875</v>
      </c>
      <c r="P16" s="37">
        <v>0</v>
      </c>
    </row>
    <row r="17" spans="1:16" x14ac:dyDescent="0.25">
      <c r="A17" s="36"/>
      <c r="B17" s="36">
        <f>Interval_kwh!B17</f>
        <v>0.14583333333333301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455.76278686523438</v>
      </c>
      <c r="J17" s="37">
        <v>793.07586669921875</v>
      </c>
      <c r="K17" s="37">
        <v>570.80078125</v>
      </c>
      <c r="L17" s="37">
        <v>618.64398193359375</v>
      </c>
      <c r="M17" s="37">
        <v>101.79946899414063</v>
      </c>
      <c r="N17" s="37">
        <v>138.09007263183594</v>
      </c>
      <c r="O17" s="37">
        <v>66.902687072753906</v>
      </c>
      <c r="P17" s="37">
        <v>0</v>
      </c>
    </row>
    <row r="18" spans="1:16" x14ac:dyDescent="0.25">
      <c r="A18" s="36"/>
      <c r="B18" s="36">
        <f>Interval_kwh!B18</f>
        <v>0.15625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561.14398193359375</v>
      </c>
      <c r="J18" s="37">
        <v>852.16387939453125</v>
      </c>
      <c r="K18" s="37">
        <v>458.95602416992188</v>
      </c>
      <c r="L18" s="37">
        <v>655.81475830078125</v>
      </c>
      <c r="M18" s="37">
        <v>101.83103179931641</v>
      </c>
      <c r="N18" s="37">
        <v>138.86099243164063</v>
      </c>
      <c r="O18" s="37">
        <v>67.139350891113281</v>
      </c>
      <c r="P18" s="37">
        <v>0</v>
      </c>
    </row>
    <row r="19" spans="1:16" x14ac:dyDescent="0.25">
      <c r="A19" s="36"/>
      <c r="B19" s="36">
        <f>Interval_kwh!B19</f>
        <v>0.16666666666666699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611.85284423828125</v>
      </c>
      <c r="J19" s="37">
        <v>812.20880126953125</v>
      </c>
      <c r="K19" s="37">
        <v>532.34625244140625</v>
      </c>
      <c r="L19" s="37">
        <v>662.91827392578125</v>
      </c>
      <c r="M19" s="37">
        <v>102.49398040771484</v>
      </c>
      <c r="N19" s="37">
        <v>138.52510070800781</v>
      </c>
      <c r="O19" s="37">
        <v>67.957191467285156</v>
      </c>
      <c r="P19" s="37">
        <v>0</v>
      </c>
    </row>
    <row r="20" spans="1:16" x14ac:dyDescent="0.25">
      <c r="A20" s="36"/>
      <c r="B20" s="36">
        <f>Interval_kwh!B20</f>
        <v>0.17708333333333301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588.23101806640625</v>
      </c>
      <c r="J20" s="37">
        <v>707.94525146484375</v>
      </c>
      <c r="K20" s="37">
        <v>573.158447265625</v>
      </c>
      <c r="L20" s="37">
        <v>755.13946533203125</v>
      </c>
      <c r="M20" s="37">
        <v>101.52593231201172</v>
      </c>
      <c r="N20" s="37">
        <v>138.1456298828125</v>
      </c>
      <c r="O20" s="37">
        <v>66.934989929199219</v>
      </c>
      <c r="P20" s="37">
        <v>0</v>
      </c>
    </row>
    <row r="21" spans="1:16" x14ac:dyDescent="0.25">
      <c r="A21" s="36"/>
      <c r="B21" s="36">
        <f>Interval_kwh!B21</f>
        <v>0.1875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529.08087158203125</v>
      </c>
      <c r="J21" s="37">
        <v>819.310791015625</v>
      </c>
      <c r="K21" s="37">
        <v>554.57537841796875</v>
      </c>
      <c r="L21" s="37">
        <v>792.95343017578125</v>
      </c>
      <c r="M21" s="37">
        <v>103.36264038085938</v>
      </c>
      <c r="N21" s="37">
        <v>137.6038818359375</v>
      </c>
      <c r="O21" s="37">
        <v>66.781547546386719</v>
      </c>
      <c r="P21" s="37">
        <v>0</v>
      </c>
    </row>
    <row r="22" spans="1:16" x14ac:dyDescent="0.25">
      <c r="A22" s="36"/>
      <c r="B22" s="36">
        <f>Interval_kwh!B22</f>
        <v>0.19791666666666699</v>
      </c>
      <c r="C22" s="37">
        <v>0</v>
      </c>
      <c r="D22" s="37">
        <v>0</v>
      </c>
      <c r="E22" s="37">
        <v>495.92251586914063</v>
      </c>
      <c r="F22" s="37">
        <v>56.203136444091797</v>
      </c>
      <c r="G22" s="37">
        <v>0</v>
      </c>
      <c r="H22" s="37">
        <v>56.400012969970703</v>
      </c>
      <c r="I22" s="37">
        <v>581.44879150390625</v>
      </c>
      <c r="J22" s="37">
        <v>831.58575439453125</v>
      </c>
      <c r="K22" s="37">
        <v>626.36346435546875</v>
      </c>
      <c r="L22" s="37">
        <v>687.65972900390625</v>
      </c>
      <c r="M22" s="37">
        <v>102.42473602294922</v>
      </c>
      <c r="N22" s="37">
        <v>136.38763427734375</v>
      </c>
      <c r="O22" s="37">
        <v>67.904823303222656</v>
      </c>
      <c r="P22" s="37">
        <v>0</v>
      </c>
    </row>
    <row r="23" spans="1:16" x14ac:dyDescent="0.25">
      <c r="A23" s="36"/>
      <c r="B23" s="36">
        <f>Interval_kwh!B23</f>
        <v>0.20833333333333301</v>
      </c>
      <c r="C23" s="37">
        <v>33.211906433105469</v>
      </c>
      <c r="D23" s="37">
        <v>0</v>
      </c>
      <c r="E23" s="37">
        <v>693.34527587890625</v>
      </c>
      <c r="F23" s="37">
        <v>504.47482299804688</v>
      </c>
      <c r="G23" s="37">
        <v>59.861904144287109</v>
      </c>
      <c r="H23" s="37">
        <v>325.06179809570313</v>
      </c>
      <c r="I23" s="37">
        <v>0</v>
      </c>
      <c r="J23" s="37">
        <v>582.05242919921875</v>
      </c>
      <c r="K23" s="37">
        <v>343.09262084960938</v>
      </c>
      <c r="L23" s="37">
        <v>364.3909912109375</v>
      </c>
      <c r="M23" s="37">
        <v>101.46395111083984</v>
      </c>
      <c r="N23" s="37">
        <v>2.5385506153106689</v>
      </c>
      <c r="O23" s="37">
        <v>67.054542541503906</v>
      </c>
      <c r="P23" s="37">
        <v>0</v>
      </c>
    </row>
    <row r="24" spans="1:16" x14ac:dyDescent="0.25">
      <c r="A24" s="36"/>
      <c r="B24" s="36">
        <f>Interval_kwh!B24</f>
        <v>0.21875</v>
      </c>
      <c r="C24" s="37">
        <v>84.96002197265625</v>
      </c>
      <c r="D24" s="37">
        <v>76.936607360839844</v>
      </c>
      <c r="E24" s="37">
        <v>920.85723876953125</v>
      </c>
      <c r="F24" s="37">
        <v>1137.801025390625</v>
      </c>
      <c r="G24" s="37">
        <v>433.11636352539063</v>
      </c>
      <c r="H24" s="37">
        <v>530.4974365234375</v>
      </c>
      <c r="I24" s="37">
        <v>0</v>
      </c>
      <c r="J24" s="37">
        <v>271.36465454101563</v>
      </c>
      <c r="K24" s="37">
        <v>119.69345855712891</v>
      </c>
      <c r="L24" s="37">
        <v>0</v>
      </c>
      <c r="M24" s="37">
        <v>100.42836761474609</v>
      </c>
      <c r="N24" s="37">
        <v>137.22267150878906</v>
      </c>
      <c r="O24" s="37">
        <v>65.258140563964844</v>
      </c>
      <c r="P24" s="37">
        <v>0</v>
      </c>
    </row>
    <row r="25" spans="1:16" x14ac:dyDescent="0.25">
      <c r="A25" s="36"/>
      <c r="B25" s="36">
        <f>Interval_kwh!B25</f>
        <v>0.22916666666666699</v>
      </c>
      <c r="C25" s="37">
        <v>124.54383087158203</v>
      </c>
      <c r="D25" s="37">
        <v>112.96350860595703</v>
      </c>
      <c r="E25" s="37">
        <v>1528.3974609375</v>
      </c>
      <c r="F25" s="37">
        <v>1551.0738525390625</v>
      </c>
      <c r="G25" s="37">
        <v>460.47677612304688</v>
      </c>
      <c r="H25" s="37">
        <v>696.91143798828125</v>
      </c>
      <c r="I25" s="37">
        <v>0</v>
      </c>
      <c r="J25" s="37">
        <v>0</v>
      </c>
      <c r="K25" s="37">
        <v>0</v>
      </c>
      <c r="L25" s="37">
        <v>0</v>
      </c>
      <c r="M25" s="37">
        <v>101.24295806884766</v>
      </c>
      <c r="N25" s="37">
        <v>138.79795837402344</v>
      </c>
      <c r="O25" s="37">
        <v>65.85791015625</v>
      </c>
      <c r="P25" s="37">
        <v>0</v>
      </c>
    </row>
    <row r="26" spans="1:16" x14ac:dyDescent="0.25">
      <c r="A26" s="36"/>
      <c r="B26" s="36">
        <f>Interval_kwh!B26</f>
        <v>0.23958333333333301</v>
      </c>
      <c r="C26" s="37">
        <v>111.37897491455078</v>
      </c>
      <c r="D26" s="37">
        <v>99.981407165527344</v>
      </c>
      <c r="E26" s="37">
        <v>1342.623779296875</v>
      </c>
      <c r="F26" s="37">
        <v>1379.4630126953125</v>
      </c>
      <c r="G26" s="37">
        <v>445.461181640625</v>
      </c>
      <c r="H26" s="37">
        <v>723.44140625</v>
      </c>
      <c r="I26" s="37">
        <v>0</v>
      </c>
      <c r="J26" s="37">
        <v>0</v>
      </c>
      <c r="K26" s="37">
        <v>0</v>
      </c>
      <c r="L26" s="37">
        <v>0</v>
      </c>
      <c r="M26" s="37">
        <v>101.96797943115234</v>
      </c>
      <c r="N26" s="37">
        <v>137.31523132324219</v>
      </c>
      <c r="O26" s="37">
        <v>64.848213195800781</v>
      </c>
      <c r="P26" s="37">
        <v>0</v>
      </c>
    </row>
    <row r="27" spans="1:16" x14ac:dyDescent="0.25">
      <c r="A27" s="36"/>
      <c r="B27" s="36">
        <f>Interval_kwh!B27</f>
        <v>0.25</v>
      </c>
      <c r="C27" s="37">
        <v>111.15732574462891</v>
      </c>
      <c r="D27" s="37">
        <v>103.66903686523438</v>
      </c>
      <c r="E27" s="37">
        <v>1416.7449951171875</v>
      </c>
      <c r="F27" s="37">
        <v>1284.0218505859375</v>
      </c>
      <c r="G27" s="37">
        <v>442.6844482421875</v>
      </c>
      <c r="H27" s="37">
        <v>704.95147705078125</v>
      </c>
      <c r="I27" s="37">
        <v>0</v>
      </c>
      <c r="J27" s="37">
        <v>0</v>
      </c>
      <c r="K27" s="37">
        <v>0</v>
      </c>
      <c r="L27" s="37">
        <v>0</v>
      </c>
      <c r="M27" s="37">
        <v>100.79226684570313</v>
      </c>
      <c r="N27" s="37">
        <v>136.32647705078125</v>
      </c>
      <c r="O27" s="37">
        <v>64.8306884765625</v>
      </c>
      <c r="P27" s="37">
        <v>0</v>
      </c>
    </row>
    <row r="28" spans="1:16" x14ac:dyDescent="0.25">
      <c r="A28" s="36"/>
      <c r="B28" s="36">
        <f>Interval_kwh!B28</f>
        <v>0.26041666666666702</v>
      </c>
      <c r="C28" s="37">
        <v>116.99127197265625</v>
      </c>
      <c r="D28" s="37">
        <v>105.06528472900391</v>
      </c>
      <c r="E28" s="37">
        <v>1344.9803466796875</v>
      </c>
      <c r="F28" s="37">
        <v>1503.6959228515625</v>
      </c>
      <c r="G28" s="37">
        <v>511.855712890625</v>
      </c>
      <c r="H28" s="37">
        <v>710.67138671875</v>
      </c>
      <c r="I28" s="37">
        <v>0</v>
      </c>
      <c r="J28" s="37">
        <v>0</v>
      </c>
      <c r="K28" s="37">
        <v>0</v>
      </c>
      <c r="L28" s="37">
        <v>0</v>
      </c>
      <c r="M28" s="37">
        <v>100.62697601318359</v>
      </c>
      <c r="N28" s="37">
        <v>133.67567443847656</v>
      </c>
      <c r="O28" s="37">
        <v>64.561767578125</v>
      </c>
      <c r="P28" s="37">
        <v>0</v>
      </c>
    </row>
    <row r="29" spans="1:16" x14ac:dyDescent="0.25">
      <c r="A29" s="36"/>
      <c r="B29" s="36">
        <f>Interval_kwh!B29</f>
        <v>0.27083333333333298</v>
      </c>
      <c r="C29" s="37">
        <v>111.94138336181641</v>
      </c>
      <c r="D29" s="37">
        <v>97.690269470214844</v>
      </c>
      <c r="E29" s="37">
        <v>1427.2945556640625</v>
      </c>
      <c r="F29" s="37">
        <v>1230.7655029296875</v>
      </c>
      <c r="G29" s="37">
        <v>418.19448852539063</v>
      </c>
      <c r="H29" s="37">
        <v>628.521728515625</v>
      </c>
      <c r="I29" s="37">
        <v>0</v>
      </c>
      <c r="J29" s="37">
        <v>0</v>
      </c>
      <c r="K29" s="37">
        <v>0</v>
      </c>
      <c r="L29" s="37">
        <v>0</v>
      </c>
      <c r="M29" s="37">
        <v>100.54589080810547</v>
      </c>
      <c r="N29" s="37">
        <v>135.3265380859375</v>
      </c>
      <c r="O29" s="37">
        <v>64.942039489746094</v>
      </c>
      <c r="P29" s="37">
        <v>0</v>
      </c>
    </row>
    <row r="30" spans="1:16" x14ac:dyDescent="0.25">
      <c r="A30" s="36"/>
      <c r="B30" s="36">
        <f>Interval_kwh!B30</f>
        <v>0.28125</v>
      </c>
      <c r="C30" s="37">
        <v>102.72264862060547</v>
      </c>
      <c r="D30" s="37">
        <v>89.776283264160156</v>
      </c>
      <c r="E30" s="37">
        <v>1131.9398193359375</v>
      </c>
      <c r="F30" s="37">
        <v>1336.4388427734375</v>
      </c>
      <c r="G30" s="37">
        <v>567.96923828125</v>
      </c>
      <c r="H30" s="37">
        <v>606.21124267578125</v>
      </c>
      <c r="I30" s="37">
        <v>0</v>
      </c>
      <c r="J30" s="37">
        <v>0</v>
      </c>
      <c r="K30" s="37">
        <v>0</v>
      </c>
      <c r="L30" s="37">
        <v>0</v>
      </c>
      <c r="M30" s="37">
        <v>101.63941192626953</v>
      </c>
      <c r="N30" s="37">
        <v>79.764289855957031</v>
      </c>
      <c r="O30" s="37">
        <v>65.793357849121094</v>
      </c>
      <c r="P30" s="37">
        <v>0</v>
      </c>
    </row>
    <row r="31" spans="1:16" x14ac:dyDescent="0.25">
      <c r="A31" s="36"/>
      <c r="B31" s="36">
        <f>Interval_kwh!B31</f>
        <v>0.29166666666666702</v>
      </c>
      <c r="C31" s="37">
        <v>95.801177978515625</v>
      </c>
      <c r="D31" s="37">
        <v>85.553855895996094</v>
      </c>
      <c r="E31" s="37">
        <v>1159.3045654296875</v>
      </c>
      <c r="F31" s="37">
        <v>1215.954345703125</v>
      </c>
      <c r="G31" s="37">
        <v>558.81414794921875</v>
      </c>
      <c r="H31" s="37">
        <v>590.20697021484375</v>
      </c>
      <c r="I31" s="37">
        <v>0</v>
      </c>
      <c r="J31" s="37">
        <v>0</v>
      </c>
      <c r="K31" s="37">
        <v>0</v>
      </c>
      <c r="L31" s="37">
        <v>0</v>
      </c>
      <c r="M31" s="37">
        <v>101.91448974609375</v>
      </c>
      <c r="N31" s="37">
        <v>134.59681701660156</v>
      </c>
      <c r="O31" s="37">
        <v>65.725273132324219</v>
      </c>
      <c r="P31" s="37">
        <v>0</v>
      </c>
    </row>
    <row r="32" spans="1:16" x14ac:dyDescent="0.25">
      <c r="A32" s="36"/>
      <c r="B32" s="36">
        <f>Interval_kwh!B32</f>
        <v>0.30208333333333298</v>
      </c>
      <c r="C32" s="37">
        <v>97.702293395996094</v>
      </c>
      <c r="D32" s="37">
        <v>87.746498107910156</v>
      </c>
      <c r="E32" s="37">
        <v>1135.9862060546875</v>
      </c>
      <c r="F32" s="37">
        <v>1287.6732177734375</v>
      </c>
      <c r="G32" s="37">
        <v>487.76498413085938</v>
      </c>
      <c r="H32" s="37">
        <v>648.80194091796875</v>
      </c>
      <c r="I32" s="37">
        <v>0</v>
      </c>
      <c r="J32" s="37">
        <v>0</v>
      </c>
      <c r="K32" s="37">
        <v>0</v>
      </c>
      <c r="L32" s="37">
        <v>0</v>
      </c>
      <c r="M32" s="37">
        <v>101.26296234130859</v>
      </c>
      <c r="N32" s="37">
        <v>138.27937316894531</v>
      </c>
      <c r="O32" s="37">
        <v>65.436714172363281</v>
      </c>
      <c r="P32" s="37">
        <v>0</v>
      </c>
    </row>
    <row r="33" spans="1:16" x14ac:dyDescent="0.25">
      <c r="A33" s="36"/>
      <c r="B33" s="36">
        <f>Interval_kwh!B33</f>
        <v>0.3125</v>
      </c>
      <c r="C33" s="37">
        <v>91.911842346191406</v>
      </c>
      <c r="D33" s="37">
        <v>83.19891357421875</v>
      </c>
      <c r="E33" s="37">
        <v>987.10455322265625</v>
      </c>
      <c r="F33" s="37">
        <v>1313.8780517578125</v>
      </c>
      <c r="G33" s="37">
        <v>400.27554321289063</v>
      </c>
      <c r="H33" s="37">
        <v>707.55853271484375</v>
      </c>
      <c r="I33" s="37">
        <v>0</v>
      </c>
      <c r="J33" s="37">
        <v>0</v>
      </c>
      <c r="K33" s="37">
        <v>0</v>
      </c>
      <c r="L33" s="37">
        <v>0</v>
      </c>
      <c r="M33" s="37">
        <v>101.48705291748047</v>
      </c>
      <c r="N33" s="37">
        <v>135.26211547851563</v>
      </c>
      <c r="O33" s="37">
        <v>65.676956176757813</v>
      </c>
      <c r="P33" s="37">
        <v>0</v>
      </c>
    </row>
    <row r="34" spans="1:16" x14ac:dyDescent="0.25">
      <c r="A34" s="36"/>
      <c r="B34" s="36">
        <f>Interval_kwh!B34</f>
        <v>0.32291666666666702</v>
      </c>
      <c r="C34" s="37">
        <v>106.11428070068359</v>
      </c>
      <c r="D34" s="37">
        <v>99.549705505371094</v>
      </c>
      <c r="E34" s="37">
        <v>1481.9088134765625</v>
      </c>
      <c r="F34" s="37">
        <v>1199.5445556640625</v>
      </c>
      <c r="G34" s="37">
        <v>328.19558715820313</v>
      </c>
      <c r="H34" s="37">
        <v>711.91680908203125</v>
      </c>
      <c r="I34" s="37">
        <v>0</v>
      </c>
      <c r="J34" s="37">
        <v>0</v>
      </c>
      <c r="K34" s="37">
        <v>0</v>
      </c>
      <c r="L34" s="37">
        <v>0</v>
      </c>
      <c r="M34" s="37">
        <v>101.46263885498047</v>
      </c>
      <c r="N34" s="37">
        <v>137.22300720214844</v>
      </c>
      <c r="O34" s="37">
        <v>64.153594970703125</v>
      </c>
      <c r="P34" s="37">
        <v>0</v>
      </c>
    </row>
    <row r="35" spans="1:16" x14ac:dyDescent="0.25">
      <c r="A35" s="36"/>
      <c r="B35" s="36">
        <f>Interval_kwh!B35</f>
        <v>0.33333333333333298</v>
      </c>
      <c r="C35" s="37">
        <v>101.16232299804688</v>
      </c>
      <c r="D35" s="37">
        <v>92.3409423828125</v>
      </c>
      <c r="E35" s="37">
        <v>1313.8997802734375</v>
      </c>
      <c r="F35" s="37">
        <v>1171.458984375</v>
      </c>
      <c r="G35" s="37">
        <v>406.73812866210938</v>
      </c>
      <c r="H35" s="37">
        <v>693.14031982421875</v>
      </c>
      <c r="I35" s="37">
        <v>0</v>
      </c>
      <c r="J35" s="37">
        <v>0</v>
      </c>
      <c r="K35" s="37">
        <v>0</v>
      </c>
      <c r="L35" s="37">
        <v>0</v>
      </c>
      <c r="M35" s="37">
        <v>101.02081298828125</v>
      </c>
      <c r="N35" s="37">
        <v>136.07945251464844</v>
      </c>
      <c r="O35" s="37">
        <v>64.371368408203125</v>
      </c>
      <c r="P35" s="37">
        <v>0</v>
      </c>
    </row>
    <row r="36" spans="1:16" x14ac:dyDescent="0.25">
      <c r="A36" s="36"/>
      <c r="B36" s="36">
        <f>Interval_kwh!B36</f>
        <v>0.34375</v>
      </c>
      <c r="C36" s="37">
        <v>115.91776275634766</v>
      </c>
      <c r="D36" s="37">
        <v>103.89003753662109</v>
      </c>
      <c r="E36" s="37">
        <v>1425.5535888671875</v>
      </c>
      <c r="F36" s="37">
        <v>1375.3385009765625</v>
      </c>
      <c r="G36" s="37">
        <v>404.9595947265625</v>
      </c>
      <c r="H36" s="37">
        <v>708.61456298828125</v>
      </c>
      <c r="I36" s="37">
        <v>0</v>
      </c>
      <c r="J36" s="37">
        <v>0</v>
      </c>
      <c r="K36" s="37">
        <v>0</v>
      </c>
      <c r="L36" s="37">
        <v>0</v>
      </c>
      <c r="M36" s="37">
        <v>100.85183715820313</v>
      </c>
      <c r="N36" s="37">
        <v>136.34382629394531</v>
      </c>
      <c r="O36" s="37">
        <v>63.982921600341797</v>
      </c>
      <c r="P36" s="37">
        <v>0</v>
      </c>
    </row>
    <row r="37" spans="1:16" x14ac:dyDescent="0.25">
      <c r="A37" s="36"/>
      <c r="B37" s="36">
        <f>Interval_kwh!B37</f>
        <v>0.35416666666666702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587.776611328125</v>
      </c>
      <c r="J37" s="37">
        <v>865.88116455078125</v>
      </c>
      <c r="K37" s="37">
        <v>369.511962890625</v>
      </c>
      <c r="L37" s="37">
        <v>714.20819091796875</v>
      </c>
      <c r="M37" s="37">
        <v>114.24916839599609</v>
      </c>
      <c r="N37" s="37">
        <v>136.40640258789063</v>
      </c>
      <c r="O37" s="37">
        <v>0</v>
      </c>
      <c r="P37" s="37">
        <v>0</v>
      </c>
    </row>
    <row r="38" spans="1:16" x14ac:dyDescent="0.25">
      <c r="A38" s="36"/>
      <c r="B38" s="36">
        <f>Interval_kwh!B38</f>
        <v>0.36458333333333298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381.1064453125</v>
      </c>
      <c r="J38" s="37">
        <v>792.62286376953125</v>
      </c>
      <c r="K38" s="37">
        <v>615.76812744140625</v>
      </c>
      <c r="L38" s="37">
        <v>349.13345336914063</v>
      </c>
      <c r="M38" s="37">
        <v>114.61362457275391</v>
      </c>
      <c r="N38" s="37">
        <v>136.9078369140625</v>
      </c>
      <c r="O38" s="37">
        <v>0</v>
      </c>
      <c r="P38" s="37">
        <v>0</v>
      </c>
    </row>
    <row r="39" spans="1:16" x14ac:dyDescent="0.25">
      <c r="A39" s="36"/>
      <c r="B39" s="36">
        <f>Interval_kwh!B39</f>
        <v>0.375</v>
      </c>
      <c r="C39" s="37">
        <v>0</v>
      </c>
      <c r="D39" s="37">
        <v>0</v>
      </c>
      <c r="E39" s="37">
        <v>555.55877685546875</v>
      </c>
      <c r="F39" s="37">
        <v>534.68707275390625</v>
      </c>
      <c r="G39" s="37">
        <v>184.08049011230469</v>
      </c>
      <c r="H39" s="37">
        <v>326.86074829101563</v>
      </c>
      <c r="I39" s="37">
        <v>420.2122802734375</v>
      </c>
      <c r="J39" s="37">
        <v>840.27850341796875</v>
      </c>
      <c r="K39" s="37">
        <v>578.70928955078125</v>
      </c>
      <c r="L39" s="37">
        <v>873.21075439453125</v>
      </c>
      <c r="M39" s="37">
        <v>114.28350830078125</v>
      </c>
      <c r="N39" s="37">
        <v>138.68962097167969</v>
      </c>
      <c r="O39" s="37">
        <v>0</v>
      </c>
      <c r="P39" s="37">
        <v>0</v>
      </c>
    </row>
    <row r="40" spans="1:16" x14ac:dyDescent="0.25">
      <c r="A40" s="36"/>
      <c r="B40" s="36">
        <f>Interval_kwh!B40</f>
        <v>0.38541666666666702</v>
      </c>
      <c r="C40" s="37">
        <v>80.16717529296875</v>
      </c>
      <c r="D40" s="37">
        <v>78.294281005859375</v>
      </c>
      <c r="E40" s="37">
        <v>910.63861083984375</v>
      </c>
      <c r="F40" s="37">
        <v>1070.8607177734375</v>
      </c>
      <c r="G40" s="37">
        <v>275.56201171875</v>
      </c>
      <c r="H40" s="37">
        <v>515.57574462890625</v>
      </c>
      <c r="I40" s="37">
        <v>0</v>
      </c>
      <c r="J40" s="37">
        <v>317.15762329101563</v>
      </c>
      <c r="K40" s="37">
        <v>147.20277404785156</v>
      </c>
      <c r="L40" s="37">
        <v>0</v>
      </c>
      <c r="M40" s="37">
        <v>114.49160003662109</v>
      </c>
      <c r="N40" s="37">
        <v>138.02381896972656</v>
      </c>
      <c r="O40" s="37">
        <v>0</v>
      </c>
      <c r="P40" s="37">
        <v>0</v>
      </c>
    </row>
    <row r="41" spans="1:16" x14ac:dyDescent="0.25">
      <c r="A41" s="36"/>
      <c r="B41" s="36">
        <f>Interval_kwh!B41</f>
        <v>0.39583333333333298</v>
      </c>
      <c r="C41" s="37">
        <v>110.89936065673828</v>
      </c>
      <c r="D41" s="37">
        <v>98.156974792480469</v>
      </c>
      <c r="E41" s="37">
        <v>1470.44091796875</v>
      </c>
      <c r="F41" s="37">
        <v>1125.5589599609375</v>
      </c>
      <c r="G41" s="37">
        <v>251.62841796875</v>
      </c>
      <c r="H41" s="37">
        <v>663.26568603515625</v>
      </c>
      <c r="I41" s="37">
        <v>0</v>
      </c>
      <c r="J41" s="37">
        <v>0</v>
      </c>
      <c r="K41" s="37">
        <v>0</v>
      </c>
      <c r="L41" s="37">
        <v>0</v>
      </c>
      <c r="M41" s="37">
        <v>114.98665618896484</v>
      </c>
      <c r="N41" s="37">
        <v>127.34745025634766</v>
      </c>
      <c r="O41" s="37">
        <v>64.977302551269531</v>
      </c>
      <c r="P41" s="37">
        <v>0</v>
      </c>
    </row>
    <row r="42" spans="1:16" x14ac:dyDescent="0.25">
      <c r="A42" s="36"/>
      <c r="B42" s="36">
        <f>Interval_kwh!B42</f>
        <v>0.40625</v>
      </c>
      <c r="C42" s="37">
        <v>96.365135192871094</v>
      </c>
      <c r="D42" s="37">
        <v>86.020378112792969</v>
      </c>
      <c r="E42" s="37">
        <v>1259.0938720703125</v>
      </c>
      <c r="F42" s="37">
        <v>978.33636474609375</v>
      </c>
      <c r="G42" s="37">
        <v>158.55458068847656</v>
      </c>
      <c r="H42" s="37">
        <v>668.03265380859375</v>
      </c>
      <c r="I42" s="37">
        <v>0</v>
      </c>
      <c r="J42" s="37">
        <v>0</v>
      </c>
      <c r="K42" s="37">
        <v>0</v>
      </c>
      <c r="L42" s="37">
        <v>0</v>
      </c>
      <c r="M42" s="37">
        <v>99.797767639160156</v>
      </c>
      <c r="N42" s="37">
        <v>125.14048004150391</v>
      </c>
      <c r="O42" s="37">
        <v>65.556907653808594</v>
      </c>
      <c r="P42" s="37">
        <v>0</v>
      </c>
    </row>
    <row r="43" spans="1:16" x14ac:dyDescent="0.25">
      <c r="A43" s="36"/>
      <c r="B43" s="36">
        <f>Interval_kwh!B43</f>
        <v>0.41666666666666702</v>
      </c>
      <c r="C43" s="37">
        <v>108.24131011962891</v>
      </c>
      <c r="D43" s="37">
        <v>99.419441223144531</v>
      </c>
      <c r="E43" s="37">
        <v>1465.7679443359375</v>
      </c>
      <c r="F43" s="37">
        <v>1129.9449462890625</v>
      </c>
      <c r="G43" s="37">
        <v>283.39169311523438</v>
      </c>
      <c r="H43" s="37">
        <v>689.46429443359375</v>
      </c>
      <c r="I43" s="37">
        <v>0</v>
      </c>
      <c r="J43" s="37">
        <v>0</v>
      </c>
      <c r="K43" s="37">
        <v>0</v>
      </c>
      <c r="L43" s="37">
        <v>0</v>
      </c>
      <c r="M43" s="37">
        <v>100.99214935302734</v>
      </c>
      <c r="N43" s="37">
        <v>126.13149261474609</v>
      </c>
      <c r="O43" s="37">
        <v>65.185928344726563</v>
      </c>
      <c r="P43" s="37">
        <v>0</v>
      </c>
    </row>
    <row r="44" spans="1:16" x14ac:dyDescent="0.25">
      <c r="A44" s="36"/>
      <c r="B44" s="36">
        <f>Interval_kwh!B44</f>
        <v>0.42708333333333298</v>
      </c>
      <c r="C44" s="37">
        <v>103.025390625</v>
      </c>
      <c r="D44" s="37">
        <v>91.224937438964844</v>
      </c>
      <c r="E44" s="37">
        <v>1473.3388671875</v>
      </c>
      <c r="F44" s="37">
        <v>1196.4117431640625</v>
      </c>
      <c r="G44" s="37">
        <v>271.671142578125</v>
      </c>
      <c r="H44" s="37">
        <v>682.05389404296875</v>
      </c>
      <c r="I44" s="37">
        <v>0</v>
      </c>
      <c r="J44" s="37">
        <v>0</v>
      </c>
      <c r="K44" s="37">
        <v>0</v>
      </c>
      <c r="L44" s="37">
        <v>0</v>
      </c>
      <c r="M44" s="37">
        <v>99.577293395996094</v>
      </c>
      <c r="N44" s="37">
        <v>125.91013336181641</v>
      </c>
      <c r="O44" s="37">
        <v>65.60833740234375</v>
      </c>
      <c r="P44" s="37">
        <v>0</v>
      </c>
    </row>
    <row r="45" spans="1:16" x14ac:dyDescent="0.25">
      <c r="A45" s="36"/>
      <c r="B45" s="36">
        <f>Interval_kwh!B45</f>
        <v>0.4375</v>
      </c>
      <c r="C45" s="37">
        <v>112.15914916992188</v>
      </c>
      <c r="D45" s="37">
        <v>98.55291748046875</v>
      </c>
      <c r="E45" s="37">
        <v>1484.1611328125</v>
      </c>
      <c r="F45" s="37">
        <v>1276.5289306640625</v>
      </c>
      <c r="G45" s="37">
        <v>347.1663818359375</v>
      </c>
      <c r="H45" s="37">
        <v>688.64630126953125</v>
      </c>
      <c r="I45" s="37">
        <v>0</v>
      </c>
      <c r="J45" s="37">
        <v>0</v>
      </c>
      <c r="K45" s="37">
        <v>0</v>
      </c>
      <c r="L45" s="37">
        <v>0</v>
      </c>
      <c r="M45" s="37">
        <v>99.9964599609375</v>
      </c>
      <c r="N45" s="37">
        <v>124.71141815185547</v>
      </c>
      <c r="O45" s="37">
        <v>66.235939025878906</v>
      </c>
      <c r="P45" s="37">
        <v>0</v>
      </c>
    </row>
    <row r="46" spans="1:16" x14ac:dyDescent="0.25">
      <c r="A46" s="36"/>
      <c r="B46" s="36">
        <f>Interval_kwh!B46</f>
        <v>0.44791666666666702</v>
      </c>
      <c r="C46" s="37">
        <v>113.31572723388672</v>
      </c>
      <c r="D46" s="37">
        <v>103.2523193359375</v>
      </c>
      <c r="E46" s="37">
        <v>1679.2113037109375</v>
      </c>
      <c r="F46" s="37">
        <v>1126.9490966796875</v>
      </c>
      <c r="G46" s="37">
        <v>329.61575317382813</v>
      </c>
      <c r="H46" s="37">
        <v>683.02484130859375</v>
      </c>
      <c r="I46" s="37">
        <v>0</v>
      </c>
      <c r="J46" s="37">
        <v>0</v>
      </c>
      <c r="K46" s="37">
        <v>0</v>
      </c>
      <c r="L46" s="37">
        <v>0</v>
      </c>
      <c r="M46" s="37">
        <v>99.684608459472656</v>
      </c>
      <c r="N46" s="37">
        <v>125.63307952880859</v>
      </c>
      <c r="O46" s="37">
        <v>66.057899475097656</v>
      </c>
      <c r="P46" s="37">
        <v>0</v>
      </c>
    </row>
    <row r="47" spans="1:16" x14ac:dyDescent="0.25">
      <c r="A47" s="36"/>
      <c r="B47" s="36">
        <f>Interval_kwh!B47</f>
        <v>0.45833333333333298</v>
      </c>
      <c r="C47" s="37">
        <v>117.78769683837891</v>
      </c>
      <c r="D47" s="37">
        <v>104.82300567626953</v>
      </c>
      <c r="E47" s="37">
        <v>1748.8858642578125</v>
      </c>
      <c r="F47" s="37">
        <v>1228.1710205078125</v>
      </c>
      <c r="G47" s="37">
        <v>413.72225952148438</v>
      </c>
      <c r="H47" s="37">
        <v>670.63873291015625</v>
      </c>
      <c r="I47" s="37">
        <v>0</v>
      </c>
      <c r="J47" s="37">
        <v>0</v>
      </c>
      <c r="K47" s="37">
        <v>0</v>
      </c>
      <c r="L47" s="37">
        <v>0</v>
      </c>
      <c r="M47" s="37">
        <v>101.6705322265625</v>
      </c>
      <c r="N47" s="37">
        <v>127.18999481201172</v>
      </c>
      <c r="O47" s="37">
        <v>66.008644104003906</v>
      </c>
      <c r="P47" s="37">
        <v>0</v>
      </c>
    </row>
    <row r="48" spans="1:16" x14ac:dyDescent="0.25">
      <c r="A48" s="36"/>
      <c r="B48" s="36">
        <f>Interval_kwh!B48</f>
        <v>0.46875</v>
      </c>
      <c r="C48" s="37">
        <v>112.06533050537109</v>
      </c>
      <c r="D48" s="37">
        <v>103.25859832763672</v>
      </c>
      <c r="E48" s="37">
        <v>1617.2037353515625</v>
      </c>
      <c r="F48" s="37">
        <v>1182.8472900390625</v>
      </c>
      <c r="G48" s="37">
        <v>301.17910766601563</v>
      </c>
      <c r="H48" s="37">
        <v>664.67279052734375</v>
      </c>
      <c r="I48" s="37">
        <v>0</v>
      </c>
      <c r="J48" s="37">
        <v>0</v>
      </c>
      <c r="K48" s="37">
        <v>0</v>
      </c>
      <c r="L48" s="37">
        <v>0</v>
      </c>
      <c r="M48" s="37">
        <v>100.19677734375</v>
      </c>
      <c r="N48" s="37">
        <v>124.39337921142578</v>
      </c>
      <c r="O48" s="37">
        <v>65.829780578613281</v>
      </c>
      <c r="P48" s="37">
        <v>0</v>
      </c>
    </row>
    <row r="49" spans="1:16" x14ac:dyDescent="0.25">
      <c r="A49" s="36"/>
      <c r="B49" s="36">
        <f>Interval_kwh!B49</f>
        <v>0.47916666666666702</v>
      </c>
      <c r="C49" s="37">
        <v>94.903251647949219</v>
      </c>
      <c r="D49" s="37">
        <v>88.013694763183594</v>
      </c>
      <c r="E49" s="37">
        <v>1392.7039794921875</v>
      </c>
      <c r="F49" s="37">
        <v>1045.9351806640625</v>
      </c>
      <c r="G49" s="37">
        <v>263.28604125976563</v>
      </c>
      <c r="H49" s="37">
        <v>660.38726806640625</v>
      </c>
      <c r="I49" s="37">
        <v>0</v>
      </c>
      <c r="J49" s="37">
        <v>0</v>
      </c>
      <c r="K49" s="37">
        <v>0</v>
      </c>
      <c r="L49" s="37">
        <v>0</v>
      </c>
      <c r="M49" s="37">
        <v>100.84014892578125</v>
      </c>
      <c r="N49" s="37">
        <v>125.40605926513672</v>
      </c>
      <c r="O49" s="37">
        <v>66.131126403808594</v>
      </c>
      <c r="P49" s="37">
        <v>0</v>
      </c>
    </row>
    <row r="50" spans="1:16" x14ac:dyDescent="0.25">
      <c r="A50" s="36"/>
      <c r="B50" s="36">
        <f>Interval_kwh!B50</f>
        <v>0.48958333333333298</v>
      </c>
      <c r="C50" s="37">
        <v>89.41937255859375</v>
      </c>
      <c r="D50" s="37">
        <v>83.182258605957031</v>
      </c>
      <c r="E50" s="37">
        <v>1278.1593017578125</v>
      </c>
      <c r="F50" s="37">
        <v>975.912353515625</v>
      </c>
      <c r="G50" s="37">
        <v>167.7999267578125</v>
      </c>
      <c r="H50" s="37">
        <v>680.28570556640625</v>
      </c>
      <c r="I50" s="37">
        <v>0</v>
      </c>
      <c r="J50" s="37">
        <v>0</v>
      </c>
      <c r="K50" s="37">
        <v>0</v>
      </c>
      <c r="L50" s="37">
        <v>0</v>
      </c>
      <c r="M50" s="37">
        <v>99.4595947265625</v>
      </c>
      <c r="N50" s="37">
        <v>126.39301300048828</v>
      </c>
      <c r="O50" s="37">
        <v>65.408409118652344</v>
      </c>
      <c r="P50" s="37">
        <v>0</v>
      </c>
    </row>
    <row r="51" spans="1:16" x14ac:dyDescent="0.25">
      <c r="A51" s="36"/>
      <c r="B51" s="36">
        <f>Interval_kwh!B51</f>
        <v>0.5</v>
      </c>
      <c r="C51" s="37">
        <v>98.751777648925781</v>
      </c>
      <c r="D51" s="37">
        <v>92.012908935546875</v>
      </c>
      <c r="E51" s="37">
        <v>1549.4459228515625</v>
      </c>
      <c r="F51" s="37">
        <v>938.11456298828125</v>
      </c>
      <c r="G51" s="37">
        <v>172.56800842285156</v>
      </c>
      <c r="H51" s="37">
        <v>652.28265380859375</v>
      </c>
      <c r="I51" s="37">
        <v>0</v>
      </c>
      <c r="J51" s="37">
        <v>0</v>
      </c>
      <c r="K51" s="37">
        <v>0</v>
      </c>
      <c r="L51" s="37">
        <v>0</v>
      </c>
      <c r="M51" s="37">
        <v>101.47130584716797</v>
      </c>
      <c r="N51" s="37">
        <v>127.59116363525391</v>
      </c>
      <c r="O51" s="37">
        <v>64.961997985839844</v>
      </c>
      <c r="P51" s="37">
        <v>0</v>
      </c>
    </row>
    <row r="52" spans="1:16" x14ac:dyDescent="0.25">
      <c r="A52" s="36"/>
      <c r="B52" s="36">
        <f>Interval_kwh!B52</f>
        <v>0.51041666666666696</v>
      </c>
      <c r="C52" s="37">
        <v>99.534416198730469</v>
      </c>
      <c r="D52" s="37">
        <v>91.982963562011719</v>
      </c>
      <c r="E52" s="37">
        <v>1553.9945068359375</v>
      </c>
      <c r="F52" s="37">
        <v>962.66326904296875</v>
      </c>
      <c r="G52" s="37">
        <v>180.4451904296875</v>
      </c>
      <c r="H52" s="37">
        <v>680.63299560546875</v>
      </c>
      <c r="I52" s="37">
        <v>0</v>
      </c>
      <c r="J52" s="37">
        <v>0</v>
      </c>
      <c r="K52" s="37">
        <v>0</v>
      </c>
      <c r="L52" s="37">
        <v>0</v>
      </c>
      <c r="M52" s="37">
        <v>101.47553253173828</v>
      </c>
      <c r="N52" s="37">
        <v>125.74250030517578</v>
      </c>
      <c r="O52" s="37">
        <v>65.244911193847656</v>
      </c>
      <c r="P52" s="37">
        <v>0</v>
      </c>
    </row>
    <row r="53" spans="1:16" x14ac:dyDescent="0.25">
      <c r="A53" s="36"/>
      <c r="B53" s="36">
        <f>Interval_kwh!B53</f>
        <v>0.52083333333333304</v>
      </c>
      <c r="C53" s="37">
        <v>100.56844329833984</v>
      </c>
      <c r="D53" s="37">
        <v>94.959587097167969</v>
      </c>
      <c r="E53" s="37">
        <v>1561.8306884765625</v>
      </c>
      <c r="F53" s="37">
        <v>1034.0169677734375</v>
      </c>
      <c r="G53" s="37">
        <v>204.65864562988281</v>
      </c>
      <c r="H53" s="37">
        <v>686.137939453125</v>
      </c>
      <c r="I53" s="37">
        <v>0</v>
      </c>
      <c r="J53" s="37">
        <v>0</v>
      </c>
      <c r="K53" s="37">
        <v>0</v>
      </c>
      <c r="L53" s="37">
        <v>0</v>
      </c>
      <c r="M53" s="37">
        <v>100.84958648681641</v>
      </c>
      <c r="N53" s="37">
        <v>126.69065093994141</v>
      </c>
      <c r="O53" s="37">
        <v>65.314598083496094</v>
      </c>
      <c r="P53" s="37">
        <v>0</v>
      </c>
    </row>
    <row r="54" spans="1:16" x14ac:dyDescent="0.25">
      <c r="A54" s="36"/>
      <c r="B54" s="36">
        <f>Interval_kwh!B54</f>
        <v>0.53125</v>
      </c>
      <c r="C54" s="37">
        <v>100.32412719726563</v>
      </c>
      <c r="D54" s="37">
        <v>96.0565185546875</v>
      </c>
      <c r="E54" s="37">
        <v>1449.81103515625</v>
      </c>
      <c r="F54" s="37">
        <v>1093.099609375</v>
      </c>
      <c r="G54" s="37">
        <v>204.52154541015625</v>
      </c>
      <c r="H54" s="37">
        <v>663.85406494140625</v>
      </c>
      <c r="I54" s="37">
        <v>0</v>
      </c>
      <c r="J54" s="37">
        <v>0</v>
      </c>
      <c r="K54" s="37">
        <v>0</v>
      </c>
      <c r="L54" s="37">
        <v>0</v>
      </c>
      <c r="M54" s="37">
        <v>101.36292266845703</v>
      </c>
      <c r="N54" s="37">
        <v>127.11209869384766</v>
      </c>
      <c r="O54" s="37">
        <v>65.065940856933594</v>
      </c>
      <c r="P54" s="37">
        <v>0</v>
      </c>
    </row>
    <row r="55" spans="1:16" x14ac:dyDescent="0.25">
      <c r="A55" s="36"/>
      <c r="B55" s="36">
        <f>Interval_kwh!B55</f>
        <v>0.54166666666666696</v>
      </c>
      <c r="C55" s="37">
        <v>103.25094604492188</v>
      </c>
      <c r="D55" s="37">
        <v>97.722526550292969</v>
      </c>
      <c r="E55" s="37">
        <v>1605.2630615234375</v>
      </c>
      <c r="F55" s="37">
        <v>1094.3218994140625</v>
      </c>
      <c r="G55" s="37">
        <v>198.34779357910156</v>
      </c>
      <c r="H55" s="37">
        <v>682.93719482421875</v>
      </c>
      <c r="I55" s="37">
        <v>0</v>
      </c>
      <c r="J55" s="37">
        <v>0</v>
      </c>
      <c r="K55" s="37">
        <v>0</v>
      </c>
      <c r="L55" s="37">
        <v>0</v>
      </c>
      <c r="M55" s="37">
        <v>101.46700286865234</v>
      </c>
      <c r="N55" s="37">
        <v>128.02815246582031</v>
      </c>
      <c r="O55" s="37">
        <v>65.145614624023438</v>
      </c>
      <c r="P55" s="37">
        <v>0</v>
      </c>
    </row>
    <row r="56" spans="1:16" x14ac:dyDescent="0.25">
      <c r="A56" s="36"/>
      <c r="B56" s="36">
        <f>Interval_kwh!B56</f>
        <v>0.55208333333333304</v>
      </c>
      <c r="C56" s="37">
        <v>99.760711669921875</v>
      </c>
      <c r="D56" s="37">
        <v>95.526756286621094</v>
      </c>
      <c r="E56" s="37">
        <v>1581.3541259765625</v>
      </c>
      <c r="F56" s="37">
        <v>1017.1133422851563</v>
      </c>
      <c r="G56" s="37">
        <v>224.61714172363281</v>
      </c>
      <c r="H56" s="37">
        <v>647.37762451171875</v>
      </c>
      <c r="I56" s="37">
        <v>0</v>
      </c>
      <c r="J56" s="37">
        <v>0</v>
      </c>
      <c r="K56" s="37">
        <v>0</v>
      </c>
      <c r="L56" s="37">
        <v>0</v>
      </c>
      <c r="M56" s="37">
        <v>101.15067291259766</v>
      </c>
      <c r="N56" s="37">
        <v>129.58943176269531</v>
      </c>
      <c r="O56" s="37">
        <v>65.141983032226563</v>
      </c>
      <c r="P56" s="37">
        <v>0</v>
      </c>
    </row>
    <row r="57" spans="1:16" x14ac:dyDescent="0.25">
      <c r="A57" s="36"/>
      <c r="B57" s="36">
        <f>Interval_kwh!B57</f>
        <v>0.5625</v>
      </c>
      <c r="C57" s="37">
        <v>100.80377197265625</v>
      </c>
      <c r="D57" s="37">
        <v>96.387809753417969</v>
      </c>
      <c r="E57" s="37">
        <v>1414.5494384765625</v>
      </c>
      <c r="F57" s="37">
        <v>1201.7249755859375</v>
      </c>
      <c r="G57" s="37">
        <v>357.56234741210938</v>
      </c>
      <c r="H57" s="37">
        <v>636.47735595703125</v>
      </c>
      <c r="I57" s="37">
        <v>0</v>
      </c>
      <c r="J57" s="37">
        <v>0</v>
      </c>
      <c r="K57" s="37">
        <v>0</v>
      </c>
      <c r="L57" s="37">
        <v>0</v>
      </c>
      <c r="M57" s="37">
        <v>99.44110107421875</v>
      </c>
      <c r="N57" s="37">
        <v>125.88512420654297</v>
      </c>
      <c r="O57" s="37">
        <v>64.488319396972656</v>
      </c>
      <c r="P57" s="37">
        <v>0</v>
      </c>
    </row>
    <row r="58" spans="1:16" x14ac:dyDescent="0.25">
      <c r="A58" s="36"/>
      <c r="B58" s="36">
        <f>Interval_kwh!B58</f>
        <v>0.57291666666666696</v>
      </c>
      <c r="C58" s="37">
        <v>90.141517639160156</v>
      </c>
      <c r="D58" s="37">
        <v>86.597953796386719</v>
      </c>
      <c r="E58" s="37">
        <v>1145.659423828125</v>
      </c>
      <c r="F58" s="37">
        <v>1090.9893798828125</v>
      </c>
      <c r="G58" s="37">
        <v>254.04264831542969</v>
      </c>
      <c r="H58" s="37">
        <v>640.56842041015625</v>
      </c>
      <c r="I58" s="37">
        <v>0</v>
      </c>
      <c r="J58" s="37">
        <v>0</v>
      </c>
      <c r="K58" s="37">
        <v>0</v>
      </c>
      <c r="L58" s="37">
        <v>0</v>
      </c>
      <c r="M58" s="37">
        <v>101.12602996826172</v>
      </c>
      <c r="N58" s="37">
        <v>128.91041564941406</v>
      </c>
      <c r="O58" s="37">
        <v>64.742027282714844</v>
      </c>
      <c r="P58" s="37">
        <v>0</v>
      </c>
    </row>
    <row r="59" spans="1:16" x14ac:dyDescent="0.25">
      <c r="A59" s="36"/>
      <c r="B59" s="36">
        <f>Interval_kwh!B59</f>
        <v>0.58333333333333304</v>
      </c>
      <c r="C59" s="37">
        <v>96.038414001464844</v>
      </c>
      <c r="D59" s="37">
        <v>92.173149108886719</v>
      </c>
      <c r="E59" s="37">
        <v>1301.251708984375</v>
      </c>
      <c r="F59" s="37">
        <v>1152.3590087890625</v>
      </c>
      <c r="G59" s="37">
        <v>363.31527709960938</v>
      </c>
      <c r="H59" s="37">
        <v>643.0810546875</v>
      </c>
      <c r="I59" s="37">
        <v>0</v>
      </c>
      <c r="J59" s="37">
        <v>0</v>
      </c>
      <c r="K59" s="37">
        <v>0</v>
      </c>
      <c r="L59" s="37">
        <v>0</v>
      </c>
      <c r="M59" s="37">
        <v>100.44937896728516</v>
      </c>
      <c r="N59" s="37">
        <v>128.29246520996094</v>
      </c>
      <c r="O59" s="37">
        <v>66.092323303222656</v>
      </c>
      <c r="P59" s="37">
        <v>0</v>
      </c>
    </row>
    <row r="60" spans="1:16" x14ac:dyDescent="0.25">
      <c r="A60" s="36"/>
      <c r="B60" s="36">
        <f>Interval_kwh!B60</f>
        <v>0.59375</v>
      </c>
      <c r="C60" s="37">
        <v>94.017974853515625</v>
      </c>
      <c r="D60" s="37">
        <v>86.657554626464844</v>
      </c>
      <c r="E60" s="37">
        <v>1199.40966796875</v>
      </c>
      <c r="F60" s="37">
        <v>1148.583740234375</v>
      </c>
      <c r="G60" s="37">
        <v>359.890380859375</v>
      </c>
      <c r="H60" s="37">
        <v>603.79052734375</v>
      </c>
      <c r="I60" s="37">
        <v>0</v>
      </c>
      <c r="J60" s="37">
        <v>0</v>
      </c>
      <c r="K60" s="37">
        <v>0</v>
      </c>
      <c r="L60" s="37">
        <v>0</v>
      </c>
      <c r="M60" s="37">
        <v>100.90827178955078</v>
      </c>
      <c r="N60" s="37">
        <v>128.99058532714844</v>
      </c>
      <c r="O60" s="37">
        <v>65.673797607421875</v>
      </c>
      <c r="P60" s="37">
        <v>0</v>
      </c>
    </row>
    <row r="61" spans="1:16" x14ac:dyDescent="0.25">
      <c r="A61" s="36"/>
      <c r="B61" s="36">
        <f>Interval_kwh!B61</f>
        <v>0.60416666666666696</v>
      </c>
      <c r="C61" s="37">
        <v>82.02386474609375</v>
      </c>
      <c r="D61" s="37">
        <v>78.814445495605469</v>
      </c>
      <c r="E61" s="37">
        <v>1167.3743896484375</v>
      </c>
      <c r="F61" s="37">
        <v>988.03369140625</v>
      </c>
      <c r="G61" s="37">
        <v>359.37094116210938</v>
      </c>
      <c r="H61" s="37">
        <v>493.2012939453125</v>
      </c>
      <c r="I61" s="37">
        <v>0</v>
      </c>
      <c r="J61" s="37">
        <v>0</v>
      </c>
      <c r="K61" s="37">
        <v>0</v>
      </c>
      <c r="L61" s="37">
        <v>0</v>
      </c>
      <c r="M61" s="37">
        <v>99.606666564941406</v>
      </c>
      <c r="N61" s="37">
        <v>128.8626708984375</v>
      </c>
      <c r="O61" s="37">
        <v>64.724395751953125</v>
      </c>
      <c r="P61" s="37">
        <v>0</v>
      </c>
    </row>
    <row r="62" spans="1:16" x14ac:dyDescent="0.25">
      <c r="A62" s="36"/>
      <c r="B62" s="36">
        <f>Interval_kwh!B62</f>
        <v>0.61458333333333304</v>
      </c>
      <c r="C62" s="37">
        <v>100.02316284179688</v>
      </c>
      <c r="D62" s="37">
        <v>89.298675537109375</v>
      </c>
      <c r="E62" s="37">
        <v>1226.5045166015625</v>
      </c>
      <c r="F62" s="37">
        <v>1178.2109375</v>
      </c>
      <c r="G62" s="37">
        <v>434.41226196289063</v>
      </c>
      <c r="H62" s="37">
        <v>611.3663330078125</v>
      </c>
      <c r="I62" s="37">
        <v>0</v>
      </c>
      <c r="J62" s="37">
        <v>0</v>
      </c>
      <c r="K62" s="37">
        <v>0</v>
      </c>
      <c r="L62" s="37">
        <v>0</v>
      </c>
      <c r="M62" s="37">
        <v>100.79610443115234</v>
      </c>
      <c r="N62" s="37">
        <v>79.099639892578125</v>
      </c>
      <c r="O62" s="37">
        <v>64.146476745605469</v>
      </c>
      <c r="P62" s="37">
        <v>0</v>
      </c>
    </row>
    <row r="63" spans="1:16" x14ac:dyDescent="0.25">
      <c r="A63" s="36"/>
      <c r="B63" s="36">
        <f>Interval_kwh!B63</f>
        <v>0.625</v>
      </c>
      <c r="C63" s="37">
        <v>106.78708648681641</v>
      </c>
      <c r="D63" s="37">
        <v>102.12493133544922</v>
      </c>
      <c r="E63" s="37">
        <v>1420.0198974609375</v>
      </c>
      <c r="F63" s="37">
        <v>1371.0042724609375</v>
      </c>
      <c r="G63" s="37">
        <v>492.8201904296875</v>
      </c>
      <c r="H63" s="37">
        <v>648.99688720703125</v>
      </c>
      <c r="I63" s="37">
        <v>0</v>
      </c>
      <c r="J63" s="37">
        <v>0</v>
      </c>
      <c r="K63" s="37">
        <v>0</v>
      </c>
      <c r="L63" s="37">
        <v>0</v>
      </c>
      <c r="M63" s="37">
        <v>100.62514495849609</v>
      </c>
      <c r="N63" s="37">
        <v>130.00225830078125</v>
      </c>
      <c r="O63" s="37">
        <v>63.996318817138672</v>
      </c>
      <c r="P63" s="37">
        <v>0</v>
      </c>
    </row>
    <row r="64" spans="1:16" x14ac:dyDescent="0.25">
      <c r="A64" s="36"/>
      <c r="B64" s="36">
        <f>Interval_kwh!B64</f>
        <v>0.63541666666666696</v>
      </c>
      <c r="C64" s="37">
        <v>95.05670166015625</v>
      </c>
      <c r="D64" s="37">
        <v>94.588691711425781</v>
      </c>
      <c r="E64" s="37">
        <v>1369.7132568359375</v>
      </c>
      <c r="F64" s="37">
        <v>1125.9573974609375</v>
      </c>
      <c r="G64" s="37">
        <v>326.72103881835938</v>
      </c>
      <c r="H64" s="37">
        <v>649.50140380859375</v>
      </c>
      <c r="I64" s="37">
        <v>0</v>
      </c>
      <c r="J64" s="37">
        <v>0</v>
      </c>
      <c r="K64" s="37">
        <v>0</v>
      </c>
      <c r="L64" s="37">
        <v>0</v>
      </c>
      <c r="M64" s="37">
        <v>101.0614013671875</v>
      </c>
      <c r="N64" s="37">
        <v>127.69077301025391</v>
      </c>
      <c r="O64" s="37">
        <v>64.752967834472656</v>
      </c>
      <c r="P64" s="37">
        <v>0</v>
      </c>
    </row>
    <row r="65" spans="1:16" x14ac:dyDescent="0.25">
      <c r="A65" s="36"/>
      <c r="B65" s="36">
        <f>Interval_kwh!B65</f>
        <v>0.64583333333333304</v>
      </c>
      <c r="C65" s="37">
        <v>97.449607849121094</v>
      </c>
      <c r="D65" s="37">
        <v>93.417259216308594</v>
      </c>
      <c r="E65" s="37">
        <v>1400.1890869140625</v>
      </c>
      <c r="F65" s="37">
        <v>1096.2032470703125</v>
      </c>
      <c r="G65" s="37">
        <v>225.04435729980469</v>
      </c>
      <c r="H65" s="37">
        <v>696.630615234375</v>
      </c>
      <c r="I65" s="37">
        <v>0</v>
      </c>
      <c r="J65" s="37">
        <v>0</v>
      </c>
      <c r="K65" s="37">
        <v>0</v>
      </c>
      <c r="L65" s="37">
        <v>0</v>
      </c>
      <c r="M65" s="37">
        <v>101.210205078125</v>
      </c>
      <c r="N65" s="37">
        <v>128.06190490722656</v>
      </c>
      <c r="O65" s="37">
        <v>64.376853942871094</v>
      </c>
      <c r="P65" s="37">
        <v>0</v>
      </c>
    </row>
    <row r="66" spans="1:16" x14ac:dyDescent="0.25">
      <c r="A66" s="36"/>
      <c r="B66" s="36">
        <f>Interval_kwh!B66</f>
        <v>0.65625</v>
      </c>
      <c r="C66" s="37">
        <v>92.367652893066406</v>
      </c>
      <c r="D66" s="37">
        <v>89.025848388671875</v>
      </c>
      <c r="E66" s="37">
        <v>1346.26171875</v>
      </c>
      <c r="F66" s="37">
        <v>1036.1915283203125</v>
      </c>
      <c r="G66" s="37">
        <v>242.21600341796875</v>
      </c>
      <c r="H66" s="37">
        <v>674.37384033203125</v>
      </c>
      <c r="I66" s="37">
        <v>0</v>
      </c>
      <c r="J66" s="37">
        <v>0</v>
      </c>
      <c r="K66" s="37">
        <v>0</v>
      </c>
      <c r="L66" s="37">
        <v>0</v>
      </c>
      <c r="M66" s="37">
        <v>101.15401458740234</v>
      </c>
      <c r="N66" s="37">
        <v>127.44219970703125</v>
      </c>
      <c r="O66" s="37">
        <v>64.246177673339844</v>
      </c>
      <c r="P66" s="37">
        <v>0</v>
      </c>
    </row>
    <row r="67" spans="1:16" x14ac:dyDescent="0.25">
      <c r="A67" s="36"/>
      <c r="B67" s="36">
        <f>Interval_kwh!B67</f>
        <v>0.66666666666666696</v>
      </c>
      <c r="C67" s="37">
        <v>93.409950256347656</v>
      </c>
      <c r="D67" s="37">
        <v>89.557624816894531</v>
      </c>
      <c r="E67" s="37">
        <v>1315.69970703125</v>
      </c>
      <c r="F67" s="37">
        <v>1174.47509765625</v>
      </c>
      <c r="G67" s="37">
        <v>298.69232177734375</v>
      </c>
      <c r="H67" s="37">
        <v>702.05401611328125</v>
      </c>
      <c r="I67" s="37">
        <v>0</v>
      </c>
      <c r="J67" s="37">
        <v>0</v>
      </c>
      <c r="K67" s="37">
        <v>0</v>
      </c>
      <c r="L67" s="37">
        <v>0</v>
      </c>
      <c r="M67" s="37">
        <v>100.91363525390625</v>
      </c>
      <c r="N67" s="37">
        <v>127.10366058349609</v>
      </c>
      <c r="O67" s="37">
        <v>64.690238952636719</v>
      </c>
      <c r="P67" s="37">
        <v>0</v>
      </c>
    </row>
    <row r="68" spans="1:16" x14ac:dyDescent="0.25">
      <c r="A68" s="36"/>
      <c r="B68" s="36">
        <f>Interval_kwh!B68</f>
        <v>0.67708333333333304</v>
      </c>
      <c r="C68" s="37">
        <v>98.418724060058594</v>
      </c>
      <c r="D68" s="37">
        <v>93.96661376953125</v>
      </c>
      <c r="E68" s="37">
        <v>1386.83203125</v>
      </c>
      <c r="F68" s="37">
        <v>1055.3992919921875</v>
      </c>
      <c r="G68" s="37">
        <v>272.27548217773438</v>
      </c>
      <c r="H68" s="37">
        <v>653.6173095703125</v>
      </c>
      <c r="I68" s="37">
        <v>0</v>
      </c>
      <c r="J68" s="37">
        <v>0</v>
      </c>
      <c r="K68" s="37">
        <v>0</v>
      </c>
      <c r="L68" s="37">
        <v>0</v>
      </c>
      <c r="M68" s="37">
        <v>101.23856353759766</v>
      </c>
      <c r="N68" s="37">
        <v>128.21278381347656</v>
      </c>
      <c r="O68" s="37">
        <v>63.7529296875</v>
      </c>
      <c r="P68" s="37">
        <v>0</v>
      </c>
    </row>
    <row r="69" spans="1:16" x14ac:dyDescent="0.25">
      <c r="A69" s="36"/>
      <c r="B69" s="36">
        <f>Interval_kwh!B69</f>
        <v>0.6875</v>
      </c>
      <c r="C69" s="37">
        <v>98.995750427246094</v>
      </c>
      <c r="D69" s="37">
        <v>95.338592529296875</v>
      </c>
      <c r="E69" s="37">
        <v>1435.56494140625</v>
      </c>
      <c r="F69" s="37">
        <v>1067.7591552734375</v>
      </c>
      <c r="G69" s="37">
        <v>282.48834228515625</v>
      </c>
      <c r="H69" s="37">
        <v>660.97650146484375</v>
      </c>
      <c r="I69" s="37">
        <v>0</v>
      </c>
      <c r="J69" s="37">
        <v>0</v>
      </c>
      <c r="K69" s="37">
        <v>0</v>
      </c>
      <c r="L69" s="37">
        <v>0</v>
      </c>
      <c r="M69" s="37">
        <v>101.10056304931641</v>
      </c>
      <c r="N69" s="37">
        <v>125.79445648193359</v>
      </c>
      <c r="O69" s="37">
        <v>64.803443908691406</v>
      </c>
      <c r="P69" s="37">
        <v>0</v>
      </c>
    </row>
    <row r="70" spans="1:16" x14ac:dyDescent="0.25">
      <c r="A70" s="36"/>
      <c r="B70" s="36">
        <f>Interval_kwh!B70</f>
        <v>0.69791666666666696</v>
      </c>
      <c r="C70" s="37">
        <v>104.82999420166016</v>
      </c>
      <c r="D70" s="37">
        <v>103.70841217041016</v>
      </c>
      <c r="E70" s="37">
        <v>1672.7880859375</v>
      </c>
      <c r="F70" s="37">
        <v>1155.9588623046875</v>
      </c>
      <c r="G70" s="37">
        <v>282.51300048828125</v>
      </c>
      <c r="H70" s="37">
        <v>678.35650634765625</v>
      </c>
      <c r="I70" s="37">
        <v>0</v>
      </c>
      <c r="J70" s="37">
        <v>0</v>
      </c>
      <c r="K70" s="37">
        <v>0</v>
      </c>
      <c r="L70" s="37">
        <v>0</v>
      </c>
      <c r="M70" s="37">
        <v>100.85404205322266</v>
      </c>
      <c r="N70" s="37">
        <v>127.16259002685547</v>
      </c>
      <c r="O70" s="37">
        <v>63.649303436279297</v>
      </c>
      <c r="P70" s="37">
        <v>0</v>
      </c>
    </row>
    <row r="71" spans="1:16" x14ac:dyDescent="0.25">
      <c r="A71" s="36"/>
      <c r="B71" s="36">
        <f>Interval_kwh!B71</f>
        <v>0.70833333333333304</v>
      </c>
      <c r="C71" s="37">
        <v>101.77600860595703</v>
      </c>
      <c r="D71" s="37">
        <v>97.936485290527344</v>
      </c>
      <c r="E71" s="37">
        <v>1341.7696533203125</v>
      </c>
      <c r="F71" s="37">
        <v>1155.38330078125</v>
      </c>
      <c r="G71" s="37">
        <v>374.33804321289063</v>
      </c>
      <c r="H71" s="37">
        <v>659.02899169921875</v>
      </c>
      <c r="I71" s="37">
        <v>0</v>
      </c>
      <c r="J71" s="37">
        <v>0</v>
      </c>
      <c r="K71" s="37">
        <v>0</v>
      </c>
      <c r="L71" s="37">
        <v>0</v>
      </c>
      <c r="M71" s="37">
        <v>101.49060821533203</v>
      </c>
      <c r="N71" s="37">
        <v>127.08766937255859</v>
      </c>
      <c r="O71" s="37">
        <v>65.091133117675781</v>
      </c>
      <c r="P71" s="37">
        <v>0</v>
      </c>
    </row>
    <row r="72" spans="1:16" x14ac:dyDescent="0.25">
      <c r="A72" s="36"/>
      <c r="B72" s="36">
        <f>Interval_kwh!B72</f>
        <v>0.71875</v>
      </c>
      <c r="C72" s="37">
        <v>0</v>
      </c>
      <c r="D72" s="37">
        <v>0</v>
      </c>
      <c r="E72" s="37">
        <v>1415.5936279296875</v>
      </c>
      <c r="F72" s="37">
        <v>1308.10302734375</v>
      </c>
      <c r="G72" s="37">
        <v>425.4686279296875</v>
      </c>
      <c r="H72" s="37">
        <v>657.31842041015625</v>
      </c>
      <c r="I72" s="37">
        <v>0</v>
      </c>
      <c r="J72" s="37">
        <v>489.20986938476563</v>
      </c>
      <c r="K72" s="37">
        <v>841.03607177734375</v>
      </c>
      <c r="L72" s="37">
        <v>567.27764892578125</v>
      </c>
      <c r="M72" s="37">
        <v>31.533292770385742</v>
      </c>
      <c r="N72" s="37">
        <v>126.89215087890625</v>
      </c>
      <c r="O72" s="37">
        <v>88.096923828125</v>
      </c>
      <c r="P72" s="37">
        <v>0</v>
      </c>
    </row>
    <row r="73" spans="1:16" x14ac:dyDescent="0.25">
      <c r="A73" s="36"/>
      <c r="B73" s="36">
        <f>Interval_kwh!B73</f>
        <v>0.72916666666666696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457.54150390625</v>
      </c>
      <c r="J73" s="37">
        <v>667.78564453125</v>
      </c>
      <c r="K73" s="37">
        <v>569.75189208984375</v>
      </c>
      <c r="L73" s="37">
        <v>694.35595703125</v>
      </c>
      <c r="M73" s="37">
        <v>102.13198089599609</v>
      </c>
      <c r="N73" s="37">
        <v>131.64352416992188</v>
      </c>
      <c r="O73" s="37">
        <v>54.593765258789063</v>
      </c>
      <c r="P73" s="37">
        <v>0</v>
      </c>
    </row>
    <row r="74" spans="1:16" x14ac:dyDescent="0.25">
      <c r="A74" s="36"/>
      <c r="B74" s="36">
        <f>Interval_kwh!B74</f>
        <v>0.73958333333333304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219.85723876953125</v>
      </c>
      <c r="J74" s="37">
        <v>858.60345458984375</v>
      </c>
      <c r="K74" s="37">
        <v>643.78070068359375</v>
      </c>
      <c r="L74" s="37">
        <v>581.5872802734375</v>
      </c>
      <c r="M74" s="37">
        <v>102.07748413085938</v>
      </c>
      <c r="N74" s="37">
        <v>130.33709716796875</v>
      </c>
      <c r="O74" s="37">
        <v>68.182823181152344</v>
      </c>
      <c r="P74" s="37">
        <v>0</v>
      </c>
    </row>
    <row r="75" spans="1:16" x14ac:dyDescent="0.25">
      <c r="A75" s="36"/>
      <c r="B75" s="36">
        <f>Interval_kwh!B75</f>
        <v>0.75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363.08163452148438</v>
      </c>
      <c r="J75" s="37">
        <v>853.99920654296875</v>
      </c>
      <c r="K75" s="37">
        <v>575.83367919921875</v>
      </c>
      <c r="L75" s="37">
        <v>851.78387451171875</v>
      </c>
      <c r="M75" s="37">
        <v>101.28844451904297</v>
      </c>
      <c r="N75" s="37">
        <v>129.48973083496094</v>
      </c>
      <c r="O75" s="37">
        <v>68.299995422363281</v>
      </c>
      <c r="P75" s="37">
        <v>0</v>
      </c>
    </row>
    <row r="76" spans="1:16" x14ac:dyDescent="0.25">
      <c r="A76" s="36"/>
      <c r="B76" s="36">
        <f>Interval_kwh!B76</f>
        <v>0.76041666666666696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361.27053833007813</v>
      </c>
      <c r="J76" s="37">
        <v>811.58966064453125</v>
      </c>
      <c r="K76" s="37">
        <v>496.60922241210938</v>
      </c>
      <c r="L76" s="37">
        <v>673.58837890625</v>
      </c>
      <c r="M76" s="37">
        <v>100.73331451416016</v>
      </c>
      <c r="N76" s="37">
        <v>129.43479919433594</v>
      </c>
      <c r="O76" s="37">
        <v>66.991867065429688</v>
      </c>
      <c r="P76" s="37">
        <v>0</v>
      </c>
    </row>
    <row r="77" spans="1:16" x14ac:dyDescent="0.25">
      <c r="A77" s="36"/>
      <c r="B77" s="36">
        <f>Interval_kwh!B77</f>
        <v>0.77083333333333304</v>
      </c>
      <c r="C77" s="37">
        <v>0</v>
      </c>
      <c r="D77" s="37">
        <v>0</v>
      </c>
      <c r="E77" s="37">
        <v>849.68890380859375</v>
      </c>
      <c r="F77" s="37">
        <v>843.2099609375</v>
      </c>
      <c r="G77" s="37">
        <v>454.19140625</v>
      </c>
      <c r="H77" s="37">
        <v>329.64212036132813</v>
      </c>
      <c r="I77" s="37">
        <v>475.06637573242188</v>
      </c>
      <c r="J77" s="37">
        <v>1033.9766845703125</v>
      </c>
      <c r="K77" s="37">
        <v>484.42636108398438</v>
      </c>
      <c r="L77" s="37">
        <v>904.95086669921875</v>
      </c>
      <c r="M77" s="37">
        <v>102.2432861328125</v>
      </c>
      <c r="N77" s="37">
        <v>130.56355285644531</v>
      </c>
      <c r="O77" s="37">
        <v>68.530418395996094</v>
      </c>
      <c r="P77" s="37">
        <v>0</v>
      </c>
    </row>
    <row r="78" spans="1:16" x14ac:dyDescent="0.25">
      <c r="A78" s="36"/>
      <c r="B78" s="36">
        <f>Interval_kwh!B78</f>
        <v>0.78125</v>
      </c>
      <c r="C78" s="37">
        <v>63.434768676757813</v>
      </c>
      <c r="D78" s="37">
        <v>63.588226318359375</v>
      </c>
      <c r="E78" s="37">
        <v>925.52142333984375</v>
      </c>
      <c r="F78" s="37">
        <v>789.50555419921875</v>
      </c>
      <c r="G78" s="37">
        <v>185.24946594238281</v>
      </c>
      <c r="H78" s="37">
        <v>388.5279541015625</v>
      </c>
      <c r="I78" s="37">
        <v>0</v>
      </c>
      <c r="J78" s="37">
        <v>164.1002197265625</v>
      </c>
      <c r="K78" s="37">
        <v>375.61318969726563</v>
      </c>
      <c r="L78" s="37">
        <v>0</v>
      </c>
      <c r="M78" s="37">
        <v>101.7095947265625</v>
      </c>
      <c r="N78" s="37">
        <v>130.42884826660156</v>
      </c>
      <c r="O78" s="37">
        <v>65.613639831542969</v>
      </c>
      <c r="P78" s="37">
        <v>0</v>
      </c>
    </row>
    <row r="79" spans="1:16" x14ac:dyDescent="0.25">
      <c r="A79" s="36"/>
      <c r="B79" s="36">
        <f>Interval_kwh!B79</f>
        <v>0.79166666666666696</v>
      </c>
      <c r="C79" s="37">
        <v>87.055442810058594</v>
      </c>
      <c r="D79" s="37">
        <v>83.628852844238281</v>
      </c>
      <c r="E79" s="37">
        <v>1242.2578125</v>
      </c>
      <c r="F79" s="37">
        <v>1019.0448608398438</v>
      </c>
      <c r="G79" s="37">
        <v>192.34303283691406</v>
      </c>
      <c r="H79" s="37">
        <v>569.59649658203125</v>
      </c>
      <c r="I79" s="37">
        <v>0</v>
      </c>
      <c r="J79" s="37">
        <v>0</v>
      </c>
      <c r="K79" s="37">
        <v>0</v>
      </c>
      <c r="L79" s="37">
        <v>0</v>
      </c>
      <c r="M79" s="37">
        <v>101.82704925537109</v>
      </c>
      <c r="N79" s="37">
        <v>129.58981323242188</v>
      </c>
      <c r="O79" s="37">
        <v>65.333457946777344</v>
      </c>
      <c r="P79" s="37">
        <v>0</v>
      </c>
    </row>
    <row r="80" spans="1:16" x14ac:dyDescent="0.25">
      <c r="A80" s="36"/>
      <c r="B80" s="36">
        <f>Interval_kwh!B80</f>
        <v>0.80208333333333304</v>
      </c>
      <c r="C80" s="37">
        <v>85.443748474121094</v>
      </c>
      <c r="D80" s="37">
        <v>82.367523193359375</v>
      </c>
      <c r="E80" s="37">
        <v>1215.4349365234375</v>
      </c>
      <c r="F80" s="37">
        <v>925.19818115234375</v>
      </c>
      <c r="G80" s="37">
        <v>156.13975524902344</v>
      </c>
      <c r="H80" s="37">
        <v>619.9267578125</v>
      </c>
      <c r="I80" s="37">
        <v>0</v>
      </c>
      <c r="J80" s="37">
        <v>0</v>
      </c>
      <c r="K80" s="37">
        <v>0</v>
      </c>
      <c r="L80" s="37">
        <v>0</v>
      </c>
      <c r="M80" s="37">
        <v>101.99414825439453</v>
      </c>
      <c r="N80" s="37">
        <v>129.47724914550781</v>
      </c>
      <c r="O80" s="37">
        <v>65.855873107910156</v>
      </c>
      <c r="P80" s="37">
        <v>0</v>
      </c>
    </row>
    <row r="81" spans="1:16" x14ac:dyDescent="0.25">
      <c r="A81" s="36"/>
      <c r="B81" s="36">
        <f>Interval_kwh!B81</f>
        <v>0.8125</v>
      </c>
      <c r="C81" s="37">
        <v>79.03350830078125</v>
      </c>
      <c r="D81" s="37">
        <v>71.816810607910156</v>
      </c>
      <c r="E81" s="37">
        <v>1136.1551513671875</v>
      </c>
      <c r="F81" s="37">
        <v>818.75732421875</v>
      </c>
      <c r="G81" s="37">
        <v>198.1417236328125</v>
      </c>
      <c r="H81" s="37">
        <v>491.445068359375</v>
      </c>
      <c r="I81" s="37">
        <v>0</v>
      </c>
      <c r="J81" s="37">
        <v>0</v>
      </c>
      <c r="K81" s="37">
        <v>0</v>
      </c>
      <c r="L81" s="37">
        <v>0</v>
      </c>
      <c r="M81" s="37">
        <v>101.47769927978516</v>
      </c>
      <c r="N81" s="37">
        <v>126.09542083740234</v>
      </c>
      <c r="O81" s="37">
        <v>66.830619812011719</v>
      </c>
      <c r="P81" s="37">
        <v>0</v>
      </c>
    </row>
    <row r="82" spans="1:16" x14ac:dyDescent="0.25">
      <c r="A82" s="36"/>
      <c r="B82" s="36">
        <f>Interval_kwh!B82</f>
        <v>0.82291666666666696</v>
      </c>
      <c r="C82" s="37">
        <v>62.260120391845703</v>
      </c>
      <c r="D82" s="37">
        <v>56.41796875</v>
      </c>
      <c r="E82" s="37">
        <v>922.78155517578125</v>
      </c>
      <c r="F82" s="37">
        <v>717.8154296875</v>
      </c>
      <c r="G82" s="37">
        <v>119.03656005859375</v>
      </c>
      <c r="H82" s="37">
        <v>486.12887573242188</v>
      </c>
      <c r="I82" s="37">
        <v>0</v>
      </c>
      <c r="J82" s="37">
        <v>0</v>
      </c>
      <c r="K82" s="37">
        <v>0</v>
      </c>
      <c r="L82" s="37">
        <v>0</v>
      </c>
      <c r="M82" s="37">
        <v>101.17376708984375</v>
      </c>
      <c r="N82" s="37">
        <v>127.38059234619141</v>
      </c>
      <c r="O82" s="37">
        <v>65.804420471191406</v>
      </c>
      <c r="P82" s="37">
        <v>0</v>
      </c>
    </row>
    <row r="83" spans="1:16" x14ac:dyDescent="0.25">
      <c r="A83" s="36"/>
      <c r="B83" s="36">
        <f>Interval_kwh!B83</f>
        <v>0.83333333333333304</v>
      </c>
      <c r="C83" s="37">
        <v>59.098842620849609</v>
      </c>
      <c r="D83" s="37">
        <v>54.874176025390625</v>
      </c>
      <c r="E83" s="37">
        <v>856.28533935546875</v>
      </c>
      <c r="F83" s="37">
        <v>664.63916015625</v>
      </c>
      <c r="G83" s="37">
        <v>123.63883209228516</v>
      </c>
      <c r="H83" s="37">
        <v>483.29721069335938</v>
      </c>
      <c r="I83" s="37">
        <v>0</v>
      </c>
      <c r="J83" s="37">
        <v>0</v>
      </c>
      <c r="K83" s="37">
        <v>0</v>
      </c>
      <c r="L83" s="37">
        <v>0</v>
      </c>
      <c r="M83" s="37">
        <v>101.07527923583984</v>
      </c>
      <c r="N83" s="37">
        <v>126.05062866210938</v>
      </c>
      <c r="O83" s="37">
        <v>65.796867370605469</v>
      </c>
      <c r="P83" s="37">
        <v>0</v>
      </c>
    </row>
    <row r="84" spans="1:16" x14ac:dyDescent="0.25">
      <c r="A84" s="36"/>
      <c r="B84" s="36">
        <f>Interval_kwh!B84</f>
        <v>0.84375</v>
      </c>
      <c r="C84" s="37">
        <v>86.808357238769531</v>
      </c>
      <c r="D84" s="37">
        <v>81.774055480957031</v>
      </c>
      <c r="E84" s="37">
        <v>1346.836669921875</v>
      </c>
      <c r="F84" s="37">
        <v>904.12432861328125</v>
      </c>
      <c r="G84" s="37">
        <v>156.41778564453125</v>
      </c>
      <c r="H84" s="37">
        <v>583.8375244140625</v>
      </c>
      <c r="I84" s="37">
        <v>0</v>
      </c>
      <c r="J84" s="37">
        <v>0</v>
      </c>
      <c r="K84" s="37">
        <v>0</v>
      </c>
      <c r="L84" s="37">
        <v>0</v>
      </c>
      <c r="M84" s="37">
        <v>101.42691040039063</v>
      </c>
      <c r="N84" s="37">
        <v>127.99289703369141</v>
      </c>
      <c r="O84" s="37">
        <v>64.111259460449219</v>
      </c>
      <c r="P84" s="37">
        <v>0</v>
      </c>
    </row>
    <row r="85" spans="1:16" x14ac:dyDescent="0.25">
      <c r="A85" s="36"/>
      <c r="B85" s="36">
        <f>Interval_kwh!B85</f>
        <v>0.85416666666666696</v>
      </c>
      <c r="C85" s="37">
        <v>90.761512756347656</v>
      </c>
      <c r="D85" s="37">
        <v>87.205780029296875</v>
      </c>
      <c r="E85" s="37">
        <v>1482.94677734375</v>
      </c>
      <c r="F85" s="37">
        <v>896.24615478515625</v>
      </c>
      <c r="G85" s="37">
        <v>139.35629272460938</v>
      </c>
      <c r="H85" s="37">
        <v>660.41497802734375</v>
      </c>
      <c r="I85" s="37">
        <v>0</v>
      </c>
      <c r="J85" s="37">
        <v>0</v>
      </c>
      <c r="K85" s="37">
        <v>0</v>
      </c>
      <c r="L85" s="37">
        <v>0</v>
      </c>
      <c r="M85" s="37">
        <v>101.68773651123047</v>
      </c>
      <c r="N85" s="37">
        <v>128.35984802246094</v>
      </c>
      <c r="O85" s="37">
        <v>64.072563171386719</v>
      </c>
      <c r="P85" s="37">
        <v>0</v>
      </c>
    </row>
    <row r="86" spans="1:16" x14ac:dyDescent="0.25">
      <c r="A86" s="36"/>
      <c r="B86" s="36">
        <f>Interval_kwh!B86</f>
        <v>0.86458333333333304</v>
      </c>
      <c r="C86" s="37">
        <v>92.777778625488281</v>
      </c>
      <c r="D86" s="37">
        <v>89.8489990234375</v>
      </c>
      <c r="E86" s="37">
        <v>1478.5390625</v>
      </c>
      <c r="F86" s="37">
        <v>1012.32373046875</v>
      </c>
      <c r="G86" s="37">
        <v>178.21186828613281</v>
      </c>
      <c r="H86" s="37">
        <v>649.2952880859375</v>
      </c>
      <c r="I86" s="37">
        <v>0</v>
      </c>
      <c r="J86" s="37">
        <v>0</v>
      </c>
      <c r="K86" s="37">
        <v>0</v>
      </c>
      <c r="L86" s="37">
        <v>0</v>
      </c>
      <c r="M86" s="37">
        <v>101.5758056640625</v>
      </c>
      <c r="N86" s="37">
        <v>128.19638061523438</v>
      </c>
      <c r="O86" s="37">
        <v>63.448535919189453</v>
      </c>
      <c r="P86" s="37">
        <v>0</v>
      </c>
    </row>
    <row r="87" spans="1:16" x14ac:dyDescent="0.25">
      <c r="A87" s="36"/>
      <c r="B87" s="36">
        <f>Interval_kwh!B87</f>
        <v>0.875</v>
      </c>
      <c r="C87" s="37">
        <v>100.45058441162109</v>
      </c>
      <c r="D87" s="37">
        <v>95.4268798828125</v>
      </c>
      <c r="E87" s="37">
        <v>1592.09130859375</v>
      </c>
      <c r="F87" s="37">
        <v>1020.859619140625</v>
      </c>
      <c r="G87" s="37">
        <v>255.44132995605469</v>
      </c>
      <c r="H87" s="37">
        <v>653.03314208984375</v>
      </c>
      <c r="I87" s="37">
        <v>0</v>
      </c>
      <c r="J87" s="37">
        <v>0</v>
      </c>
      <c r="K87" s="37">
        <v>0</v>
      </c>
      <c r="L87" s="37">
        <v>0</v>
      </c>
      <c r="M87" s="37">
        <v>101.12527465820313</v>
      </c>
      <c r="N87" s="37">
        <v>127.29936981201172</v>
      </c>
      <c r="O87" s="37">
        <v>63.772937774658203</v>
      </c>
      <c r="P87" s="37">
        <v>0</v>
      </c>
    </row>
    <row r="88" spans="1:16" x14ac:dyDescent="0.25">
      <c r="A88" s="36"/>
      <c r="B88" s="36">
        <f>Interval_kwh!B88</f>
        <v>0.88541666666666696</v>
      </c>
      <c r="C88" s="37">
        <v>103.10205078125</v>
      </c>
      <c r="D88" s="37">
        <v>97.94427490234375</v>
      </c>
      <c r="E88" s="37">
        <v>1643.9283447265625</v>
      </c>
      <c r="F88" s="37">
        <v>1026.1563720703125</v>
      </c>
      <c r="G88" s="37">
        <v>175.80683898925781</v>
      </c>
      <c r="H88" s="37">
        <v>667.60052490234375</v>
      </c>
      <c r="I88" s="37">
        <v>0</v>
      </c>
      <c r="J88" s="37">
        <v>0</v>
      </c>
      <c r="K88" s="37">
        <v>0</v>
      </c>
      <c r="L88" s="37">
        <v>0</v>
      </c>
      <c r="M88" s="37">
        <v>101.04659271240234</v>
      </c>
      <c r="N88" s="37">
        <v>126.93276214599609</v>
      </c>
      <c r="O88" s="37">
        <v>63.890789031982422</v>
      </c>
      <c r="P88" s="37">
        <v>0</v>
      </c>
    </row>
    <row r="89" spans="1:16" x14ac:dyDescent="0.25">
      <c r="A89" s="36"/>
      <c r="B89" s="36">
        <f>Interval_kwh!B89</f>
        <v>0.89583333333333304</v>
      </c>
      <c r="C89" s="37">
        <v>98.143638610839844</v>
      </c>
      <c r="D89" s="37">
        <v>94.058692932128906</v>
      </c>
      <c r="E89" s="37">
        <v>1506.4815673828125</v>
      </c>
      <c r="F89" s="37">
        <v>1051.1771240234375</v>
      </c>
      <c r="G89" s="37">
        <v>182.58062744140625</v>
      </c>
      <c r="H89" s="37">
        <v>653.66595458984375</v>
      </c>
      <c r="I89" s="37">
        <v>0</v>
      </c>
      <c r="J89" s="37">
        <v>0</v>
      </c>
      <c r="K89" s="37">
        <v>0</v>
      </c>
      <c r="L89" s="37">
        <v>0</v>
      </c>
      <c r="M89" s="37">
        <v>101.55765533447266</v>
      </c>
      <c r="N89" s="37">
        <v>127.71266937255859</v>
      </c>
      <c r="O89" s="37">
        <v>63.844364166259766</v>
      </c>
      <c r="P89" s="37">
        <v>0</v>
      </c>
    </row>
    <row r="90" spans="1:16" x14ac:dyDescent="0.25">
      <c r="A90" s="36"/>
      <c r="B90" s="36">
        <f>Interval_kwh!B90</f>
        <v>0.90625</v>
      </c>
      <c r="C90" s="37">
        <v>99.487724304199219</v>
      </c>
      <c r="D90" s="37">
        <v>96.284584045410156</v>
      </c>
      <c r="E90" s="37">
        <v>1505.8740234375</v>
      </c>
      <c r="F90" s="37">
        <v>1111.0247802734375</v>
      </c>
      <c r="G90" s="37">
        <v>346.628662109375</v>
      </c>
      <c r="H90" s="37">
        <v>646.80206298828125</v>
      </c>
      <c r="I90" s="37">
        <v>0</v>
      </c>
      <c r="J90" s="37">
        <v>0</v>
      </c>
      <c r="K90" s="37">
        <v>0</v>
      </c>
      <c r="L90" s="37">
        <v>0</v>
      </c>
      <c r="M90" s="37">
        <v>101.33718109130859</v>
      </c>
      <c r="N90" s="37">
        <v>127.39890289306641</v>
      </c>
      <c r="O90" s="37">
        <v>64.26751708984375</v>
      </c>
      <c r="P90" s="37">
        <v>0</v>
      </c>
    </row>
    <row r="91" spans="1:16" x14ac:dyDescent="0.25">
      <c r="A91" s="36"/>
      <c r="B91" s="36">
        <f>Interval_kwh!B91</f>
        <v>0.91666666666666696</v>
      </c>
      <c r="C91" s="37">
        <v>101.4727783203125</v>
      </c>
      <c r="D91" s="37">
        <v>100.37174224853516</v>
      </c>
      <c r="E91" s="37">
        <v>1330.740478515625</v>
      </c>
      <c r="F91" s="37">
        <v>1338.5362548828125</v>
      </c>
      <c r="G91" s="37">
        <v>400.71908569335938</v>
      </c>
      <c r="H91" s="37">
        <v>637.733642578125</v>
      </c>
      <c r="I91" s="37">
        <v>0</v>
      </c>
      <c r="J91" s="37">
        <v>0</v>
      </c>
      <c r="K91" s="37">
        <v>0</v>
      </c>
      <c r="L91" s="37">
        <v>0</v>
      </c>
      <c r="M91" s="37">
        <v>101.71343231201172</v>
      </c>
      <c r="N91" s="37">
        <v>127.16217041015625</v>
      </c>
      <c r="O91" s="37">
        <v>64.071617126464844</v>
      </c>
      <c r="P91" s="37">
        <v>0</v>
      </c>
    </row>
    <row r="92" spans="1:16" x14ac:dyDescent="0.25">
      <c r="A92" s="36"/>
      <c r="B92" s="36">
        <f>Interval_kwh!B92</f>
        <v>0.92708333333333304</v>
      </c>
      <c r="C92" s="37">
        <v>100.37932586669922</v>
      </c>
      <c r="D92" s="37">
        <v>87.951393127441406</v>
      </c>
      <c r="E92" s="37">
        <v>1267.52294921875</v>
      </c>
      <c r="F92" s="37">
        <v>1322.3243408203125</v>
      </c>
      <c r="G92" s="37">
        <v>457.94644165039063</v>
      </c>
      <c r="H92" s="37">
        <v>662.12200927734375</v>
      </c>
      <c r="I92" s="37">
        <v>0</v>
      </c>
      <c r="J92" s="37">
        <v>0</v>
      </c>
      <c r="K92" s="37">
        <v>0</v>
      </c>
      <c r="L92" s="37">
        <v>0</v>
      </c>
      <c r="M92" s="37">
        <v>100.25396728515625</v>
      </c>
      <c r="N92" s="37">
        <v>126.62246704101563</v>
      </c>
      <c r="O92" s="37">
        <v>63.9014892578125</v>
      </c>
      <c r="P92" s="37">
        <v>0</v>
      </c>
    </row>
    <row r="93" spans="1:16" x14ac:dyDescent="0.25">
      <c r="A93" s="36"/>
      <c r="B93" s="36">
        <f>Interval_kwh!B93</f>
        <v>0.9375</v>
      </c>
      <c r="C93" s="37">
        <v>94.266578674316406</v>
      </c>
      <c r="D93" s="37">
        <v>87.740264892578125</v>
      </c>
      <c r="E93" s="37">
        <v>1186.6209716796875</v>
      </c>
      <c r="F93" s="37">
        <v>1239.7275390625</v>
      </c>
      <c r="G93" s="37">
        <v>387.85263061523438</v>
      </c>
      <c r="H93" s="37">
        <v>668.15802001953125</v>
      </c>
      <c r="I93" s="37">
        <v>0</v>
      </c>
      <c r="J93" s="37">
        <v>0</v>
      </c>
      <c r="K93" s="37">
        <v>0</v>
      </c>
      <c r="L93" s="37">
        <v>0</v>
      </c>
      <c r="M93" s="37">
        <v>101.7520751953125</v>
      </c>
      <c r="N93" s="37">
        <v>128.17738342285156</v>
      </c>
      <c r="O93" s="37">
        <v>64.800056457519531</v>
      </c>
      <c r="P93" s="37">
        <v>0</v>
      </c>
    </row>
    <row r="94" spans="1:16" x14ac:dyDescent="0.25">
      <c r="A94" s="36"/>
      <c r="B94" s="36">
        <f>Interval_kwh!B94</f>
        <v>0.94791666666666696</v>
      </c>
      <c r="C94" s="37">
        <v>94.111976623535156</v>
      </c>
      <c r="D94" s="37">
        <v>95.100700378417969</v>
      </c>
      <c r="E94" s="37">
        <v>1273.4578857421875</v>
      </c>
      <c r="F94" s="37">
        <v>1192.6015625</v>
      </c>
      <c r="G94" s="37">
        <v>341.70327758789063</v>
      </c>
      <c r="H94" s="37">
        <v>636.72882080078125</v>
      </c>
      <c r="I94" s="37">
        <v>0</v>
      </c>
      <c r="J94" s="37">
        <v>0</v>
      </c>
      <c r="K94" s="37">
        <v>0</v>
      </c>
      <c r="L94" s="37">
        <v>0</v>
      </c>
      <c r="M94" s="37">
        <v>100.6114501953125</v>
      </c>
      <c r="N94" s="37">
        <v>126.88657379150391</v>
      </c>
      <c r="O94" s="37">
        <v>64.211860656738281</v>
      </c>
      <c r="P94" s="37">
        <v>0</v>
      </c>
    </row>
    <row r="95" spans="1:16" x14ac:dyDescent="0.25">
      <c r="A95" s="36"/>
      <c r="B95" s="36">
        <f>Interval_kwh!B95</f>
        <v>0.95833333333333304</v>
      </c>
      <c r="C95" s="37">
        <v>94.893280029296875</v>
      </c>
      <c r="D95" s="37">
        <v>91.61761474609375</v>
      </c>
      <c r="E95" s="37">
        <v>1253.1915283203125</v>
      </c>
      <c r="F95" s="37">
        <v>1222.7960205078125</v>
      </c>
      <c r="G95" s="37">
        <v>374.8909912109375</v>
      </c>
      <c r="H95" s="37">
        <v>641.28057861328125</v>
      </c>
      <c r="I95" s="37">
        <v>0</v>
      </c>
      <c r="J95" s="37">
        <v>0</v>
      </c>
      <c r="K95" s="37">
        <v>0</v>
      </c>
      <c r="L95" s="37">
        <v>0</v>
      </c>
      <c r="M95" s="37">
        <v>98.909400939941406</v>
      </c>
      <c r="N95" s="37">
        <v>124.93662261962891</v>
      </c>
      <c r="O95" s="37">
        <v>64.490242004394531</v>
      </c>
      <c r="P95" s="37">
        <v>0</v>
      </c>
    </row>
    <row r="96" spans="1:16" x14ac:dyDescent="0.25">
      <c r="A96" s="36"/>
      <c r="B96" s="36">
        <f>Interval_kwh!B96</f>
        <v>0.96875</v>
      </c>
      <c r="C96" s="37">
        <v>85.7513427734375</v>
      </c>
      <c r="D96" s="37">
        <v>80.683761596679688</v>
      </c>
      <c r="E96" s="37">
        <v>1255.3011474609375</v>
      </c>
      <c r="F96" s="37">
        <v>987.44256591796875</v>
      </c>
      <c r="G96" s="37">
        <v>197.93585205078125</v>
      </c>
      <c r="H96" s="37">
        <v>659.00677490234375</v>
      </c>
      <c r="I96" s="37">
        <v>0</v>
      </c>
      <c r="J96" s="37">
        <v>0</v>
      </c>
      <c r="K96" s="37">
        <v>0</v>
      </c>
      <c r="L96" s="37">
        <v>0</v>
      </c>
      <c r="M96" s="37">
        <v>101.27582550048828</v>
      </c>
      <c r="N96" s="37">
        <v>128.68295288085938</v>
      </c>
      <c r="O96" s="37">
        <v>64.892433166503906</v>
      </c>
      <c r="P96" s="37">
        <v>0</v>
      </c>
    </row>
    <row r="97" spans="1:16" x14ac:dyDescent="0.25">
      <c r="A97" s="36"/>
      <c r="B97" s="36">
        <f>Interval_kwh!B97</f>
        <v>0.97916666666666696</v>
      </c>
      <c r="C97" s="37">
        <v>80.028617858886719</v>
      </c>
      <c r="D97" s="37">
        <v>80.8111572265625</v>
      </c>
      <c r="E97" s="37">
        <v>1059.425048828125</v>
      </c>
      <c r="F97" s="37">
        <v>1159.5404052734375</v>
      </c>
      <c r="G97" s="37">
        <v>188.74992370605469</v>
      </c>
      <c r="H97" s="37">
        <v>642.60235595703125</v>
      </c>
      <c r="I97" s="37">
        <v>0</v>
      </c>
      <c r="J97" s="37">
        <v>0</v>
      </c>
      <c r="K97" s="37">
        <v>0</v>
      </c>
      <c r="L97" s="37">
        <v>0</v>
      </c>
      <c r="M97" s="37">
        <v>100.61428070068359</v>
      </c>
      <c r="N97" s="37">
        <v>126.05831146240234</v>
      </c>
      <c r="O97" s="37">
        <v>65.241493225097656</v>
      </c>
      <c r="P97" s="37">
        <v>0</v>
      </c>
    </row>
    <row r="98" spans="1:16" x14ac:dyDescent="0.25">
      <c r="A98" s="36"/>
      <c r="B98" s="36">
        <f>Interval_kwh!B98</f>
        <v>0.98958333333333304</v>
      </c>
      <c r="C98" s="37">
        <v>84.026023864746094</v>
      </c>
      <c r="D98" s="37">
        <v>85.647590637207031</v>
      </c>
      <c r="E98" s="37">
        <v>1165.1668701171875</v>
      </c>
      <c r="F98" s="37">
        <v>1038.6954345703125</v>
      </c>
      <c r="G98" s="37">
        <v>261.9669189453125</v>
      </c>
      <c r="H98" s="37">
        <v>655.64202880859375</v>
      </c>
      <c r="I98" s="37">
        <v>0</v>
      </c>
      <c r="J98" s="37">
        <v>0</v>
      </c>
      <c r="K98" s="37">
        <v>0</v>
      </c>
      <c r="L98" s="37">
        <v>0</v>
      </c>
      <c r="M98" s="37">
        <v>101.18514251708984</v>
      </c>
      <c r="N98" s="37">
        <v>69.679298400878906</v>
      </c>
      <c r="O98" s="37">
        <v>64.403678894042969</v>
      </c>
      <c r="P98" s="37">
        <v>0</v>
      </c>
    </row>
  </sheetData>
  <mergeCells count="1">
    <mergeCell ref="A2:B2"/>
  </mergeCells>
  <pageMargins left="0.7" right="0.7" top="0.75" bottom="0.75" header="0.3" footer="0.3"/>
  <headerFooter>
    <oddHeader>&amp;C&amp;"Calibri"&amp;10&amp;KFF0000 CONFIDENTIAL&amp;1#_x000D_</oddHead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8"/>
  <dimension ref="A1:P98"/>
  <sheetViews>
    <sheetView workbookViewId="0">
      <selection sqref="A1:XFD1048576"/>
    </sheetView>
  </sheetViews>
  <sheetFormatPr defaultColWidth="8.54296875" defaultRowHeight="12.5" x14ac:dyDescent="0.25"/>
  <cols>
    <col min="1" max="16" width="12.54296875" customWidth="1"/>
  </cols>
  <sheetData>
    <row r="1" spans="1:16" ht="51" customHeight="1" x14ac:dyDescent="0.25">
      <c r="A1" s="34" t="s">
        <v>53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44.25" customHeight="1" x14ac:dyDescent="0.3">
      <c r="A2" s="340">
        <f>Avg_Par_A!A2</f>
        <v>45838.291666666664</v>
      </c>
      <c r="B2" s="340"/>
      <c r="C2" s="38" t="str">
        <f>'Feeder Names'!E3</f>
        <v>HT.GRID_VCB</v>
      </c>
      <c r="D2" s="38" t="str">
        <f>'Feeder Names'!F3</f>
        <v>HT.TRAFO-1</v>
      </c>
      <c r="E2" s="38" t="str">
        <f>'Feeder Names'!G3</f>
        <v>HT.TRAFO-2</v>
      </c>
      <c r="F2" s="38" t="str">
        <f>'Feeder Names'!H3</f>
        <v>HT.TRAFO-3</v>
      </c>
      <c r="G2" s="38" t="str">
        <f>'Feeder Names'!I3</f>
        <v>HT.TRAFO-4</v>
      </c>
      <c r="H2" s="38" t="str">
        <f>'Feeder Names'!J3</f>
        <v>DG.DG_INC</v>
      </c>
      <c r="I2" s="38" t="str">
        <f>'Feeder Names'!K3</f>
        <v>DG.DG-1</v>
      </c>
      <c r="J2" s="38" t="str">
        <f>'Feeder Names'!L3</f>
        <v>DG.DG-2</v>
      </c>
      <c r="K2" s="38" t="str">
        <f>'Feeder Names'!M3</f>
        <v>DG.DG-3</v>
      </c>
      <c r="L2" s="38" t="str">
        <f>'Feeder Names'!N3</f>
        <v>DG.GD-4</v>
      </c>
      <c r="M2" s="38" t="str">
        <f>'Feeder Names'!O3</f>
        <v>DG.DG-5</v>
      </c>
      <c r="N2" s="38" t="str">
        <f>'Feeder Names'!P3</f>
        <v>DG.VCB_OUTGOING</v>
      </c>
      <c r="O2" s="38" t="str">
        <f>'Feeder Names'!Q3</f>
        <v>SOLAR.SOLAR-1</v>
      </c>
      <c r="P2" s="38" t="str">
        <f>'Feeder Names'!R3</f>
        <v>SOLAR.SOLAR-2</v>
      </c>
    </row>
    <row r="3" spans="1:16" x14ac:dyDescent="0.25">
      <c r="A3" s="36"/>
      <c r="B3" s="36">
        <f>Avg_Par_A!B3</f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</row>
    <row r="4" spans="1:16" x14ac:dyDescent="0.25">
      <c r="A4" s="39"/>
      <c r="B4" s="36">
        <f>Avg_Par_A!B4</f>
        <v>1.0416666666666666E-2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</row>
    <row r="5" spans="1:16" x14ac:dyDescent="0.25">
      <c r="A5" s="36"/>
      <c r="B5" s="36">
        <f>Avg_Par_A!B5</f>
        <v>2.0833333333333301E-2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</row>
    <row r="6" spans="1:16" x14ac:dyDescent="0.25">
      <c r="A6" s="39"/>
      <c r="B6" s="36">
        <f>Avg_Par_A!B6</f>
        <v>3.125E-2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0</v>
      </c>
      <c r="P6" s="37">
        <v>0</v>
      </c>
    </row>
    <row r="7" spans="1:16" x14ac:dyDescent="0.25">
      <c r="A7" s="36"/>
      <c r="B7" s="36">
        <f>Avg_Par_A!B7</f>
        <v>4.1666666666666699E-2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</row>
    <row r="8" spans="1:16" x14ac:dyDescent="0.25">
      <c r="A8" s="39"/>
      <c r="B8" s="36">
        <f>Avg_Par_A!B8</f>
        <v>5.2083333333333301E-2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</row>
    <row r="9" spans="1:16" x14ac:dyDescent="0.25">
      <c r="A9" s="36"/>
      <c r="B9" s="36">
        <f>Avg_Par_A!B9</f>
        <v>6.25E-2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</row>
    <row r="10" spans="1:16" x14ac:dyDescent="0.25">
      <c r="A10" s="39"/>
      <c r="B10" s="36">
        <f>Avg_Par_A!B10</f>
        <v>7.2916666666666699E-2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0</v>
      </c>
      <c r="P10" s="37">
        <v>0</v>
      </c>
    </row>
    <row r="11" spans="1:16" x14ac:dyDescent="0.25">
      <c r="A11" s="36"/>
      <c r="B11" s="36">
        <f>Avg_Par_A!B11</f>
        <v>8.3333333333333301E-2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0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</row>
    <row r="12" spans="1:16" x14ac:dyDescent="0.25">
      <c r="A12" s="39"/>
      <c r="B12" s="36">
        <f>Avg_Par_A!B12</f>
        <v>9.375E-2</v>
      </c>
      <c r="C12" s="37">
        <v>0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0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0</v>
      </c>
      <c r="P12" s="37">
        <v>0</v>
      </c>
    </row>
    <row r="13" spans="1:16" x14ac:dyDescent="0.25">
      <c r="A13" s="36"/>
      <c r="B13" s="36">
        <f>Avg_Par_A!B13</f>
        <v>0.104166666666667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</row>
    <row r="14" spans="1:16" x14ac:dyDescent="0.25">
      <c r="A14" s="39"/>
      <c r="B14" s="36">
        <f>Avg_Par_A!B14</f>
        <v>0.114583333333333</v>
      </c>
      <c r="C14" s="37">
        <v>0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0</v>
      </c>
      <c r="J14" s="37">
        <v>0</v>
      </c>
      <c r="K14" s="37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</row>
    <row r="15" spans="1:16" x14ac:dyDescent="0.25">
      <c r="A15" s="36"/>
      <c r="B15" s="36">
        <f>Avg_Par_A!B15</f>
        <v>0.125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</row>
    <row r="16" spans="1:16" x14ac:dyDescent="0.25">
      <c r="A16" s="39"/>
      <c r="B16" s="36">
        <f>Avg_Par_A!B16</f>
        <v>0.13541666666666699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</row>
    <row r="17" spans="1:16" x14ac:dyDescent="0.25">
      <c r="A17" s="36"/>
      <c r="B17" s="36">
        <f>Avg_Par_A!B17</f>
        <v>0.14583333333333301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37">
        <v>0</v>
      </c>
    </row>
    <row r="18" spans="1:16" x14ac:dyDescent="0.25">
      <c r="A18" s="39"/>
      <c r="B18" s="36">
        <f>Avg_Par_A!B18</f>
        <v>0.15625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0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</row>
    <row r="19" spans="1:16" x14ac:dyDescent="0.25">
      <c r="A19" s="36"/>
      <c r="B19" s="36">
        <f>Avg_Par_A!B19</f>
        <v>0.16666666666666699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0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0</v>
      </c>
      <c r="P19" s="37">
        <v>0</v>
      </c>
    </row>
    <row r="20" spans="1:16" x14ac:dyDescent="0.25">
      <c r="A20" s="39"/>
      <c r="B20" s="36">
        <f>Avg_Par_A!B20</f>
        <v>0.17708333333333301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</row>
    <row r="21" spans="1:16" x14ac:dyDescent="0.25">
      <c r="A21" s="36"/>
      <c r="B21" s="36">
        <f>Avg_Par_A!B21</f>
        <v>0.1875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</row>
    <row r="22" spans="1:16" x14ac:dyDescent="0.25">
      <c r="A22" s="39"/>
      <c r="B22" s="36">
        <f>Avg_Par_A!B22</f>
        <v>0.19791666666666699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</row>
    <row r="23" spans="1:16" x14ac:dyDescent="0.25">
      <c r="A23" s="36"/>
      <c r="B23" s="36">
        <f>Avg_Par_A!B23</f>
        <v>0.20833333333333301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</row>
    <row r="24" spans="1:16" x14ac:dyDescent="0.25">
      <c r="A24" s="39"/>
      <c r="B24" s="36">
        <f>Avg_Par_A!B24</f>
        <v>0.21875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</row>
    <row r="25" spans="1:16" x14ac:dyDescent="0.25">
      <c r="A25" s="36"/>
      <c r="B25" s="36">
        <f>Avg_Par_A!B25</f>
        <v>0.22916666666666699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</row>
    <row r="26" spans="1:16" x14ac:dyDescent="0.25">
      <c r="A26" s="39"/>
      <c r="B26" s="36">
        <f>Avg_Par_A!B26</f>
        <v>0.23958333333333301</v>
      </c>
      <c r="C26" s="37">
        <v>0</v>
      </c>
      <c r="D26" s="37">
        <v>0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</row>
    <row r="27" spans="1:16" x14ac:dyDescent="0.25">
      <c r="A27" s="36"/>
      <c r="B27" s="36">
        <f>Avg_Par_A!B27</f>
        <v>0.25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</row>
    <row r="28" spans="1:16" x14ac:dyDescent="0.25">
      <c r="A28" s="39"/>
      <c r="B28" s="36">
        <f>Avg_Par_A!B28</f>
        <v>0.26041666666666702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</row>
    <row r="29" spans="1:16" x14ac:dyDescent="0.25">
      <c r="A29" s="36"/>
      <c r="B29" s="36">
        <f>Avg_Par_A!B29</f>
        <v>0.27083333333333298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</row>
    <row r="30" spans="1:16" x14ac:dyDescent="0.25">
      <c r="A30" s="39"/>
      <c r="B30" s="36">
        <f>Avg_Par_A!B30</f>
        <v>0.28125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</row>
    <row r="31" spans="1:16" x14ac:dyDescent="0.25">
      <c r="A31" s="36"/>
      <c r="B31" s="36">
        <f>Avg_Par_A!B31</f>
        <v>0.29166666666666702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</row>
    <row r="32" spans="1:16" x14ac:dyDescent="0.25">
      <c r="A32" s="39"/>
      <c r="B32" s="36">
        <f>Avg_Par_A!B32</f>
        <v>0.30208333333333298</v>
      </c>
      <c r="C32" s="37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0</v>
      </c>
      <c r="P32" s="37">
        <v>0</v>
      </c>
    </row>
    <row r="33" spans="1:16" x14ac:dyDescent="0.25">
      <c r="A33" s="36"/>
      <c r="B33" s="36">
        <f>Avg_Par_A!B33</f>
        <v>0.3125</v>
      </c>
      <c r="C33" s="37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0</v>
      </c>
      <c r="P33" s="37">
        <v>0</v>
      </c>
    </row>
    <row r="34" spans="1:16" x14ac:dyDescent="0.25">
      <c r="A34" s="39"/>
      <c r="B34" s="36">
        <f>Avg_Par_A!B34</f>
        <v>0.32291666666666702</v>
      </c>
      <c r="C34" s="37">
        <v>0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  <c r="P34" s="37">
        <v>0</v>
      </c>
    </row>
    <row r="35" spans="1:16" x14ac:dyDescent="0.25">
      <c r="A35" s="36"/>
      <c r="B35" s="36">
        <f>Avg_Par_A!B35</f>
        <v>0.33333333333333298</v>
      </c>
      <c r="C35" s="37">
        <v>0</v>
      </c>
      <c r="D35" s="37">
        <v>0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</row>
    <row r="36" spans="1:16" x14ac:dyDescent="0.25">
      <c r="A36" s="39"/>
      <c r="B36" s="36">
        <f>Avg_Par_A!B36</f>
        <v>0.34375</v>
      </c>
      <c r="C36" s="37">
        <v>0</v>
      </c>
      <c r="D36" s="37">
        <v>0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  <c r="P36" s="37">
        <v>0</v>
      </c>
    </row>
    <row r="37" spans="1:16" x14ac:dyDescent="0.25">
      <c r="A37" s="36"/>
      <c r="B37" s="36">
        <f>Avg_Par_A!B37</f>
        <v>0.35416666666666702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</row>
    <row r="38" spans="1:16" x14ac:dyDescent="0.25">
      <c r="A38" s="39"/>
      <c r="B38" s="36">
        <f>Avg_Par_A!B38</f>
        <v>0.36458333333333298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</row>
    <row r="39" spans="1:16" x14ac:dyDescent="0.25">
      <c r="A39" s="36"/>
      <c r="B39" s="36">
        <f>Avg_Par_A!B39</f>
        <v>0.375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0</v>
      </c>
      <c r="P39" s="37">
        <v>0</v>
      </c>
    </row>
    <row r="40" spans="1:16" x14ac:dyDescent="0.25">
      <c r="A40" s="39"/>
      <c r="B40" s="36">
        <f>Avg_Par_A!B40</f>
        <v>0.38541666666666702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</row>
    <row r="41" spans="1:16" x14ac:dyDescent="0.25">
      <c r="A41" s="36"/>
      <c r="B41" s="36">
        <f>Avg_Par_A!B41</f>
        <v>0.39583333333333298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</row>
    <row r="42" spans="1:16" x14ac:dyDescent="0.25">
      <c r="A42" s="39"/>
      <c r="B42" s="36">
        <f>Avg_Par_A!B42</f>
        <v>0.40625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</row>
    <row r="43" spans="1:16" x14ac:dyDescent="0.25">
      <c r="A43" s="36"/>
      <c r="B43" s="36">
        <f>Avg_Par_A!B43</f>
        <v>0.41666666666666702</v>
      </c>
      <c r="C43" s="37">
        <v>0</v>
      </c>
      <c r="D43" s="37">
        <v>0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</row>
    <row r="44" spans="1:16" x14ac:dyDescent="0.25">
      <c r="A44" s="39"/>
      <c r="B44" s="36">
        <f>Avg_Par_A!B44</f>
        <v>0.42708333333333298</v>
      </c>
      <c r="C44" s="37">
        <v>0</v>
      </c>
      <c r="D44" s="37">
        <v>0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</row>
    <row r="45" spans="1:16" x14ac:dyDescent="0.25">
      <c r="A45" s="36"/>
      <c r="B45" s="36">
        <f>Avg_Par_A!B45</f>
        <v>0.4375</v>
      </c>
      <c r="C45" s="37">
        <v>0</v>
      </c>
      <c r="D45" s="37">
        <v>0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0</v>
      </c>
      <c r="P45" s="37">
        <v>0</v>
      </c>
    </row>
    <row r="46" spans="1:16" x14ac:dyDescent="0.25">
      <c r="A46" s="39"/>
      <c r="B46" s="36">
        <f>Avg_Par_A!B46</f>
        <v>0.44791666666666702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</row>
    <row r="47" spans="1:16" x14ac:dyDescent="0.25">
      <c r="A47" s="36"/>
      <c r="B47" s="36">
        <f>Avg_Par_A!B47</f>
        <v>0.45833333333333298</v>
      </c>
      <c r="C47" s="37">
        <v>0</v>
      </c>
      <c r="D47" s="37">
        <v>0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</row>
    <row r="48" spans="1:16" x14ac:dyDescent="0.25">
      <c r="A48" s="39"/>
      <c r="B48" s="36">
        <f>Avg_Par_A!B48</f>
        <v>0.46875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</row>
    <row r="49" spans="1:16" x14ac:dyDescent="0.25">
      <c r="A49" s="36"/>
      <c r="B49" s="36">
        <f>Avg_Par_A!B49</f>
        <v>0.47916666666666702</v>
      </c>
      <c r="C49" s="37">
        <v>0</v>
      </c>
      <c r="D49" s="37">
        <v>0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</row>
    <row r="50" spans="1:16" x14ac:dyDescent="0.25">
      <c r="A50" s="39"/>
      <c r="B50" s="36">
        <f>Avg_Par_A!B50</f>
        <v>0.48958333333333298</v>
      </c>
      <c r="C50" s="37">
        <v>0</v>
      </c>
      <c r="D50" s="37">
        <v>0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</row>
    <row r="51" spans="1:16" x14ac:dyDescent="0.25">
      <c r="A51" s="36"/>
      <c r="B51" s="36">
        <f>Avg_Par_A!B51</f>
        <v>0.5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</row>
    <row r="52" spans="1:16" x14ac:dyDescent="0.25">
      <c r="A52" s="39"/>
      <c r="B52" s="36">
        <f>Avg_Par_A!B52</f>
        <v>0.51041666666666696</v>
      </c>
      <c r="C52" s="37">
        <v>0</v>
      </c>
      <c r="D52" s="37">
        <v>0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</row>
    <row r="53" spans="1:16" x14ac:dyDescent="0.25">
      <c r="A53" s="36"/>
      <c r="B53" s="36">
        <f>Avg_Par_A!B53</f>
        <v>0.52083333333333304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</row>
    <row r="54" spans="1:16" x14ac:dyDescent="0.25">
      <c r="A54" s="39"/>
      <c r="B54" s="36">
        <f>Avg_Par_A!B54</f>
        <v>0.53125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</row>
    <row r="55" spans="1:16" x14ac:dyDescent="0.25">
      <c r="A55" s="36"/>
      <c r="B55" s="36">
        <f>Avg_Par_A!B55</f>
        <v>0.54166666666666696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</row>
    <row r="56" spans="1:16" x14ac:dyDescent="0.25">
      <c r="A56" s="39"/>
      <c r="B56" s="36">
        <f>Avg_Par_A!B56</f>
        <v>0.55208333333333304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</row>
    <row r="57" spans="1:16" x14ac:dyDescent="0.25">
      <c r="A57" s="36"/>
      <c r="B57" s="36">
        <f>Avg_Par_A!B57</f>
        <v>0.5625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</row>
    <row r="58" spans="1:16" x14ac:dyDescent="0.25">
      <c r="A58" s="39"/>
      <c r="B58" s="36">
        <f>Avg_Par_A!B58</f>
        <v>0.57291666666666696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</row>
    <row r="59" spans="1:16" x14ac:dyDescent="0.25">
      <c r="A59" s="36"/>
      <c r="B59" s="36">
        <f>Avg_Par_A!B59</f>
        <v>0.58333333333333304</v>
      </c>
      <c r="C59" s="37">
        <v>0</v>
      </c>
      <c r="D59" s="37">
        <v>0</v>
      </c>
      <c r="E59" s="37">
        <v>0</v>
      </c>
      <c r="F59" s="37">
        <v>0</v>
      </c>
      <c r="G59" s="37">
        <v>0</v>
      </c>
      <c r="H59" s="37">
        <v>0</v>
      </c>
      <c r="I59" s="37">
        <v>0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0</v>
      </c>
      <c r="P59" s="37">
        <v>0</v>
      </c>
    </row>
    <row r="60" spans="1:16" x14ac:dyDescent="0.25">
      <c r="A60" s="39"/>
      <c r="B60" s="36">
        <f>Avg_Par_A!B60</f>
        <v>0.59375</v>
      </c>
      <c r="C60" s="37">
        <v>0</v>
      </c>
      <c r="D60" s="37">
        <v>0</v>
      </c>
      <c r="E60" s="37">
        <v>0</v>
      </c>
      <c r="F60" s="37">
        <v>0</v>
      </c>
      <c r="G60" s="37">
        <v>0</v>
      </c>
      <c r="H60" s="37">
        <v>0</v>
      </c>
      <c r="I60" s="37">
        <v>0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</row>
    <row r="61" spans="1:16" x14ac:dyDescent="0.25">
      <c r="A61" s="36"/>
      <c r="B61" s="36">
        <f>Avg_Par_A!B61</f>
        <v>0.60416666666666696</v>
      </c>
      <c r="C61" s="37">
        <v>0</v>
      </c>
      <c r="D61" s="37">
        <v>0</v>
      </c>
      <c r="E61" s="37">
        <v>0</v>
      </c>
      <c r="F61" s="37">
        <v>0</v>
      </c>
      <c r="G61" s="37">
        <v>0</v>
      </c>
      <c r="H61" s="37">
        <v>0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</row>
    <row r="62" spans="1:16" x14ac:dyDescent="0.25">
      <c r="A62" s="39"/>
      <c r="B62" s="36">
        <f>Avg_Par_A!B62</f>
        <v>0.61458333333333304</v>
      </c>
      <c r="C62" s="37">
        <v>0</v>
      </c>
      <c r="D62" s="37">
        <v>0</v>
      </c>
      <c r="E62" s="37">
        <v>0</v>
      </c>
      <c r="F62" s="37">
        <v>0</v>
      </c>
      <c r="G62" s="37">
        <v>0</v>
      </c>
      <c r="H62" s="37">
        <v>0</v>
      </c>
      <c r="I62" s="37">
        <v>0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</row>
    <row r="63" spans="1:16" x14ac:dyDescent="0.25">
      <c r="A63" s="36"/>
      <c r="B63" s="36">
        <f>Avg_Par_A!B63</f>
        <v>0.625</v>
      </c>
      <c r="C63" s="37">
        <v>0</v>
      </c>
      <c r="D63" s="37">
        <v>0</v>
      </c>
      <c r="E63" s="37">
        <v>0</v>
      </c>
      <c r="F63" s="37">
        <v>0</v>
      </c>
      <c r="G63" s="37">
        <v>0</v>
      </c>
      <c r="H63" s="37">
        <v>0</v>
      </c>
      <c r="I63" s="37">
        <v>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</row>
    <row r="64" spans="1:16" x14ac:dyDescent="0.25">
      <c r="A64" s="39"/>
      <c r="B64" s="36">
        <f>Avg_Par_A!B64</f>
        <v>0.63541666666666696</v>
      </c>
      <c r="C64" s="37">
        <v>0</v>
      </c>
      <c r="D64" s="37">
        <v>0</v>
      </c>
      <c r="E64" s="37">
        <v>0</v>
      </c>
      <c r="F64" s="37">
        <v>0</v>
      </c>
      <c r="G64" s="37">
        <v>0</v>
      </c>
      <c r="H64" s="37">
        <v>0</v>
      </c>
      <c r="I64" s="37">
        <v>0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</row>
    <row r="65" spans="1:16" x14ac:dyDescent="0.25">
      <c r="A65" s="36"/>
      <c r="B65" s="36">
        <f>Avg_Par_A!B65</f>
        <v>0.64583333333333304</v>
      </c>
      <c r="C65" s="37">
        <v>0</v>
      </c>
      <c r="D65" s="37">
        <v>0</v>
      </c>
      <c r="E65" s="37">
        <v>0</v>
      </c>
      <c r="F65" s="37">
        <v>0</v>
      </c>
      <c r="G65" s="37">
        <v>0</v>
      </c>
      <c r="H65" s="37">
        <v>0</v>
      </c>
      <c r="I65" s="37">
        <v>0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</row>
    <row r="66" spans="1:16" x14ac:dyDescent="0.25">
      <c r="A66" s="39"/>
      <c r="B66" s="36">
        <f>Avg_Par_A!B66</f>
        <v>0.65625</v>
      </c>
      <c r="C66" s="37">
        <v>0</v>
      </c>
      <c r="D66" s="37">
        <v>0</v>
      </c>
      <c r="E66" s="37">
        <v>0</v>
      </c>
      <c r="F66" s="37">
        <v>0</v>
      </c>
      <c r="G66" s="37">
        <v>0</v>
      </c>
      <c r="H66" s="37">
        <v>0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</row>
    <row r="67" spans="1:16" x14ac:dyDescent="0.25">
      <c r="A67" s="36"/>
      <c r="B67" s="36">
        <f>Avg_Par_A!B67</f>
        <v>0.66666666666666696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</row>
    <row r="68" spans="1:16" x14ac:dyDescent="0.25">
      <c r="A68" s="39"/>
      <c r="B68" s="36">
        <f>Avg_Par_A!B68</f>
        <v>0.67708333333333304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</row>
    <row r="69" spans="1:16" x14ac:dyDescent="0.25">
      <c r="A69" s="36"/>
      <c r="B69" s="36">
        <f>Avg_Par_A!B69</f>
        <v>0.6875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</row>
    <row r="70" spans="1:16" x14ac:dyDescent="0.25">
      <c r="A70" s="39"/>
      <c r="B70" s="36">
        <f>Avg_Par_A!B70</f>
        <v>0.69791666666666696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</row>
    <row r="71" spans="1:16" x14ac:dyDescent="0.25">
      <c r="A71" s="36"/>
      <c r="B71" s="36">
        <f>Avg_Par_A!B71</f>
        <v>0.70833333333333304</v>
      </c>
      <c r="C71" s="37">
        <v>0</v>
      </c>
      <c r="D71" s="37">
        <v>0</v>
      </c>
      <c r="E71" s="37">
        <v>0</v>
      </c>
      <c r="F71" s="37">
        <v>0</v>
      </c>
      <c r="G71" s="37">
        <v>0</v>
      </c>
      <c r="H71" s="37">
        <v>0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</row>
    <row r="72" spans="1:16" x14ac:dyDescent="0.25">
      <c r="A72" s="39"/>
      <c r="B72" s="36">
        <f>Avg_Par_A!B72</f>
        <v>0.71875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</row>
    <row r="73" spans="1:16" x14ac:dyDescent="0.25">
      <c r="A73" s="36"/>
      <c r="B73" s="36">
        <f>Avg_Par_A!B73</f>
        <v>0.72916666666666696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</row>
    <row r="74" spans="1:16" x14ac:dyDescent="0.25">
      <c r="A74" s="39"/>
      <c r="B74" s="36">
        <f>Avg_Par_A!B74</f>
        <v>0.73958333333333304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</row>
    <row r="75" spans="1:16" x14ac:dyDescent="0.25">
      <c r="A75" s="36"/>
      <c r="B75" s="36">
        <f>Avg_Par_A!B75</f>
        <v>0.75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</row>
    <row r="76" spans="1:16" x14ac:dyDescent="0.25">
      <c r="A76" s="39"/>
      <c r="B76" s="36">
        <f>Avg_Par_A!B76</f>
        <v>0.76041666666666696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</row>
    <row r="77" spans="1:16" x14ac:dyDescent="0.25">
      <c r="A77" s="36"/>
      <c r="B77" s="36">
        <f>Avg_Par_A!B77</f>
        <v>0.77083333333333304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0</v>
      </c>
      <c r="P77" s="37">
        <v>0</v>
      </c>
    </row>
    <row r="78" spans="1:16" x14ac:dyDescent="0.25">
      <c r="A78" s="39"/>
      <c r="B78" s="36">
        <f>Avg_Par_A!B78</f>
        <v>0.78125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</row>
    <row r="79" spans="1:16" x14ac:dyDescent="0.25">
      <c r="A79" s="36"/>
      <c r="B79" s="36">
        <f>Avg_Par_A!B79</f>
        <v>0.79166666666666696</v>
      </c>
      <c r="C79" s="37">
        <v>0</v>
      </c>
      <c r="D79" s="37">
        <v>0</v>
      </c>
      <c r="E79" s="37">
        <v>0</v>
      </c>
      <c r="F79" s="37">
        <v>0</v>
      </c>
      <c r="G79" s="37">
        <v>0</v>
      </c>
      <c r="H79" s="37">
        <v>0</v>
      </c>
      <c r="I79" s="37">
        <v>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</row>
    <row r="80" spans="1:16" x14ac:dyDescent="0.25">
      <c r="A80" s="39"/>
      <c r="B80" s="36">
        <f>Avg_Par_A!B80</f>
        <v>0.80208333333333304</v>
      </c>
      <c r="C80" s="37">
        <v>0</v>
      </c>
      <c r="D80" s="37">
        <v>0</v>
      </c>
      <c r="E80" s="37">
        <v>0</v>
      </c>
      <c r="F80" s="37">
        <v>0</v>
      </c>
      <c r="G80" s="37">
        <v>0</v>
      </c>
      <c r="H80" s="37">
        <v>0</v>
      </c>
      <c r="I80" s="37">
        <v>0</v>
      </c>
      <c r="J80" s="37">
        <v>0</v>
      </c>
      <c r="K80" s="37">
        <v>0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</row>
    <row r="81" spans="1:16" x14ac:dyDescent="0.25">
      <c r="A81" s="36"/>
      <c r="B81" s="36">
        <f>Avg_Par_A!B81</f>
        <v>0.8125</v>
      </c>
      <c r="C81" s="37">
        <v>0</v>
      </c>
      <c r="D81" s="37">
        <v>0</v>
      </c>
      <c r="E81" s="37">
        <v>0</v>
      </c>
      <c r="F81" s="37">
        <v>0</v>
      </c>
      <c r="G81" s="37">
        <v>0</v>
      </c>
      <c r="H81" s="37">
        <v>0</v>
      </c>
      <c r="I81" s="37">
        <v>0</v>
      </c>
      <c r="J81" s="37">
        <v>0</v>
      </c>
      <c r="K81" s="37">
        <v>0</v>
      </c>
      <c r="L81" s="37">
        <v>0</v>
      </c>
      <c r="M81" s="37">
        <v>0</v>
      </c>
      <c r="N81" s="37">
        <v>0</v>
      </c>
      <c r="O81" s="37">
        <v>0</v>
      </c>
      <c r="P81" s="37">
        <v>0</v>
      </c>
    </row>
    <row r="82" spans="1:16" x14ac:dyDescent="0.25">
      <c r="A82" s="39"/>
      <c r="B82" s="36">
        <f>Avg_Par_A!B82</f>
        <v>0.82291666666666696</v>
      </c>
      <c r="C82" s="37">
        <v>0</v>
      </c>
      <c r="D82" s="37">
        <v>0</v>
      </c>
      <c r="E82" s="37">
        <v>0</v>
      </c>
      <c r="F82" s="37">
        <v>0</v>
      </c>
      <c r="G82" s="37">
        <v>0</v>
      </c>
      <c r="H82" s="37">
        <v>0</v>
      </c>
      <c r="I82" s="37">
        <v>0</v>
      </c>
      <c r="J82" s="37">
        <v>0</v>
      </c>
      <c r="K82" s="37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</row>
    <row r="83" spans="1:16" x14ac:dyDescent="0.25">
      <c r="A83" s="36"/>
      <c r="B83" s="36">
        <f>Avg_Par_A!B83</f>
        <v>0.83333333333333304</v>
      </c>
      <c r="C83" s="37">
        <v>0</v>
      </c>
      <c r="D83" s="37">
        <v>0</v>
      </c>
      <c r="E83" s="37">
        <v>0</v>
      </c>
      <c r="F83" s="37">
        <v>0</v>
      </c>
      <c r="G83" s="37">
        <v>0</v>
      </c>
      <c r="H83" s="37">
        <v>0</v>
      </c>
      <c r="I83" s="37">
        <v>0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0</v>
      </c>
      <c r="P83" s="37">
        <v>0</v>
      </c>
    </row>
    <row r="84" spans="1:16" x14ac:dyDescent="0.25">
      <c r="A84" s="39"/>
      <c r="B84" s="36">
        <f>Avg_Par_A!B84</f>
        <v>0.84375</v>
      </c>
      <c r="C84" s="37">
        <v>0</v>
      </c>
      <c r="D84" s="37">
        <v>0</v>
      </c>
      <c r="E84" s="37">
        <v>0</v>
      </c>
      <c r="F84" s="37">
        <v>0</v>
      </c>
      <c r="G84" s="37">
        <v>0</v>
      </c>
      <c r="H84" s="37">
        <v>0</v>
      </c>
      <c r="I84" s="37">
        <v>0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0</v>
      </c>
      <c r="P84" s="37">
        <v>0</v>
      </c>
    </row>
    <row r="85" spans="1:16" x14ac:dyDescent="0.25">
      <c r="A85" s="36"/>
      <c r="B85" s="36">
        <f>Avg_Par_A!B85</f>
        <v>0.85416666666666696</v>
      </c>
      <c r="C85" s="37">
        <v>0</v>
      </c>
      <c r="D85" s="37">
        <v>0</v>
      </c>
      <c r="E85" s="37">
        <v>0</v>
      </c>
      <c r="F85" s="37">
        <v>0</v>
      </c>
      <c r="G85" s="37">
        <v>0</v>
      </c>
      <c r="H85" s="37">
        <v>0</v>
      </c>
      <c r="I85" s="37">
        <v>0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</row>
    <row r="86" spans="1:16" x14ac:dyDescent="0.25">
      <c r="A86" s="39"/>
      <c r="B86" s="36">
        <f>Avg_Par_A!B86</f>
        <v>0.86458333333333304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0</v>
      </c>
      <c r="P86" s="37">
        <v>0</v>
      </c>
    </row>
    <row r="87" spans="1:16" x14ac:dyDescent="0.25">
      <c r="A87" s="36"/>
      <c r="B87" s="36">
        <f>Avg_Par_A!B87</f>
        <v>0.875</v>
      </c>
      <c r="C87" s="37">
        <v>0</v>
      </c>
      <c r="D87" s="37">
        <v>0</v>
      </c>
      <c r="E87" s="37">
        <v>0</v>
      </c>
      <c r="F87" s="37">
        <v>0</v>
      </c>
      <c r="G87" s="37">
        <v>0</v>
      </c>
      <c r="H87" s="37">
        <v>0</v>
      </c>
      <c r="I87" s="37">
        <v>0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0</v>
      </c>
      <c r="P87" s="37">
        <v>0</v>
      </c>
    </row>
    <row r="88" spans="1:16" x14ac:dyDescent="0.25">
      <c r="A88" s="39"/>
      <c r="B88" s="36">
        <f>Avg_Par_A!B88</f>
        <v>0.88541666666666696</v>
      </c>
      <c r="C88" s="37">
        <v>0</v>
      </c>
      <c r="D88" s="37">
        <v>0</v>
      </c>
      <c r="E88" s="37">
        <v>0</v>
      </c>
      <c r="F88" s="37">
        <v>0</v>
      </c>
      <c r="G88" s="37">
        <v>0</v>
      </c>
      <c r="H88" s="37">
        <v>0</v>
      </c>
      <c r="I88" s="37">
        <v>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</row>
    <row r="89" spans="1:16" x14ac:dyDescent="0.25">
      <c r="A89" s="36"/>
      <c r="B89" s="36">
        <f>Avg_Par_A!B89</f>
        <v>0.89583333333333304</v>
      </c>
      <c r="C89" s="37">
        <v>0</v>
      </c>
      <c r="D89" s="37">
        <v>0</v>
      </c>
      <c r="E89" s="37">
        <v>0</v>
      </c>
      <c r="F89" s="37">
        <v>0</v>
      </c>
      <c r="G89" s="37">
        <v>0</v>
      </c>
      <c r="H89" s="37">
        <v>0</v>
      </c>
      <c r="I89" s="37">
        <v>0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0</v>
      </c>
      <c r="P89" s="37">
        <v>0</v>
      </c>
    </row>
    <row r="90" spans="1:16" x14ac:dyDescent="0.25">
      <c r="A90" s="39"/>
      <c r="B90" s="36">
        <f>Avg_Par_A!B90</f>
        <v>0.90625</v>
      </c>
      <c r="C90" s="37">
        <v>0</v>
      </c>
      <c r="D90" s="37">
        <v>0</v>
      </c>
      <c r="E90" s="37">
        <v>0</v>
      </c>
      <c r="F90" s="37">
        <v>0</v>
      </c>
      <c r="G90" s="37">
        <v>0</v>
      </c>
      <c r="H90" s="37">
        <v>0</v>
      </c>
      <c r="I90" s="37">
        <v>0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0</v>
      </c>
      <c r="P90" s="37">
        <v>0</v>
      </c>
    </row>
    <row r="91" spans="1:16" x14ac:dyDescent="0.25">
      <c r="A91" s="36"/>
      <c r="B91" s="36">
        <f>Avg_Par_A!B91</f>
        <v>0.91666666666666696</v>
      </c>
      <c r="C91" s="37">
        <v>0</v>
      </c>
      <c r="D91" s="37">
        <v>0</v>
      </c>
      <c r="E91" s="37">
        <v>0</v>
      </c>
      <c r="F91" s="37">
        <v>0</v>
      </c>
      <c r="G91" s="37">
        <v>0</v>
      </c>
      <c r="H91" s="37">
        <v>0</v>
      </c>
      <c r="I91" s="37">
        <v>0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</row>
    <row r="92" spans="1:16" x14ac:dyDescent="0.25">
      <c r="A92" s="39"/>
      <c r="B92" s="36">
        <f>Avg_Par_A!B92</f>
        <v>0.92708333333333304</v>
      </c>
      <c r="C92" s="37">
        <v>0</v>
      </c>
      <c r="D92" s="37">
        <v>0</v>
      </c>
      <c r="E92" s="37">
        <v>0</v>
      </c>
      <c r="F92" s="37">
        <v>0</v>
      </c>
      <c r="G92" s="37">
        <v>0</v>
      </c>
      <c r="H92" s="37">
        <v>0</v>
      </c>
      <c r="I92" s="37">
        <v>0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0</v>
      </c>
      <c r="P92" s="37">
        <v>0</v>
      </c>
    </row>
    <row r="93" spans="1:16" x14ac:dyDescent="0.25">
      <c r="A93" s="36"/>
      <c r="B93" s="36">
        <f>Avg_Par_A!B93</f>
        <v>0.9375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</row>
    <row r="94" spans="1:16" x14ac:dyDescent="0.25">
      <c r="A94" s="39"/>
      <c r="B94" s="36">
        <f>Avg_Par_A!B94</f>
        <v>0.94791666666666696</v>
      </c>
      <c r="C94" s="37">
        <v>0</v>
      </c>
      <c r="D94" s="37">
        <v>0</v>
      </c>
      <c r="E94" s="37">
        <v>0</v>
      </c>
      <c r="F94" s="37">
        <v>0</v>
      </c>
      <c r="G94" s="37">
        <v>0</v>
      </c>
      <c r="H94" s="37">
        <v>0</v>
      </c>
      <c r="I94" s="37">
        <v>0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</row>
    <row r="95" spans="1:16" x14ac:dyDescent="0.25">
      <c r="A95" s="36"/>
      <c r="B95" s="36">
        <f>Avg_Par_A!B95</f>
        <v>0.95833333333333304</v>
      </c>
      <c r="C95" s="37">
        <v>0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0</v>
      </c>
      <c r="P95" s="37">
        <v>0</v>
      </c>
    </row>
    <row r="96" spans="1:16" x14ac:dyDescent="0.25">
      <c r="A96" s="39"/>
      <c r="B96" s="36">
        <f>Avg_Par_A!B96</f>
        <v>0.96875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</row>
    <row r="97" spans="1:16" x14ac:dyDescent="0.25">
      <c r="A97" s="36"/>
      <c r="B97" s="36">
        <f>Avg_Par_A!B97</f>
        <v>0.97916666666666696</v>
      </c>
      <c r="C97" s="37">
        <v>0</v>
      </c>
      <c r="D97" s="37">
        <v>0</v>
      </c>
      <c r="E97" s="37">
        <v>0</v>
      </c>
      <c r="F97" s="37">
        <v>0</v>
      </c>
      <c r="G97" s="37">
        <v>0</v>
      </c>
      <c r="H97" s="37">
        <v>0</v>
      </c>
      <c r="I97" s="37">
        <v>0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</row>
    <row r="98" spans="1:16" x14ac:dyDescent="0.25">
      <c r="A98" s="39"/>
      <c r="B98" s="36">
        <f>Avg_Par_A!B98</f>
        <v>0.98958333333333304</v>
      </c>
      <c r="C98" s="37">
        <v>0</v>
      </c>
      <c r="D98" s="37">
        <v>0</v>
      </c>
      <c r="E98" s="37">
        <v>0</v>
      </c>
      <c r="F98" s="37">
        <v>0</v>
      </c>
      <c r="G98" s="37">
        <v>0</v>
      </c>
      <c r="H98" s="37">
        <v>0</v>
      </c>
      <c r="I98" s="37">
        <v>0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</row>
  </sheetData>
  <mergeCells count="1">
    <mergeCell ref="A2:B2"/>
  </mergeCells>
  <pageMargins left="0.7" right="0.7" top="0.75" bottom="0.75" header="0.3" footer="0.3"/>
  <headerFooter>
    <oddHeader>&amp;C&amp;"Calibri"&amp;10&amp;KFF0000 CONFIDENTIAL&amp;1#_x000D_</oddHead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9"/>
  <dimension ref="A1:P98"/>
  <sheetViews>
    <sheetView workbookViewId="0">
      <selection sqref="A1:XFD1048576"/>
    </sheetView>
  </sheetViews>
  <sheetFormatPr defaultColWidth="8.54296875" defaultRowHeight="12.5" x14ac:dyDescent="0.25"/>
  <cols>
    <col min="1" max="16" width="11.54296875" customWidth="1"/>
  </cols>
  <sheetData>
    <row r="1" spans="1:16" ht="53.25" customHeight="1" x14ac:dyDescent="0.25">
      <c r="A1" s="34" t="s">
        <v>54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26" x14ac:dyDescent="0.3">
      <c r="A2" s="40">
        <f>Hourly_kWh!A6</f>
        <v>45838.291666666664</v>
      </c>
      <c r="B2" s="40"/>
      <c r="C2" s="38" t="str">
        <f>'Feeder Names'!E3</f>
        <v>HT.GRID_VCB</v>
      </c>
      <c r="D2" s="38" t="str">
        <f>'Feeder Names'!F3</f>
        <v>HT.TRAFO-1</v>
      </c>
      <c r="E2" s="38" t="str">
        <f>'Feeder Names'!G3</f>
        <v>HT.TRAFO-2</v>
      </c>
      <c r="F2" s="38" t="str">
        <f>'Feeder Names'!H3</f>
        <v>HT.TRAFO-3</v>
      </c>
      <c r="G2" s="38" t="str">
        <f>'Feeder Names'!I3</f>
        <v>HT.TRAFO-4</v>
      </c>
      <c r="H2" s="38" t="str">
        <f>'Feeder Names'!J3</f>
        <v>DG.DG_INC</v>
      </c>
      <c r="I2" s="38" t="str">
        <f>'Feeder Names'!K3</f>
        <v>DG.DG-1</v>
      </c>
      <c r="J2" s="38" t="str">
        <f>'Feeder Names'!L3</f>
        <v>DG.DG-2</v>
      </c>
      <c r="K2" s="38" t="str">
        <f>'Feeder Names'!M3</f>
        <v>DG.DG-3</v>
      </c>
      <c r="L2" s="38" t="str">
        <f>'Feeder Names'!N3</f>
        <v>DG.GD-4</v>
      </c>
      <c r="M2" s="38" t="str">
        <f>'Feeder Names'!O3</f>
        <v>DG.DG-5</v>
      </c>
      <c r="N2" s="38" t="str">
        <f>'Feeder Names'!P3</f>
        <v>DG.VCB_OUTGOING</v>
      </c>
      <c r="O2" s="38" t="str">
        <f>'Feeder Names'!Q3</f>
        <v>SOLAR.SOLAR-1</v>
      </c>
      <c r="P2" s="38" t="str">
        <f>'Feeder Names'!R3</f>
        <v>SOLAR.SOLAR-2</v>
      </c>
    </row>
    <row r="3" spans="1:16" x14ac:dyDescent="0.25">
      <c r="A3" s="36"/>
      <c r="B3" s="36">
        <f>Interval_kwh!B3</f>
        <v>0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</row>
    <row r="4" spans="1:16" x14ac:dyDescent="0.25">
      <c r="A4" s="39"/>
      <c r="B4" s="36">
        <f>Interval_kwh!B4</f>
        <v>1.0416666666666666E-2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</row>
    <row r="5" spans="1:16" x14ac:dyDescent="0.25">
      <c r="A5" s="36"/>
      <c r="B5" s="36">
        <f>Interval_kwh!B5</f>
        <v>2.0833333333333301E-2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</row>
    <row r="6" spans="1:16" x14ac:dyDescent="0.25">
      <c r="A6" s="39"/>
      <c r="B6" s="36">
        <f>Interval_kwh!B6</f>
        <v>3.125E-2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0</v>
      </c>
      <c r="P6" s="37">
        <v>0</v>
      </c>
    </row>
    <row r="7" spans="1:16" x14ac:dyDescent="0.25">
      <c r="A7" s="36"/>
      <c r="B7" s="36">
        <f>Interval_kwh!B7</f>
        <v>4.1666666666666699E-2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</row>
    <row r="8" spans="1:16" x14ac:dyDescent="0.25">
      <c r="A8" s="39"/>
      <c r="B8" s="36">
        <f>Interval_kwh!B8</f>
        <v>5.2083333333333301E-2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</row>
    <row r="9" spans="1:16" x14ac:dyDescent="0.25">
      <c r="A9" s="36"/>
      <c r="B9" s="36">
        <f>Interval_kwh!B9</f>
        <v>6.25E-2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</row>
    <row r="10" spans="1:16" x14ac:dyDescent="0.25">
      <c r="A10" s="39"/>
      <c r="B10" s="36">
        <f>Interval_kwh!B10</f>
        <v>7.2916666666666699E-2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0</v>
      </c>
      <c r="P10" s="37">
        <v>0</v>
      </c>
    </row>
    <row r="11" spans="1:16" x14ac:dyDescent="0.25">
      <c r="A11" s="36"/>
      <c r="B11" s="36">
        <f>Interval_kwh!B11</f>
        <v>8.3333333333333301E-2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0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</row>
    <row r="12" spans="1:16" x14ac:dyDescent="0.25">
      <c r="A12" s="39"/>
      <c r="B12" s="36">
        <f>Interval_kwh!B12</f>
        <v>9.375E-2</v>
      </c>
      <c r="C12" s="37">
        <v>0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0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0</v>
      </c>
      <c r="P12" s="37">
        <v>0</v>
      </c>
    </row>
    <row r="13" spans="1:16" x14ac:dyDescent="0.25">
      <c r="A13" s="36"/>
      <c r="B13" s="36">
        <f>Interval_kwh!B13</f>
        <v>0.104166666666667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</row>
    <row r="14" spans="1:16" x14ac:dyDescent="0.25">
      <c r="A14" s="39"/>
      <c r="B14" s="36">
        <f>Interval_kwh!B14</f>
        <v>0.114583333333333</v>
      </c>
      <c r="C14" s="37">
        <v>0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0</v>
      </c>
      <c r="J14" s="37">
        <v>0</v>
      </c>
      <c r="K14" s="37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</row>
    <row r="15" spans="1:16" x14ac:dyDescent="0.25">
      <c r="A15" s="36"/>
      <c r="B15" s="36">
        <f>Interval_kwh!B15</f>
        <v>0.125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</row>
    <row r="16" spans="1:16" x14ac:dyDescent="0.25">
      <c r="A16" s="39"/>
      <c r="B16" s="36">
        <f>Interval_kwh!B16</f>
        <v>0.13541666666666699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</row>
    <row r="17" spans="1:16" x14ac:dyDescent="0.25">
      <c r="A17" s="36"/>
      <c r="B17" s="36">
        <f>Interval_kwh!B17</f>
        <v>0.14583333333333301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37">
        <v>0</v>
      </c>
    </row>
    <row r="18" spans="1:16" x14ac:dyDescent="0.25">
      <c r="A18" s="39"/>
      <c r="B18" s="36">
        <f>Interval_kwh!B18</f>
        <v>0.15625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0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</row>
    <row r="19" spans="1:16" x14ac:dyDescent="0.25">
      <c r="A19" s="36"/>
      <c r="B19" s="36">
        <f>Interval_kwh!B19</f>
        <v>0.16666666666666699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0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0</v>
      </c>
      <c r="P19" s="37">
        <v>0</v>
      </c>
    </row>
    <row r="20" spans="1:16" x14ac:dyDescent="0.25">
      <c r="A20" s="39"/>
      <c r="B20" s="36">
        <f>Interval_kwh!B20</f>
        <v>0.17708333333333301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</row>
    <row r="21" spans="1:16" x14ac:dyDescent="0.25">
      <c r="A21" s="36"/>
      <c r="B21" s="36">
        <f>Interval_kwh!B21</f>
        <v>0.1875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</row>
    <row r="22" spans="1:16" x14ac:dyDescent="0.25">
      <c r="A22" s="39"/>
      <c r="B22" s="36">
        <f>Interval_kwh!B22</f>
        <v>0.19791666666666699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</row>
    <row r="23" spans="1:16" x14ac:dyDescent="0.25">
      <c r="A23" s="36"/>
      <c r="B23" s="36">
        <f>Interval_kwh!B23</f>
        <v>0.20833333333333301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</row>
    <row r="24" spans="1:16" x14ac:dyDescent="0.25">
      <c r="A24" s="39"/>
      <c r="B24" s="36">
        <f>Interval_kwh!B24</f>
        <v>0.21875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</row>
    <row r="25" spans="1:16" x14ac:dyDescent="0.25">
      <c r="A25" s="36"/>
      <c r="B25" s="36">
        <f>Interval_kwh!B25</f>
        <v>0.22916666666666699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</row>
    <row r="26" spans="1:16" x14ac:dyDescent="0.25">
      <c r="A26" s="39"/>
      <c r="B26" s="36">
        <f>Interval_kwh!B26</f>
        <v>0.23958333333333301</v>
      </c>
      <c r="C26" s="37">
        <v>0</v>
      </c>
      <c r="D26" s="37">
        <v>0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</row>
    <row r="27" spans="1:16" x14ac:dyDescent="0.25">
      <c r="A27" s="36"/>
      <c r="B27" s="36">
        <f>Interval_kwh!B27</f>
        <v>0.25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</row>
    <row r="28" spans="1:16" x14ac:dyDescent="0.25">
      <c r="A28" s="39"/>
      <c r="B28" s="36">
        <f>Interval_kwh!B28</f>
        <v>0.26041666666666702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</row>
    <row r="29" spans="1:16" x14ac:dyDescent="0.25">
      <c r="A29" s="36"/>
      <c r="B29" s="36">
        <f>Interval_kwh!B29</f>
        <v>0.27083333333333298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</row>
    <row r="30" spans="1:16" x14ac:dyDescent="0.25">
      <c r="A30" s="39"/>
      <c r="B30" s="36">
        <f>Interval_kwh!B30</f>
        <v>0.28125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</row>
    <row r="31" spans="1:16" x14ac:dyDescent="0.25">
      <c r="A31" s="36"/>
      <c r="B31" s="36">
        <f>Interval_kwh!B31</f>
        <v>0.29166666666666702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</row>
    <row r="32" spans="1:16" x14ac:dyDescent="0.25">
      <c r="A32" s="39"/>
      <c r="B32" s="36">
        <f>Interval_kwh!B32</f>
        <v>0.30208333333333298</v>
      </c>
      <c r="C32" s="37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0</v>
      </c>
      <c r="P32" s="37">
        <v>0</v>
      </c>
    </row>
    <row r="33" spans="1:16" x14ac:dyDescent="0.25">
      <c r="A33" s="36"/>
      <c r="B33" s="36">
        <f>Interval_kwh!B33</f>
        <v>0.3125</v>
      </c>
      <c r="C33" s="37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0</v>
      </c>
      <c r="P33" s="37">
        <v>0</v>
      </c>
    </row>
    <row r="34" spans="1:16" x14ac:dyDescent="0.25">
      <c r="A34" s="39"/>
      <c r="B34" s="36">
        <f>Interval_kwh!B34</f>
        <v>0.32291666666666702</v>
      </c>
      <c r="C34" s="37">
        <v>0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  <c r="P34" s="37">
        <v>0</v>
      </c>
    </row>
    <row r="35" spans="1:16" x14ac:dyDescent="0.25">
      <c r="A35" s="36"/>
      <c r="B35" s="36">
        <f>Interval_kwh!B35</f>
        <v>0.33333333333333298</v>
      </c>
      <c r="C35" s="37">
        <v>0</v>
      </c>
      <c r="D35" s="37">
        <v>0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</row>
    <row r="36" spans="1:16" x14ac:dyDescent="0.25">
      <c r="A36" s="39"/>
      <c r="B36" s="36">
        <f>Interval_kwh!B36</f>
        <v>0.34375</v>
      </c>
      <c r="C36" s="37">
        <v>0</v>
      </c>
      <c r="D36" s="37">
        <v>0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  <c r="P36" s="37">
        <v>0</v>
      </c>
    </row>
    <row r="37" spans="1:16" x14ac:dyDescent="0.25">
      <c r="A37" s="36"/>
      <c r="B37" s="36">
        <f>Interval_kwh!B37</f>
        <v>0.35416666666666702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</row>
    <row r="38" spans="1:16" x14ac:dyDescent="0.25">
      <c r="A38" s="39"/>
      <c r="B38" s="36">
        <f>Interval_kwh!B38</f>
        <v>0.36458333333333298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</row>
    <row r="39" spans="1:16" x14ac:dyDescent="0.25">
      <c r="A39" s="36"/>
      <c r="B39" s="36">
        <f>Interval_kwh!B39</f>
        <v>0.375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0</v>
      </c>
      <c r="P39" s="37">
        <v>0</v>
      </c>
    </row>
    <row r="40" spans="1:16" x14ac:dyDescent="0.25">
      <c r="A40" s="39"/>
      <c r="B40" s="36">
        <f>Interval_kwh!B40</f>
        <v>0.38541666666666702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</row>
    <row r="41" spans="1:16" x14ac:dyDescent="0.25">
      <c r="A41" s="36"/>
      <c r="B41" s="36">
        <f>Interval_kwh!B41</f>
        <v>0.39583333333333298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</row>
    <row r="42" spans="1:16" x14ac:dyDescent="0.25">
      <c r="A42" s="39"/>
      <c r="B42" s="36">
        <f>Interval_kwh!B42</f>
        <v>0.40625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</row>
    <row r="43" spans="1:16" x14ac:dyDescent="0.25">
      <c r="A43" s="36"/>
      <c r="B43" s="36">
        <f>Interval_kwh!B43</f>
        <v>0.41666666666666702</v>
      </c>
      <c r="C43" s="37">
        <v>0</v>
      </c>
      <c r="D43" s="37">
        <v>0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</row>
    <row r="44" spans="1:16" x14ac:dyDescent="0.25">
      <c r="A44" s="39"/>
      <c r="B44" s="36">
        <f>Interval_kwh!B44</f>
        <v>0.42708333333333298</v>
      </c>
      <c r="C44" s="37">
        <v>0</v>
      </c>
      <c r="D44" s="37">
        <v>0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</row>
    <row r="45" spans="1:16" x14ac:dyDescent="0.25">
      <c r="A45" s="36"/>
      <c r="B45" s="36">
        <f>Interval_kwh!B45</f>
        <v>0.4375</v>
      </c>
      <c r="C45" s="37">
        <v>0</v>
      </c>
      <c r="D45" s="37">
        <v>0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0</v>
      </c>
      <c r="P45" s="37">
        <v>0</v>
      </c>
    </row>
    <row r="46" spans="1:16" x14ac:dyDescent="0.25">
      <c r="A46" s="39"/>
      <c r="B46" s="36">
        <f>Interval_kwh!B46</f>
        <v>0.44791666666666702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</row>
    <row r="47" spans="1:16" x14ac:dyDescent="0.25">
      <c r="A47" s="36"/>
      <c r="B47" s="36">
        <f>Interval_kwh!B47</f>
        <v>0.45833333333333298</v>
      </c>
      <c r="C47" s="37">
        <v>0</v>
      </c>
      <c r="D47" s="37">
        <v>0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</row>
    <row r="48" spans="1:16" x14ac:dyDescent="0.25">
      <c r="A48" s="39"/>
      <c r="B48" s="36">
        <f>Interval_kwh!B48</f>
        <v>0.46875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</row>
    <row r="49" spans="1:16" x14ac:dyDescent="0.25">
      <c r="A49" s="36"/>
      <c r="B49" s="36">
        <f>Interval_kwh!B49</f>
        <v>0.47916666666666702</v>
      </c>
      <c r="C49" s="37">
        <v>0</v>
      </c>
      <c r="D49" s="37">
        <v>0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</row>
    <row r="50" spans="1:16" x14ac:dyDescent="0.25">
      <c r="A50" s="39"/>
      <c r="B50" s="36">
        <f>Interval_kwh!B50</f>
        <v>0.48958333333333298</v>
      </c>
      <c r="C50" s="37">
        <v>0</v>
      </c>
      <c r="D50" s="37">
        <v>0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</row>
    <row r="51" spans="1:16" x14ac:dyDescent="0.25">
      <c r="A51" s="36"/>
      <c r="B51" s="36">
        <f>Interval_kwh!B51</f>
        <v>0.5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</row>
    <row r="52" spans="1:16" x14ac:dyDescent="0.25">
      <c r="A52" s="39"/>
      <c r="B52" s="36">
        <f>Interval_kwh!B52</f>
        <v>0.51041666666666696</v>
      </c>
      <c r="C52" s="37">
        <v>0</v>
      </c>
      <c r="D52" s="37">
        <v>0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</row>
    <row r="53" spans="1:16" x14ac:dyDescent="0.25">
      <c r="A53" s="36"/>
      <c r="B53" s="36">
        <f>Interval_kwh!B53</f>
        <v>0.52083333333333304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</row>
    <row r="54" spans="1:16" x14ac:dyDescent="0.25">
      <c r="A54" s="39"/>
      <c r="B54" s="36">
        <f>Interval_kwh!B54</f>
        <v>0.53125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</row>
    <row r="55" spans="1:16" x14ac:dyDescent="0.25">
      <c r="A55" s="36"/>
      <c r="B55" s="36">
        <f>Interval_kwh!B55</f>
        <v>0.54166666666666696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</row>
    <row r="56" spans="1:16" x14ac:dyDescent="0.25">
      <c r="A56" s="39"/>
      <c r="B56" s="36">
        <f>Interval_kwh!B56</f>
        <v>0.55208333333333304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</row>
    <row r="57" spans="1:16" x14ac:dyDescent="0.25">
      <c r="A57" s="36"/>
      <c r="B57" s="36">
        <f>Interval_kwh!B57</f>
        <v>0.5625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</row>
    <row r="58" spans="1:16" x14ac:dyDescent="0.25">
      <c r="A58" s="39"/>
      <c r="B58" s="36">
        <f>Interval_kwh!B58</f>
        <v>0.57291666666666696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</row>
    <row r="59" spans="1:16" x14ac:dyDescent="0.25">
      <c r="A59" s="36"/>
      <c r="B59" s="36">
        <f>Interval_kwh!B59</f>
        <v>0.58333333333333304</v>
      </c>
      <c r="C59" s="37">
        <v>0</v>
      </c>
      <c r="D59" s="37">
        <v>0</v>
      </c>
      <c r="E59" s="37">
        <v>0</v>
      </c>
      <c r="F59" s="37">
        <v>0</v>
      </c>
      <c r="G59" s="37">
        <v>0</v>
      </c>
      <c r="H59" s="37">
        <v>0</v>
      </c>
      <c r="I59" s="37">
        <v>0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0</v>
      </c>
      <c r="P59" s="37">
        <v>0</v>
      </c>
    </row>
    <row r="60" spans="1:16" x14ac:dyDescent="0.25">
      <c r="A60" s="39"/>
      <c r="B60" s="36">
        <f>Interval_kwh!B60</f>
        <v>0.59375</v>
      </c>
      <c r="C60" s="37">
        <v>0</v>
      </c>
      <c r="D60" s="37">
        <v>0</v>
      </c>
      <c r="E60" s="37">
        <v>0</v>
      </c>
      <c r="F60" s="37">
        <v>0</v>
      </c>
      <c r="G60" s="37">
        <v>0</v>
      </c>
      <c r="H60" s="37">
        <v>0</v>
      </c>
      <c r="I60" s="37">
        <v>0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</row>
    <row r="61" spans="1:16" x14ac:dyDescent="0.25">
      <c r="A61" s="36"/>
      <c r="B61" s="36">
        <f>Interval_kwh!B61</f>
        <v>0.60416666666666696</v>
      </c>
      <c r="C61" s="37">
        <v>0</v>
      </c>
      <c r="D61" s="37">
        <v>0</v>
      </c>
      <c r="E61" s="37">
        <v>0</v>
      </c>
      <c r="F61" s="37">
        <v>0</v>
      </c>
      <c r="G61" s="37">
        <v>0</v>
      </c>
      <c r="H61" s="37">
        <v>0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</row>
    <row r="62" spans="1:16" x14ac:dyDescent="0.25">
      <c r="A62" s="39"/>
      <c r="B62" s="36">
        <f>Interval_kwh!B62</f>
        <v>0.61458333333333304</v>
      </c>
      <c r="C62" s="37">
        <v>0</v>
      </c>
      <c r="D62" s="37">
        <v>0</v>
      </c>
      <c r="E62" s="37">
        <v>0</v>
      </c>
      <c r="F62" s="37">
        <v>0</v>
      </c>
      <c r="G62" s="37">
        <v>0</v>
      </c>
      <c r="H62" s="37">
        <v>0</v>
      </c>
      <c r="I62" s="37">
        <v>0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</row>
    <row r="63" spans="1:16" x14ac:dyDescent="0.25">
      <c r="A63" s="36"/>
      <c r="B63" s="36">
        <f>Interval_kwh!B63</f>
        <v>0.625</v>
      </c>
      <c r="C63" s="37">
        <v>0</v>
      </c>
      <c r="D63" s="37">
        <v>0</v>
      </c>
      <c r="E63" s="37">
        <v>0</v>
      </c>
      <c r="F63" s="37">
        <v>0</v>
      </c>
      <c r="G63" s="37">
        <v>0</v>
      </c>
      <c r="H63" s="37">
        <v>0</v>
      </c>
      <c r="I63" s="37">
        <v>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</row>
    <row r="64" spans="1:16" x14ac:dyDescent="0.25">
      <c r="A64" s="39"/>
      <c r="B64" s="36">
        <f>Interval_kwh!B64</f>
        <v>0.63541666666666696</v>
      </c>
      <c r="C64" s="37">
        <v>0</v>
      </c>
      <c r="D64" s="37">
        <v>0</v>
      </c>
      <c r="E64" s="37">
        <v>0</v>
      </c>
      <c r="F64" s="37">
        <v>0</v>
      </c>
      <c r="G64" s="37">
        <v>0</v>
      </c>
      <c r="H64" s="37">
        <v>0</v>
      </c>
      <c r="I64" s="37">
        <v>0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</row>
    <row r="65" spans="1:16" x14ac:dyDescent="0.25">
      <c r="A65" s="36"/>
      <c r="B65" s="36">
        <f>Interval_kwh!B65</f>
        <v>0.64583333333333304</v>
      </c>
      <c r="C65" s="37">
        <v>0</v>
      </c>
      <c r="D65" s="37">
        <v>0</v>
      </c>
      <c r="E65" s="37">
        <v>0</v>
      </c>
      <c r="F65" s="37">
        <v>0</v>
      </c>
      <c r="G65" s="37">
        <v>0</v>
      </c>
      <c r="H65" s="37">
        <v>0</v>
      </c>
      <c r="I65" s="37">
        <v>0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</row>
    <row r="66" spans="1:16" x14ac:dyDescent="0.25">
      <c r="A66" s="39"/>
      <c r="B66" s="36">
        <f>Interval_kwh!B66</f>
        <v>0.65625</v>
      </c>
      <c r="C66" s="37">
        <v>0</v>
      </c>
      <c r="D66" s="37">
        <v>0</v>
      </c>
      <c r="E66" s="37">
        <v>0</v>
      </c>
      <c r="F66" s="37">
        <v>0</v>
      </c>
      <c r="G66" s="37">
        <v>0</v>
      </c>
      <c r="H66" s="37">
        <v>0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</row>
    <row r="67" spans="1:16" x14ac:dyDescent="0.25">
      <c r="A67" s="36"/>
      <c r="B67" s="36">
        <f>Interval_kwh!B67</f>
        <v>0.66666666666666696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</row>
    <row r="68" spans="1:16" x14ac:dyDescent="0.25">
      <c r="A68" s="39"/>
      <c r="B68" s="36">
        <f>Interval_kwh!B68</f>
        <v>0.67708333333333304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</row>
    <row r="69" spans="1:16" x14ac:dyDescent="0.25">
      <c r="A69" s="36"/>
      <c r="B69" s="36">
        <f>Interval_kwh!B69</f>
        <v>0.6875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</row>
    <row r="70" spans="1:16" x14ac:dyDescent="0.25">
      <c r="A70" s="39"/>
      <c r="B70" s="36">
        <f>Interval_kwh!B70</f>
        <v>0.69791666666666696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</row>
    <row r="71" spans="1:16" x14ac:dyDescent="0.25">
      <c r="A71" s="36"/>
      <c r="B71" s="36">
        <f>Interval_kwh!B71</f>
        <v>0.70833333333333304</v>
      </c>
      <c r="C71" s="37">
        <v>0</v>
      </c>
      <c r="D71" s="37">
        <v>0</v>
      </c>
      <c r="E71" s="37">
        <v>0</v>
      </c>
      <c r="F71" s="37">
        <v>0</v>
      </c>
      <c r="G71" s="37">
        <v>0</v>
      </c>
      <c r="H71" s="37">
        <v>0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</row>
    <row r="72" spans="1:16" x14ac:dyDescent="0.25">
      <c r="A72" s="39"/>
      <c r="B72" s="36">
        <f>Interval_kwh!B72</f>
        <v>0.71875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</row>
    <row r="73" spans="1:16" x14ac:dyDescent="0.25">
      <c r="A73" s="36"/>
      <c r="B73" s="36">
        <f>Interval_kwh!B73</f>
        <v>0.72916666666666696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</row>
    <row r="74" spans="1:16" x14ac:dyDescent="0.25">
      <c r="A74" s="39"/>
      <c r="B74" s="36">
        <f>Interval_kwh!B74</f>
        <v>0.73958333333333304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</row>
    <row r="75" spans="1:16" x14ac:dyDescent="0.25">
      <c r="A75" s="36"/>
      <c r="B75" s="36">
        <f>Interval_kwh!B75</f>
        <v>0.75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</row>
    <row r="76" spans="1:16" x14ac:dyDescent="0.25">
      <c r="A76" s="39"/>
      <c r="B76" s="36">
        <f>Interval_kwh!B76</f>
        <v>0.76041666666666696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</row>
    <row r="77" spans="1:16" x14ac:dyDescent="0.25">
      <c r="A77" s="36"/>
      <c r="B77" s="36">
        <f>Interval_kwh!B77</f>
        <v>0.77083333333333304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0</v>
      </c>
      <c r="P77" s="37">
        <v>0</v>
      </c>
    </row>
    <row r="78" spans="1:16" x14ac:dyDescent="0.25">
      <c r="A78" s="39"/>
      <c r="B78" s="36">
        <f>Interval_kwh!B78</f>
        <v>0.78125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</row>
    <row r="79" spans="1:16" x14ac:dyDescent="0.25">
      <c r="A79" s="36"/>
      <c r="B79" s="36">
        <f>Interval_kwh!B79</f>
        <v>0.79166666666666696</v>
      </c>
      <c r="C79" s="37">
        <v>0</v>
      </c>
      <c r="D79" s="37">
        <v>0</v>
      </c>
      <c r="E79" s="37">
        <v>0</v>
      </c>
      <c r="F79" s="37">
        <v>0</v>
      </c>
      <c r="G79" s="37">
        <v>0</v>
      </c>
      <c r="H79" s="37">
        <v>0</v>
      </c>
      <c r="I79" s="37">
        <v>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</row>
    <row r="80" spans="1:16" x14ac:dyDescent="0.25">
      <c r="A80" s="39"/>
      <c r="B80" s="36">
        <f>Interval_kwh!B80</f>
        <v>0.80208333333333304</v>
      </c>
      <c r="C80" s="37">
        <v>0</v>
      </c>
      <c r="D80" s="37">
        <v>0</v>
      </c>
      <c r="E80" s="37">
        <v>0</v>
      </c>
      <c r="F80" s="37">
        <v>0</v>
      </c>
      <c r="G80" s="37">
        <v>0</v>
      </c>
      <c r="H80" s="37">
        <v>0</v>
      </c>
      <c r="I80" s="37">
        <v>0</v>
      </c>
      <c r="J80" s="37">
        <v>0</v>
      </c>
      <c r="K80" s="37">
        <v>0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</row>
    <row r="81" spans="1:16" x14ac:dyDescent="0.25">
      <c r="A81" s="36"/>
      <c r="B81" s="36">
        <f>Interval_kwh!B81</f>
        <v>0.8125</v>
      </c>
      <c r="C81" s="37">
        <v>0</v>
      </c>
      <c r="D81" s="37">
        <v>0</v>
      </c>
      <c r="E81" s="37">
        <v>0</v>
      </c>
      <c r="F81" s="37">
        <v>0</v>
      </c>
      <c r="G81" s="37">
        <v>0</v>
      </c>
      <c r="H81" s="37">
        <v>0</v>
      </c>
      <c r="I81" s="37">
        <v>0</v>
      </c>
      <c r="J81" s="37">
        <v>0</v>
      </c>
      <c r="K81" s="37">
        <v>0</v>
      </c>
      <c r="L81" s="37">
        <v>0</v>
      </c>
      <c r="M81" s="37">
        <v>0</v>
      </c>
      <c r="N81" s="37">
        <v>0</v>
      </c>
      <c r="O81" s="37">
        <v>0</v>
      </c>
      <c r="P81" s="37">
        <v>0</v>
      </c>
    </row>
    <row r="82" spans="1:16" x14ac:dyDescent="0.25">
      <c r="A82" s="39"/>
      <c r="B82" s="36">
        <f>Interval_kwh!B82</f>
        <v>0.82291666666666696</v>
      </c>
      <c r="C82" s="37">
        <v>0</v>
      </c>
      <c r="D82" s="37">
        <v>0</v>
      </c>
      <c r="E82" s="37">
        <v>0</v>
      </c>
      <c r="F82" s="37">
        <v>0</v>
      </c>
      <c r="G82" s="37">
        <v>0</v>
      </c>
      <c r="H82" s="37">
        <v>0</v>
      </c>
      <c r="I82" s="37">
        <v>0</v>
      </c>
      <c r="J82" s="37">
        <v>0</v>
      </c>
      <c r="K82" s="37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</row>
    <row r="83" spans="1:16" x14ac:dyDescent="0.25">
      <c r="A83" s="36"/>
      <c r="B83" s="36">
        <f>Interval_kwh!B83</f>
        <v>0.83333333333333304</v>
      </c>
      <c r="C83" s="37">
        <v>0</v>
      </c>
      <c r="D83" s="37">
        <v>0</v>
      </c>
      <c r="E83" s="37">
        <v>0</v>
      </c>
      <c r="F83" s="37">
        <v>0</v>
      </c>
      <c r="G83" s="37">
        <v>0</v>
      </c>
      <c r="H83" s="37">
        <v>0</v>
      </c>
      <c r="I83" s="37">
        <v>0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0</v>
      </c>
      <c r="P83" s="37">
        <v>0</v>
      </c>
    </row>
    <row r="84" spans="1:16" x14ac:dyDescent="0.25">
      <c r="A84" s="39"/>
      <c r="B84" s="36">
        <f>Interval_kwh!B84</f>
        <v>0.84375</v>
      </c>
      <c r="C84" s="37">
        <v>0</v>
      </c>
      <c r="D84" s="37">
        <v>0</v>
      </c>
      <c r="E84" s="37">
        <v>0</v>
      </c>
      <c r="F84" s="37">
        <v>0</v>
      </c>
      <c r="G84" s="37">
        <v>0</v>
      </c>
      <c r="H84" s="37">
        <v>0</v>
      </c>
      <c r="I84" s="37">
        <v>0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0</v>
      </c>
      <c r="P84" s="37">
        <v>0</v>
      </c>
    </row>
    <row r="85" spans="1:16" x14ac:dyDescent="0.25">
      <c r="A85" s="36"/>
      <c r="B85" s="36">
        <f>Interval_kwh!B85</f>
        <v>0.85416666666666696</v>
      </c>
      <c r="C85" s="37">
        <v>0</v>
      </c>
      <c r="D85" s="37">
        <v>0</v>
      </c>
      <c r="E85" s="37">
        <v>0</v>
      </c>
      <c r="F85" s="37">
        <v>0</v>
      </c>
      <c r="G85" s="37">
        <v>0</v>
      </c>
      <c r="H85" s="37">
        <v>0</v>
      </c>
      <c r="I85" s="37">
        <v>0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</row>
    <row r="86" spans="1:16" x14ac:dyDescent="0.25">
      <c r="A86" s="39"/>
      <c r="B86" s="36">
        <f>Interval_kwh!B86</f>
        <v>0.86458333333333304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0</v>
      </c>
      <c r="P86" s="37">
        <v>0</v>
      </c>
    </row>
    <row r="87" spans="1:16" x14ac:dyDescent="0.25">
      <c r="A87" s="36"/>
      <c r="B87" s="36">
        <f>Interval_kwh!B87</f>
        <v>0.875</v>
      </c>
      <c r="C87" s="37">
        <v>0</v>
      </c>
      <c r="D87" s="37">
        <v>0</v>
      </c>
      <c r="E87" s="37">
        <v>0</v>
      </c>
      <c r="F87" s="37">
        <v>0</v>
      </c>
      <c r="G87" s="37">
        <v>0</v>
      </c>
      <c r="H87" s="37">
        <v>0</v>
      </c>
      <c r="I87" s="37">
        <v>0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0</v>
      </c>
      <c r="P87" s="37">
        <v>0</v>
      </c>
    </row>
    <row r="88" spans="1:16" x14ac:dyDescent="0.25">
      <c r="A88" s="39"/>
      <c r="B88" s="36">
        <f>Interval_kwh!B88</f>
        <v>0.88541666666666696</v>
      </c>
      <c r="C88" s="37">
        <v>0</v>
      </c>
      <c r="D88" s="37">
        <v>0</v>
      </c>
      <c r="E88" s="37">
        <v>0</v>
      </c>
      <c r="F88" s="37">
        <v>0</v>
      </c>
      <c r="G88" s="37">
        <v>0</v>
      </c>
      <c r="H88" s="37">
        <v>0</v>
      </c>
      <c r="I88" s="37">
        <v>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</row>
    <row r="89" spans="1:16" x14ac:dyDescent="0.25">
      <c r="A89" s="36"/>
      <c r="B89" s="36">
        <f>Interval_kwh!B89</f>
        <v>0.89583333333333304</v>
      </c>
      <c r="C89" s="37">
        <v>0</v>
      </c>
      <c r="D89" s="37">
        <v>0</v>
      </c>
      <c r="E89" s="37">
        <v>0</v>
      </c>
      <c r="F89" s="37">
        <v>0</v>
      </c>
      <c r="G89" s="37">
        <v>0</v>
      </c>
      <c r="H89" s="37">
        <v>0</v>
      </c>
      <c r="I89" s="37">
        <v>0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0</v>
      </c>
      <c r="P89" s="37">
        <v>0</v>
      </c>
    </row>
    <row r="90" spans="1:16" x14ac:dyDescent="0.25">
      <c r="A90" s="39"/>
      <c r="B90" s="36">
        <f>Interval_kwh!B90</f>
        <v>0.90625</v>
      </c>
      <c r="C90" s="37">
        <v>0</v>
      </c>
      <c r="D90" s="37">
        <v>0</v>
      </c>
      <c r="E90" s="37">
        <v>0</v>
      </c>
      <c r="F90" s="37">
        <v>0</v>
      </c>
      <c r="G90" s="37">
        <v>0</v>
      </c>
      <c r="H90" s="37">
        <v>0</v>
      </c>
      <c r="I90" s="37">
        <v>0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0</v>
      </c>
      <c r="P90" s="37">
        <v>0</v>
      </c>
    </row>
    <row r="91" spans="1:16" x14ac:dyDescent="0.25">
      <c r="A91" s="36"/>
      <c r="B91" s="36">
        <f>Interval_kwh!B91</f>
        <v>0.91666666666666696</v>
      </c>
      <c r="C91" s="37">
        <v>0</v>
      </c>
      <c r="D91" s="37">
        <v>0</v>
      </c>
      <c r="E91" s="37">
        <v>0</v>
      </c>
      <c r="F91" s="37">
        <v>0</v>
      </c>
      <c r="G91" s="37">
        <v>0</v>
      </c>
      <c r="H91" s="37">
        <v>0</v>
      </c>
      <c r="I91" s="37">
        <v>0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</row>
    <row r="92" spans="1:16" x14ac:dyDescent="0.25">
      <c r="A92" s="39"/>
      <c r="B92" s="36">
        <f>Interval_kwh!B92</f>
        <v>0.92708333333333304</v>
      </c>
      <c r="C92" s="37">
        <v>0</v>
      </c>
      <c r="D92" s="37">
        <v>0</v>
      </c>
      <c r="E92" s="37">
        <v>0</v>
      </c>
      <c r="F92" s="37">
        <v>0</v>
      </c>
      <c r="G92" s="37">
        <v>0</v>
      </c>
      <c r="H92" s="37">
        <v>0</v>
      </c>
      <c r="I92" s="37">
        <v>0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0</v>
      </c>
      <c r="P92" s="37">
        <v>0</v>
      </c>
    </row>
    <row r="93" spans="1:16" x14ac:dyDescent="0.25">
      <c r="A93" s="36"/>
      <c r="B93" s="36">
        <f>Interval_kwh!B93</f>
        <v>0.9375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</row>
    <row r="94" spans="1:16" x14ac:dyDescent="0.25">
      <c r="A94" s="39"/>
      <c r="B94" s="36">
        <f>Interval_kwh!B94</f>
        <v>0.94791666666666696</v>
      </c>
      <c r="C94" s="37">
        <v>0</v>
      </c>
      <c r="D94" s="37">
        <v>0</v>
      </c>
      <c r="E94" s="37">
        <v>0</v>
      </c>
      <c r="F94" s="37">
        <v>0</v>
      </c>
      <c r="G94" s="37">
        <v>0</v>
      </c>
      <c r="H94" s="37">
        <v>0</v>
      </c>
      <c r="I94" s="37">
        <v>0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</row>
    <row r="95" spans="1:16" x14ac:dyDescent="0.25">
      <c r="A95" s="36"/>
      <c r="B95" s="36">
        <f>Interval_kwh!B95</f>
        <v>0.95833333333333304</v>
      </c>
      <c r="C95" s="37">
        <v>0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0</v>
      </c>
      <c r="P95" s="37">
        <v>0</v>
      </c>
    </row>
    <row r="96" spans="1:16" x14ac:dyDescent="0.25">
      <c r="A96" s="39"/>
      <c r="B96" s="36">
        <f>Interval_kwh!B96</f>
        <v>0.96875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</row>
    <row r="97" spans="1:16" x14ac:dyDescent="0.25">
      <c r="A97" s="36"/>
      <c r="B97" s="36">
        <f>Interval_kwh!B97</f>
        <v>0.97916666666666696</v>
      </c>
      <c r="C97" s="37">
        <v>0</v>
      </c>
      <c r="D97" s="37">
        <v>0</v>
      </c>
      <c r="E97" s="37">
        <v>0</v>
      </c>
      <c r="F97" s="37">
        <v>0</v>
      </c>
      <c r="G97" s="37">
        <v>0</v>
      </c>
      <c r="H97" s="37">
        <v>0</v>
      </c>
      <c r="I97" s="37">
        <v>0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</row>
    <row r="98" spans="1:16" x14ac:dyDescent="0.25">
      <c r="A98" s="39"/>
      <c r="B98" s="36">
        <f>Interval_kwh!B98</f>
        <v>0.98958333333333304</v>
      </c>
      <c r="C98" s="37">
        <v>0</v>
      </c>
      <c r="D98" s="37">
        <v>0</v>
      </c>
      <c r="E98" s="37">
        <v>0</v>
      </c>
      <c r="F98" s="37">
        <v>0</v>
      </c>
      <c r="G98" s="37">
        <v>0</v>
      </c>
      <c r="H98" s="37">
        <v>0</v>
      </c>
      <c r="I98" s="37">
        <v>0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</row>
  </sheetData>
  <pageMargins left="0.7" right="0.7" top="0.75" bottom="0.75" header="0.3" footer="0.3"/>
  <headerFooter>
    <oddHeader>&amp;C&amp;"Calibri"&amp;10&amp;KFF0000 CONFIDENTIAL&amp;1#_x000D_</oddHead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0"/>
  <dimension ref="A1:P98"/>
  <sheetViews>
    <sheetView workbookViewId="0">
      <selection sqref="A1:XFD1048576"/>
    </sheetView>
  </sheetViews>
  <sheetFormatPr defaultColWidth="8.54296875" defaultRowHeight="12.5" x14ac:dyDescent="0.25"/>
  <cols>
    <col min="1" max="16" width="12.1796875" customWidth="1"/>
  </cols>
  <sheetData>
    <row r="1" spans="1:16" ht="52.5" customHeight="1" x14ac:dyDescent="0.25">
      <c r="A1" s="34" t="s">
        <v>55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26" x14ac:dyDescent="0.3">
      <c r="A2" s="340">
        <f>Hourly_kWh!A6</f>
        <v>45838.291666666664</v>
      </c>
      <c r="B2" s="340"/>
      <c r="C2" s="38" t="str">
        <f>'Feeder Names'!E3</f>
        <v>HT.GRID_VCB</v>
      </c>
      <c r="D2" s="38" t="str">
        <f>'Feeder Names'!F3</f>
        <v>HT.TRAFO-1</v>
      </c>
      <c r="E2" s="38" t="str">
        <f>'Feeder Names'!G3</f>
        <v>HT.TRAFO-2</v>
      </c>
      <c r="F2" s="38" t="str">
        <f>'Feeder Names'!H3</f>
        <v>HT.TRAFO-3</v>
      </c>
      <c r="G2" s="38" t="str">
        <f>'Feeder Names'!I3</f>
        <v>HT.TRAFO-4</v>
      </c>
      <c r="H2" s="38" t="str">
        <f>'Feeder Names'!J3</f>
        <v>DG.DG_INC</v>
      </c>
      <c r="I2" s="38" t="str">
        <f>'Feeder Names'!K3</f>
        <v>DG.DG-1</v>
      </c>
      <c r="J2" s="38" t="str">
        <f>'Feeder Names'!L3</f>
        <v>DG.DG-2</v>
      </c>
      <c r="K2" s="38" t="str">
        <f>'Feeder Names'!M3</f>
        <v>DG.DG-3</v>
      </c>
      <c r="L2" s="38" t="str">
        <f>'Feeder Names'!N3</f>
        <v>DG.GD-4</v>
      </c>
      <c r="M2" s="38" t="str">
        <f>'Feeder Names'!O3</f>
        <v>DG.DG-5</v>
      </c>
      <c r="N2" s="38" t="str">
        <f>'Feeder Names'!P3</f>
        <v>DG.VCB_OUTGOING</v>
      </c>
      <c r="O2" s="38" t="str">
        <f>'Feeder Names'!Q3</f>
        <v>SOLAR.SOLAR-1</v>
      </c>
      <c r="P2" s="38" t="str">
        <f>'Feeder Names'!R3</f>
        <v>SOLAR.SOLAR-2</v>
      </c>
    </row>
    <row r="3" spans="1:16" x14ac:dyDescent="0.25">
      <c r="A3" s="36">
        <v>0</v>
      </c>
      <c r="B3" s="36">
        <v>1.0416666666666666E-2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</row>
    <row r="4" spans="1:16" x14ac:dyDescent="0.25">
      <c r="A4" s="39">
        <v>1.0416666666666666E-2</v>
      </c>
      <c r="B4" s="36">
        <v>2.0833333333333332E-2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</row>
    <row r="5" spans="1:16" x14ac:dyDescent="0.25">
      <c r="A5" s="36">
        <v>2.0833333333333301E-2</v>
      </c>
      <c r="B5" s="36">
        <v>3.125E-2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</row>
    <row r="6" spans="1:16" x14ac:dyDescent="0.25">
      <c r="A6" s="39">
        <v>3.125E-2</v>
      </c>
      <c r="B6" s="36">
        <v>4.1666666666666699E-2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0</v>
      </c>
      <c r="P6" s="37">
        <v>0</v>
      </c>
    </row>
    <row r="7" spans="1:16" x14ac:dyDescent="0.25">
      <c r="A7" s="36">
        <v>4.1666666666666699E-2</v>
      </c>
      <c r="B7" s="36">
        <v>5.2083333333333398E-2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</row>
    <row r="8" spans="1:16" x14ac:dyDescent="0.25">
      <c r="A8" s="39">
        <v>5.2083333333333301E-2</v>
      </c>
      <c r="B8" s="36">
        <v>6.25E-2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</row>
    <row r="9" spans="1:16" x14ac:dyDescent="0.25">
      <c r="A9" s="36">
        <v>6.25E-2</v>
      </c>
      <c r="B9" s="36">
        <v>7.2916666666666699E-2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</row>
    <row r="10" spans="1:16" x14ac:dyDescent="0.25">
      <c r="A10" s="39">
        <v>7.2916666666666699E-2</v>
      </c>
      <c r="B10" s="36">
        <v>8.3333333333333398E-2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0</v>
      </c>
      <c r="P10" s="37">
        <v>0</v>
      </c>
    </row>
    <row r="11" spans="1:16" x14ac:dyDescent="0.25">
      <c r="A11" s="36">
        <v>8.3333333333333301E-2</v>
      </c>
      <c r="B11" s="36">
        <v>9.375E-2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0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</row>
    <row r="12" spans="1:16" x14ac:dyDescent="0.25">
      <c r="A12" s="39">
        <v>9.375E-2</v>
      </c>
      <c r="B12" s="36">
        <v>0.104166666666667</v>
      </c>
      <c r="C12" s="37">
        <v>0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0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0</v>
      </c>
      <c r="P12" s="37">
        <v>0</v>
      </c>
    </row>
    <row r="13" spans="1:16" x14ac:dyDescent="0.25">
      <c r="A13" s="36">
        <v>0.104166666666667</v>
      </c>
      <c r="B13" s="36">
        <v>0.11458333333333399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</row>
    <row r="14" spans="1:16" x14ac:dyDescent="0.25">
      <c r="A14" s="39">
        <v>0.114583333333333</v>
      </c>
      <c r="B14" s="36">
        <v>0.125</v>
      </c>
      <c r="C14" s="37">
        <v>0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0</v>
      </c>
      <c r="J14" s="37">
        <v>0</v>
      </c>
      <c r="K14" s="37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</row>
    <row r="15" spans="1:16" x14ac:dyDescent="0.25">
      <c r="A15" s="36">
        <v>0.125</v>
      </c>
      <c r="B15" s="36">
        <v>0.13541666666666699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</row>
    <row r="16" spans="1:16" x14ac:dyDescent="0.25">
      <c r="A16" s="39">
        <v>0.13541666666666699</v>
      </c>
      <c r="B16" s="36">
        <v>0.14583333333333401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</row>
    <row r="17" spans="1:16" x14ac:dyDescent="0.25">
      <c r="A17" s="36">
        <v>0.14583333333333301</v>
      </c>
      <c r="B17" s="36">
        <v>0.15625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37">
        <v>0</v>
      </c>
    </row>
    <row r="18" spans="1:16" x14ac:dyDescent="0.25">
      <c r="A18" s="39">
        <v>0.15625</v>
      </c>
      <c r="B18" s="36">
        <v>0.16666666666666699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0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</row>
    <row r="19" spans="1:16" x14ac:dyDescent="0.25">
      <c r="A19" s="36">
        <v>0.16666666666666699</v>
      </c>
      <c r="B19" s="36">
        <v>0.17708333333333401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0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0</v>
      </c>
      <c r="P19" s="37">
        <v>0</v>
      </c>
    </row>
    <row r="20" spans="1:16" x14ac:dyDescent="0.25">
      <c r="A20" s="39">
        <v>0.17708333333333301</v>
      </c>
      <c r="B20" s="36">
        <v>0.1875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</row>
    <row r="21" spans="1:16" x14ac:dyDescent="0.25">
      <c r="A21" s="36">
        <v>0.1875</v>
      </c>
      <c r="B21" s="36">
        <v>0.19791666666666699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</row>
    <row r="22" spans="1:16" x14ac:dyDescent="0.25">
      <c r="A22" s="39">
        <v>0.19791666666666699</v>
      </c>
      <c r="B22" s="36">
        <v>0.20833333333333401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</row>
    <row r="23" spans="1:16" x14ac:dyDescent="0.25">
      <c r="A23" s="36">
        <v>0.20833333333333301</v>
      </c>
      <c r="B23" s="36">
        <v>0.21875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</row>
    <row r="24" spans="1:16" x14ac:dyDescent="0.25">
      <c r="A24" s="39">
        <v>0.21875</v>
      </c>
      <c r="B24" s="36">
        <v>0.22916666666666699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</row>
    <row r="25" spans="1:16" x14ac:dyDescent="0.25">
      <c r="A25" s="36">
        <v>0.22916666666666699</v>
      </c>
      <c r="B25" s="36">
        <v>0.23958333333333401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</row>
    <row r="26" spans="1:16" x14ac:dyDescent="0.25">
      <c r="A26" s="39">
        <v>0.23958333333333301</v>
      </c>
      <c r="B26" s="36">
        <v>0.25</v>
      </c>
      <c r="C26" s="37">
        <v>0</v>
      </c>
      <c r="D26" s="37">
        <v>0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</row>
    <row r="27" spans="1:16" x14ac:dyDescent="0.25">
      <c r="A27" s="36">
        <v>0.25</v>
      </c>
      <c r="B27" s="36">
        <v>0.26041666666666702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</row>
    <row r="28" spans="1:16" x14ac:dyDescent="0.25">
      <c r="A28" s="39">
        <v>0.26041666666666702</v>
      </c>
      <c r="B28" s="36">
        <v>0.27083333333333398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</row>
    <row r="29" spans="1:16" x14ac:dyDescent="0.25">
      <c r="A29" s="36">
        <v>0.27083333333333298</v>
      </c>
      <c r="B29" s="36">
        <v>0.28125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</row>
    <row r="30" spans="1:16" x14ac:dyDescent="0.25">
      <c r="A30" s="39">
        <v>0.28125</v>
      </c>
      <c r="B30" s="36">
        <v>0.29166666666666702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</row>
    <row r="31" spans="1:16" x14ac:dyDescent="0.25">
      <c r="A31" s="36">
        <v>0.29166666666666702</v>
      </c>
      <c r="B31" s="36">
        <v>0.30208333333333398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</row>
    <row r="32" spans="1:16" x14ac:dyDescent="0.25">
      <c r="A32" s="39">
        <v>0.30208333333333298</v>
      </c>
      <c r="B32" s="36">
        <v>0.3125</v>
      </c>
      <c r="C32" s="37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0</v>
      </c>
      <c r="P32" s="37">
        <v>0</v>
      </c>
    </row>
    <row r="33" spans="1:16" x14ac:dyDescent="0.25">
      <c r="A33" s="36">
        <v>0.3125</v>
      </c>
      <c r="B33" s="36">
        <v>0.32291666666666702</v>
      </c>
      <c r="C33" s="37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0</v>
      </c>
      <c r="P33" s="37">
        <v>0</v>
      </c>
    </row>
    <row r="34" spans="1:16" x14ac:dyDescent="0.25">
      <c r="A34" s="39">
        <v>0.32291666666666702</v>
      </c>
      <c r="B34" s="36">
        <v>0.33333333333333398</v>
      </c>
      <c r="C34" s="37">
        <v>0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  <c r="P34" s="37">
        <v>0</v>
      </c>
    </row>
    <row r="35" spans="1:16" x14ac:dyDescent="0.25">
      <c r="A35" s="36">
        <v>0.33333333333333298</v>
      </c>
      <c r="B35" s="36">
        <v>0.34375</v>
      </c>
      <c r="C35" s="37">
        <v>0</v>
      </c>
      <c r="D35" s="37">
        <v>0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</row>
    <row r="36" spans="1:16" x14ac:dyDescent="0.25">
      <c r="A36" s="39">
        <v>0.34375</v>
      </c>
      <c r="B36" s="36">
        <v>0.35416666666666702</v>
      </c>
      <c r="C36" s="37">
        <v>0</v>
      </c>
      <c r="D36" s="37">
        <v>0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  <c r="P36" s="37">
        <v>0</v>
      </c>
    </row>
    <row r="37" spans="1:16" x14ac:dyDescent="0.25">
      <c r="A37" s="36">
        <v>0.35416666666666702</v>
      </c>
      <c r="B37" s="36">
        <v>0.36458333333333398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</row>
    <row r="38" spans="1:16" x14ac:dyDescent="0.25">
      <c r="A38" s="39">
        <v>0.36458333333333298</v>
      </c>
      <c r="B38" s="36">
        <v>0.375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</row>
    <row r="39" spans="1:16" x14ac:dyDescent="0.25">
      <c r="A39" s="36">
        <v>0.375</v>
      </c>
      <c r="B39" s="36">
        <v>0.38541666666666702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0</v>
      </c>
      <c r="P39" s="37">
        <v>0</v>
      </c>
    </row>
    <row r="40" spans="1:16" x14ac:dyDescent="0.25">
      <c r="A40" s="39">
        <v>0.38541666666666702</v>
      </c>
      <c r="B40" s="36">
        <v>0.39583333333333398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</row>
    <row r="41" spans="1:16" x14ac:dyDescent="0.25">
      <c r="A41" s="36">
        <v>0.39583333333333298</v>
      </c>
      <c r="B41" s="36">
        <v>0.40625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</row>
    <row r="42" spans="1:16" x14ac:dyDescent="0.25">
      <c r="A42" s="39">
        <v>0.40625</v>
      </c>
      <c r="B42" s="36">
        <v>0.41666666666666702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</row>
    <row r="43" spans="1:16" x14ac:dyDescent="0.25">
      <c r="A43" s="36">
        <v>0.41666666666666702</v>
      </c>
      <c r="B43" s="36">
        <v>0.42708333333333398</v>
      </c>
      <c r="C43" s="37">
        <v>0</v>
      </c>
      <c r="D43" s="37">
        <v>0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</row>
    <row r="44" spans="1:16" x14ac:dyDescent="0.25">
      <c r="A44" s="39">
        <v>0.42708333333333298</v>
      </c>
      <c r="B44" s="36">
        <v>0.4375</v>
      </c>
      <c r="C44" s="37">
        <v>0</v>
      </c>
      <c r="D44" s="37">
        <v>0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</row>
    <row r="45" spans="1:16" x14ac:dyDescent="0.25">
      <c r="A45" s="36">
        <v>0.4375</v>
      </c>
      <c r="B45" s="36">
        <v>0.44791666666666702</v>
      </c>
      <c r="C45" s="37">
        <v>0</v>
      </c>
      <c r="D45" s="37">
        <v>0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0</v>
      </c>
      <c r="P45" s="37">
        <v>0</v>
      </c>
    </row>
    <row r="46" spans="1:16" x14ac:dyDescent="0.25">
      <c r="A46" s="39">
        <v>0.44791666666666702</v>
      </c>
      <c r="B46" s="36">
        <v>0.45833333333333398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</row>
    <row r="47" spans="1:16" x14ac:dyDescent="0.25">
      <c r="A47" s="36">
        <v>0.45833333333333298</v>
      </c>
      <c r="B47" s="36">
        <v>0.46875</v>
      </c>
      <c r="C47" s="37">
        <v>0</v>
      </c>
      <c r="D47" s="37">
        <v>0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</row>
    <row r="48" spans="1:16" x14ac:dyDescent="0.25">
      <c r="A48" s="39">
        <v>0.46875</v>
      </c>
      <c r="B48" s="36">
        <v>0.47916666666666702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</row>
    <row r="49" spans="1:16" x14ac:dyDescent="0.25">
      <c r="A49" s="36">
        <v>0.47916666666666702</v>
      </c>
      <c r="B49" s="36">
        <v>0.48958333333333398</v>
      </c>
      <c r="C49" s="37">
        <v>0</v>
      </c>
      <c r="D49" s="37">
        <v>0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</row>
    <row r="50" spans="1:16" x14ac:dyDescent="0.25">
      <c r="A50" s="39">
        <v>0.48958333333333298</v>
      </c>
      <c r="B50" s="36">
        <v>0.5</v>
      </c>
      <c r="C50" s="37">
        <v>0</v>
      </c>
      <c r="D50" s="37">
        <v>0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</row>
    <row r="51" spans="1:16" x14ac:dyDescent="0.25">
      <c r="A51" s="36">
        <v>0.5</v>
      </c>
      <c r="B51" s="36">
        <v>0.51041666666666696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</row>
    <row r="52" spans="1:16" x14ac:dyDescent="0.25">
      <c r="A52" s="39">
        <v>0.51041666666666696</v>
      </c>
      <c r="B52" s="36">
        <v>0.52083333333333404</v>
      </c>
      <c r="C52" s="37">
        <v>0</v>
      </c>
      <c r="D52" s="37">
        <v>0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</row>
    <row r="53" spans="1:16" x14ac:dyDescent="0.25">
      <c r="A53" s="36">
        <v>0.52083333333333304</v>
      </c>
      <c r="B53" s="36">
        <v>0.53125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</row>
    <row r="54" spans="1:16" x14ac:dyDescent="0.25">
      <c r="A54" s="39">
        <v>0.53125</v>
      </c>
      <c r="B54" s="36">
        <v>0.54166666666666696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</row>
    <row r="55" spans="1:16" x14ac:dyDescent="0.25">
      <c r="A55" s="36">
        <v>0.54166666666666696</v>
      </c>
      <c r="B55" s="36">
        <v>0.55208333333333404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</row>
    <row r="56" spans="1:16" x14ac:dyDescent="0.25">
      <c r="A56" s="39">
        <v>0.55208333333333304</v>
      </c>
      <c r="B56" s="36">
        <v>0.5625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</row>
    <row r="57" spans="1:16" x14ac:dyDescent="0.25">
      <c r="A57" s="36">
        <v>0.5625</v>
      </c>
      <c r="B57" s="36">
        <v>0.57291666666666696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</row>
    <row r="58" spans="1:16" x14ac:dyDescent="0.25">
      <c r="A58" s="39">
        <v>0.57291666666666696</v>
      </c>
      <c r="B58" s="36">
        <v>0.58333333333333404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</row>
    <row r="59" spans="1:16" x14ac:dyDescent="0.25">
      <c r="A59" s="36">
        <v>0.58333333333333304</v>
      </c>
      <c r="B59" s="36">
        <v>0.59375</v>
      </c>
      <c r="C59" s="37">
        <v>0</v>
      </c>
      <c r="D59" s="37">
        <v>0</v>
      </c>
      <c r="E59" s="37">
        <v>0</v>
      </c>
      <c r="F59" s="37">
        <v>0</v>
      </c>
      <c r="G59" s="37">
        <v>0</v>
      </c>
      <c r="H59" s="37">
        <v>0</v>
      </c>
      <c r="I59" s="37">
        <v>0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0</v>
      </c>
      <c r="P59" s="37">
        <v>0</v>
      </c>
    </row>
    <row r="60" spans="1:16" x14ac:dyDescent="0.25">
      <c r="A60" s="39">
        <v>0.59375</v>
      </c>
      <c r="B60" s="36">
        <v>0.60416666666666696</v>
      </c>
      <c r="C60" s="37">
        <v>0</v>
      </c>
      <c r="D60" s="37">
        <v>0</v>
      </c>
      <c r="E60" s="37">
        <v>0</v>
      </c>
      <c r="F60" s="37">
        <v>0</v>
      </c>
      <c r="G60" s="37">
        <v>0</v>
      </c>
      <c r="H60" s="37">
        <v>0</v>
      </c>
      <c r="I60" s="37">
        <v>0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</row>
    <row r="61" spans="1:16" x14ac:dyDescent="0.25">
      <c r="A61" s="36">
        <v>0.60416666666666696</v>
      </c>
      <c r="B61" s="36">
        <v>0.61458333333333404</v>
      </c>
      <c r="C61" s="37">
        <v>0</v>
      </c>
      <c r="D61" s="37">
        <v>0</v>
      </c>
      <c r="E61" s="37">
        <v>0</v>
      </c>
      <c r="F61" s="37">
        <v>0</v>
      </c>
      <c r="G61" s="37">
        <v>0</v>
      </c>
      <c r="H61" s="37">
        <v>0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</row>
    <row r="62" spans="1:16" x14ac:dyDescent="0.25">
      <c r="A62" s="39">
        <v>0.61458333333333304</v>
      </c>
      <c r="B62" s="36">
        <v>0.625</v>
      </c>
      <c r="C62" s="37">
        <v>0</v>
      </c>
      <c r="D62" s="37">
        <v>0</v>
      </c>
      <c r="E62" s="37">
        <v>0</v>
      </c>
      <c r="F62" s="37">
        <v>0</v>
      </c>
      <c r="G62" s="37">
        <v>0</v>
      </c>
      <c r="H62" s="37">
        <v>0</v>
      </c>
      <c r="I62" s="37">
        <v>0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</row>
    <row r="63" spans="1:16" x14ac:dyDescent="0.25">
      <c r="A63" s="36">
        <v>0.625</v>
      </c>
      <c r="B63" s="36">
        <v>0.63541666666666696</v>
      </c>
      <c r="C63" s="37">
        <v>0</v>
      </c>
      <c r="D63" s="37">
        <v>0</v>
      </c>
      <c r="E63" s="37">
        <v>0</v>
      </c>
      <c r="F63" s="37">
        <v>0</v>
      </c>
      <c r="G63" s="37">
        <v>0</v>
      </c>
      <c r="H63" s="37">
        <v>0</v>
      </c>
      <c r="I63" s="37">
        <v>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</row>
    <row r="64" spans="1:16" x14ac:dyDescent="0.25">
      <c r="A64" s="39">
        <v>0.63541666666666696</v>
      </c>
      <c r="B64" s="36">
        <v>0.64583333333333404</v>
      </c>
      <c r="C64" s="37">
        <v>0</v>
      </c>
      <c r="D64" s="37">
        <v>0</v>
      </c>
      <c r="E64" s="37">
        <v>0</v>
      </c>
      <c r="F64" s="37">
        <v>0</v>
      </c>
      <c r="G64" s="37">
        <v>0</v>
      </c>
      <c r="H64" s="37">
        <v>0</v>
      </c>
      <c r="I64" s="37">
        <v>0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</row>
    <row r="65" spans="1:16" x14ac:dyDescent="0.25">
      <c r="A65" s="36">
        <v>0.64583333333333304</v>
      </c>
      <c r="B65" s="36">
        <v>0.65625</v>
      </c>
      <c r="C65" s="37">
        <v>0</v>
      </c>
      <c r="D65" s="37">
        <v>0</v>
      </c>
      <c r="E65" s="37">
        <v>0</v>
      </c>
      <c r="F65" s="37">
        <v>0</v>
      </c>
      <c r="G65" s="37">
        <v>0</v>
      </c>
      <c r="H65" s="37">
        <v>0</v>
      </c>
      <c r="I65" s="37">
        <v>0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</row>
    <row r="66" spans="1:16" x14ac:dyDescent="0.25">
      <c r="A66" s="39">
        <v>0.65625</v>
      </c>
      <c r="B66" s="36">
        <v>0.66666666666666696</v>
      </c>
      <c r="C66" s="37">
        <v>0</v>
      </c>
      <c r="D66" s="37">
        <v>0</v>
      </c>
      <c r="E66" s="37">
        <v>0</v>
      </c>
      <c r="F66" s="37">
        <v>0</v>
      </c>
      <c r="G66" s="37">
        <v>0</v>
      </c>
      <c r="H66" s="37">
        <v>0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</row>
    <row r="67" spans="1:16" x14ac:dyDescent="0.25">
      <c r="A67" s="36">
        <v>0.66666666666666696</v>
      </c>
      <c r="B67" s="36">
        <v>0.67708333333333404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</row>
    <row r="68" spans="1:16" x14ac:dyDescent="0.25">
      <c r="A68" s="39">
        <v>0.67708333333333304</v>
      </c>
      <c r="B68" s="36">
        <v>0.6875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</row>
    <row r="69" spans="1:16" x14ac:dyDescent="0.25">
      <c r="A69" s="36">
        <v>0.6875</v>
      </c>
      <c r="B69" s="36">
        <v>0.69791666666666696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</row>
    <row r="70" spans="1:16" x14ac:dyDescent="0.25">
      <c r="A70" s="39">
        <v>0.69791666666666696</v>
      </c>
      <c r="B70" s="36">
        <v>0.70833333333333404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</row>
    <row r="71" spans="1:16" x14ac:dyDescent="0.25">
      <c r="A71" s="36">
        <v>0.70833333333333304</v>
      </c>
      <c r="B71" s="36">
        <v>0.71875</v>
      </c>
      <c r="C71" s="37">
        <v>0</v>
      </c>
      <c r="D71" s="37">
        <v>0</v>
      </c>
      <c r="E71" s="37">
        <v>0</v>
      </c>
      <c r="F71" s="37">
        <v>0</v>
      </c>
      <c r="G71" s="37">
        <v>0</v>
      </c>
      <c r="H71" s="37">
        <v>0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</row>
    <row r="72" spans="1:16" x14ac:dyDescent="0.25">
      <c r="A72" s="39">
        <v>0.71875</v>
      </c>
      <c r="B72" s="36">
        <v>0.72916666666666696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</row>
    <row r="73" spans="1:16" x14ac:dyDescent="0.25">
      <c r="A73" s="36">
        <v>0.72916666666666696</v>
      </c>
      <c r="B73" s="36">
        <v>0.73958333333333404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</row>
    <row r="74" spans="1:16" x14ac:dyDescent="0.25">
      <c r="A74" s="39">
        <v>0.73958333333333304</v>
      </c>
      <c r="B74" s="36">
        <v>0.75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</row>
    <row r="75" spans="1:16" x14ac:dyDescent="0.25">
      <c r="A75" s="36">
        <v>0.75</v>
      </c>
      <c r="B75" s="36">
        <v>0.76041666666666696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</row>
    <row r="76" spans="1:16" x14ac:dyDescent="0.25">
      <c r="A76" s="39">
        <v>0.76041666666666696</v>
      </c>
      <c r="B76" s="36">
        <v>0.77083333333333404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</row>
    <row r="77" spans="1:16" x14ac:dyDescent="0.25">
      <c r="A77" s="36">
        <v>0.77083333333333304</v>
      </c>
      <c r="B77" s="36">
        <v>0.78125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0</v>
      </c>
      <c r="P77" s="37">
        <v>0</v>
      </c>
    </row>
    <row r="78" spans="1:16" x14ac:dyDescent="0.25">
      <c r="A78" s="39">
        <v>0.78125</v>
      </c>
      <c r="B78" s="36">
        <v>0.79166666666666696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</row>
    <row r="79" spans="1:16" x14ac:dyDescent="0.25">
      <c r="A79" s="36">
        <v>0.79166666666666696</v>
      </c>
      <c r="B79" s="36">
        <v>0.80208333333333404</v>
      </c>
      <c r="C79" s="37">
        <v>0</v>
      </c>
      <c r="D79" s="37">
        <v>0</v>
      </c>
      <c r="E79" s="37">
        <v>0</v>
      </c>
      <c r="F79" s="37">
        <v>0</v>
      </c>
      <c r="G79" s="37">
        <v>0</v>
      </c>
      <c r="H79" s="37">
        <v>0</v>
      </c>
      <c r="I79" s="37">
        <v>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</row>
    <row r="80" spans="1:16" x14ac:dyDescent="0.25">
      <c r="A80" s="39">
        <v>0.80208333333333304</v>
      </c>
      <c r="B80" s="36">
        <v>0.8125</v>
      </c>
      <c r="C80" s="37">
        <v>0</v>
      </c>
      <c r="D80" s="37">
        <v>0</v>
      </c>
      <c r="E80" s="37">
        <v>0</v>
      </c>
      <c r="F80" s="37">
        <v>0</v>
      </c>
      <c r="G80" s="37">
        <v>0</v>
      </c>
      <c r="H80" s="37">
        <v>0</v>
      </c>
      <c r="I80" s="37">
        <v>0</v>
      </c>
      <c r="J80" s="37">
        <v>0</v>
      </c>
      <c r="K80" s="37">
        <v>0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</row>
    <row r="81" spans="1:16" x14ac:dyDescent="0.25">
      <c r="A81" s="36">
        <v>0.8125</v>
      </c>
      <c r="B81" s="36">
        <v>0.82291666666666696</v>
      </c>
      <c r="C81" s="37">
        <v>0</v>
      </c>
      <c r="D81" s="37">
        <v>0</v>
      </c>
      <c r="E81" s="37">
        <v>0</v>
      </c>
      <c r="F81" s="37">
        <v>0</v>
      </c>
      <c r="G81" s="37">
        <v>0</v>
      </c>
      <c r="H81" s="37">
        <v>0</v>
      </c>
      <c r="I81" s="37">
        <v>0</v>
      </c>
      <c r="J81" s="37">
        <v>0</v>
      </c>
      <c r="K81" s="37">
        <v>0</v>
      </c>
      <c r="L81" s="37">
        <v>0</v>
      </c>
      <c r="M81" s="37">
        <v>0</v>
      </c>
      <c r="N81" s="37">
        <v>0</v>
      </c>
      <c r="O81" s="37">
        <v>0</v>
      </c>
      <c r="P81" s="37">
        <v>0</v>
      </c>
    </row>
    <row r="82" spans="1:16" x14ac:dyDescent="0.25">
      <c r="A82" s="39">
        <v>0.82291666666666696</v>
      </c>
      <c r="B82" s="36">
        <v>0.83333333333333404</v>
      </c>
      <c r="C82" s="37">
        <v>0</v>
      </c>
      <c r="D82" s="37">
        <v>0</v>
      </c>
      <c r="E82" s="37">
        <v>0</v>
      </c>
      <c r="F82" s="37">
        <v>0</v>
      </c>
      <c r="G82" s="37">
        <v>0</v>
      </c>
      <c r="H82" s="37">
        <v>0</v>
      </c>
      <c r="I82" s="37">
        <v>0</v>
      </c>
      <c r="J82" s="37">
        <v>0</v>
      </c>
      <c r="K82" s="37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</row>
    <row r="83" spans="1:16" x14ac:dyDescent="0.25">
      <c r="A83" s="36">
        <v>0.83333333333333304</v>
      </c>
      <c r="B83" s="36">
        <v>0.84375</v>
      </c>
      <c r="C83" s="37">
        <v>0</v>
      </c>
      <c r="D83" s="37">
        <v>0</v>
      </c>
      <c r="E83" s="37">
        <v>0</v>
      </c>
      <c r="F83" s="37">
        <v>0</v>
      </c>
      <c r="G83" s="37">
        <v>0</v>
      </c>
      <c r="H83" s="37">
        <v>0</v>
      </c>
      <c r="I83" s="37">
        <v>0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0</v>
      </c>
      <c r="P83" s="37">
        <v>0</v>
      </c>
    </row>
    <row r="84" spans="1:16" x14ac:dyDescent="0.25">
      <c r="A84" s="39">
        <v>0.84375</v>
      </c>
      <c r="B84" s="36">
        <v>0.85416666666666696</v>
      </c>
      <c r="C84" s="37">
        <v>0</v>
      </c>
      <c r="D84" s="37">
        <v>0</v>
      </c>
      <c r="E84" s="37">
        <v>0</v>
      </c>
      <c r="F84" s="37">
        <v>0</v>
      </c>
      <c r="G84" s="37">
        <v>0</v>
      </c>
      <c r="H84" s="37">
        <v>0</v>
      </c>
      <c r="I84" s="37">
        <v>0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0</v>
      </c>
      <c r="P84" s="37">
        <v>0</v>
      </c>
    </row>
    <row r="85" spans="1:16" x14ac:dyDescent="0.25">
      <c r="A85" s="36">
        <v>0.85416666666666696</v>
      </c>
      <c r="B85" s="36">
        <v>0.86458333333333404</v>
      </c>
      <c r="C85" s="37">
        <v>0</v>
      </c>
      <c r="D85" s="37">
        <v>0</v>
      </c>
      <c r="E85" s="37">
        <v>0</v>
      </c>
      <c r="F85" s="37">
        <v>0</v>
      </c>
      <c r="G85" s="37">
        <v>0</v>
      </c>
      <c r="H85" s="37">
        <v>0</v>
      </c>
      <c r="I85" s="37">
        <v>0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</row>
    <row r="86" spans="1:16" x14ac:dyDescent="0.25">
      <c r="A86" s="39">
        <v>0.86458333333333304</v>
      </c>
      <c r="B86" s="36">
        <v>0.875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0</v>
      </c>
      <c r="P86" s="37">
        <v>0</v>
      </c>
    </row>
    <row r="87" spans="1:16" x14ac:dyDescent="0.25">
      <c r="A87" s="36">
        <v>0.875</v>
      </c>
      <c r="B87" s="36">
        <v>0.88541666666666696</v>
      </c>
      <c r="C87" s="37">
        <v>0</v>
      </c>
      <c r="D87" s="37">
        <v>0</v>
      </c>
      <c r="E87" s="37">
        <v>0</v>
      </c>
      <c r="F87" s="37">
        <v>0</v>
      </c>
      <c r="G87" s="37">
        <v>0</v>
      </c>
      <c r="H87" s="37">
        <v>0</v>
      </c>
      <c r="I87" s="37">
        <v>0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0</v>
      </c>
      <c r="P87" s="37">
        <v>0</v>
      </c>
    </row>
    <row r="88" spans="1:16" x14ac:dyDescent="0.25">
      <c r="A88" s="39">
        <v>0.88541666666666696</v>
      </c>
      <c r="B88" s="36">
        <v>0.89583333333333404</v>
      </c>
      <c r="C88" s="37">
        <v>0</v>
      </c>
      <c r="D88" s="37">
        <v>0</v>
      </c>
      <c r="E88" s="37">
        <v>0</v>
      </c>
      <c r="F88" s="37">
        <v>0</v>
      </c>
      <c r="G88" s="37">
        <v>0</v>
      </c>
      <c r="H88" s="37">
        <v>0</v>
      </c>
      <c r="I88" s="37">
        <v>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</row>
    <row r="89" spans="1:16" x14ac:dyDescent="0.25">
      <c r="A89" s="36">
        <v>0.89583333333333304</v>
      </c>
      <c r="B89" s="36">
        <v>0.90625</v>
      </c>
      <c r="C89" s="37">
        <v>0</v>
      </c>
      <c r="D89" s="37">
        <v>0</v>
      </c>
      <c r="E89" s="37">
        <v>0</v>
      </c>
      <c r="F89" s="37">
        <v>0</v>
      </c>
      <c r="G89" s="37">
        <v>0</v>
      </c>
      <c r="H89" s="37">
        <v>0</v>
      </c>
      <c r="I89" s="37">
        <v>0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0</v>
      </c>
      <c r="P89" s="37">
        <v>0</v>
      </c>
    </row>
    <row r="90" spans="1:16" x14ac:dyDescent="0.25">
      <c r="A90" s="39">
        <v>0.90625</v>
      </c>
      <c r="B90" s="36">
        <v>0.91666666666666696</v>
      </c>
      <c r="C90" s="37">
        <v>0</v>
      </c>
      <c r="D90" s="37">
        <v>0</v>
      </c>
      <c r="E90" s="37">
        <v>0</v>
      </c>
      <c r="F90" s="37">
        <v>0</v>
      </c>
      <c r="G90" s="37">
        <v>0</v>
      </c>
      <c r="H90" s="37">
        <v>0</v>
      </c>
      <c r="I90" s="37">
        <v>0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0</v>
      </c>
      <c r="P90" s="37">
        <v>0</v>
      </c>
    </row>
    <row r="91" spans="1:16" x14ac:dyDescent="0.25">
      <c r="A91" s="36">
        <v>0.91666666666666696</v>
      </c>
      <c r="B91" s="36">
        <v>0.92708333333333404</v>
      </c>
      <c r="C91" s="37">
        <v>0</v>
      </c>
      <c r="D91" s="37">
        <v>0</v>
      </c>
      <c r="E91" s="37">
        <v>0</v>
      </c>
      <c r="F91" s="37">
        <v>0</v>
      </c>
      <c r="G91" s="37">
        <v>0</v>
      </c>
      <c r="H91" s="37">
        <v>0</v>
      </c>
      <c r="I91" s="37">
        <v>0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</row>
    <row r="92" spans="1:16" x14ac:dyDescent="0.25">
      <c r="A92" s="39">
        <v>0.92708333333333304</v>
      </c>
      <c r="B92" s="36">
        <v>0.9375</v>
      </c>
      <c r="C92" s="37">
        <v>0</v>
      </c>
      <c r="D92" s="37">
        <v>0</v>
      </c>
      <c r="E92" s="37">
        <v>0</v>
      </c>
      <c r="F92" s="37">
        <v>0</v>
      </c>
      <c r="G92" s="37">
        <v>0</v>
      </c>
      <c r="H92" s="37">
        <v>0</v>
      </c>
      <c r="I92" s="37">
        <v>0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0</v>
      </c>
      <c r="P92" s="37">
        <v>0</v>
      </c>
    </row>
    <row r="93" spans="1:16" x14ac:dyDescent="0.25">
      <c r="A93" s="36">
        <v>0.9375</v>
      </c>
      <c r="B93" s="36">
        <v>0.94791666666666696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</row>
    <row r="94" spans="1:16" x14ac:dyDescent="0.25">
      <c r="A94" s="39">
        <v>0.94791666666666696</v>
      </c>
      <c r="B94" s="36">
        <v>0.95833333333333404</v>
      </c>
      <c r="C94" s="37">
        <v>0</v>
      </c>
      <c r="D94" s="37">
        <v>0</v>
      </c>
      <c r="E94" s="37">
        <v>0</v>
      </c>
      <c r="F94" s="37">
        <v>0</v>
      </c>
      <c r="G94" s="37">
        <v>0</v>
      </c>
      <c r="H94" s="37">
        <v>0</v>
      </c>
      <c r="I94" s="37">
        <v>0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</row>
    <row r="95" spans="1:16" x14ac:dyDescent="0.25">
      <c r="A95" s="36">
        <v>0.95833333333333304</v>
      </c>
      <c r="B95" s="36">
        <v>0.96875</v>
      </c>
      <c r="C95" s="37">
        <v>0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0</v>
      </c>
      <c r="P95" s="37">
        <v>0</v>
      </c>
    </row>
    <row r="96" spans="1:16" x14ac:dyDescent="0.25">
      <c r="A96" s="39">
        <v>0.96875</v>
      </c>
      <c r="B96" s="36">
        <v>0.97916666666666696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</row>
    <row r="97" spans="1:16" x14ac:dyDescent="0.25">
      <c r="A97" s="36">
        <v>0.97916666666666696</v>
      </c>
      <c r="B97" s="36">
        <v>0.98958333333333404</v>
      </c>
      <c r="C97" s="37">
        <v>0</v>
      </c>
      <c r="D97" s="37">
        <v>0</v>
      </c>
      <c r="E97" s="37">
        <v>0</v>
      </c>
      <c r="F97" s="37">
        <v>0</v>
      </c>
      <c r="G97" s="37">
        <v>0</v>
      </c>
      <c r="H97" s="37">
        <v>0</v>
      </c>
      <c r="I97" s="37">
        <v>0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</row>
    <row r="98" spans="1:16" x14ac:dyDescent="0.25">
      <c r="A98" s="39">
        <v>0.98958333333333304</v>
      </c>
      <c r="B98" s="36">
        <v>1</v>
      </c>
      <c r="C98" s="37">
        <v>0</v>
      </c>
      <c r="D98" s="37">
        <v>0</v>
      </c>
      <c r="E98" s="37">
        <v>0</v>
      </c>
      <c r="F98" s="37">
        <v>0</v>
      </c>
      <c r="G98" s="37">
        <v>0</v>
      </c>
      <c r="H98" s="37">
        <v>0</v>
      </c>
      <c r="I98" s="37">
        <v>0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</row>
  </sheetData>
  <mergeCells count="1">
    <mergeCell ref="A2:B2"/>
  </mergeCells>
  <pageMargins left="0.7" right="0.7" top="0.75" bottom="0.75" header="0.3" footer="0.3"/>
  <headerFooter>
    <oddHeader>&amp;C&amp;"Calibri"&amp;10&amp;KFF0000 CONFIDENTIAL&amp;1#_x000D_</oddHead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1"/>
  <dimension ref="A1:P98"/>
  <sheetViews>
    <sheetView workbookViewId="0">
      <selection sqref="A1:XFD1048576"/>
    </sheetView>
  </sheetViews>
  <sheetFormatPr defaultColWidth="8.54296875" defaultRowHeight="12.5" x14ac:dyDescent="0.25"/>
  <cols>
    <col min="1" max="16" width="11.453125" customWidth="1"/>
  </cols>
  <sheetData>
    <row r="1" spans="1:16" ht="51.75" customHeight="1" x14ac:dyDescent="0.25">
      <c r="A1" s="34" t="s">
        <v>56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26" x14ac:dyDescent="0.3">
      <c r="A2" s="340">
        <f>Hourly_kWh!A6</f>
        <v>45838.291666666664</v>
      </c>
      <c r="B2" s="340"/>
      <c r="C2" s="38" t="str">
        <f>'Feeder Names'!E3</f>
        <v>HT.GRID_VCB</v>
      </c>
      <c r="D2" s="38" t="str">
        <f>'Feeder Names'!F3</f>
        <v>HT.TRAFO-1</v>
      </c>
      <c r="E2" s="38" t="str">
        <f>'Feeder Names'!G3</f>
        <v>HT.TRAFO-2</v>
      </c>
      <c r="F2" s="38" t="str">
        <f>'Feeder Names'!H3</f>
        <v>HT.TRAFO-3</v>
      </c>
      <c r="G2" s="38" t="str">
        <f>'Feeder Names'!I3</f>
        <v>HT.TRAFO-4</v>
      </c>
      <c r="H2" s="38" t="str">
        <f>'Feeder Names'!J3</f>
        <v>DG.DG_INC</v>
      </c>
      <c r="I2" s="38" t="str">
        <f>'Feeder Names'!K3</f>
        <v>DG.DG-1</v>
      </c>
      <c r="J2" s="38" t="str">
        <f>'Feeder Names'!L3</f>
        <v>DG.DG-2</v>
      </c>
      <c r="K2" s="38" t="str">
        <f>'Feeder Names'!M3</f>
        <v>DG.DG-3</v>
      </c>
      <c r="L2" s="38" t="str">
        <f>'Feeder Names'!N3</f>
        <v>DG.GD-4</v>
      </c>
      <c r="M2" s="38" t="str">
        <f>'Feeder Names'!O3</f>
        <v>DG.DG-5</v>
      </c>
      <c r="N2" s="38" t="str">
        <f>'Feeder Names'!P3</f>
        <v>DG.VCB_OUTGOING</v>
      </c>
      <c r="O2" s="38" t="str">
        <f>'Feeder Names'!Q3</f>
        <v>SOLAR.SOLAR-1</v>
      </c>
      <c r="P2" s="38" t="str">
        <f>'Feeder Names'!R3</f>
        <v>SOLAR.SOLAR-2</v>
      </c>
    </row>
    <row r="3" spans="1:16" x14ac:dyDescent="0.25">
      <c r="A3" s="36">
        <v>0</v>
      </c>
      <c r="B3" s="36">
        <v>1.0416666666666666E-2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</row>
    <row r="4" spans="1:16" x14ac:dyDescent="0.25">
      <c r="A4" s="39">
        <v>1.0416666666666666E-2</v>
      </c>
      <c r="B4" s="36">
        <v>2.0833333333333332E-2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</row>
    <row r="5" spans="1:16" x14ac:dyDescent="0.25">
      <c r="A5" s="36">
        <v>2.0833333333333301E-2</v>
      </c>
      <c r="B5" s="36">
        <v>3.125E-2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</row>
    <row r="6" spans="1:16" x14ac:dyDescent="0.25">
      <c r="A6" s="39">
        <v>3.125E-2</v>
      </c>
      <c r="B6" s="36">
        <v>4.1666666666666699E-2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0</v>
      </c>
      <c r="P6" s="37">
        <v>0</v>
      </c>
    </row>
    <row r="7" spans="1:16" x14ac:dyDescent="0.25">
      <c r="A7" s="36">
        <v>4.1666666666666699E-2</v>
      </c>
      <c r="B7" s="36">
        <v>5.2083333333333398E-2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</row>
    <row r="8" spans="1:16" x14ac:dyDescent="0.25">
      <c r="A8" s="39">
        <v>5.2083333333333301E-2</v>
      </c>
      <c r="B8" s="36">
        <v>6.25E-2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</row>
    <row r="9" spans="1:16" x14ac:dyDescent="0.25">
      <c r="A9" s="36">
        <v>6.25E-2</v>
      </c>
      <c r="B9" s="36">
        <v>7.2916666666666699E-2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</row>
    <row r="10" spans="1:16" x14ac:dyDescent="0.25">
      <c r="A10" s="39">
        <v>7.2916666666666699E-2</v>
      </c>
      <c r="B10" s="36">
        <v>8.3333333333333398E-2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0</v>
      </c>
      <c r="P10" s="37">
        <v>0</v>
      </c>
    </row>
    <row r="11" spans="1:16" x14ac:dyDescent="0.25">
      <c r="A11" s="36">
        <v>8.3333333333333301E-2</v>
      </c>
      <c r="B11" s="36">
        <v>9.375E-2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0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</row>
    <row r="12" spans="1:16" x14ac:dyDescent="0.25">
      <c r="A12" s="39">
        <v>9.375E-2</v>
      </c>
      <c r="B12" s="36">
        <v>0.104166666666667</v>
      </c>
      <c r="C12" s="37">
        <v>0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0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0</v>
      </c>
      <c r="P12" s="37">
        <v>0</v>
      </c>
    </row>
    <row r="13" spans="1:16" x14ac:dyDescent="0.25">
      <c r="A13" s="36">
        <v>0.104166666666667</v>
      </c>
      <c r="B13" s="36">
        <v>0.11458333333333399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</row>
    <row r="14" spans="1:16" x14ac:dyDescent="0.25">
      <c r="A14" s="39">
        <v>0.114583333333333</v>
      </c>
      <c r="B14" s="36">
        <v>0.125</v>
      </c>
      <c r="C14" s="37">
        <v>0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0</v>
      </c>
      <c r="J14" s="37">
        <v>0</v>
      </c>
      <c r="K14" s="37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</row>
    <row r="15" spans="1:16" x14ac:dyDescent="0.25">
      <c r="A15" s="36">
        <v>0.125</v>
      </c>
      <c r="B15" s="36">
        <v>0.13541666666666699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</row>
    <row r="16" spans="1:16" x14ac:dyDescent="0.25">
      <c r="A16" s="39">
        <v>0.13541666666666699</v>
      </c>
      <c r="B16" s="36">
        <v>0.14583333333333401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</row>
    <row r="17" spans="1:16" x14ac:dyDescent="0.25">
      <c r="A17" s="36">
        <v>0.14583333333333301</v>
      </c>
      <c r="B17" s="36">
        <v>0.15625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37">
        <v>0</v>
      </c>
    </row>
    <row r="18" spans="1:16" x14ac:dyDescent="0.25">
      <c r="A18" s="39">
        <v>0.15625</v>
      </c>
      <c r="B18" s="36">
        <v>0.16666666666666699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0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</row>
    <row r="19" spans="1:16" x14ac:dyDescent="0.25">
      <c r="A19" s="36">
        <v>0.16666666666666699</v>
      </c>
      <c r="B19" s="36">
        <v>0.17708333333333401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0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0</v>
      </c>
      <c r="P19" s="37">
        <v>0</v>
      </c>
    </row>
    <row r="20" spans="1:16" x14ac:dyDescent="0.25">
      <c r="A20" s="39">
        <v>0.17708333333333301</v>
      </c>
      <c r="B20" s="36">
        <v>0.1875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</row>
    <row r="21" spans="1:16" x14ac:dyDescent="0.25">
      <c r="A21" s="36">
        <v>0.1875</v>
      </c>
      <c r="B21" s="36">
        <v>0.19791666666666699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</row>
    <row r="22" spans="1:16" x14ac:dyDescent="0.25">
      <c r="A22" s="39">
        <v>0.19791666666666699</v>
      </c>
      <c r="B22" s="36">
        <v>0.20833333333333401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</row>
    <row r="23" spans="1:16" x14ac:dyDescent="0.25">
      <c r="A23" s="36">
        <v>0.20833333333333301</v>
      </c>
      <c r="B23" s="36">
        <v>0.21875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</row>
    <row r="24" spans="1:16" x14ac:dyDescent="0.25">
      <c r="A24" s="39">
        <v>0.21875</v>
      </c>
      <c r="B24" s="36">
        <v>0.22916666666666699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</row>
    <row r="25" spans="1:16" x14ac:dyDescent="0.25">
      <c r="A25" s="36">
        <v>0.22916666666666699</v>
      </c>
      <c r="B25" s="36">
        <v>0.23958333333333401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</row>
    <row r="26" spans="1:16" x14ac:dyDescent="0.25">
      <c r="A26" s="39">
        <v>0.23958333333333301</v>
      </c>
      <c r="B26" s="36">
        <v>0.25</v>
      </c>
      <c r="C26" s="37">
        <v>0</v>
      </c>
      <c r="D26" s="37">
        <v>0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</row>
    <row r="27" spans="1:16" x14ac:dyDescent="0.25">
      <c r="A27" s="36">
        <v>0.25</v>
      </c>
      <c r="B27" s="36">
        <v>0.26041666666666702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</row>
    <row r="28" spans="1:16" x14ac:dyDescent="0.25">
      <c r="A28" s="39">
        <v>0.26041666666666702</v>
      </c>
      <c r="B28" s="36">
        <v>0.27083333333333398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</row>
    <row r="29" spans="1:16" x14ac:dyDescent="0.25">
      <c r="A29" s="36">
        <v>0.27083333333333298</v>
      </c>
      <c r="B29" s="36">
        <v>0.28125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</row>
    <row r="30" spans="1:16" x14ac:dyDescent="0.25">
      <c r="A30" s="39">
        <v>0.28125</v>
      </c>
      <c r="B30" s="36">
        <v>0.29166666666666702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</row>
    <row r="31" spans="1:16" x14ac:dyDescent="0.25">
      <c r="A31" s="36">
        <v>0.29166666666666702</v>
      </c>
      <c r="B31" s="36">
        <v>0.30208333333333398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</row>
    <row r="32" spans="1:16" x14ac:dyDescent="0.25">
      <c r="A32" s="39">
        <v>0.30208333333333298</v>
      </c>
      <c r="B32" s="36">
        <v>0.3125</v>
      </c>
      <c r="C32" s="37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0</v>
      </c>
      <c r="P32" s="37">
        <v>0</v>
      </c>
    </row>
    <row r="33" spans="1:16" x14ac:dyDescent="0.25">
      <c r="A33" s="36">
        <v>0.3125</v>
      </c>
      <c r="B33" s="36">
        <v>0.32291666666666702</v>
      </c>
      <c r="C33" s="37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0</v>
      </c>
      <c r="P33" s="37">
        <v>0</v>
      </c>
    </row>
    <row r="34" spans="1:16" x14ac:dyDescent="0.25">
      <c r="A34" s="39">
        <v>0.32291666666666702</v>
      </c>
      <c r="B34" s="36">
        <v>0.33333333333333398</v>
      </c>
      <c r="C34" s="37">
        <v>0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  <c r="P34" s="37">
        <v>0</v>
      </c>
    </row>
    <row r="35" spans="1:16" x14ac:dyDescent="0.25">
      <c r="A35" s="36">
        <v>0.33333333333333298</v>
      </c>
      <c r="B35" s="36">
        <v>0.34375</v>
      </c>
      <c r="C35" s="37">
        <v>0</v>
      </c>
      <c r="D35" s="37">
        <v>0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</row>
    <row r="36" spans="1:16" x14ac:dyDescent="0.25">
      <c r="A36" s="39">
        <v>0.34375</v>
      </c>
      <c r="B36" s="36">
        <v>0.35416666666666702</v>
      </c>
      <c r="C36" s="37">
        <v>0</v>
      </c>
      <c r="D36" s="37">
        <v>0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  <c r="P36" s="37">
        <v>0</v>
      </c>
    </row>
    <row r="37" spans="1:16" x14ac:dyDescent="0.25">
      <c r="A37" s="36">
        <v>0.35416666666666702</v>
      </c>
      <c r="B37" s="36">
        <v>0.36458333333333398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</row>
    <row r="38" spans="1:16" x14ac:dyDescent="0.25">
      <c r="A38" s="39">
        <v>0.36458333333333298</v>
      </c>
      <c r="B38" s="36">
        <v>0.375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</row>
    <row r="39" spans="1:16" x14ac:dyDescent="0.25">
      <c r="A39" s="36">
        <v>0.375</v>
      </c>
      <c r="B39" s="36">
        <v>0.38541666666666702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0</v>
      </c>
      <c r="P39" s="37">
        <v>0</v>
      </c>
    </row>
    <row r="40" spans="1:16" x14ac:dyDescent="0.25">
      <c r="A40" s="39">
        <v>0.38541666666666702</v>
      </c>
      <c r="B40" s="36">
        <v>0.39583333333333398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</row>
    <row r="41" spans="1:16" x14ac:dyDescent="0.25">
      <c r="A41" s="36">
        <v>0.39583333333333298</v>
      </c>
      <c r="B41" s="36">
        <v>0.40625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</row>
    <row r="42" spans="1:16" x14ac:dyDescent="0.25">
      <c r="A42" s="39">
        <v>0.40625</v>
      </c>
      <c r="B42" s="36">
        <v>0.41666666666666702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</row>
    <row r="43" spans="1:16" x14ac:dyDescent="0.25">
      <c r="A43" s="36">
        <v>0.41666666666666702</v>
      </c>
      <c r="B43" s="36">
        <v>0.42708333333333398</v>
      </c>
      <c r="C43" s="37">
        <v>0</v>
      </c>
      <c r="D43" s="37">
        <v>0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</row>
    <row r="44" spans="1:16" x14ac:dyDescent="0.25">
      <c r="A44" s="39">
        <v>0.42708333333333298</v>
      </c>
      <c r="B44" s="36">
        <v>0.4375</v>
      </c>
      <c r="C44" s="37">
        <v>0</v>
      </c>
      <c r="D44" s="37">
        <v>0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</row>
    <row r="45" spans="1:16" x14ac:dyDescent="0.25">
      <c r="A45" s="36">
        <v>0.4375</v>
      </c>
      <c r="B45" s="36">
        <v>0.44791666666666702</v>
      </c>
      <c r="C45" s="37">
        <v>0</v>
      </c>
      <c r="D45" s="37">
        <v>0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0</v>
      </c>
      <c r="P45" s="37">
        <v>0</v>
      </c>
    </row>
    <row r="46" spans="1:16" x14ac:dyDescent="0.25">
      <c r="A46" s="39">
        <v>0.44791666666666702</v>
      </c>
      <c r="B46" s="36">
        <v>0.45833333333333398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</row>
    <row r="47" spans="1:16" x14ac:dyDescent="0.25">
      <c r="A47" s="36">
        <v>0.45833333333333298</v>
      </c>
      <c r="B47" s="36">
        <v>0.46875</v>
      </c>
      <c r="C47" s="37">
        <v>0</v>
      </c>
      <c r="D47" s="37">
        <v>0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</row>
    <row r="48" spans="1:16" x14ac:dyDescent="0.25">
      <c r="A48" s="39">
        <v>0.46875</v>
      </c>
      <c r="B48" s="36">
        <v>0.47916666666666702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</row>
    <row r="49" spans="1:16" x14ac:dyDescent="0.25">
      <c r="A49" s="36">
        <v>0.47916666666666702</v>
      </c>
      <c r="B49" s="36">
        <v>0.48958333333333398</v>
      </c>
      <c r="C49" s="37">
        <v>0</v>
      </c>
      <c r="D49" s="37">
        <v>0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</row>
    <row r="50" spans="1:16" x14ac:dyDescent="0.25">
      <c r="A50" s="39">
        <v>0.48958333333333298</v>
      </c>
      <c r="B50" s="36">
        <v>0.5</v>
      </c>
      <c r="C50" s="37">
        <v>0</v>
      </c>
      <c r="D50" s="37">
        <v>0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</row>
    <row r="51" spans="1:16" x14ac:dyDescent="0.25">
      <c r="A51" s="36">
        <v>0.5</v>
      </c>
      <c r="B51" s="36">
        <v>0.51041666666666696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</row>
    <row r="52" spans="1:16" x14ac:dyDescent="0.25">
      <c r="A52" s="39">
        <v>0.51041666666666696</v>
      </c>
      <c r="B52" s="36">
        <v>0.52083333333333404</v>
      </c>
      <c r="C52" s="37">
        <v>0</v>
      </c>
      <c r="D52" s="37">
        <v>0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</row>
    <row r="53" spans="1:16" x14ac:dyDescent="0.25">
      <c r="A53" s="36">
        <v>0.52083333333333304</v>
      </c>
      <c r="B53" s="36">
        <v>0.53125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</row>
    <row r="54" spans="1:16" x14ac:dyDescent="0.25">
      <c r="A54" s="39">
        <v>0.53125</v>
      </c>
      <c r="B54" s="36">
        <v>0.54166666666666696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</row>
    <row r="55" spans="1:16" x14ac:dyDescent="0.25">
      <c r="A55" s="36">
        <v>0.54166666666666696</v>
      </c>
      <c r="B55" s="36">
        <v>0.55208333333333404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</row>
    <row r="56" spans="1:16" x14ac:dyDescent="0.25">
      <c r="A56" s="39">
        <v>0.55208333333333304</v>
      </c>
      <c r="B56" s="36">
        <v>0.5625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</row>
    <row r="57" spans="1:16" x14ac:dyDescent="0.25">
      <c r="A57" s="36">
        <v>0.5625</v>
      </c>
      <c r="B57" s="36">
        <v>0.57291666666666696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</row>
    <row r="58" spans="1:16" x14ac:dyDescent="0.25">
      <c r="A58" s="39">
        <v>0.57291666666666696</v>
      </c>
      <c r="B58" s="36">
        <v>0.58333333333333404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</row>
    <row r="59" spans="1:16" x14ac:dyDescent="0.25">
      <c r="A59" s="36">
        <v>0.58333333333333304</v>
      </c>
      <c r="B59" s="36">
        <v>0.59375</v>
      </c>
      <c r="C59" s="37">
        <v>0</v>
      </c>
      <c r="D59" s="37">
        <v>0</v>
      </c>
      <c r="E59" s="37">
        <v>0</v>
      </c>
      <c r="F59" s="37">
        <v>0</v>
      </c>
      <c r="G59" s="37">
        <v>0</v>
      </c>
      <c r="H59" s="37">
        <v>0</v>
      </c>
      <c r="I59" s="37">
        <v>0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0</v>
      </c>
      <c r="P59" s="37">
        <v>0</v>
      </c>
    </row>
    <row r="60" spans="1:16" x14ac:dyDescent="0.25">
      <c r="A60" s="39">
        <v>0.59375</v>
      </c>
      <c r="B60" s="36">
        <v>0.60416666666666696</v>
      </c>
      <c r="C60" s="37">
        <v>0</v>
      </c>
      <c r="D60" s="37">
        <v>0</v>
      </c>
      <c r="E60" s="37">
        <v>0</v>
      </c>
      <c r="F60" s="37">
        <v>0</v>
      </c>
      <c r="G60" s="37">
        <v>0</v>
      </c>
      <c r="H60" s="37">
        <v>0</v>
      </c>
      <c r="I60" s="37">
        <v>0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</row>
    <row r="61" spans="1:16" x14ac:dyDescent="0.25">
      <c r="A61" s="36">
        <v>0.60416666666666696</v>
      </c>
      <c r="B61" s="36">
        <v>0.61458333333333404</v>
      </c>
      <c r="C61" s="37">
        <v>0</v>
      </c>
      <c r="D61" s="37">
        <v>0</v>
      </c>
      <c r="E61" s="37">
        <v>0</v>
      </c>
      <c r="F61" s="37">
        <v>0</v>
      </c>
      <c r="G61" s="37">
        <v>0</v>
      </c>
      <c r="H61" s="37">
        <v>0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</row>
    <row r="62" spans="1:16" x14ac:dyDescent="0.25">
      <c r="A62" s="39">
        <v>0.61458333333333304</v>
      </c>
      <c r="B62" s="36">
        <v>0.625</v>
      </c>
      <c r="C62" s="37">
        <v>0</v>
      </c>
      <c r="D62" s="37">
        <v>0</v>
      </c>
      <c r="E62" s="37">
        <v>0</v>
      </c>
      <c r="F62" s="37">
        <v>0</v>
      </c>
      <c r="G62" s="37">
        <v>0</v>
      </c>
      <c r="H62" s="37">
        <v>0</v>
      </c>
      <c r="I62" s="37">
        <v>0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</row>
    <row r="63" spans="1:16" x14ac:dyDescent="0.25">
      <c r="A63" s="36">
        <v>0.625</v>
      </c>
      <c r="B63" s="36">
        <v>0.63541666666666696</v>
      </c>
      <c r="C63" s="37">
        <v>0</v>
      </c>
      <c r="D63" s="37">
        <v>0</v>
      </c>
      <c r="E63" s="37">
        <v>0</v>
      </c>
      <c r="F63" s="37">
        <v>0</v>
      </c>
      <c r="G63" s="37">
        <v>0</v>
      </c>
      <c r="H63" s="37">
        <v>0</v>
      </c>
      <c r="I63" s="37">
        <v>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</row>
    <row r="64" spans="1:16" x14ac:dyDescent="0.25">
      <c r="A64" s="39">
        <v>0.63541666666666696</v>
      </c>
      <c r="B64" s="36">
        <v>0.64583333333333404</v>
      </c>
      <c r="C64" s="37">
        <v>0</v>
      </c>
      <c r="D64" s="37">
        <v>0</v>
      </c>
      <c r="E64" s="37">
        <v>0</v>
      </c>
      <c r="F64" s="37">
        <v>0</v>
      </c>
      <c r="G64" s="37">
        <v>0</v>
      </c>
      <c r="H64" s="37">
        <v>0</v>
      </c>
      <c r="I64" s="37">
        <v>0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</row>
    <row r="65" spans="1:16" x14ac:dyDescent="0.25">
      <c r="A65" s="36">
        <v>0.64583333333333304</v>
      </c>
      <c r="B65" s="36">
        <v>0.65625</v>
      </c>
      <c r="C65" s="37">
        <v>0</v>
      </c>
      <c r="D65" s="37">
        <v>0</v>
      </c>
      <c r="E65" s="37">
        <v>0</v>
      </c>
      <c r="F65" s="37">
        <v>0</v>
      </c>
      <c r="G65" s="37">
        <v>0</v>
      </c>
      <c r="H65" s="37">
        <v>0</v>
      </c>
      <c r="I65" s="37">
        <v>0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</row>
    <row r="66" spans="1:16" x14ac:dyDescent="0.25">
      <c r="A66" s="39">
        <v>0.65625</v>
      </c>
      <c r="B66" s="36">
        <v>0.66666666666666696</v>
      </c>
      <c r="C66" s="37">
        <v>0</v>
      </c>
      <c r="D66" s="37">
        <v>0</v>
      </c>
      <c r="E66" s="37">
        <v>0</v>
      </c>
      <c r="F66" s="37">
        <v>0</v>
      </c>
      <c r="G66" s="37">
        <v>0</v>
      </c>
      <c r="H66" s="37">
        <v>0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</row>
    <row r="67" spans="1:16" x14ac:dyDescent="0.25">
      <c r="A67" s="36">
        <v>0.66666666666666696</v>
      </c>
      <c r="B67" s="36">
        <v>0.67708333333333404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</row>
    <row r="68" spans="1:16" x14ac:dyDescent="0.25">
      <c r="A68" s="39">
        <v>0.67708333333333304</v>
      </c>
      <c r="B68" s="36">
        <v>0.6875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</row>
    <row r="69" spans="1:16" x14ac:dyDescent="0.25">
      <c r="A69" s="36">
        <v>0.6875</v>
      </c>
      <c r="B69" s="36">
        <v>0.69791666666666696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</row>
    <row r="70" spans="1:16" x14ac:dyDescent="0.25">
      <c r="A70" s="39">
        <v>0.69791666666666696</v>
      </c>
      <c r="B70" s="36">
        <v>0.70833333333333404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</row>
    <row r="71" spans="1:16" x14ac:dyDescent="0.25">
      <c r="A71" s="36">
        <v>0.70833333333333304</v>
      </c>
      <c r="B71" s="36">
        <v>0.71875</v>
      </c>
      <c r="C71" s="37">
        <v>0</v>
      </c>
      <c r="D71" s="37">
        <v>0</v>
      </c>
      <c r="E71" s="37">
        <v>0</v>
      </c>
      <c r="F71" s="37">
        <v>0</v>
      </c>
      <c r="G71" s="37">
        <v>0</v>
      </c>
      <c r="H71" s="37">
        <v>0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</row>
    <row r="72" spans="1:16" x14ac:dyDescent="0.25">
      <c r="A72" s="39">
        <v>0.71875</v>
      </c>
      <c r="B72" s="36">
        <v>0.72916666666666696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</row>
    <row r="73" spans="1:16" x14ac:dyDescent="0.25">
      <c r="A73" s="36">
        <v>0.72916666666666696</v>
      </c>
      <c r="B73" s="36">
        <v>0.73958333333333404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</row>
    <row r="74" spans="1:16" x14ac:dyDescent="0.25">
      <c r="A74" s="39">
        <v>0.73958333333333304</v>
      </c>
      <c r="B74" s="36">
        <v>0.75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</row>
    <row r="75" spans="1:16" x14ac:dyDescent="0.25">
      <c r="A75" s="36">
        <v>0.75</v>
      </c>
      <c r="B75" s="36">
        <v>0.76041666666666696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</row>
    <row r="76" spans="1:16" x14ac:dyDescent="0.25">
      <c r="A76" s="39">
        <v>0.76041666666666696</v>
      </c>
      <c r="B76" s="36">
        <v>0.77083333333333404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</row>
    <row r="77" spans="1:16" x14ac:dyDescent="0.25">
      <c r="A77" s="36">
        <v>0.77083333333333304</v>
      </c>
      <c r="B77" s="36">
        <v>0.78125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0</v>
      </c>
      <c r="P77" s="37">
        <v>0</v>
      </c>
    </row>
    <row r="78" spans="1:16" x14ac:dyDescent="0.25">
      <c r="A78" s="39">
        <v>0.78125</v>
      </c>
      <c r="B78" s="36">
        <v>0.79166666666666696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</row>
    <row r="79" spans="1:16" x14ac:dyDescent="0.25">
      <c r="A79" s="36">
        <v>0.79166666666666696</v>
      </c>
      <c r="B79" s="36">
        <v>0.80208333333333404</v>
      </c>
      <c r="C79" s="37">
        <v>0</v>
      </c>
      <c r="D79" s="37">
        <v>0</v>
      </c>
      <c r="E79" s="37">
        <v>0</v>
      </c>
      <c r="F79" s="37">
        <v>0</v>
      </c>
      <c r="G79" s="37">
        <v>0</v>
      </c>
      <c r="H79" s="37">
        <v>0</v>
      </c>
      <c r="I79" s="37">
        <v>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</row>
    <row r="80" spans="1:16" x14ac:dyDescent="0.25">
      <c r="A80" s="39">
        <v>0.80208333333333304</v>
      </c>
      <c r="B80" s="36">
        <v>0.8125</v>
      </c>
      <c r="C80" s="37">
        <v>0</v>
      </c>
      <c r="D80" s="37">
        <v>0</v>
      </c>
      <c r="E80" s="37">
        <v>0</v>
      </c>
      <c r="F80" s="37">
        <v>0</v>
      </c>
      <c r="G80" s="37">
        <v>0</v>
      </c>
      <c r="H80" s="37">
        <v>0</v>
      </c>
      <c r="I80" s="37">
        <v>0</v>
      </c>
      <c r="J80" s="37">
        <v>0</v>
      </c>
      <c r="K80" s="37">
        <v>0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</row>
    <row r="81" spans="1:16" x14ac:dyDescent="0.25">
      <c r="A81" s="36">
        <v>0.8125</v>
      </c>
      <c r="B81" s="36">
        <v>0.82291666666666696</v>
      </c>
      <c r="C81" s="37">
        <v>0</v>
      </c>
      <c r="D81" s="37">
        <v>0</v>
      </c>
      <c r="E81" s="37">
        <v>0</v>
      </c>
      <c r="F81" s="37">
        <v>0</v>
      </c>
      <c r="G81" s="37">
        <v>0</v>
      </c>
      <c r="H81" s="37">
        <v>0</v>
      </c>
      <c r="I81" s="37">
        <v>0</v>
      </c>
      <c r="J81" s="37">
        <v>0</v>
      </c>
      <c r="K81" s="37">
        <v>0</v>
      </c>
      <c r="L81" s="37">
        <v>0</v>
      </c>
      <c r="M81" s="37">
        <v>0</v>
      </c>
      <c r="N81" s="37">
        <v>0</v>
      </c>
      <c r="O81" s="37">
        <v>0</v>
      </c>
      <c r="P81" s="37">
        <v>0</v>
      </c>
    </row>
    <row r="82" spans="1:16" x14ac:dyDescent="0.25">
      <c r="A82" s="39">
        <v>0.82291666666666696</v>
      </c>
      <c r="B82" s="36">
        <v>0.83333333333333404</v>
      </c>
      <c r="C82" s="37">
        <v>0</v>
      </c>
      <c r="D82" s="37">
        <v>0</v>
      </c>
      <c r="E82" s="37">
        <v>0</v>
      </c>
      <c r="F82" s="37">
        <v>0</v>
      </c>
      <c r="G82" s="37">
        <v>0</v>
      </c>
      <c r="H82" s="37">
        <v>0</v>
      </c>
      <c r="I82" s="37">
        <v>0</v>
      </c>
      <c r="J82" s="37">
        <v>0</v>
      </c>
      <c r="K82" s="37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</row>
    <row r="83" spans="1:16" x14ac:dyDescent="0.25">
      <c r="A83" s="36">
        <v>0.83333333333333304</v>
      </c>
      <c r="B83" s="36">
        <v>0.84375</v>
      </c>
      <c r="C83" s="37">
        <v>0</v>
      </c>
      <c r="D83" s="37">
        <v>0</v>
      </c>
      <c r="E83" s="37">
        <v>0</v>
      </c>
      <c r="F83" s="37">
        <v>0</v>
      </c>
      <c r="G83" s="37">
        <v>0</v>
      </c>
      <c r="H83" s="37">
        <v>0</v>
      </c>
      <c r="I83" s="37">
        <v>0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0</v>
      </c>
      <c r="P83" s="37">
        <v>0</v>
      </c>
    </row>
    <row r="84" spans="1:16" x14ac:dyDescent="0.25">
      <c r="A84" s="39">
        <v>0.84375</v>
      </c>
      <c r="B84" s="36">
        <v>0.85416666666666696</v>
      </c>
      <c r="C84" s="37">
        <v>0</v>
      </c>
      <c r="D84" s="37">
        <v>0</v>
      </c>
      <c r="E84" s="37">
        <v>0</v>
      </c>
      <c r="F84" s="37">
        <v>0</v>
      </c>
      <c r="G84" s="37">
        <v>0</v>
      </c>
      <c r="H84" s="37">
        <v>0</v>
      </c>
      <c r="I84" s="37">
        <v>0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0</v>
      </c>
      <c r="P84" s="37">
        <v>0</v>
      </c>
    </row>
    <row r="85" spans="1:16" x14ac:dyDescent="0.25">
      <c r="A85" s="36">
        <v>0.85416666666666696</v>
      </c>
      <c r="B85" s="36">
        <v>0.86458333333333404</v>
      </c>
      <c r="C85" s="37">
        <v>0</v>
      </c>
      <c r="D85" s="37">
        <v>0</v>
      </c>
      <c r="E85" s="37">
        <v>0</v>
      </c>
      <c r="F85" s="37">
        <v>0</v>
      </c>
      <c r="G85" s="37">
        <v>0</v>
      </c>
      <c r="H85" s="37">
        <v>0</v>
      </c>
      <c r="I85" s="37">
        <v>0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</row>
    <row r="86" spans="1:16" x14ac:dyDescent="0.25">
      <c r="A86" s="39">
        <v>0.86458333333333304</v>
      </c>
      <c r="B86" s="36">
        <v>0.875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0</v>
      </c>
      <c r="P86" s="37">
        <v>0</v>
      </c>
    </row>
    <row r="87" spans="1:16" x14ac:dyDescent="0.25">
      <c r="A87" s="36">
        <v>0.875</v>
      </c>
      <c r="B87" s="36">
        <v>0.88541666666666696</v>
      </c>
      <c r="C87" s="37">
        <v>0</v>
      </c>
      <c r="D87" s="37">
        <v>0</v>
      </c>
      <c r="E87" s="37">
        <v>0</v>
      </c>
      <c r="F87" s="37">
        <v>0</v>
      </c>
      <c r="G87" s="37">
        <v>0</v>
      </c>
      <c r="H87" s="37">
        <v>0</v>
      </c>
      <c r="I87" s="37">
        <v>0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0</v>
      </c>
      <c r="P87" s="37">
        <v>0</v>
      </c>
    </row>
    <row r="88" spans="1:16" x14ac:dyDescent="0.25">
      <c r="A88" s="39">
        <v>0.88541666666666696</v>
      </c>
      <c r="B88" s="36">
        <v>0.89583333333333404</v>
      </c>
      <c r="C88" s="37">
        <v>0</v>
      </c>
      <c r="D88" s="37">
        <v>0</v>
      </c>
      <c r="E88" s="37">
        <v>0</v>
      </c>
      <c r="F88" s="37">
        <v>0</v>
      </c>
      <c r="G88" s="37">
        <v>0</v>
      </c>
      <c r="H88" s="37">
        <v>0</v>
      </c>
      <c r="I88" s="37">
        <v>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</row>
    <row r="89" spans="1:16" x14ac:dyDescent="0.25">
      <c r="A89" s="36">
        <v>0.89583333333333304</v>
      </c>
      <c r="B89" s="36">
        <v>0.90625</v>
      </c>
      <c r="C89" s="37">
        <v>0</v>
      </c>
      <c r="D89" s="37">
        <v>0</v>
      </c>
      <c r="E89" s="37">
        <v>0</v>
      </c>
      <c r="F89" s="37">
        <v>0</v>
      </c>
      <c r="G89" s="37">
        <v>0</v>
      </c>
      <c r="H89" s="37">
        <v>0</v>
      </c>
      <c r="I89" s="37">
        <v>0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0</v>
      </c>
      <c r="P89" s="37">
        <v>0</v>
      </c>
    </row>
    <row r="90" spans="1:16" x14ac:dyDescent="0.25">
      <c r="A90" s="39">
        <v>0.90625</v>
      </c>
      <c r="B90" s="36">
        <v>0.91666666666666696</v>
      </c>
      <c r="C90" s="37">
        <v>0</v>
      </c>
      <c r="D90" s="37">
        <v>0</v>
      </c>
      <c r="E90" s="37">
        <v>0</v>
      </c>
      <c r="F90" s="37">
        <v>0</v>
      </c>
      <c r="G90" s="37">
        <v>0</v>
      </c>
      <c r="H90" s="37">
        <v>0</v>
      </c>
      <c r="I90" s="37">
        <v>0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0</v>
      </c>
      <c r="P90" s="37">
        <v>0</v>
      </c>
    </row>
    <row r="91" spans="1:16" x14ac:dyDescent="0.25">
      <c r="A91" s="36">
        <v>0.91666666666666696</v>
      </c>
      <c r="B91" s="36">
        <v>0.92708333333333404</v>
      </c>
      <c r="C91" s="37">
        <v>0</v>
      </c>
      <c r="D91" s="37">
        <v>0</v>
      </c>
      <c r="E91" s="37">
        <v>0</v>
      </c>
      <c r="F91" s="37">
        <v>0</v>
      </c>
      <c r="G91" s="37">
        <v>0</v>
      </c>
      <c r="H91" s="37">
        <v>0</v>
      </c>
      <c r="I91" s="37">
        <v>0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</row>
    <row r="92" spans="1:16" x14ac:dyDescent="0.25">
      <c r="A92" s="39">
        <v>0.92708333333333304</v>
      </c>
      <c r="B92" s="36">
        <v>0.9375</v>
      </c>
      <c r="C92" s="37">
        <v>0</v>
      </c>
      <c r="D92" s="37">
        <v>0</v>
      </c>
      <c r="E92" s="37">
        <v>0</v>
      </c>
      <c r="F92" s="37">
        <v>0</v>
      </c>
      <c r="G92" s="37">
        <v>0</v>
      </c>
      <c r="H92" s="37">
        <v>0</v>
      </c>
      <c r="I92" s="37">
        <v>0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0</v>
      </c>
      <c r="P92" s="37">
        <v>0</v>
      </c>
    </row>
    <row r="93" spans="1:16" x14ac:dyDescent="0.25">
      <c r="A93" s="36">
        <v>0.9375</v>
      </c>
      <c r="B93" s="36">
        <v>0.94791666666666696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</row>
    <row r="94" spans="1:16" x14ac:dyDescent="0.25">
      <c r="A94" s="39">
        <v>0.94791666666666696</v>
      </c>
      <c r="B94" s="36">
        <v>0.95833333333333404</v>
      </c>
      <c r="C94" s="37">
        <v>0</v>
      </c>
      <c r="D94" s="37">
        <v>0</v>
      </c>
      <c r="E94" s="37">
        <v>0</v>
      </c>
      <c r="F94" s="37">
        <v>0</v>
      </c>
      <c r="G94" s="37">
        <v>0</v>
      </c>
      <c r="H94" s="37">
        <v>0</v>
      </c>
      <c r="I94" s="37">
        <v>0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</row>
    <row r="95" spans="1:16" x14ac:dyDescent="0.25">
      <c r="A95" s="36">
        <v>0.95833333333333304</v>
      </c>
      <c r="B95" s="36">
        <v>0.96875</v>
      </c>
      <c r="C95" s="37">
        <v>0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0</v>
      </c>
      <c r="P95" s="37">
        <v>0</v>
      </c>
    </row>
    <row r="96" spans="1:16" x14ac:dyDescent="0.25">
      <c r="A96" s="39">
        <v>0.96875</v>
      </c>
      <c r="B96" s="36">
        <v>0.97916666666666696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</row>
    <row r="97" spans="1:16" x14ac:dyDescent="0.25">
      <c r="A97" s="36">
        <v>0.97916666666666696</v>
      </c>
      <c r="B97" s="36">
        <v>0.98958333333333404</v>
      </c>
      <c r="C97" s="37">
        <v>0</v>
      </c>
      <c r="D97" s="37">
        <v>0</v>
      </c>
      <c r="E97" s="37">
        <v>0</v>
      </c>
      <c r="F97" s="37">
        <v>0</v>
      </c>
      <c r="G97" s="37">
        <v>0</v>
      </c>
      <c r="H97" s="37">
        <v>0</v>
      </c>
      <c r="I97" s="37">
        <v>0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</row>
    <row r="98" spans="1:16" x14ac:dyDescent="0.25">
      <c r="A98" s="39">
        <v>0.98958333333333304</v>
      </c>
      <c r="B98" s="36">
        <v>1</v>
      </c>
      <c r="C98" s="37">
        <v>0</v>
      </c>
      <c r="D98" s="37">
        <v>0</v>
      </c>
      <c r="E98" s="37">
        <v>0</v>
      </c>
      <c r="F98" s="37">
        <v>0</v>
      </c>
      <c r="G98" s="37">
        <v>0</v>
      </c>
      <c r="H98" s="37">
        <v>0</v>
      </c>
      <c r="I98" s="37">
        <v>0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</row>
  </sheetData>
  <mergeCells count="1">
    <mergeCell ref="A2:B2"/>
  </mergeCells>
  <pageMargins left="0.7" right="0.7" top="0.75" bottom="0.75" header="0.3" footer="0.3"/>
  <headerFooter>
    <oddHeader>&amp;C&amp;"Calibri"&amp;10&amp;KFF0000 CONFIDENTIAL&amp;1#_x000D_</oddHead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2"/>
  <dimension ref="A1:P98"/>
  <sheetViews>
    <sheetView workbookViewId="0">
      <selection activeCell="Q1" sqref="Q1:XFD1048576"/>
    </sheetView>
  </sheetViews>
  <sheetFormatPr defaultColWidth="8.54296875" defaultRowHeight="12.5" x14ac:dyDescent="0.25"/>
  <cols>
    <col min="1" max="16" width="11.453125" customWidth="1"/>
  </cols>
  <sheetData>
    <row r="1" spans="1:16" ht="51.75" customHeight="1" x14ac:dyDescent="0.25">
      <c r="A1" s="34" t="s">
        <v>54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26" x14ac:dyDescent="0.3">
      <c r="A2" s="340">
        <f>Hourly_kWh!A6</f>
        <v>45838.291666666664</v>
      </c>
      <c r="B2" s="340"/>
      <c r="C2" s="38" t="str">
        <f>'Feeder Names'!E3</f>
        <v>HT.GRID_VCB</v>
      </c>
      <c r="D2" s="38" t="str">
        <f>'Feeder Names'!F3</f>
        <v>HT.TRAFO-1</v>
      </c>
      <c r="E2" s="38" t="str">
        <f>'Feeder Names'!G3</f>
        <v>HT.TRAFO-2</v>
      </c>
      <c r="F2" s="38" t="str">
        <f>'Feeder Names'!H3</f>
        <v>HT.TRAFO-3</v>
      </c>
      <c r="G2" s="38" t="str">
        <f>'Feeder Names'!I3</f>
        <v>HT.TRAFO-4</v>
      </c>
      <c r="H2" s="38" t="str">
        <f>'Feeder Names'!J3</f>
        <v>DG.DG_INC</v>
      </c>
      <c r="I2" s="38" t="str">
        <f>'Feeder Names'!K3</f>
        <v>DG.DG-1</v>
      </c>
      <c r="J2" s="38" t="str">
        <f>'Feeder Names'!L3</f>
        <v>DG.DG-2</v>
      </c>
      <c r="K2" s="38" t="str">
        <f>'Feeder Names'!M3</f>
        <v>DG.DG-3</v>
      </c>
      <c r="L2" s="38" t="str">
        <f>'Feeder Names'!N3</f>
        <v>DG.GD-4</v>
      </c>
      <c r="M2" s="38" t="str">
        <f>'Feeder Names'!O3</f>
        <v>DG.DG-5</v>
      </c>
      <c r="N2" s="38" t="str">
        <f>'Feeder Names'!P3</f>
        <v>DG.VCB_OUTGOING</v>
      </c>
      <c r="O2" s="38" t="str">
        <f>'Feeder Names'!Q3</f>
        <v>SOLAR.SOLAR-1</v>
      </c>
      <c r="P2" s="38" t="str">
        <f>'Feeder Names'!R3</f>
        <v>SOLAR.SOLAR-2</v>
      </c>
    </row>
    <row r="3" spans="1:16" x14ac:dyDescent="0.25">
      <c r="A3" s="36">
        <v>0</v>
      </c>
      <c r="B3" s="36">
        <v>1.0416666666666666E-2</v>
      </c>
      <c r="C3" s="37">
        <v>5.3405760809255298E-6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541.186767578125</v>
      </c>
      <c r="J3" s="37">
        <v>938.17327880859375</v>
      </c>
      <c r="K3" s="37">
        <v>464.9840087890625</v>
      </c>
      <c r="L3" s="37">
        <v>715.158447265625</v>
      </c>
      <c r="M3" s="37">
        <v>0</v>
      </c>
      <c r="N3" s="37">
        <v>0</v>
      </c>
      <c r="O3" s="37">
        <v>0</v>
      </c>
      <c r="P3" s="37">
        <v>0</v>
      </c>
    </row>
    <row r="4" spans="1:16" x14ac:dyDescent="0.25">
      <c r="A4" s="39">
        <v>1.0416666666666666E-2</v>
      </c>
      <c r="B4" s="36">
        <v>2.0833333333333332E-2</v>
      </c>
      <c r="C4" s="37">
        <v>5.3405760809255298E-6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537.24273681640625</v>
      </c>
      <c r="J4" s="37">
        <v>910.78179931640625</v>
      </c>
      <c r="K4" s="37">
        <v>490.25970458984375</v>
      </c>
      <c r="L4" s="37">
        <v>747.8448486328125</v>
      </c>
      <c r="M4" s="37">
        <v>0</v>
      </c>
      <c r="N4" s="37">
        <v>0</v>
      </c>
      <c r="O4" s="37">
        <v>0</v>
      </c>
      <c r="P4" s="37">
        <v>0</v>
      </c>
    </row>
    <row r="5" spans="1:16" x14ac:dyDescent="0.25">
      <c r="A5" s="36">
        <v>2.0833333333333301E-2</v>
      </c>
      <c r="B5" s="36">
        <v>3.125E-2</v>
      </c>
      <c r="C5" s="37">
        <v>5.3405760809255298E-6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584.45697021484375</v>
      </c>
      <c r="J5" s="37">
        <v>847.02886962890625</v>
      </c>
      <c r="K5" s="37">
        <v>505.350341796875</v>
      </c>
      <c r="L5" s="37">
        <v>839.66845703125</v>
      </c>
      <c r="M5" s="37">
        <v>0</v>
      </c>
      <c r="N5" s="37">
        <v>0</v>
      </c>
      <c r="O5" s="37">
        <v>0</v>
      </c>
      <c r="P5" s="37">
        <v>0</v>
      </c>
    </row>
    <row r="6" spans="1:16" x14ac:dyDescent="0.25">
      <c r="A6" s="39">
        <v>3.125E-2</v>
      </c>
      <c r="B6" s="36">
        <v>4.1666666666666699E-2</v>
      </c>
      <c r="C6" s="37">
        <v>5.3405760809255298E-6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585.8939208984375</v>
      </c>
      <c r="J6" s="37">
        <v>773.97515869140625</v>
      </c>
      <c r="K6" s="37">
        <v>501.477783203125</v>
      </c>
      <c r="L6" s="37">
        <v>0</v>
      </c>
      <c r="M6" s="37">
        <v>0</v>
      </c>
      <c r="N6" s="37">
        <v>0</v>
      </c>
      <c r="O6" s="37">
        <v>0</v>
      </c>
      <c r="P6" s="37">
        <v>0</v>
      </c>
    </row>
    <row r="7" spans="1:16" x14ac:dyDescent="0.25">
      <c r="A7" s="36">
        <v>4.1666666666666699E-2</v>
      </c>
      <c r="B7" s="36">
        <v>5.2083333333333398E-2</v>
      </c>
      <c r="C7" s="37">
        <v>5.3405760809255298E-6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522.651611328125</v>
      </c>
      <c r="J7" s="37">
        <v>838.882568359375</v>
      </c>
      <c r="K7" s="37">
        <v>533.37310791015625</v>
      </c>
      <c r="L7" s="37">
        <v>705.9932861328125</v>
      </c>
      <c r="M7" s="37">
        <v>0</v>
      </c>
      <c r="N7" s="37">
        <v>0</v>
      </c>
      <c r="O7" s="37">
        <v>0</v>
      </c>
      <c r="P7" s="37">
        <v>0</v>
      </c>
    </row>
    <row r="8" spans="1:16" x14ac:dyDescent="0.25">
      <c r="A8" s="39">
        <v>5.2083333333333301E-2</v>
      </c>
      <c r="B8" s="36">
        <v>6.25E-2</v>
      </c>
      <c r="C8" s="37">
        <v>5.3405760809255298E-6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539.48699951171875</v>
      </c>
      <c r="J8" s="37">
        <v>850.2979736328125</v>
      </c>
      <c r="K8" s="37">
        <v>508.28073120117188</v>
      </c>
      <c r="L8" s="37">
        <v>729.11279296875</v>
      </c>
      <c r="M8" s="37">
        <v>0</v>
      </c>
      <c r="N8" s="37">
        <v>0</v>
      </c>
      <c r="O8" s="37">
        <v>0</v>
      </c>
      <c r="P8" s="37">
        <v>0</v>
      </c>
    </row>
    <row r="9" spans="1:16" x14ac:dyDescent="0.25">
      <c r="A9" s="36">
        <v>6.25E-2</v>
      </c>
      <c r="B9" s="36">
        <v>7.2916666666666699E-2</v>
      </c>
      <c r="C9" s="37">
        <v>5.3405760809255298E-6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565.47808837890625</v>
      </c>
      <c r="J9" s="37">
        <v>740.674560546875</v>
      </c>
      <c r="K9" s="37">
        <v>488.98175048828125</v>
      </c>
      <c r="L9" s="37">
        <v>737.680908203125</v>
      </c>
      <c r="M9" s="37">
        <v>0</v>
      </c>
      <c r="N9" s="37">
        <v>0</v>
      </c>
      <c r="O9" s="37">
        <v>0</v>
      </c>
      <c r="P9" s="37">
        <v>0</v>
      </c>
    </row>
    <row r="10" spans="1:16" x14ac:dyDescent="0.25">
      <c r="A10" s="39">
        <v>7.2916666666666699E-2</v>
      </c>
      <c r="B10" s="36">
        <v>8.3333333333333398E-2</v>
      </c>
      <c r="C10" s="37">
        <v>5.3405760809255298E-6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567.94677734375</v>
      </c>
      <c r="J10" s="37">
        <v>750.51416015625</v>
      </c>
      <c r="K10" s="37">
        <v>503.345458984375</v>
      </c>
      <c r="L10" s="37">
        <v>698.9793701171875</v>
      </c>
      <c r="M10" s="37">
        <v>0</v>
      </c>
      <c r="N10" s="37">
        <v>0</v>
      </c>
      <c r="O10" s="37">
        <v>0</v>
      </c>
      <c r="P10" s="37">
        <v>0</v>
      </c>
    </row>
    <row r="11" spans="1:16" x14ac:dyDescent="0.25">
      <c r="A11" s="36">
        <v>8.3333333333333301E-2</v>
      </c>
      <c r="B11" s="36">
        <v>9.375E-2</v>
      </c>
      <c r="C11" s="37">
        <v>5.3405760809255298E-6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562.36492919921875</v>
      </c>
      <c r="J11" s="37">
        <v>737.99481201171875</v>
      </c>
      <c r="K11" s="37">
        <v>489.13165283203125</v>
      </c>
      <c r="L11" s="37">
        <v>594.16070556640625</v>
      </c>
      <c r="M11" s="37">
        <v>0</v>
      </c>
      <c r="N11" s="37">
        <v>0</v>
      </c>
      <c r="O11" s="37">
        <v>0</v>
      </c>
      <c r="P11" s="37">
        <v>0</v>
      </c>
    </row>
    <row r="12" spans="1:16" x14ac:dyDescent="0.25">
      <c r="A12" s="39">
        <v>9.375E-2</v>
      </c>
      <c r="B12" s="36">
        <v>0.104166666666667</v>
      </c>
      <c r="C12" s="37">
        <v>5.3405760809255298E-6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511.08590698242188</v>
      </c>
      <c r="J12" s="37">
        <v>732.2086181640625</v>
      </c>
      <c r="K12" s="37">
        <v>507.3443603515625</v>
      </c>
      <c r="L12" s="37">
        <v>594.16070556640625</v>
      </c>
      <c r="M12" s="37">
        <v>0</v>
      </c>
      <c r="N12" s="37">
        <v>0</v>
      </c>
      <c r="O12" s="37">
        <v>0</v>
      </c>
      <c r="P12" s="37">
        <v>0</v>
      </c>
    </row>
    <row r="13" spans="1:16" x14ac:dyDescent="0.25">
      <c r="A13" s="36">
        <v>0.104166666666667</v>
      </c>
      <c r="B13" s="36">
        <v>0.11458333333333399</v>
      </c>
      <c r="C13" s="37">
        <v>5.3405760809255298E-6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510.0850830078125</v>
      </c>
      <c r="J13" s="37">
        <v>708.02032470703125</v>
      </c>
      <c r="K13" s="37">
        <v>515.70001220703125</v>
      </c>
      <c r="L13" s="37">
        <v>437.405517578125</v>
      </c>
      <c r="M13" s="37">
        <v>0</v>
      </c>
      <c r="N13" s="37">
        <v>0</v>
      </c>
      <c r="O13" s="37">
        <v>0</v>
      </c>
      <c r="P13" s="37">
        <v>0</v>
      </c>
    </row>
    <row r="14" spans="1:16" x14ac:dyDescent="0.25">
      <c r="A14" s="39">
        <v>0.114583333333333</v>
      </c>
      <c r="B14" s="36">
        <v>0.125</v>
      </c>
      <c r="C14" s="37">
        <v>5.3405760809255298E-6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468.9442138671875</v>
      </c>
      <c r="J14" s="37">
        <v>555.3941650390625</v>
      </c>
      <c r="K14" s="37">
        <v>491.97027587890625</v>
      </c>
      <c r="L14" s="37">
        <v>399.62228393554688</v>
      </c>
      <c r="M14" s="37">
        <v>0</v>
      </c>
      <c r="N14" s="37">
        <v>0</v>
      </c>
      <c r="O14" s="37">
        <v>0</v>
      </c>
      <c r="P14" s="37">
        <v>0</v>
      </c>
    </row>
    <row r="15" spans="1:16" x14ac:dyDescent="0.25">
      <c r="A15" s="36">
        <v>0.125</v>
      </c>
      <c r="B15" s="36">
        <v>0.13541666666666699</v>
      </c>
      <c r="C15" s="37">
        <v>5.3405760809255298E-6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458.80072021484375</v>
      </c>
      <c r="J15" s="37">
        <v>573.67254638671875</v>
      </c>
      <c r="K15" s="37">
        <v>592.79412841796875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</row>
    <row r="16" spans="1:16" x14ac:dyDescent="0.25">
      <c r="A16" s="39">
        <v>0.13541666666666699</v>
      </c>
      <c r="B16" s="36">
        <v>0.14583333333333401</v>
      </c>
      <c r="C16" s="37">
        <v>5.3405760809255298E-6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475.41275024414063</v>
      </c>
      <c r="J16" s="37">
        <v>691.61474609375</v>
      </c>
      <c r="K16" s="37">
        <v>593.2169189453125</v>
      </c>
      <c r="L16" s="37">
        <v>670.26141357421875</v>
      </c>
      <c r="M16" s="37">
        <v>0</v>
      </c>
      <c r="N16" s="37">
        <v>0</v>
      </c>
      <c r="O16" s="37">
        <v>0</v>
      </c>
      <c r="P16" s="37">
        <v>0</v>
      </c>
    </row>
    <row r="17" spans="1:16" x14ac:dyDescent="0.25">
      <c r="A17" s="36">
        <v>0.14583333333333301</v>
      </c>
      <c r="B17" s="36">
        <v>0.15625</v>
      </c>
      <c r="C17" s="37">
        <v>5.3405760809255298E-6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485.75540161132813</v>
      </c>
      <c r="J17" s="37">
        <v>740.79730224609375</v>
      </c>
      <c r="K17" s="37">
        <v>542.92523193359375</v>
      </c>
      <c r="L17" s="37">
        <v>677.6837158203125</v>
      </c>
      <c r="M17" s="37">
        <v>0</v>
      </c>
      <c r="N17" s="37">
        <v>0</v>
      </c>
      <c r="O17" s="37">
        <v>0</v>
      </c>
      <c r="P17" s="37">
        <v>0</v>
      </c>
    </row>
    <row r="18" spans="1:16" x14ac:dyDescent="0.25">
      <c r="A18" s="39">
        <v>0.15625</v>
      </c>
      <c r="B18" s="36">
        <v>0.16666666666666699</v>
      </c>
      <c r="C18" s="37">
        <v>5.3405760809255298E-6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490.72933959960938</v>
      </c>
      <c r="J18" s="37">
        <v>767.457763671875</v>
      </c>
      <c r="K18" s="37">
        <v>556.4674072265625</v>
      </c>
      <c r="L18" s="37">
        <v>686.53692626953125</v>
      </c>
      <c r="M18" s="37">
        <v>0</v>
      </c>
      <c r="N18" s="37">
        <v>0</v>
      </c>
      <c r="O18" s="37">
        <v>0</v>
      </c>
      <c r="P18" s="37">
        <v>0</v>
      </c>
    </row>
    <row r="19" spans="1:16" x14ac:dyDescent="0.25">
      <c r="A19" s="36">
        <v>0.16666666666666699</v>
      </c>
      <c r="B19" s="36">
        <v>0.17708333333333401</v>
      </c>
      <c r="C19" s="37">
        <v>5.3405760809255298E-6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521.32818603515625</v>
      </c>
      <c r="J19" s="37">
        <v>765.53753662109375</v>
      </c>
      <c r="K19" s="37">
        <v>515.57781982421875</v>
      </c>
      <c r="L19" s="37">
        <v>706.41162109375</v>
      </c>
      <c r="M19" s="37">
        <v>0</v>
      </c>
      <c r="N19" s="37">
        <v>0</v>
      </c>
      <c r="O19" s="37">
        <v>0</v>
      </c>
      <c r="P19" s="37">
        <v>0</v>
      </c>
    </row>
    <row r="20" spans="1:16" x14ac:dyDescent="0.25">
      <c r="A20" s="39">
        <v>0.17708333333333301</v>
      </c>
      <c r="B20" s="36">
        <v>0.1875</v>
      </c>
      <c r="C20" s="37">
        <v>5.3405760809255298E-6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580.10137939453125</v>
      </c>
      <c r="J20" s="37">
        <v>785.10296630859375</v>
      </c>
      <c r="K20" s="37">
        <v>510.29006958007813</v>
      </c>
      <c r="L20" s="37">
        <v>704.34613037109375</v>
      </c>
      <c r="M20" s="37">
        <v>0</v>
      </c>
      <c r="N20" s="37">
        <v>0</v>
      </c>
      <c r="O20" s="37">
        <v>0</v>
      </c>
      <c r="P20" s="37">
        <v>0</v>
      </c>
    </row>
    <row r="21" spans="1:16" x14ac:dyDescent="0.25">
      <c r="A21" s="36">
        <v>0.1875</v>
      </c>
      <c r="B21" s="36">
        <v>0.19791666666666699</v>
      </c>
      <c r="C21" s="37">
        <v>5.3405760809255298E-6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610.2369384765625</v>
      </c>
      <c r="J21" s="37">
        <v>778.43304443359375</v>
      </c>
      <c r="K21" s="37">
        <v>535.12078857421875</v>
      </c>
      <c r="L21" s="37">
        <v>728.25439453125</v>
      </c>
      <c r="M21" s="37">
        <v>0</v>
      </c>
      <c r="N21" s="37">
        <v>0</v>
      </c>
      <c r="O21" s="37">
        <v>0</v>
      </c>
      <c r="P21" s="37">
        <v>0</v>
      </c>
    </row>
    <row r="22" spans="1:16" x14ac:dyDescent="0.25">
      <c r="A22" s="39">
        <v>0.19791666666666699</v>
      </c>
      <c r="B22" s="36">
        <v>0.20833333333333401</v>
      </c>
      <c r="C22" s="37">
        <v>5.3405760809255298E-6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568.239501953125</v>
      </c>
      <c r="J22" s="37">
        <v>766.830322265625</v>
      </c>
      <c r="K22" s="37">
        <v>507.95928955078125</v>
      </c>
      <c r="L22" s="37">
        <v>744.84326171875</v>
      </c>
      <c r="M22" s="37">
        <v>0</v>
      </c>
      <c r="N22" s="37">
        <v>0</v>
      </c>
      <c r="O22" s="37">
        <v>0</v>
      </c>
      <c r="P22" s="37">
        <v>0</v>
      </c>
    </row>
    <row r="23" spans="1:16" x14ac:dyDescent="0.25">
      <c r="A23" s="36">
        <v>0.20833333333333301</v>
      </c>
      <c r="B23" s="36">
        <v>0.21875</v>
      </c>
      <c r="C23" s="37">
        <v>5.3405760809255298E-6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571.87530517578125</v>
      </c>
      <c r="J23" s="37">
        <v>758.93829345703125</v>
      </c>
      <c r="K23" s="37">
        <v>515.3704833984375</v>
      </c>
      <c r="L23" s="37">
        <v>744.84326171875</v>
      </c>
      <c r="M23" s="37">
        <v>0</v>
      </c>
      <c r="N23" s="37">
        <v>0</v>
      </c>
      <c r="O23" s="37">
        <v>0</v>
      </c>
      <c r="P23" s="37">
        <v>0</v>
      </c>
    </row>
    <row r="24" spans="1:16" x14ac:dyDescent="0.25">
      <c r="A24" s="39">
        <v>0.21875</v>
      </c>
      <c r="B24" s="36">
        <v>0.22916666666666699</v>
      </c>
      <c r="C24" s="37">
        <v>40.536609649658203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</row>
    <row r="25" spans="1:16" x14ac:dyDescent="0.25">
      <c r="A25" s="36">
        <v>0.22916666666666699</v>
      </c>
      <c r="B25" s="36">
        <v>0.23958333333333401</v>
      </c>
      <c r="C25" s="37">
        <v>100.57414245605469</v>
      </c>
      <c r="D25" s="37">
        <v>48.741611480712891</v>
      </c>
      <c r="E25" s="37">
        <v>890.3466796875</v>
      </c>
      <c r="F25" s="37">
        <v>938.756591796875</v>
      </c>
      <c r="G25" s="37">
        <v>338.43203735351563</v>
      </c>
      <c r="H25" s="37">
        <v>424.58749389648438</v>
      </c>
      <c r="I25" s="37">
        <v>54.979450225830078</v>
      </c>
      <c r="J25" s="37">
        <v>293.85873413085938</v>
      </c>
      <c r="K25" s="37">
        <v>146.94796752929688</v>
      </c>
      <c r="L25" s="37">
        <v>11.255492210388184</v>
      </c>
      <c r="M25" s="37">
        <v>0</v>
      </c>
      <c r="N25" s="37">
        <v>0</v>
      </c>
      <c r="O25" s="37">
        <v>0</v>
      </c>
      <c r="P25" s="37">
        <v>0</v>
      </c>
    </row>
    <row r="26" spans="1:16" x14ac:dyDescent="0.25">
      <c r="A26" s="39">
        <v>0.23958333333333301</v>
      </c>
      <c r="B26" s="36">
        <v>0.25</v>
      </c>
      <c r="C26" s="37">
        <v>119.55141448974609</v>
      </c>
      <c r="D26" s="37">
        <v>93.192703247070313</v>
      </c>
      <c r="E26" s="37">
        <v>1296.145263671875</v>
      </c>
      <c r="F26" s="37">
        <v>1357.7216796875</v>
      </c>
      <c r="G26" s="37">
        <v>451.63275146484375</v>
      </c>
      <c r="H26" s="37">
        <v>641.86871337890625</v>
      </c>
      <c r="I26" s="37">
        <v>0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</row>
    <row r="27" spans="1:16" x14ac:dyDescent="0.25">
      <c r="A27" s="36">
        <v>0.25</v>
      </c>
      <c r="B27" s="36">
        <v>0.26041666666666702</v>
      </c>
      <c r="C27" s="37">
        <v>117.14071655273438</v>
      </c>
      <c r="D27" s="37">
        <v>107.51486968994141</v>
      </c>
      <c r="E27" s="37">
        <v>1457.129638671875</v>
      </c>
      <c r="F27" s="37">
        <v>1424.279296875</v>
      </c>
      <c r="G27" s="37">
        <v>466.9102783203125</v>
      </c>
      <c r="H27" s="37">
        <v>702.21807861328125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</row>
    <row r="28" spans="1:16" x14ac:dyDescent="0.25">
      <c r="A28" s="39">
        <v>0.26041666666666702</v>
      </c>
      <c r="B28" s="36">
        <v>0.27083333333333398</v>
      </c>
      <c r="C28" s="37">
        <v>121.11154937744141</v>
      </c>
      <c r="D28" s="37">
        <v>104.22913360595703</v>
      </c>
      <c r="E28" s="37">
        <v>1462.0240478515625</v>
      </c>
      <c r="F28" s="37">
        <v>1386.43701171875</v>
      </c>
      <c r="G28" s="37">
        <v>462.88461303710938</v>
      </c>
      <c r="H28" s="37">
        <v>694.14556884765625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</row>
    <row r="29" spans="1:16" x14ac:dyDescent="0.25">
      <c r="A29" s="36">
        <v>0.27083333333333298</v>
      </c>
      <c r="B29" s="36">
        <v>0.28125</v>
      </c>
      <c r="C29" s="37">
        <v>117.59724426269531</v>
      </c>
      <c r="D29" s="37">
        <v>107.63328552246094</v>
      </c>
      <c r="E29" s="37">
        <v>1510.43310546875</v>
      </c>
      <c r="F29" s="37">
        <v>1405.3458251953125</v>
      </c>
      <c r="G29" s="37">
        <v>451.14776611328125</v>
      </c>
      <c r="H29" s="37">
        <v>706.04925537109375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</row>
    <row r="30" spans="1:16" x14ac:dyDescent="0.25">
      <c r="A30" s="39">
        <v>0.28125</v>
      </c>
      <c r="B30" s="36">
        <v>0.29166666666666702</v>
      </c>
      <c r="C30" s="37">
        <v>105.10072326660156</v>
      </c>
      <c r="D30" s="37">
        <v>103.64118957519531</v>
      </c>
      <c r="E30" s="37">
        <v>1470.847900390625</v>
      </c>
      <c r="F30" s="37">
        <v>1269.52734375</v>
      </c>
      <c r="G30" s="37">
        <v>461.65609741210938</v>
      </c>
      <c r="H30" s="37">
        <v>640.9613037109375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</row>
    <row r="31" spans="1:16" x14ac:dyDescent="0.25">
      <c r="A31" s="36">
        <v>0.29166666666666702</v>
      </c>
      <c r="B31" s="36">
        <v>0.30208333333333398</v>
      </c>
      <c r="C31" s="37">
        <v>100.31314086914063</v>
      </c>
      <c r="D31" s="37">
        <v>93.135978698730469</v>
      </c>
      <c r="E31" s="37">
        <v>1282.220947265625</v>
      </c>
      <c r="F31" s="37">
        <v>1212.822021484375</v>
      </c>
      <c r="G31" s="37">
        <v>487.29342651367188</v>
      </c>
      <c r="H31" s="37">
        <v>605.6922607421875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</row>
    <row r="32" spans="1:16" x14ac:dyDescent="0.25">
      <c r="A32" s="39">
        <v>0.30208333333333298</v>
      </c>
      <c r="B32" s="36">
        <v>0.3125</v>
      </c>
      <c r="C32" s="37">
        <v>99.921646118164063</v>
      </c>
      <c r="D32" s="37">
        <v>89.836738586425781</v>
      </c>
      <c r="E32" s="37">
        <v>1248.8145751953125</v>
      </c>
      <c r="F32" s="37">
        <v>1208.9908447265625</v>
      </c>
      <c r="G32" s="37">
        <v>506.24530029296875</v>
      </c>
      <c r="H32" s="37">
        <v>601.36065673828125</v>
      </c>
      <c r="I32" s="37">
        <v>0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0</v>
      </c>
      <c r="P32" s="37">
        <v>0</v>
      </c>
    </row>
    <row r="33" spans="1:16" x14ac:dyDescent="0.25">
      <c r="A33" s="36">
        <v>0.3125</v>
      </c>
      <c r="B33" s="36">
        <v>0.32291666666666702</v>
      </c>
      <c r="C33" s="37">
        <v>100.66455841064453</v>
      </c>
      <c r="D33" s="37">
        <v>89.906257629394531</v>
      </c>
      <c r="E33" s="37">
        <v>1182.5006103515625</v>
      </c>
      <c r="F33" s="37">
        <v>1314.6492919921875</v>
      </c>
      <c r="G33" s="37">
        <v>531.02520751953125</v>
      </c>
      <c r="H33" s="37">
        <v>624.54766845703125</v>
      </c>
      <c r="I33" s="37">
        <v>0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0</v>
      </c>
      <c r="P33" s="37">
        <v>0</v>
      </c>
    </row>
    <row r="34" spans="1:16" x14ac:dyDescent="0.25">
      <c r="A34" s="39">
        <v>0.32291666666666702</v>
      </c>
      <c r="B34" s="36">
        <v>0.33333333333333398</v>
      </c>
      <c r="C34" s="37">
        <v>99.036415100097656</v>
      </c>
      <c r="D34" s="37">
        <v>91.111297607421875</v>
      </c>
      <c r="E34" s="37">
        <v>1185.152587890625</v>
      </c>
      <c r="F34" s="37">
        <v>1285.7423095703125</v>
      </c>
      <c r="G34" s="37">
        <v>423.87844848632813</v>
      </c>
      <c r="H34" s="37">
        <v>670.98162841796875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  <c r="P34" s="37">
        <v>0</v>
      </c>
    </row>
    <row r="35" spans="1:16" x14ac:dyDescent="0.25">
      <c r="A35" s="36">
        <v>0.33333333333333298</v>
      </c>
      <c r="B35" s="36">
        <v>0.34375</v>
      </c>
      <c r="C35" s="37">
        <v>104.72406768798828</v>
      </c>
      <c r="D35" s="37">
        <v>96.229644775390625</v>
      </c>
      <c r="E35" s="37">
        <v>1242.03271484375</v>
      </c>
      <c r="F35" s="37">
        <v>1297.6046142578125</v>
      </c>
      <c r="G35" s="37">
        <v>394.042724609375</v>
      </c>
      <c r="H35" s="37">
        <v>703.75067138671875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</row>
    <row r="36" spans="1:16" x14ac:dyDescent="0.25">
      <c r="A36" s="39">
        <v>0.34375</v>
      </c>
      <c r="B36" s="36">
        <v>0.35416666666666702</v>
      </c>
      <c r="C36" s="37">
        <v>108.74005889892578</v>
      </c>
      <c r="D36" s="37">
        <v>96.229644775390625</v>
      </c>
      <c r="E36" s="37">
        <v>1279.6744384765625</v>
      </c>
      <c r="F36" s="37">
        <v>1322.83154296875</v>
      </c>
      <c r="G36" s="37">
        <v>411.62652587890625</v>
      </c>
      <c r="H36" s="37">
        <v>704.13153076171875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  <c r="P36" s="37">
        <v>0</v>
      </c>
    </row>
    <row r="37" spans="1:16" x14ac:dyDescent="0.25">
      <c r="A37" s="36">
        <v>0.35416666666666702</v>
      </c>
      <c r="B37" s="36">
        <v>0.36458333333333398</v>
      </c>
      <c r="C37" s="37">
        <v>3.6574892997741699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</row>
    <row r="38" spans="1:16" x14ac:dyDescent="0.25">
      <c r="A38" s="39">
        <v>0.36458333333333298</v>
      </c>
      <c r="B38" s="36">
        <v>0.375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497.59890747070313</v>
      </c>
      <c r="J38" s="37">
        <v>758.4681396484375</v>
      </c>
      <c r="K38" s="37">
        <v>227.92282104492188</v>
      </c>
      <c r="L38" s="37">
        <v>643.275634765625</v>
      </c>
      <c r="M38" s="37">
        <v>0</v>
      </c>
      <c r="N38" s="37">
        <v>0</v>
      </c>
      <c r="O38" s="37">
        <v>0</v>
      </c>
      <c r="P38" s="37">
        <v>0</v>
      </c>
    </row>
    <row r="39" spans="1:16" x14ac:dyDescent="0.25">
      <c r="A39" s="36">
        <v>0.375</v>
      </c>
      <c r="B39" s="36">
        <v>0.38541666666666702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528.439208984375</v>
      </c>
      <c r="J39" s="37">
        <v>947.9898681640625</v>
      </c>
      <c r="K39" s="37">
        <v>397.44180297851563</v>
      </c>
      <c r="L39" s="37">
        <v>0</v>
      </c>
      <c r="M39" s="37">
        <v>0</v>
      </c>
      <c r="N39" s="37">
        <v>0</v>
      </c>
      <c r="O39" s="37">
        <v>0</v>
      </c>
      <c r="P39" s="37">
        <v>0</v>
      </c>
    </row>
    <row r="40" spans="1:16" x14ac:dyDescent="0.25">
      <c r="A40" s="39">
        <v>0.38541666666666702</v>
      </c>
      <c r="B40" s="36">
        <v>0.39583333333333398</v>
      </c>
      <c r="C40" s="37">
        <v>40.137527465820313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</row>
    <row r="41" spans="1:16" x14ac:dyDescent="0.25">
      <c r="A41" s="36">
        <v>0.39583333333333298</v>
      </c>
      <c r="B41" s="36">
        <v>0.40625</v>
      </c>
      <c r="C41" s="37">
        <v>88.901718139648438</v>
      </c>
      <c r="D41" s="37">
        <v>74.909141540527344</v>
      </c>
      <c r="E41" s="37">
        <v>869.07989501953125</v>
      </c>
      <c r="F41" s="37">
        <v>951.19677734375</v>
      </c>
      <c r="G41" s="37">
        <v>326.22634887695313</v>
      </c>
      <c r="H41" s="37">
        <v>474.79513549804688</v>
      </c>
      <c r="I41" s="37">
        <v>0</v>
      </c>
      <c r="J41" s="37">
        <v>313.99212646484375</v>
      </c>
      <c r="K41" s="37">
        <v>215.70211791992188</v>
      </c>
      <c r="L41" s="37">
        <v>9.2677145004272461</v>
      </c>
      <c r="M41" s="37">
        <v>0</v>
      </c>
      <c r="N41" s="37">
        <v>0</v>
      </c>
      <c r="O41" s="37">
        <v>0</v>
      </c>
      <c r="P41" s="37">
        <v>0</v>
      </c>
    </row>
    <row r="42" spans="1:16" x14ac:dyDescent="0.25">
      <c r="A42" s="39">
        <v>0.40625</v>
      </c>
      <c r="B42" s="36">
        <v>0.41666666666666702</v>
      </c>
      <c r="C42" s="37">
        <v>105.48279571533203</v>
      </c>
      <c r="D42" s="37">
        <v>90.537513732910156</v>
      </c>
      <c r="E42" s="37">
        <v>1200.47802734375</v>
      </c>
      <c r="F42" s="37">
        <v>1139.125</v>
      </c>
      <c r="G42" s="37">
        <v>302.46063232421875</v>
      </c>
      <c r="H42" s="37">
        <v>631.3109130859375</v>
      </c>
      <c r="I42" s="37">
        <v>0</v>
      </c>
      <c r="J42" s="37">
        <v>33.366691589355469</v>
      </c>
      <c r="K42" s="37">
        <v>35.779476165771484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</row>
    <row r="43" spans="1:16" x14ac:dyDescent="0.25">
      <c r="A43" s="36">
        <v>0.41666666666666702</v>
      </c>
      <c r="B43" s="36">
        <v>0.42708333333333398</v>
      </c>
      <c r="C43" s="37">
        <v>109.83347320556641</v>
      </c>
      <c r="D43" s="37">
        <v>95.474639892578125</v>
      </c>
      <c r="E43" s="37">
        <v>1390.5443115234375</v>
      </c>
      <c r="F43" s="37">
        <v>1185.8992919921875</v>
      </c>
      <c r="G43" s="37">
        <v>297.23818969726563</v>
      </c>
      <c r="H43" s="37">
        <v>692.6689453125</v>
      </c>
      <c r="I43" s="37">
        <v>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</row>
    <row r="44" spans="1:16" x14ac:dyDescent="0.25">
      <c r="A44" s="39">
        <v>0.42708333333333298</v>
      </c>
      <c r="B44" s="36">
        <v>0.4375</v>
      </c>
      <c r="C44" s="37">
        <v>113.14849090576172</v>
      </c>
      <c r="D44" s="37">
        <v>100.51435852050781</v>
      </c>
      <c r="E44" s="37">
        <v>1520.60205078125</v>
      </c>
      <c r="F44" s="37">
        <v>1194.1031494140625</v>
      </c>
      <c r="G44" s="37">
        <v>298.63623046875</v>
      </c>
      <c r="H44" s="37">
        <v>696.4569091796875</v>
      </c>
      <c r="I44" s="37">
        <v>0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</row>
    <row r="45" spans="1:16" x14ac:dyDescent="0.25">
      <c r="A45" s="36">
        <v>0.4375</v>
      </c>
      <c r="B45" s="36">
        <v>0.44791666666666702</v>
      </c>
      <c r="C45" s="37">
        <v>112.27190399169922</v>
      </c>
      <c r="D45" s="37">
        <v>100.24671936035156</v>
      </c>
      <c r="E45" s="37">
        <v>1568.177734375</v>
      </c>
      <c r="F45" s="37">
        <v>1144.0804443359375</v>
      </c>
      <c r="G45" s="37">
        <v>261.08560180664063</v>
      </c>
      <c r="H45" s="37">
        <v>686.39520263671875</v>
      </c>
      <c r="I45" s="37">
        <v>0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0</v>
      </c>
      <c r="P45" s="37">
        <v>0</v>
      </c>
    </row>
    <row r="46" spans="1:16" x14ac:dyDescent="0.25">
      <c r="A46" s="39">
        <v>0.44791666666666702</v>
      </c>
      <c r="B46" s="36">
        <v>0.45833333333333398</v>
      </c>
      <c r="C46" s="37">
        <v>113.48805999755859</v>
      </c>
      <c r="D46" s="37">
        <v>101.66273498535156</v>
      </c>
      <c r="E46" s="37">
        <v>1573.6414794921875</v>
      </c>
      <c r="F46" s="37">
        <v>1157.5418701171875</v>
      </c>
      <c r="G46" s="37">
        <v>279.41537475585938</v>
      </c>
      <c r="H46" s="37">
        <v>683.87744140625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</row>
    <row r="47" spans="1:16" x14ac:dyDescent="0.25">
      <c r="A47" s="36">
        <v>0.45833333333333298</v>
      </c>
      <c r="B47" s="36">
        <v>0.46875</v>
      </c>
      <c r="C47" s="37">
        <v>112.63810729980469</v>
      </c>
      <c r="D47" s="37">
        <v>103.84654235839844</v>
      </c>
      <c r="E47" s="37">
        <v>1584.6761474609375</v>
      </c>
      <c r="F47" s="37">
        <v>1200.124267578125</v>
      </c>
      <c r="G47" s="37">
        <v>331.78350830078125</v>
      </c>
      <c r="H47" s="37">
        <v>677.43011474609375</v>
      </c>
      <c r="I47" s="37">
        <v>0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</row>
    <row r="48" spans="1:16" x14ac:dyDescent="0.25">
      <c r="A48" s="39">
        <v>0.46875</v>
      </c>
      <c r="B48" s="36">
        <v>0.47916666666666702</v>
      </c>
      <c r="C48" s="37">
        <v>111.28231811523438</v>
      </c>
      <c r="D48" s="37">
        <v>103.36399841308594</v>
      </c>
      <c r="E48" s="37">
        <v>1565.2176513671875</v>
      </c>
      <c r="F48" s="37">
        <v>1231.2730712890625</v>
      </c>
      <c r="G48" s="37">
        <v>374.34268188476563</v>
      </c>
      <c r="H48" s="37">
        <v>667.700927734375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</row>
    <row r="49" spans="1:16" x14ac:dyDescent="0.25">
      <c r="A49" s="36">
        <v>0.47916666666666702</v>
      </c>
      <c r="B49" s="36">
        <v>0.48958333333333398</v>
      </c>
      <c r="C49" s="37">
        <v>107.39474487304688</v>
      </c>
      <c r="D49" s="37">
        <v>99.057144165039063</v>
      </c>
      <c r="E49" s="37">
        <v>1543.8245849609375</v>
      </c>
      <c r="F49" s="37">
        <v>1174.01318359375</v>
      </c>
      <c r="G49" s="37">
        <v>342.047119140625</v>
      </c>
      <c r="H49" s="37">
        <v>671.5787353515625</v>
      </c>
      <c r="I49" s="37">
        <v>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</row>
    <row r="50" spans="1:16" x14ac:dyDescent="0.25">
      <c r="A50" s="39">
        <v>0.48958333333333298</v>
      </c>
      <c r="B50" s="36">
        <v>0.5</v>
      </c>
      <c r="C50" s="37">
        <v>99.075813293457031</v>
      </c>
      <c r="D50" s="37">
        <v>94.36865234375</v>
      </c>
      <c r="E50" s="37">
        <v>1473.780029296875</v>
      </c>
      <c r="F50" s="37">
        <v>1116.08056640625</v>
      </c>
      <c r="G50" s="37">
        <v>293.97909545898438</v>
      </c>
      <c r="H50" s="37">
        <v>679.08343505859375</v>
      </c>
      <c r="I50" s="37">
        <v>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</row>
    <row r="51" spans="1:16" x14ac:dyDescent="0.25">
      <c r="A51" s="36">
        <v>0.5</v>
      </c>
      <c r="B51" s="36">
        <v>0.51041666666666696</v>
      </c>
      <c r="C51" s="37">
        <v>93.283416748046875</v>
      </c>
      <c r="D51" s="37">
        <v>87.567047119140625</v>
      </c>
      <c r="E51" s="37">
        <v>1295.2908935546875</v>
      </c>
      <c r="F51" s="37">
        <v>1059.4888916015625</v>
      </c>
      <c r="G51" s="37">
        <v>262.69393920898438</v>
      </c>
      <c r="H51" s="37">
        <v>665.850830078125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</row>
    <row r="52" spans="1:16" x14ac:dyDescent="0.25">
      <c r="A52" s="39">
        <v>0.51041666666666696</v>
      </c>
      <c r="B52" s="36">
        <v>0.52083333333333404</v>
      </c>
      <c r="C52" s="37">
        <v>97.387107849121094</v>
      </c>
      <c r="D52" s="37">
        <v>89.56707763671875</v>
      </c>
      <c r="E52" s="37">
        <v>1355.189453125</v>
      </c>
      <c r="F52" s="37">
        <v>1042.4586181640625</v>
      </c>
      <c r="G52" s="37">
        <v>249.36094665527344</v>
      </c>
      <c r="H52" s="37">
        <v>649.43817138671875</v>
      </c>
      <c r="I52" s="37">
        <v>0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</row>
    <row r="53" spans="1:16" x14ac:dyDescent="0.25">
      <c r="A53" s="36">
        <v>0.52083333333333304</v>
      </c>
      <c r="B53" s="36">
        <v>0.53125</v>
      </c>
      <c r="C53" s="37">
        <v>96.8995361328125</v>
      </c>
      <c r="D53" s="37">
        <v>90.838027954101563</v>
      </c>
      <c r="E53" s="37">
        <v>1458.3121337890625</v>
      </c>
      <c r="F53" s="37">
        <v>1025.250244140625</v>
      </c>
      <c r="G53" s="37">
        <v>204.36369323730469</v>
      </c>
      <c r="H53" s="37">
        <v>659.619873046875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</row>
    <row r="54" spans="1:16" x14ac:dyDescent="0.25">
      <c r="A54" s="39">
        <v>0.53125</v>
      </c>
      <c r="B54" s="36">
        <v>0.54166666666666696</v>
      </c>
      <c r="C54" s="37">
        <v>97.503990173339844</v>
      </c>
      <c r="D54" s="37">
        <v>92.024711608886719</v>
      </c>
      <c r="E54" s="37">
        <v>1459.1590576171875</v>
      </c>
      <c r="F54" s="37">
        <v>1023.7410888671875</v>
      </c>
      <c r="G54" s="37">
        <v>205.01615905761719</v>
      </c>
      <c r="H54" s="37">
        <v>671.8900146484375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</row>
    <row r="55" spans="1:16" x14ac:dyDescent="0.25">
      <c r="A55" s="36">
        <v>0.54166666666666696</v>
      </c>
      <c r="B55" s="36">
        <v>0.55208333333333404</v>
      </c>
      <c r="C55" s="37">
        <v>98.445594787597656</v>
      </c>
      <c r="D55" s="37">
        <v>92.318595886230469</v>
      </c>
      <c r="E55" s="37">
        <v>1423.5966796875</v>
      </c>
      <c r="F55" s="37">
        <v>1077.1722412109375</v>
      </c>
      <c r="G55" s="37">
        <v>233.32545471191406</v>
      </c>
      <c r="H55" s="37">
        <v>673.38714599609375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</row>
    <row r="56" spans="1:16" x14ac:dyDescent="0.25">
      <c r="A56" s="39">
        <v>0.55208333333333304</v>
      </c>
      <c r="B56" s="36">
        <v>0.5625</v>
      </c>
      <c r="C56" s="37">
        <v>99.585357666015625</v>
      </c>
      <c r="D56" s="37">
        <v>95.849739074707031</v>
      </c>
      <c r="E56" s="37">
        <v>1442.925048828125</v>
      </c>
      <c r="F56" s="37">
        <v>1145.058349609375</v>
      </c>
      <c r="G56" s="37">
        <v>248.58491516113281</v>
      </c>
      <c r="H56" s="37">
        <v>677.38824462890625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</row>
    <row r="57" spans="1:16" x14ac:dyDescent="0.25">
      <c r="A57" s="36">
        <v>0.5625</v>
      </c>
      <c r="B57" s="36">
        <v>0.57291666666666696</v>
      </c>
      <c r="C57" s="37">
        <v>95.867637634277344</v>
      </c>
      <c r="D57" s="37">
        <v>92.909645080566406</v>
      </c>
      <c r="E57" s="37">
        <v>1424.8497314453125</v>
      </c>
      <c r="F57" s="37">
        <v>1139.34619140625</v>
      </c>
      <c r="G57" s="37">
        <v>243.52546691894531</v>
      </c>
      <c r="H57" s="37">
        <v>669.6710205078125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</row>
    <row r="58" spans="1:16" x14ac:dyDescent="0.25">
      <c r="A58" s="39">
        <v>0.57291666666666696</v>
      </c>
      <c r="B58" s="36">
        <v>0.58333333333333404</v>
      </c>
      <c r="C58" s="37">
        <v>99.938941955566406</v>
      </c>
      <c r="D58" s="37">
        <v>94.12725830078125</v>
      </c>
      <c r="E58" s="37">
        <v>1368.1602783203125</v>
      </c>
      <c r="F58" s="37">
        <v>1180.4744873046875</v>
      </c>
      <c r="G58" s="37">
        <v>288.15884399414063</v>
      </c>
      <c r="H58" s="37">
        <v>658.82781982421875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</row>
    <row r="59" spans="1:16" x14ac:dyDescent="0.25">
      <c r="A59" s="36">
        <v>0.58333333333333304</v>
      </c>
      <c r="B59" s="36">
        <v>0.59375</v>
      </c>
      <c r="C59" s="37">
        <v>99.805946350097656</v>
      </c>
      <c r="D59" s="37">
        <v>95.431892395019531</v>
      </c>
      <c r="E59" s="37">
        <v>1324.85302734375</v>
      </c>
      <c r="F59" s="37">
        <v>1249</v>
      </c>
      <c r="G59" s="37">
        <v>362.31890869140625</v>
      </c>
      <c r="H59" s="37">
        <v>649.000244140625</v>
      </c>
      <c r="I59" s="37">
        <v>0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0</v>
      </c>
      <c r="P59" s="37">
        <v>0</v>
      </c>
    </row>
    <row r="60" spans="1:16" x14ac:dyDescent="0.25">
      <c r="A60" s="39">
        <v>0.59375</v>
      </c>
      <c r="B60" s="36">
        <v>0.60416666666666696</v>
      </c>
      <c r="C60" s="37">
        <v>91.992179870605469</v>
      </c>
      <c r="D60" s="37">
        <v>93.023567199707031</v>
      </c>
      <c r="E60" s="37">
        <v>1321.51171875</v>
      </c>
      <c r="F60" s="37">
        <v>1251.2247314453125</v>
      </c>
      <c r="G60" s="37">
        <v>397.57281494140625</v>
      </c>
      <c r="H60" s="37">
        <v>639.6507568359375</v>
      </c>
      <c r="I60" s="37">
        <v>0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</row>
    <row r="61" spans="1:16" x14ac:dyDescent="0.25">
      <c r="A61" s="36">
        <v>0.60416666666666696</v>
      </c>
      <c r="B61" s="36">
        <v>0.61458333333333404</v>
      </c>
      <c r="C61" s="37">
        <v>83.551162719726563</v>
      </c>
      <c r="D61" s="37">
        <v>85.127532958984375</v>
      </c>
      <c r="E61" s="37">
        <v>1173.0032958984375</v>
      </c>
      <c r="F61" s="37">
        <v>1202.780029296875</v>
      </c>
      <c r="G61" s="37">
        <v>379.365966796875</v>
      </c>
      <c r="H61" s="37">
        <v>600.20001220703125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</row>
    <row r="62" spans="1:16" x14ac:dyDescent="0.25">
      <c r="A62" s="39">
        <v>0.61458333333333304</v>
      </c>
      <c r="B62" s="36">
        <v>0.625</v>
      </c>
      <c r="C62" s="37">
        <v>83.430801391601563</v>
      </c>
      <c r="D62" s="37">
        <v>77.000991821289063</v>
      </c>
      <c r="E62" s="37">
        <v>1052.855712890625</v>
      </c>
      <c r="F62" s="37">
        <v>1062.396484375</v>
      </c>
      <c r="G62" s="37">
        <v>378.11636352539063</v>
      </c>
      <c r="H62" s="37">
        <v>505.22384643554688</v>
      </c>
      <c r="I62" s="37">
        <v>0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</row>
    <row r="63" spans="1:16" x14ac:dyDescent="0.25">
      <c r="A63" s="36">
        <v>0.625</v>
      </c>
      <c r="B63" s="36">
        <v>0.63541666666666696</v>
      </c>
      <c r="C63" s="37">
        <v>96.901588439941406</v>
      </c>
      <c r="D63" s="37">
        <v>87.269935607910156</v>
      </c>
      <c r="E63" s="37">
        <v>1111.49462890625</v>
      </c>
      <c r="F63" s="37">
        <v>1163.0433349609375</v>
      </c>
      <c r="G63" s="37">
        <v>367.26736450195313</v>
      </c>
      <c r="H63" s="37">
        <v>575.36572265625</v>
      </c>
      <c r="I63" s="37">
        <v>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</row>
    <row r="64" spans="1:16" x14ac:dyDescent="0.25">
      <c r="A64" s="39">
        <v>0.63541666666666696</v>
      </c>
      <c r="B64" s="36">
        <v>0.64583333333333404</v>
      </c>
      <c r="C64" s="37">
        <v>100.03276062011719</v>
      </c>
      <c r="D64" s="37">
        <v>94.752098083496094</v>
      </c>
      <c r="E64" s="37">
        <v>1254.5223388671875</v>
      </c>
      <c r="F64" s="37">
        <v>1288.6461181640625</v>
      </c>
      <c r="G64" s="37">
        <v>393.01815795898438</v>
      </c>
      <c r="H64" s="37">
        <v>659.5111083984375</v>
      </c>
      <c r="I64" s="37">
        <v>0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</row>
    <row r="65" spans="1:16" x14ac:dyDescent="0.25">
      <c r="A65" s="36">
        <v>0.64583333333333304</v>
      </c>
      <c r="B65" s="36">
        <v>0.65625</v>
      </c>
      <c r="C65" s="37">
        <v>96.236114501953125</v>
      </c>
      <c r="D65" s="37">
        <v>94.47406005859375</v>
      </c>
      <c r="E65" s="37">
        <v>1280.53955078125</v>
      </c>
      <c r="F65" s="37">
        <v>1283.0960693359375</v>
      </c>
      <c r="G65" s="37">
        <v>396.74359130859375</v>
      </c>
      <c r="H65" s="37">
        <v>669.04571533203125</v>
      </c>
      <c r="I65" s="37">
        <v>0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</row>
    <row r="66" spans="1:16" x14ac:dyDescent="0.25">
      <c r="A66" s="39">
        <v>0.65625</v>
      </c>
      <c r="B66" s="36">
        <v>0.66666666666666696</v>
      </c>
      <c r="C66" s="37">
        <v>90.841064453125</v>
      </c>
      <c r="D66" s="37">
        <v>88.304222106933594</v>
      </c>
      <c r="E66" s="37">
        <v>1250.96533203125</v>
      </c>
      <c r="F66" s="37">
        <v>1147.70703125</v>
      </c>
      <c r="G66" s="37">
        <v>316.54446411132813</v>
      </c>
      <c r="H66" s="37">
        <v>672.5150146484375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</row>
    <row r="67" spans="1:16" x14ac:dyDescent="0.25">
      <c r="A67" s="36">
        <v>0.66666666666666696</v>
      </c>
      <c r="B67" s="36">
        <v>0.67708333333333404</v>
      </c>
      <c r="C67" s="37">
        <v>90.5919189453125</v>
      </c>
      <c r="D67" s="37">
        <v>86.232933044433594</v>
      </c>
      <c r="E67" s="37">
        <v>1251.5181884765625</v>
      </c>
      <c r="F67" s="37">
        <v>1089.6844482421875</v>
      </c>
      <c r="G67" s="37">
        <v>278.81414794921875</v>
      </c>
      <c r="H67" s="37">
        <v>671.61322021484375</v>
      </c>
      <c r="I67" s="37">
        <v>0</v>
      </c>
      <c r="J67" s="37">
        <v>0</v>
      </c>
      <c r="K67" s="37">
        <v>2.8292636871337891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</row>
    <row r="68" spans="1:16" x14ac:dyDescent="0.25">
      <c r="A68" s="39">
        <v>0.67708333333333304</v>
      </c>
      <c r="B68" s="36">
        <v>0.6875</v>
      </c>
      <c r="C68" s="37">
        <v>93.316513061523438</v>
      </c>
      <c r="D68" s="37">
        <v>88.548355102539063</v>
      </c>
      <c r="E68" s="37">
        <v>1252.5797119140625</v>
      </c>
      <c r="F68" s="37">
        <v>1093.6466064453125</v>
      </c>
      <c r="G68" s="37">
        <v>263.24127197265625</v>
      </c>
      <c r="H68" s="37">
        <v>677.98834228515625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</row>
    <row r="69" spans="1:16" x14ac:dyDescent="0.25">
      <c r="A69" s="36">
        <v>0.6875</v>
      </c>
      <c r="B69" s="36">
        <v>0.69791666666666696</v>
      </c>
      <c r="C69" s="37">
        <v>96.550537109375</v>
      </c>
      <c r="D69" s="37">
        <v>91.7769775390625</v>
      </c>
      <c r="E69" s="37">
        <v>1346.5120849609375</v>
      </c>
      <c r="F69" s="37">
        <v>1111.8822021484375</v>
      </c>
      <c r="G69" s="37">
        <v>278.129638671875</v>
      </c>
      <c r="H69" s="37">
        <v>665.6934814453125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</row>
    <row r="70" spans="1:16" x14ac:dyDescent="0.25">
      <c r="A70" s="39">
        <v>0.69791666666666696</v>
      </c>
      <c r="B70" s="36">
        <v>0.70833333333333404</v>
      </c>
      <c r="C70" s="37">
        <v>99.645576477050781</v>
      </c>
      <c r="D70" s="37">
        <v>93.97265625</v>
      </c>
      <c r="E70" s="37">
        <v>1365.70556640625</v>
      </c>
      <c r="F70" s="37">
        <v>1151.69677734375</v>
      </c>
      <c r="G70" s="37">
        <v>317.8658447265625</v>
      </c>
      <c r="H70" s="37">
        <v>668.12384033203125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</row>
    <row r="71" spans="1:16" x14ac:dyDescent="0.25">
      <c r="A71" s="36">
        <v>0.70833333333333304</v>
      </c>
      <c r="B71" s="36">
        <v>0.71875</v>
      </c>
      <c r="C71" s="37">
        <v>101.25048065185547</v>
      </c>
      <c r="D71" s="37">
        <v>96.757865905761719</v>
      </c>
      <c r="E71" s="37">
        <v>1448.3582763671875</v>
      </c>
      <c r="F71" s="37">
        <v>1156.1202392578125</v>
      </c>
      <c r="G71" s="37">
        <v>313.70318603515625</v>
      </c>
      <c r="H71" s="37">
        <v>672.620849609375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</row>
    <row r="72" spans="1:16" x14ac:dyDescent="0.25">
      <c r="A72" s="39">
        <v>0.71875</v>
      </c>
      <c r="B72" s="36">
        <v>0.72916666666666696</v>
      </c>
      <c r="C72" s="37">
        <v>69.109100341796875</v>
      </c>
      <c r="D72" s="37">
        <v>0</v>
      </c>
      <c r="E72" s="37">
        <v>1397.970947265625</v>
      </c>
      <c r="F72" s="37">
        <v>1225.4822998046875</v>
      </c>
      <c r="G72" s="37">
        <v>390.89883422851563</v>
      </c>
      <c r="H72" s="37">
        <v>676.779541015625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</row>
    <row r="73" spans="1:16" x14ac:dyDescent="0.25">
      <c r="A73" s="36">
        <v>0.72916666666666696</v>
      </c>
      <c r="B73" s="36">
        <v>0.73958333333333404</v>
      </c>
      <c r="C73" s="37">
        <v>7.8837074397597462E-6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355.1700439453125</v>
      </c>
      <c r="J73" s="37">
        <v>527.5167236328125</v>
      </c>
      <c r="K73" s="37">
        <v>577.27874755859375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</row>
    <row r="74" spans="1:16" x14ac:dyDescent="0.25">
      <c r="A74" s="39">
        <v>0.73958333333333304</v>
      </c>
      <c r="B74" s="36">
        <v>0.75</v>
      </c>
      <c r="C74" s="37">
        <v>7.8837074397597462E-6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471.75601196289063</v>
      </c>
      <c r="J74" s="37">
        <v>772.29327392578125</v>
      </c>
      <c r="K74" s="37">
        <v>619.353271484375</v>
      </c>
      <c r="L74" s="37">
        <v>668.38958740234375</v>
      </c>
      <c r="M74" s="37">
        <v>0</v>
      </c>
      <c r="N74" s="37">
        <v>0</v>
      </c>
      <c r="O74" s="37">
        <v>0</v>
      </c>
      <c r="P74" s="37">
        <v>0</v>
      </c>
    </row>
    <row r="75" spans="1:16" x14ac:dyDescent="0.25">
      <c r="A75" s="36">
        <v>0.75</v>
      </c>
      <c r="B75" s="36">
        <v>0.76041666666666696</v>
      </c>
      <c r="C75" s="37">
        <v>7.8837074397597462E-6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370.11428833007813</v>
      </c>
      <c r="J75" s="37">
        <v>881.823486328125</v>
      </c>
      <c r="K75" s="37">
        <v>588.12542724609375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</row>
    <row r="76" spans="1:16" x14ac:dyDescent="0.25">
      <c r="A76" s="39">
        <v>0.76041666666666696</v>
      </c>
      <c r="B76" s="36">
        <v>0.77083333333333404</v>
      </c>
      <c r="C76" s="37">
        <v>7.8837074397597462E-6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370.11428833007813</v>
      </c>
      <c r="J76" s="37">
        <v>843.759521484375</v>
      </c>
      <c r="K76" s="37">
        <v>570.3389892578125</v>
      </c>
      <c r="L76" s="37">
        <v>846.048583984375</v>
      </c>
      <c r="M76" s="37">
        <v>0</v>
      </c>
      <c r="N76" s="37">
        <v>0</v>
      </c>
      <c r="O76" s="37">
        <v>0</v>
      </c>
      <c r="P76" s="37">
        <v>0</v>
      </c>
    </row>
    <row r="77" spans="1:16" x14ac:dyDescent="0.25">
      <c r="A77" s="36">
        <v>0.77083333333333304</v>
      </c>
      <c r="B77" s="36">
        <v>0.78125</v>
      </c>
      <c r="C77" s="37">
        <v>7.8837074397597462E-6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395.75393676757813</v>
      </c>
      <c r="J77" s="37">
        <v>886.39532470703125</v>
      </c>
      <c r="K77" s="37">
        <v>570.3389892578125</v>
      </c>
      <c r="L77" s="37">
        <v>730.22576904296875</v>
      </c>
      <c r="M77" s="37">
        <v>0</v>
      </c>
      <c r="N77" s="37">
        <v>0</v>
      </c>
      <c r="O77" s="37">
        <v>0</v>
      </c>
      <c r="P77" s="37">
        <v>0</v>
      </c>
    </row>
    <row r="78" spans="1:16" x14ac:dyDescent="0.25">
      <c r="A78" s="39">
        <v>0.78125</v>
      </c>
      <c r="B78" s="36">
        <v>0.79166666666666696</v>
      </c>
      <c r="C78" s="37">
        <v>39.509422302246094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886.39532470703125</v>
      </c>
      <c r="K78" s="37">
        <v>587.0341796875</v>
      </c>
      <c r="L78" s="37">
        <v>368.68743896484375</v>
      </c>
      <c r="M78" s="37">
        <v>0</v>
      </c>
      <c r="N78" s="37">
        <v>0</v>
      </c>
      <c r="O78" s="37">
        <v>0</v>
      </c>
      <c r="P78" s="37">
        <v>0</v>
      </c>
    </row>
    <row r="79" spans="1:16" x14ac:dyDescent="0.25">
      <c r="A79" s="36">
        <v>0.79166666666666696</v>
      </c>
      <c r="B79" s="36">
        <v>0.80208333333333404</v>
      </c>
      <c r="C79" s="37">
        <v>75.996307373046875</v>
      </c>
      <c r="D79" s="37">
        <v>40.958217620849609</v>
      </c>
      <c r="E79" s="37">
        <v>774.8494873046875</v>
      </c>
      <c r="F79" s="37">
        <v>767.142333984375</v>
      </c>
      <c r="G79" s="37">
        <v>325.60992431640625</v>
      </c>
      <c r="H79" s="37">
        <v>342.1964111328125</v>
      </c>
      <c r="I79" s="37">
        <v>14.684341430664063</v>
      </c>
      <c r="J79" s="37">
        <v>526.94097900390625</v>
      </c>
      <c r="K79" s="37">
        <v>508.75244140625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</row>
    <row r="80" spans="1:16" x14ac:dyDescent="0.25">
      <c r="A80" s="39">
        <v>0.80208333333333304</v>
      </c>
      <c r="B80" s="36">
        <v>0.8125</v>
      </c>
      <c r="C80" s="37">
        <v>89.274681091308594</v>
      </c>
      <c r="D80" s="37">
        <v>73.626014709472656</v>
      </c>
      <c r="E80" s="37">
        <v>1148.2314453125</v>
      </c>
      <c r="F80" s="37">
        <v>940.57904052734375</v>
      </c>
      <c r="G80" s="37">
        <v>258.51596069335938</v>
      </c>
      <c r="H80" s="37">
        <v>507.33175659179688</v>
      </c>
      <c r="I80" s="37">
        <v>0</v>
      </c>
      <c r="J80" s="37">
        <v>59.139064788818359</v>
      </c>
      <c r="K80" s="37">
        <v>145.13758850097656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</row>
    <row r="81" spans="1:16" x14ac:dyDescent="0.25">
      <c r="A81" s="36">
        <v>0.8125</v>
      </c>
      <c r="B81" s="36">
        <v>0.82291666666666696</v>
      </c>
      <c r="C81" s="37">
        <v>88.465576171875</v>
      </c>
      <c r="D81" s="37">
        <v>86.090232849121094</v>
      </c>
      <c r="E81" s="37">
        <v>1285.1595458984375</v>
      </c>
      <c r="F81" s="37">
        <v>1045.44384765625</v>
      </c>
      <c r="G81" s="37">
        <v>239.47828674316406</v>
      </c>
      <c r="H81" s="37">
        <v>624.3035888671875</v>
      </c>
      <c r="I81" s="37">
        <v>0</v>
      </c>
      <c r="J81" s="37">
        <v>0</v>
      </c>
      <c r="K81" s="37">
        <v>13.989188194274902</v>
      </c>
      <c r="L81" s="37">
        <v>0</v>
      </c>
      <c r="M81" s="37">
        <v>0</v>
      </c>
      <c r="N81" s="37">
        <v>0</v>
      </c>
      <c r="O81" s="37">
        <v>0</v>
      </c>
      <c r="P81" s="37">
        <v>0</v>
      </c>
    </row>
    <row r="82" spans="1:16" x14ac:dyDescent="0.25">
      <c r="A82" s="39">
        <v>0.82291666666666696</v>
      </c>
      <c r="B82" s="36">
        <v>0.83333333333333404</v>
      </c>
      <c r="C82" s="37">
        <v>70.622337341308594</v>
      </c>
      <c r="D82" s="37">
        <v>84.594894409179688</v>
      </c>
      <c r="E82" s="37">
        <v>1215.2989501953125</v>
      </c>
      <c r="F82" s="37">
        <v>998.38983154296875</v>
      </c>
      <c r="G82" s="37">
        <v>250.11842346191406</v>
      </c>
      <c r="H82" s="37">
        <v>586.4449462890625</v>
      </c>
      <c r="I82" s="37">
        <v>0</v>
      </c>
      <c r="J82" s="37">
        <v>0</v>
      </c>
      <c r="K82" s="37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</row>
    <row r="83" spans="1:16" x14ac:dyDescent="0.25">
      <c r="A83" s="36">
        <v>0.83333333333333304</v>
      </c>
      <c r="B83" s="36">
        <v>0.84375</v>
      </c>
      <c r="C83" s="37">
        <v>65.083740234375</v>
      </c>
      <c r="D83" s="37">
        <v>62.268989562988281</v>
      </c>
      <c r="E83" s="37">
        <v>986.453857421875</v>
      </c>
      <c r="F83" s="37">
        <v>802.5694580078125</v>
      </c>
      <c r="G83" s="37">
        <v>215.90199279785156</v>
      </c>
      <c r="H83" s="37">
        <v>488.15731811523438</v>
      </c>
      <c r="I83" s="37">
        <v>0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0</v>
      </c>
      <c r="P83" s="37">
        <v>0</v>
      </c>
    </row>
    <row r="84" spans="1:16" x14ac:dyDescent="0.25">
      <c r="A84" s="39">
        <v>0.84375</v>
      </c>
      <c r="B84" s="36">
        <v>0.85416666666666696</v>
      </c>
      <c r="C84" s="37">
        <v>76.180442810058594</v>
      </c>
      <c r="D84" s="37">
        <v>69.700614929199219</v>
      </c>
      <c r="E84" s="37">
        <v>940.84210205078125</v>
      </c>
      <c r="F84" s="37">
        <v>763.262451171875</v>
      </c>
      <c r="G84" s="37">
        <v>190.22825622558594</v>
      </c>
      <c r="H84" s="37">
        <v>486.57150268554688</v>
      </c>
      <c r="I84" s="37">
        <v>0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0</v>
      </c>
      <c r="P84" s="37">
        <v>0</v>
      </c>
    </row>
    <row r="85" spans="1:16" x14ac:dyDescent="0.25">
      <c r="A85" s="36">
        <v>0.85416666666666696</v>
      </c>
      <c r="B85" s="36">
        <v>0.86458333333333404</v>
      </c>
      <c r="C85" s="37">
        <v>91.848213195800781</v>
      </c>
      <c r="D85" s="37">
        <v>87.282974243164063</v>
      </c>
      <c r="E85" s="37">
        <v>1208.43212890625</v>
      </c>
      <c r="F85" s="37">
        <v>874.989013671875</v>
      </c>
      <c r="G85" s="37">
        <v>219.55064392089844</v>
      </c>
      <c r="H85" s="37">
        <v>535.543212890625</v>
      </c>
      <c r="I85" s="37">
        <v>0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</row>
    <row r="86" spans="1:16" x14ac:dyDescent="0.25">
      <c r="A86" s="39">
        <v>0.86458333333333304</v>
      </c>
      <c r="B86" s="36">
        <v>0.875</v>
      </c>
      <c r="C86" s="37">
        <v>96.325752258300781</v>
      </c>
      <c r="D86" s="37">
        <v>91.807586669921875</v>
      </c>
      <c r="E86" s="37">
        <v>1419.6722412109375</v>
      </c>
      <c r="F86" s="37">
        <v>992.2723388671875</v>
      </c>
      <c r="G86" s="37">
        <v>237.76777648925781</v>
      </c>
      <c r="H86" s="37">
        <v>629.54150390625</v>
      </c>
      <c r="I86" s="37">
        <v>0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0</v>
      </c>
      <c r="P86" s="37">
        <v>0</v>
      </c>
    </row>
    <row r="87" spans="1:16" x14ac:dyDescent="0.25">
      <c r="A87" s="36">
        <v>0.875</v>
      </c>
      <c r="B87" s="36">
        <v>0.88541666666666696</v>
      </c>
      <c r="C87" s="37">
        <v>100.25502014160156</v>
      </c>
      <c r="D87" s="37">
        <v>95.430854797363281</v>
      </c>
      <c r="E87" s="37">
        <v>1532.630126953125</v>
      </c>
      <c r="F87" s="37">
        <v>987.14727783203125</v>
      </c>
      <c r="G87" s="37">
        <v>232.88987731933594</v>
      </c>
      <c r="H87" s="37">
        <v>643.07275390625</v>
      </c>
      <c r="I87" s="37">
        <v>0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0</v>
      </c>
      <c r="P87" s="37">
        <v>0</v>
      </c>
    </row>
    <row r="88" spans="1:16" x14ac:dyDescent="0.25">
      <c r="A88" s="39">
        <v>0.88541666666666696</v>
      </c>
      <c r="B88" s="36">
        <v>0.89583333333333404</v>
      </c>
      <c r="C88" s="37">
        <v>103.88949584960938</v>
      </c>
      <c r="D88" s="37">
        <v>98.476959228515625</v>
      </c>
      <c r="E88" s="37">
        <v>1567.4853515625</v>
      </c>
      <c r="F88" s="37">
        <v>1060.53857421875</v>
      </c>
      <c r="G88" s="37">
        <v>266.42178344726563</v>
      </c>
      <c r="H88" s="37">
        <v>654.577880859375</v>
      </c>
      <c r="I88" s="37">
        <v>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</row>
    <row r="89" spans="1:16" x14ac:dyDescent="0.25">
      <c r="A89" s="36">
        <v>0.89583333333333304</v>
      </c>
      <c r="B89" s="36">
        <v>0.90625</v>
      </c>
      <c r="C89" s="37">
        <v>103.82122039794922</v>
      </c>
      <c r="D89" s="37">
        <v>98.3948974609375</v>
      </c>
      <c r="E89" s="37">
        <v>1636.6451416015625</v>
      </c>
      <c r="F89" s="37">
        <v>1075.0562744140625</v>
      </c>
      <c r="G89" s="37">
        <v>260.578857421875</v>
      </c>
      <c r="H89" s="37">
        <v>653.62005615234375</v>
      </c>
      <c r="I89" s="37">
        <v>0</v>
      </c>
      <c r="J89" s="37">
        <v>0</v>
      </c>
      <c r="K89" s="37">
        <v>10.247718811035156</v>
      </c>
      <c r="L89" s="37">
        <v>0</v>
      </c>
      <c r="M89" s="37">
        <v>0</v>
      </c>
      <c r="N89" s="37">
        <v>0</v>
      </c>
      <c r="O89" s="37">
        <v>0</v>
      </c>
      <c r="P89" s="37">
        <v>0</v>
      </c>
    </row>
    <row r="90" spans="1:16" x14ac:dyDescent="0.25">
      <c r="A90" s="39">
        <v>0.90625</v>
      </c>
      <c r="B90" s="36">
        <v>0.91666666666666696</v>
      </c>
      <c r="C90" s="37">
        <v>100.62875366210938</v>
      </c>
      <c r="D90" s="37">
        <v>95.70599365234375</v>
      </c>
      <c r="E90" s="37">
        <v>1591.7093505859375</v>
      </c>
      <c r="F90" s="37">
        <v>1063.7083740234375</v>
      </c>
      <c r="G90" s="37">
        <v>253.41593933105469</v>
      </c>
      <c r="H90" s="37">
        <v>653.56866455078125</v>
      </c>
      <c r="I90" s="37">
        <v>0</v>
      </c>
      <c r="J90" s="37">
        <v>0</v>
      </c>
      <c r="K90" s="37">
        <v>14.500049591064453</v>
      </c>
      <c r="L90" s="37">
        <v>0</v>
      </c>
      <c r="M90" s="37">
        <v>0</v>
      </c>
      <c r="N90" s="37">
        <v>0</v>
      </c>
      <c r="O90" s="37">
        <v>0</v>
      </c>
      <c r="P90" s="37">
        <v>0</v>
      </c>
    </row>
    <row r="91" spans="1:16" x14ac:dyDescent="0.25">
      <c r="A91" s="36">
        <v>0.91666666666666696</v>
      </c>
      <c r="B91" s="36">
        <v>0.92708333333333404</v>
      </c>
      <c r="C91" s="37">
        <v>92.825637817382813</v>
      </c>
      <c r="D91" s="37">
        <v>88.633872985839844</v>
      </c>
      <c r="E91" s="37">
        <v>1499.927490234375</v>
      </c>
      <c r="F91" s="37">
        <v>1084.8353271484375</v>
      </c>
      <c r="G91" s="37">
        <v>271.96908569335938</v>
      </c>
      <c r="H91" s="37">
        <v>643.97283935546875</v>
      </c>
      <c r="I91" s="37">
        <v>0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</row>
    <row r="92" spans="1:16" x14ac:dyDescent="0.25">
      <c r="A92" s="39">
        <v>0.92708333333333304</v>
      </c>
      <c r="B92" s="36">
        <v>0.9375</v>
      </c>
      <c r="C92" s="37">
        <v>99.939285278320313</v>
      </c>
      <c r="D92" s="37">
        <v>88.633872985839844</v>
      </c>
      <c r="E92" s="37">
        <v>1331.5267333984375</v>
      </c>
      <c r="F92" s="37">
        <v>1122.5576171875</v>
      </c>
      <c r="G92" s="37">
        <v>284.46072387695313</v>
      </c>
      <c r="H92" s="37">
        <v>649.78515625</v>
      </c>
      <c r="I92" s="37">
        <v>0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0</v>
      </c>
      <c r="P92" s="37">
        <v>0</v>
      </c>
    </row>
    <row r="93" spans="1:16" x14ac:dyDescent="0.25">
      <c r="A93" s="36">
        <v>0.9375</v>
      </c>
      <c r="B93" s="36">
        <v>0.94791666666666696</v>
      </c>
      <c r="C93" s="37">
        <v>100.79907989501953</v>
      </c>
      <c r="D93" s="37">
        <v>96.835807800292969</v>
      </c>
      <c r="E93" s="37">
        <v>1295.4930419921875</v>
      </c>
      <c r="F93" s="37">
        <v>1344.841796875</v>
      </c>
      <c r="G93" s="37">
        <v>463.08868408203125</v>
      </c>
      <c r="H93" s="37">
        <v>662.2938232421875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</row>
    <row r="94" spans="1:16" x14ac:dyDescent="0.25">
      <c r="A94" s="39">
        <v>0.94791666666666696</v>
      </c>
      <c r="B94" s="36">
        <v>0.95833333333333404</v>
      </c>
      <c r="C94" s="37">
        <v>98.751075744628906</v>
      </c>
      <c r="D94" s="37">
        <v>96.634262084960938</v>
      </c>
      <c r="E94" s="37">
        <v>1288.8695068359375</v>
      </c>
      <c r="F94" s="37">
        <v>1334.43359375</v>
      </c>
      <c r="G94" s="37">
        <v>449.236572265625</v>
      </c>
      <c r="H94" s="37">
        <v>659.57763671875</v>
      </c>
      <c r="I94" s="37">
        <v>0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</row>
    <row r="95" spans="1:16" x14ac:dyDescent="0.25">
      <c r="A95" s="36">
        <v>0.95833333333333304</v>
      </c>
      <c r="B95" s="36">
        <v>0.96875</v>
      </c>
      <c r="C95" s="37">
        <v>99.522178649902344</v>
      </c>
      <c r="D95" s="37">
        <v>94.66241455078125</v>
      </c>
      <c r="E95" s="37">
        <v>1300.11083984375</v>
      </c>
      <c r="F95" s="37">
        <v>1277.78662109375</v>
      </c>
      <c r="G95" s="37">
        <v>389.86578369140625</v>
      </c>
      <c r="H95" s="37">
        <v>656.8099365234375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0</v>
      </c>
      <c r="P95" s="37">
        <v>0</v>
      </c>
    </row>
    <row r="96" spans="1:16" x14ac:dyDescent="0.25">
      <c r="A96" s="39">
        <v>0.96875</v>
      </c>
      <c r="B96" s="36">
        <v>0.97916666666666696</v>
      </c>
      <c r="C96" s="37">
        <v>96.570106506347656</v>
      </c>
      <c r="D96" s="37">
        <v>95.38330078125</v>
      </c>
      <c r="E96" s="37">
        <v>1314.1474609375</v>
      </c>
      <c r="F96" s="37">
        <v>1290.86279296875</v>
      </c>
      <c r="G96" s="37">
        <v>411.81143188476563</v>
      </c>
      <c r="H96" s="37">
        <v>658.7879638671875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</row>
    <row r="97" spans="1:16" x14ac:dyDescent="0.25">
      <c r="A97" s="36">
        <v>0.97916666666666696</v>
      </c>
      <c r="B97" s="36">
        <v>0.98958333333333404</v>
      </c>
      <c r="C97" s="37">
        <v>89.794227600097656</v>
      </c>
      <c r="D97" s="37">
        <v>92.431686401367188</v>
      </c>
      <c r="E97" s="37">
        <v>1325.57666015625</v>
      </c>
      <c r="F97" s="37">
        <v>1180.7008056640625</v>
      </c>
      <c r="G97" s="37">
        <v>333.89126586914063</v>
      </c>
      <c r="H97" s="37">
        <v>651.71246337890625</v>
      </c>
      <c r="I97" s="37">
        <v>0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</row>
    <row r="98" spans="1:16" x14ac:dyDescent="0.25">
      <c r="A98" s="39">
        <v>0.98958333333333304</v>
      </c>
      <c r="B98" s="36">
        <v>1</v>
      </c>
      <c r="C98" s="37">
        <v>84.653244018554688</v>
      </c>
      <c r="D98" s="37">
        <v>86.159019470214844</v>
      </c>
      <c r="E98" s="37">
        <v>1222.044677734375</v>
      </c>
      <c r="F98" s="37">
        <v>1080.6640625</v>
      </c>
      <c r="G98" s="37">
        <v>250.99491882324219</v>
      </c>
      <c r="H98" s="37">
        <v>648.39727783203125</v>
      </c>
      <c r="I98" s="37">
        <v>0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</row>
  </sheetData>
  <mergeCells count="1">
    <mergeCell ref="A2:B2"/>
  </mergeCells>
  <pageMargins left="0.7" right="0.7" top="0.75" bottom="0.75" header="0.3" footer="0.3"/>
  <headerFooter>
    <oddHeader>&amp;C&amp;"Calibri"&amp;10&amp;KFF0000 CONFIDENTIAL&amp;1#_x000D_</oddHead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13"/>
  <dimension ref="A1:P98"/>
  <sheetViews>
    <sheetView workbookViewId="0">
      <selection activeCell="Q1" sqref="Q1:XFD1048576"/>
    </sheetView>
  </sheetViews>
  <sheetFormatPr defaultColWidth="8.54296875" defaultRowHeight="12.5" x14ac:dyDescent="0.25"/>
  <cols>
    <col min="1" max="1" width="17.453125" customWidth="1"/>
    <col min="2" max="16" width="11.1796875" customWidth="1"/>
  </cols>
  <sheetData>
    <row r="1" spans="1:16" ht="52.5" customHeight="1" thickBot="1" x14ac:dyDescent="0.3">
      <c r="A1" s="34" t="s">
        <v>56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26" x14ac:dyDescent="0.3">
      <c r="A2" s="341">
        <f>Hourly_kWh!A6</f>
        <v>45838.291666666664</v>
      </c>
      <c r="B2" s="342"/>
      <c r="C2" s="38" t="str">
        <f>'Feeder Names'!E3</f>
        <v>HT.GRID_VCB</v>
      </c>
      <c r="D2" s="38" t="str">
        <f>'Feeder Names'!F3</f>
        <v>HT.TRAFO-1</v>
      </c>
      <c r="E2" s="38" t="str">
        <f>'Feeder Names'!G3</f>
        <v>HT.TRAFO-2</v>
      </c>
      <c r="F2" s="38" t="str">
        <f>'Feeder Names'!H3</f>
        <v>HT.TRAFO-3</v>
      </c>
      <c r="G2" s="38" t="str">
        <f>'Feeder Names'!I3</f>
        <v>HT.TRAFO-4</v>
      </c>
      <c r="H2" s="38" t="str">
        <f>'Feeder Names'!J3</f>
        <v>DG.DG_INC</v>
      </c>
      <c r="I2" s="38" t="str">
        <f>'Feeder Names'!K3</f>
        <v>DG.DG-1</v>
      </c>
      <c r="J2" s="38" t="str">
        <f>'Feeder Names'!L3</f>
        <v>DG.DG-2</v>
      </c>
      <c r="K2" s="38" t="str">
        <f>'Feeder Names'!M3</f>
        <v>DG.DG-3</v>
      </c>
      <c r="L2" s="38" t="str">
        <f>'Feeder Names'!N3</f>
        <v>DG.GD-4</v>
      </c>
      <c r="M2" s="38" t="str">
        <f>'Feeder Names'!O3</f>
        <v>DG.DG-5</v>
      </c>
      <c r="N2" s="38" t="str">
        <f>'Feeder Names'!P3</f>
        <v>DG.VCB_OUTGOING</v>
      </c>
      <c r="O2" s="38" t="str">
        <f>'Feeder Names'!Q3</f>
        <v>SOLAR.SOLAR-1</v>
      </c>
      <c r="P2" s="38" t="str">
        <f>'Feeder Names'!R3</f>
        <v>SOLAR.SOLAR-2</v>
      </c>
    </row>
    <row r="3" spans="1:16" x14ac:dyDescent="0.25">
      <c r="A3" s="41">
        <v>0</v>
      </c>
      <c r="B3" s="42">
        <v>1.0416666666666666E-2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</row>
    <row r="4" spans="1:16" x14ac:dyDescent="0.25">
      <c r="A4" s="43">
        <v>1.0416666666666666E-2</v>
      </c>
      <c r="B4" s="42">
        <v>2.0833333333333332E-2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</row>
    <row r="5" spans="1:16" x14ac:dyDescent="0.25">
      <c r="A5" s="41">
        <v>2.0833333333333301E-2</v>
      </c>
      <c r="B5" s="42">
        <v>3.125E-2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</row>
    <row r="6" spans="1:16" x14ac:dyDescent="0.25">
      <c r="A6" s="43">
        <v>3.125E-2</v>
      </c>
      <c r="B6" s="42">
        <v>4.1666666666666699E-2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0</v>
      </c>
      <c r="P6" s="37">
        <v>0</v>
      </c>
    </row>
    <row r="7" spans="1:16" x14ac:dyDescent="0.25">
      <c r="A7" s="41">
        <v>4.1666666666666699E-2</v>
      </c>
      <c r="B7" s="42">
        <v>5.2083333333333398E-2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</row>
    <row r="8" spans="1:16" x14ac:dyDescent="0.25">
      <c r="A8" s="43">
        <v>5.2083333333333301E-2</v>
      </c>
      <c r="B8" s="42">
        <v>6.25E-2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</row>
    <row r="9" spans="1:16" x14ac:dyDescent="0.25">
      <c r="A9" s="41">
        <v>6.25E-2</v>
      </c>
      <c r="B9" s="42">
        <v>7.2916666666666699E-2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</row>
    <row r="10" spans="1:16" x14ac:dyDescent="0.25">
      <c r="A10" s="43">
        <v>7.2916666666666699E-2</v>
      </c>
      <c r="B10" s="42">
        <v>8.3333333333333398E-2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0</v>
      </c>
      <c r="P10" s="37">
        <v>0</v>
      </c>
    </row>
    <row r="11" spans="1:16" x14ac:dyDescent="0.25">
      <c r="A11" s="41">
        <v>8.3333333333333301E-2</v>
      </c>
      <c r="B11" s="42">
        <v>9.375E-2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0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</row>
    <row r="12" spans="1:16" x14ac:dyDescent="0.25">
      <c r="A12" s="43">
        <v>9.375E-2</v>
      </c>
      <c r="B12" s="42">
        <v>0.104166666666667</v>
      </c>
      <c r="C12" s="37">
        <v>0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0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0</v>
      </c>
      <c r="P12" s="37">
        <v>0</v>
      </c>
    </row>
    <row r="13" spans="1:16" x14ac:dyDescent="0.25">
      <c r="A13" s="41">
        <v>0.104166666666667</v>
      </c>
      <c r="B13" s="42">
        <v>0.11458333333333399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</row>
    <row r="14" spans="1:16" x14ac:dyDescent="0.25">
      <c r="A14" s="43">
        <v>0.114583333333333</v>
      </c>
      <c r="B14" s="42">
        <v>0.125</v>
      </c>
      <c r="C14" s="37">
        <v>0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0</v>
      </c>
      <c r="J14" s="37">
        <v>0</v>
      </c>
      <c r="K14" s="37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</row>
    <row r="15" spans="1:16" x14ac:dyDescent="0.25">
      <c r="A15" s="41">
        <v>0.125</v>
      </c>
      <c r="B15" s="42">
        <v>0.13541666666666699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</row>
    <row r="16" spans="1:16" x14ac:dyDescent="0.25">
      <c r="A16" s="43">
        <v>0.13541666666666699</v>
      </c>
      <c r="B16" s="42">
        <v>0.14583333333333401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</row>
    <row r="17" spans="1:16" x14ac:dyDescent="0.25">
      <c r="A17" s="41">
        <v>0.14583333333333301</v>
      </c>
      <c r="B17" s="42">
        <v>0.15625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37">
        <v>0</v>
      </c>
    </row>
    <row r="18" spans="1:16" x14ac:dyDescent="0.25">
      <c r="A18" s="43">
        <v>0.15625</v>
      </c>
      <c r="B18" s="42">
        <v>0.16666666666666699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0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</row>
    <row r="19" spans="1:16" x14ac:dyDescent="0.25">
      <c r="A19" s="41">
        <v>0.16666666666666699</v>
      </c>
      <c r="B19" s="42">
        <v>0.17708333333333401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0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0</v>
      </c>
      <c r="P19" s="37">
        <v>0</v>
      </c>
    </row>
    <row r="20" spans="1:16" x14ac:dyDescent="0.25">
      <c r="A20" s="43">
        <v>0.17708333333333301</v>
      </c>
      <c r="B20" s="42">
        <v>0.1875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</row>
    <row r="21" spans="1:16" x14ac:dyDescent="0.25">
      <c r="A21" s="41">
        <v>0.1875</v>
      </c>
      <c r="B21" s="42">
        <v>0.19791666666666699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</row>
    <row r="22" spans="1:16" x14ac:dyDescent="0.25">
      <c r="A22" s="43">
        <v>0.19791666666666699</v>
      </c>
      <c r="B22" s="42">
        <v>0.20833333333333401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</row>
    <row r="23" spans="1:16" x14ac:dyDescent="0.25">
      <c r="A23" s="41">
        <v>0.20833333333333301</v>
      </c>
      <c r="B23" s="42">
        <v>0.21875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</row>
    <row r="24" spans="1:16" x14ac:dyDescent="0.25">
      <c r="A24" s="43">
        <v>0.21875</v>
      </c>
      <c r="B24" s="42">
        <v>0.22916666666666699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</row>
    <row r="25" spans="1:16" x14ac:dyDescent="0.25">
      <c r="A25" s="41">
        <v>0.22916666666666699</v>
      </c>
      <c r="B25" s="42">
        <v>0.23958333333333401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</row>
    <row r="26" spans="1:16" x14ac:dyDescent="0.25">
      <c r="A26" s="43">
        <v>0.23958333333333301</v>
      </c>
      <c r="B26" s="42">
        <v>0.25</v>
      </c>
      <c r="C26" s="37">
        <v>0</v>
      </c>
      <c r="D26" s="37">
        <v>0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</row>
    <row r="27" spans="1:16" x14ac:dyDescent="0.25">
      <c r="A27" s="41">
        <v>0.25</v>
      </c>
      <c r="B27" s="42">
        <v>0.26041666666666702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</row>
    <row r="28" spans="1:16" x14ac:dyDescent="0.25">
      <c r="A28" s="43">
        <v>0.26041666666666702</v>
      </c>
      <c r="B28" s="42">
        <v>0.27083333333333398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</row>
    <row r="29" spans="1:16" x14ac:dyDescent="0.25">
      <c r="A29" s="41">
        <v>0.27083333333333298</v>
      </c>
      <c r="B29" s="42">
        <v>0.28125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</row>
    <row r="30" spans="1:16" x14ac:dyDescent="0.25">
      <c r="A30" s="43">
        <v>0.28125</v>
      </c>
      <c r="B30" s="42">
        <v>0.29166666666666702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</row>
    <row r="31" spans="1:16" x14ac:dyDescent="0.25">
      <c r="A31" s="41">
        <v>0.29166666666666702</v>
      </c>
      <c r="B31" s="42">
        <v>0.30208333333333398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</row>
    <row r="32" spans="1:16" x14ac:dyDescent="0.25">
      <c r="A32" s="43">
        <v>0.30208333333333298</v>
      </c>
      <c r="B32" s="42">
        <v>0.3125</v>
      </c>
      <c r="C32" s="37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0</v>
      </c>
      <c r="P32" s="37">
        <v>0</v>
      </c>
    </row>
    <row r="33" spans="1:16" x14ac:dyDescent="0.25">
      <c r="A33" s="41">
        <v>0.3125</v>
      </c>
      <c r="B33" s="42">
        <v>0.32291666666666702</v>
      </c>
      <c r="C33" s="37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0</v>
      </c>
      <c r="P33" s="37">
        <v>0</v>
      </c>
    </row>
    <row r="34" spans="1:16" x14ac:dyDescent="0.25">
      <c r="A34" s="43">
        <v>0.32291666666666702</v>
      </c>
      <c r="B34" s="42">
        <v>0.33333333333333398</v>
      </c>
      <c r="C34" s="37">
        <v>0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  <c r="P34" s="37">
        <v>0</v>
      </c>
    </row>
    <row r="35" spans="1:16" x14ac:dyDescent="0.25">
      <c r="A35" s="41">
        <v>0.33333333333333298</v>
      </c>
      <c r="B35" s="42">
        <v>0.34375</v>
      </c>
      <c r="C35" s="37">
        <v>0</v>
      </c>
      <c r="D35" s="37">
        <v>0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</row>
    <row r="36" spans="1:16" x14ac:dyDescent="0.25">
      <c r="A36" s="43">
        <v>0.34375</v>
      </c>
      <c r="B36" s="42">
        <v>0.35416666666666702</v>
      </c>
      <c r="C36" s="37">
        <v>0</v>
      </c>
      <c r="D36" s="37">
        <v>0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  <c r="P36" s="37">
        <v>0</v>
      </c>
    </row>
    <row r="37" spans="1:16" x14ac:dyDescent="0.25">
      <c r="A37" s="41">
        <v>0.35416666666666702</v>
      </c>
      <c r="B37" s="42">
        <v>0.36458333333333398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</row>
    <row r="38" spans="1:16" x14ac:dyDescent="0.25">
      <c r="A38" s="43">
        <v>0.36458333333333298</v>
      </c>
      <c r="B38" s="42">
        <v>0.375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</row>
    <row r="39" spans="1:16" x14ac:dyDescent="0.25">
      <c r="A39" s="41">
        <v>0.375</v>
      </c>
      <c r="B39" s="42">
        <v>0.38541666666666702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0</v>
      </c>
      <c r="P39" s="37">
        <v>0</v>
      </c>
    </row>
    <row r="40" spans="1:16" x14ac:dyDescent="0.25">
      <c r="A40" s="43">
        <v>0.38541666666666702</v>
      </c>
      <c r="B40" s="42">
        <v>0.39583333333333398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</row>
    <row r="41" spans="1:16" x14ac:dyDescent="0.25">
      <c r="A41" s="41">
        <v>0.39583333333333298</v>
      </c>
      <c r="B41" s="42">
        <v>0.40625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</row>
    <row r="42" spans="1:16" x14ac:dyDescent="0.25">
      <c r="A42" s="43">
        <v>0.40625</v>
      </c>
      <c r="B42" s="42">
        <v>0.41666666666666702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</row>
    <row r="43" spans="1:16" x14ac:dyDescent="0.25">
      <c r="A43" s="41">
        <v>0.41666666666666702</v>
      </c>
      <c r="B43" s="42">
        <v>0.42708333333333398</v>
      </c>
      <c r="C43" s="37">
        <v>0</v>
      </c>
      <c r="D43" s="37">
        <v>0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</row>
    <row r="44" spans="1:16" x14ac:dyDescent="0.25">
      <c r="A44" s="43">
        <v>0.42708333333333298</v>
      </c>
      <c r="B44" s="42">
        <v>0.4375</v>
      </c>
      <c r="C44" s="37">
        <v>0</v>
      </c>
      <c r="D44" s="37">
        <v>0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</row>
    <row r="45" spans="1:16" x14ac:dyDescent="0.25">
      <c r="A45" s="41">
        <v>0.4375</v>
      </c>
      <c r="B45" s="42">
        <v>0.44791666666666702</v>
      </c>
      <c r="C45" s="37">
        <v>0</v>
      </c>
      <c r="D45" s="37">
        <v>0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0</v>
      </c>
      <c r="P45" s="37">
        <v>0</v>
      </c>
    </row>
    <row r="46" spans="1:16" x14ac:dyDescent="0.25">
      <c r="A46" s="43">
        <v>0.44791666666666702</v>
      </c>
      <c r="B46" s="42">
        <v>0.45833333333333398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</row>
    <row r="47" spans="1:16" x14ac:dyDescent="0.25">
      <c r="A47" s="41">
        <v>0.45833333333333298</v>
      </c>
      <c r="B47" s="42">
        <v>0.46875</v>
      </c>
      <c r="C47" s="37">
        <v>0</v>
      </c>
      <c r="D47" s="37">
        <v>0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</row>
    <row r="48" spans="1:16" x14ac:dyDescent="0.25">
      <c r="A48" s="43">
        <v>0.46875</v>
      </c>
      <c r="B48" s="42">
        <v>0.47916666666666702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</row>
    <row r="49" spans="1:16" x14ac:dyDescent="0.25">
      <c r="A49" s="41">
        <v>0.47916666666666702</v>
      </c>
      <c r="B49" s="42">
        <v>0.48958333333333398</v>
      </c>
      <c r="C49" s="37">
        <v>0</v>
      </c>
      <c r="D49" s="37">
        <v>0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</row>
    <row r="50" spans="1:16" x14ac:dyDescent="0.25">
      <c r="A50" s="43">
        <v>0.48958333333333298</v>
      </c>
      <c r="B50" s="42">
        <v>0.5</v>
      </c>
      <c r="C50" s="37">
        <v>0</v>
      </c>
      <c r="D50" s="37">
        <v>0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</row>
    <row r="51" spans="1:16" x14ac:dyDescent="0.25">
      <c r="A51" s="41">
        <v>0.5</v>
      </c>
      <c r="B51" s="42">
        <v>0.51041666666666696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</row>
    <row r="52" spans="1:16" x14ac:dyDescent="0.25">
      <c r="A52" s="43">
        <v>0.51041666666666696</v>
      </c>
      <c r="B52" s="42">
        <v>0.52083333333333404</v>
      </c>
      <c r="C52" s="37">
        <v>0</v>
      </c>
      <c r="D52" s="37">
        <v>0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</row>
    <row r="53" spans="1:16" x14ac:dyDescent="0.25">
      <c r="A53" s="41">
        <v>0.52083333333333304</v>
      </c>
      <c r="B53" s="42">
        <v>0.53125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</row>
    <row r="54" spans="1:16" x14ac:dyDescent="0.25">
      <c r="A54" s="43">
        <v>0.53125</v>
      </c>
      <c r="B54" s="42">
        <v>0.54166666666666696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</row>
    <row r="55" spans="1:16" x14ac:dyDescent="0.25">
      <c r="A55" s="41">
        <v>0.54166666666666696</v>
      </c>
      <c r="B55" s="42">
        <v>0.55208333333333404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</row>
    <row r="56" spans="1:16" x14ac:dyDescent="0.25">
      <c r="A56" s="43">
        <v>0.55208333333333304</v>
      </c>
      <c r="B56" s="42">
        <v>0.5625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</row>
    <row r="57" spans="1:16" x14ac:dyDescent="0.25">
      <c r="A57" s="41">
        <v>0.5625</v>
      </c>
      <c r="B57" s="42">
        <v>0.57291666666666696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</row>
    <row r="58" spans="1:16" x14ac:dyDescent="0.25">
      <c r="A58" s="43">
        <v>0.57291666666666696</v>
      </c>
      <c r="B58" s="42">
        <v>0.58333333333333404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</row>
    <row r="59" spans="1:16" x14ac:dyDescent="0.25">
      <c r="A59" s="41">
        <v>0.58333333333333304</v>
      </c>
      <c r="B59" s="42">
        <v>0.59375</v>
      </c>
      <c r="C59" s="37">
        <v>0</v>
      </c>
      <c r="D59" s="37">
        <v>0</v>
      </c>
      <c r="E59" s="37">
        <v>0</v>
      </c>
      <c r="F59" s="37">
        <v>0</v>
      </c>
      <c r="G59" s="37">
        <v>0</v>
      </c>
      <c r="H59" s="37">
        <v>0</v>
      </c>
      <c r="I59" s="37">
        <v>0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0</v>
      </c>
      <c r="P59" s="37">
        <v>0</v>
      </c>
    </row>
    <row r="60" spans="1:16" x14ac:dyDescent="0.25">
      <c r="A60" s="43">
        <v>0.59375</v>
      </c>
      <c r="B60" s="42">
        <v>0.60416666666666696</v>
      </c>
      <c r="C60" s="37">
        <v>0</v>
      </c>
      <c r="D60" s="37">
        <v>0</v>
      </c>
      <c r="E60" s="37">
        <v>0</v>
      </c>
      <c r="F60" s="37">
        <v>0</v>
      </c>
      <c r="G60" s="37">
        <v>0</v>
      </c>
      <c r="H60" s="37">
        <v>0</v>
      </c>
      <c r="I60" s="37">
        <v>0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</row>
    <row r="61" spans="1:16" x14ac:dyDescent="0.25">
      <c r="A61" s="41">
        <v>0.60416666666666696</v>
      </c>
      <c r="B61" s="42">
        <v>0.61458333333333404</v>
      </c>
      <c r="C61" s="37">
        <v>0</v>
      </c>
      <c r="D61" s="37">
        <v>0</v>
      </c>
      <c r="E61" s="37">
        <v>0</v>
      </c>
      <c r="F61" s="37">
        <v>0</v>
      </c>
      <c r="G61" s="37">
        <v>0</v>
      </c>
      <c r="H61" s="37">
        <v>0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</row>
    <row r="62" spans="1:16" x14ac:dyDescent="0.25">
      <c r="A62" s="43">
        <v>0.61458333333333304</v>
      </c>
      <c r="B62" s="42">
        <v>0.625</v>
      </c>
      <c r="C62" s="37">
        <v>0</v>
      </c>
      <c r="D62" s="37">
        <v>0</v>
      </c>
      <c r="E62" s="37">
        <v>0</v>
      </c>
      <c r="F62" s="37">
        <v>0</v>
      </c>
      <c r="G62" s="37">
        <v>0</v>
      </c>
      <c r="H62" s="37">
        <v>0</v>
      </c>
      <c r="I62" s="37">
        <v>0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</row>
    <row r="63" spans="1:16" x14ac:dyDescent="0.25">
      <c r="A63" s="41">
        <v>0.625</v>
      </c>
      <c r="B63" s="42">
        <v>0.63541666666666696</v>
      </c>
      <c r="C63" s="37">
        <v>0</v>
      </c>
      <c r="D63" s="37">
        <v>0</v>
      </c>
      <c r="E63" s="37">
        <v>0</v>
      </c>
      <c r="F63" s="37">
        <v>0</v>
      </c>
      <c r="G63" s="37">
        <v>0</v>
      </c>
      <c r="H63" s="37">
        <v>0</v>
      </c>
      <c r="I63" s="37">
        <v>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</row>
    <row r="64" spans="1:16" x14ac:dyDescent="0.25">
      <c r="A64" s="43">
        <v>0.63541666666666696</v>
      </c>
      <c r="B64" s="42">
        <v>0.64583333333333404</v>
      </c>
      <c r="C64" s="37">
        <v>0</v>
      </c>
      <c r="D64" s="37">
        <v>0</v>
      </c>
      <c r="E64" s="37">
        <v>0</v>
      </c>
      <c r="F64" s="37">
        <v>0</v>
      </c>
      <c r="G64" s="37">
        <v>0</v>
      </c>
      <c r="H64" s="37">
        <v>0</v>
      </c>
      <c r="I64" s="37">
        <v>0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</row>
    <row r="65" spans="1:16" x14ac:dyDescent="0.25">
      <c r="A65" s="41">
        <v>0.64583333333333304</v>
      </c>
      <c r="B65" s="42">
        <v>0.65625</v>
      </c>
      <c r="C65" s="37">
        <v>0</v>
      </c>
      <c r="D65" s="37">
        <v>0</v>
      </c>
      <c r="E65" s="37">
        <v>0</v>
      </c>
      <c r="F65" s="37">
        <v>0</v>
      </c>
      <c r="G65" s="37">
        <v>0</v>
      </c>
      <c r="H65" s="37">
        <v>0</v>
      </c>
      <c r="I65" s="37">
        <v>0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</row>
    <row r="66" spans="1:16" x14ac:dyDescent="0.25">
      <c r="A66" s="43">
        <v>0.65625</v>
      </c>
      <c r="B66" s="42">
        <v>0.66666666666666696</v>
      </c>
      <c r="C66" s="37">
        <v>0</v>
      </c>
      <c r="D66" s="37">
        <v>0</v>
      </c>
      <c r="E66" s="37">
        <v>0</v>
      </c>
      <c r="F66" s="37">
        <v>0</v>
      </c>
      <c r="G66" s="37">
        <v>0</v>
      </c>
      <c r="H66" s="37">
        <v>0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</row>
    <row r="67" spans="1:16" x14ac:dyDescent="0.25">
      <c r="A67" s="41">
        <v>0.66666666666666696</v>
      </c>
      <c r="B67" s="42">
        <v>0.67708333333333404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</row>
    <row r="68" spans="1:16" x14ac:dyDescent="0.25">
      <c r="A68" s="43">
        <v>0.67708333333333304</v>
      </c>
      <c r="B68" s="42">
        <v>0.6875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</row>
    <row r="69" spans="1:16" x14ac:dyDescent="0.25">
      <c r="A69" s="41">
        <v>0.6875</v>
      </c>
      <c r="B69" s="42">
        <v>0.69791666666666696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</row>
    <row r="70" spans="1:16" x14ac:dyDescent="0.25">
      <c r="A70" s="43">
        <v>0.69791666666666696</v>
      </c>
      <c r="B70" s="42">
        <v>0.70833333333333404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</row>
    <row r="71" spans="1:16" x14ac:dyDescent="0.25">
      <c r="A71" s="41">
        <v>0.70833333333333304</v>
      </c>
      <c r="B71" s="42">
        <v>0.71875</v>
      </c>
      <c r="C71" s="37">
        <v>0</v>
      </c>
      <c r="D71" s="37">
        <v>0</v>
      </c>
      <c r="E71" s="37">
        <v>0</v>
      </c>
      <c r="F71" s="37">
        <v>0</v>
      </c>
      <c r="G71" s="37">
        <v>0</v>
      </c>
      <c r="H71" s="37">
        <v>0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</row>
    <row r="72" spans="1:16" x14ac:dyDescent="0.25">
      <c r="A72" s="43">
        <v>0.71875</v>
      </c>
      <c r="B72" s="42">
        <v>0.72916666666666696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</row>
    <row r="73" spans="1:16" x14ac:dyDescent="0.25">
      <c r="A73" s="41">
        <v>0.72916666666666696</v>
      </c>
      <c r="B73" s="42">
        <v>0.73958333333333404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</row>
    <row r="74" spans="1:16" x14ac:dyDescent="0.25">
      <c r="A74" s="43">
        <v>0.73958333333333304</v>
      </c>
      <c r="B74" s="42">
        <v>0.75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</row>
    <row r="75" spans="1:16" x14ac:dyDescent="0.25">
      <c r="A75" s="41">
        <v>0.75</v>
      </c>
      <c r="B75" s="42">
        <v>0.76041666666666696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</row>
    <row r="76" spans="1:16" x14ac:dyDescent="0.25">
      <c r="A76" s="43">
        <v>0.76041666666666696</v>
      </c>
      <c r="B76" s="42">
        <v>0.77083333333333404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</row>
    <row r="77" spans="1:16" x14ac:dyDescent="0.25">
      <c r="A77" s="41">
        <v>0.77083333333333304</v>
      </c>
      <c r="B77" s="42">
        <v>0.78125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0</v>
      </c>
      <c r="P77" s="37">
        <v>0</v>
      </c>
    </row>
    <row r="78" spans="1:16" x14ac:dyDescent="0.25">
      <c r="A78" s="43">
        <v>0.78125</v>
      </c>
      <c r="B78" s="42">
        <v>0.79166666666666696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</row>
    <row r="79" spans="1:16" x14ac:dyDescent="0.25">
      <c r="A79" s="41">
        <v>0.79166666666666696</v>
      </c>
      <c r="B79" s="42">
        <v>0.80208333333333404</v>
      </c>
      <c r="C79" s="37">
        <v>0</v>
      </c>
      <c r="D79" s="37">
        <v>0</v>
      </c>
      <c r="E79" s="37">
        <v>0</v>
      </c>
      <c r="F79" s="37">
        <v>0</v>
      </c>
      <c r="G79" s="37">
        <v>0</v>
      </c>
      <c r="H79" s="37">
        <v>0</v>
      </c>
      <c r="I79" s="37">
        <v>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</row>
    <row r="80" spans="1:16" x14ac:dyDescent="0.25">
      <c r="A80" s="43">
        <v>0.80208333333333304</v>
      </c>
      <c r="B80" s="42">
        <v>0.8125</v>
      </c>
      <c r="C80" s="37">
        <v>0</v>
      </c>
      <c r="D80" s="37">
        <v>0</v>
      </c>
      <c r="E80" s="37">
        <v>0</v>
      </c>
      <c r="F80" s="37">
        <v>0</v>
      </c>
      <c r="G80" s="37">
        <v>0</v>
      </c>
      <c r="H80" s="37">
        <v>0</v>
      </c>
      <c r="I80" s="37">
        <v>0</v>
      </c>
      <c r="J80" s="37">
        <v>0</v>
      </c>
      <c r="K80" s="37">
        <v>0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</row>
    <row r="81" spans="1:16" x14ac:dyDescent="0.25">
      <c r="A81" s="41">
        <v>0.8125</v>
      </c>
      <c r="B81" s="42">
        <v>0.82291666666666696</v>
      </c>
      <c r="C81" s="37">
        <v>0</v>
      </c>
      <c r="D81" s="37">
        <v>0</v>
      </c>
      <c r="E81" s="37">
        <v>0</v>
      </c>
      <c r="F81" s="37">
        <v>0</v>
      </c>
      <c r="G81" s="37">
        <v>0</v>
      </c>
      <c r="H81" s="37">
        <v>0</v>
      </c>
      <c r="I81" s="37">
        <v>0</v>
      </c>
      <c r="J81" s="37">
        <v>0</v>
      </c>
      <c r="K81" s="37">
        <v>0</v>
      </c>
      <c r="L81" s="37">
        <v>0</v>
      </c>
      <c r="M81" s="37">
        <v>0</v>
      </c>
      <c r="N81" s="37">
        <v>0</v>
      </c>
      <c r="O81" s="37">
        <v>0</v>
      </c>
      <c r="P81" s="37">
        <v>0</v>
      </c>
    </row>
    <row r="82" spans="1:16" x14ac:dyDescent="0.25">
      <c r="A82" s="43">
        <v>0.82291666666666696</v>
      </c>
      <c r="B82" s="42">
        <v>0.83333333333333404</v>
      </c>
      <c r="C82" s="37">
        <v>0</v>
      </c>
      <c r="D82" s="37">
        <v>0</v>
      </c>
      <c r="E82" s="37">
        <v>0</v>
      </c>
      <c r="F82" s="37">
        <v>0</v>
      </c>
      <c r="G82" s="37">
        <v>0</v>
      </c>
      <c r="H82" s="37">
        <v>0</v>
      </c>
      <c r="I82" s="37">
        <v>0</v>
      </c>
      <c r="J82" s="37">
        <v>0</v>
      </c>
      <c r="K82" s="37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</row>
    <row r="83" spans="1:16" x14ac:dyDescent="0.25">
      <c r="A83" s="41">
        <v>0.83333333333333304</v>
      </c>
      <c r="B83" s="42">
        <v>0.84375</v>
      </c>
      <c r="C83" s="37">
        <v>0</v>
      </c>
      <c r="D83" s="37">
        <v>0</v>
      </c>
      <c r="E83" s="37">
        <v>0</v>
      </c>
      <c r="F83" s="37">
        <v>0</v>
      </c>
      <c r="G83" s="37">
        <v>0</v>
      </c>
      <c r="H83" s="37">
        <v>0</v>
      </c>
      <c r="I83" s="37">
        <v>0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0</v>
      </c>
      <c r="P83" s="37">
        <v>0</v>
      </c>
    </row>
    <row r="84" spans="1:16" x14ac:dyDescent="0.25">
      <c r="A84" s="43">
        <v>0.84375</v>
      </c>
      <c r="B84" s="42">
        <v>0.85416666666666696</v>
      </c>
      <c r="C84" s="37">
        <v>0</v>
      </c>
      <c r="D84" s="37">
        <v>0</v>
      </c>
      <c r="E84" s="37">
        <v>0</v>
      </c>
      <c r="F84" s="37">
        <v>0</v>
      </c>
      <c r="G84" s="37">
        <v>0</v>
      </c>
      <c r="H84" s="37">
        <v>0</v>
      </c>
      <c r="I84" s="37">
        <v>0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0</v>
      </c>
      <c r="P84" s="37">
        <v>0</v>
      </c>
    </row>
    <row r="85" spans="1:16" x14ac:dyDescent="0.25">
      <c r="A85" s="41">
        <v>0.85416666666666696</v>
      </c>
      <c r="B85" s="42">
        <v>0.86458333333333404</v>
      </c>
      <c r="C85" s="37">
        <v>0</v>
      </c>
      <c r="D85" s="37">
        <v>0</v>
      </c>
      <c r="E85" s="37">
        <v>0</v>
      </c>
      <c r="F85" s="37">
        <v>0</v>
      </c>
      <c r="G85" s="37">
        <v>0</v>
      </c>
      <c r="H85" s="37">
        <v>0</v>
      </c>
      <c r="I85" s="37">
        <v>0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</row>
    <row r="86" spans="1:16" x14ac:dyDescent="0.25">
      <c r="A86" s="43">
        <v>0.86458333333333304</v>
      </c>
      <c r="B86" s="42">
        <v>0.875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0</v>
      </c>
      <c r="P86" s="37">
        <v>0</v>
      </c>
    </row>
    <row r="87" spans="1:16" x14ac:dyDescent="0.25">
      <c r="A87" s="41">
        <v>0.875</v>
      </c>
      <c r="B87" s="42">
        <v>0.88541666666666696</v>
      </c>
      <c r="C87" s="37">
        <v>0</v>
      </c>
      <c r="D87" s="37">
        <v>0</v>
      </c>
      <c r="E87" s="37">
        <v>0</v>
      </c>
      <c r="F87" s="37">
        <v>0</v>
      </c>
      <c r="G87" s="37">
        <v>0</v>
      </c>
      <c r="H87" s="37">
        <v>0</v>
      </c>
      <c r="I87" s="37">
        <v>0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0</v>
      </c>
      <c r="P87" s="37">
        <v>0</v>
      </c>
    </row>
    <row r="88" spans="1:16" x14ac:dyDescent="0.25">
      <c r="A88" s="43">
        <v>0.88541666666666696</v>
      </c>
      <c r="B88" s="42">
        <v>0.89583333333333404</v>
      </c>
      <c r="C88" s="37">
        <v>0</v>
      </c>
      <c r="D88" s="37">
        <v>0</v>
      </c>
      <c r="E88" s="37">
        <v>0</v>
      </c>
      <c r="F88" s="37">
        <v>0</v>
      </c>
      <c r="G88" s="37">
        <v>0</v>
      </c>
      <c r="H88" s="37">
        <v>0</v>
      </c>
      <c r="I88" s="37">
        <v>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</row>
    <row r="89" spans="1:16" x14ac:dyDescent="0.25">
      <c r="A89" s="41">
        <v>0.89583333333333304</v>
      </c>
      <c r="B89" s="42">
        <v>0.90625</v>
      </c>
      <c r="C89" s="37">
        <v>0</v>
      </c>
      <c r="D89" s="37">
        <v>0</v>
      </c>
      <c r="E89" s="37">
        <v>0</v>
      </c>
      <c r="F89" s="37">
        <v>0</v>
      </c>
      <c r="G89" s="37">
        <v>0</v>
      </c>
      <c r="H89" s="37">
        <v>0</v>
      </c>
      <c r="I89" s="37">
        <v>0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0</v>
      </c>
      <c r="P89" s="37">
        <v>0</v>
      </c>
    </row>
    <row r="90" spans="1:16" x14ac:dyDescent="0.25">
      <c r="A90" s="43">
        <v>0.90625</v>
      </c>
      <c r="B90" s="42">
        <v>0.91666666666666696</v>
      </c>
      <c r="C90" s="37">
        <v>0</v>
      </c>
      <c r="D90" s="37">
        <v>0</v>
      </c>
      <c r="E90" s="37">
        <v>0</v>
      </c>
      <c r="F90" s="37">
        <v>0</v>
      </c>
      <c r="G90" s="37">
        <v>0</v>
      </c>
      <c r="H90" s="37">
        <v>0</v>
      </c>
      <c r="I90" s="37">
        <v>0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0</v>
      </c>
      <c r="P90" s="37">
        <v>0</v>
      </c>
    </row>
    <row r="91" spans="1:16" x14ac:dyDescent="0.25">
      <c r="A91" s="41">
        <v>0.91666666666666696</v>
      </c>
      <c r="B91" s="42">
        <v>0.92708333333333404</v>
      </c>
      <c r="C91" s="37">
        <v>0</v>
      </c>
      <c r="D91" s="37">
        <v>0</v>
      </c>
      <c r="E91" s="37">
        <v>0</v>
      </c>
      <c r="F91" s="37">
        <v>0</v>
      </c>
      <c r="G91" s="37">
        <v>0</v>
      </c>
      <c r="H91" s="37">
        <v>0</v>
      </c>
      <c r="I91" s="37">
        <v>0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</row>
    <row r="92" spans="1:16" x14ac:dyDescent="0.25">
      <c r="A92" s="43">
        <v>0.92708333333333304</v>
      </c>
      <c r="B92" s="42">
        <v>0.9375</v>
      </c>
      <c r="C92" s="37">
        <v>0</v>
      </c>
      <c r="D92" s="37">
        <v>0</v>
      </c>
      <c r="E92" s="37">
        <v>0</v>
      </c>
      <c r="F92" s="37">
        <v>0</v>
      </c>
      <c r="G92" s="37">
        <v>0</v>
      </c>
      <c r="H92" s="37">
        <v>0</v>
      </c>
      <c r="I92" s="37">
        <v>0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0</v>
      </c>
      <c r="P92" s="37">
        <v>0</v>
      </c>
    </row>
    <row r="93" spans="1:16" x14ac:dyDescent="0.25">
      <c r="A93" s="41">
        <v>0.9375</v>
      </c>
      <c r="B93" s="42">
        <v>0.94791666666666696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</row>
    <row r="94" spans="1:16" x14ac:dyDescent="0.25">
      <c r="A94" s="43">
        <v>0.94791666666666696</v>
      </c>
      <c r="B94" s="42">
        <v>0.95833333333333404</v>
      </c>
      <c r="C94" s="37">
        <v>0</v>
      </c>
      <c r="D94" s="37">
        <v>0</v>
      </c>
      <c r="E94" s="37">
        <v>0</v>
      </c>
      <c r="F94" s="37">
        <v>0</v>
      </c>
      <c r="G94" s="37">
        <v>0</v>
      </c>
      <c r="H94" s="37">
        <v>0</v>
      </c>
      <c r="I94" s="37">
        <v>0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</row>
    <row r="95" spans="1:16" x14ac:dyDescent="0.25">
      <c r="A95" s="41">
        <v>0.95833333333333304</v>
      </c>
      <c r="B95" s="42">
        <v>0.96875</v>
      </c>
      <c r="C95" s="37">
        <v>0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0</v>
      </c>
      <c r="P95" s="37">
        <v>0</v>
      </c>
    </row>
    <row r="96" spans="1:16" x14ac:dyDescent="0.25">
      <c r="A96" s="43">
        <v>0.96875</v>
      </c>
      <c r="B96" s="42">
        <v>0.97916666666666696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</row>
    <row r="97" spans="1:16" x14ac:dyDescent="0.25">
      <c r="A97" s="41">
        <v>0.97916666666666696</v>
      </c>
      <c r="B97" s="42">
        <v>0.98958333333333404</v>
      </c>
      <c r="C97" s="37">
        <v>0</v>
      </c>
      <c r="D97" s="37">
        <v>0</v>
      </c>
      <c r="E97" s="37">
        <v>0</v>
      </c>
      <c r="F97" s="37">
        <v>0</v>
      </c>
      <c r="G97" s="37">
        <v>0</v>
      </c>
      <c r="H97" s="37">
        <v>0</v>
      </c>
      <c r="I97" s="37">
        <v>0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</row>
    <row r="98" spans="1:16" x14ac:dyDescent="0.25">
      <c r="A98" s="43">
        <v>0.98958333333333304</v>
      </c>
      <c r="B98" s="42">
        <v>1</v>
      </c>
      <c r="C98" s="37">
        <v>0</v>
      </c>
      <c r="D98" s="37">
        <v>0</v>
      </c>
      <c r="E98" s="37">
        <v>0</v>
      </c>
      <c r="F98" s="37">
        <v>0</v>
      </c>
      <c r="G98" s="37">
        <v>0</v>
      </c>
      <c r="H98" s="37">
        <v>0</v>
      </c>
      <c r="I98" s="37">
        <v>0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</row>
  </sheetData>
  <mergeCells count="1">
    <mergeCell ref="A2:B2"/>
  </mergeCells>
  <pageMargins left="0.7" right="0.7" top="0.75" bottom="0.75" header="0.3" footer="0.3"/>
  <headerFooter>
    <oddHeader>&amp;C&amp;"Calibri"&amp;10&amp;KFF0000 CONFIDENTIAL&amp;1#_x000D_</oddHead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14"/>
  <dimension ref="A1:P98"/>
  <sheetViews>
    <sheetView topLeftCell="A5" workbookViewId="0">
      <selection activeCell="F20" sqref="F20:F27"/>
    </sheetView>
  </sheetViews>
  <sheetFormatPr defaultColWidth="8.54296875" defaultRowHeight="12.5" x14ac:dyDescent="0.25"/>
  <cols>
    <col min="1" max="16" width="11.54296875" customWidth="1"/>
  </cols>
  <sheetData>
    <row r="1" spans="1:16" ht="53.25" customHeight="1" thickBot="1" x14ac:dyDescent="0.3">
      <c r="A1" s="34" t="s">
        <v>57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26" x14ac:dyDescent="0.25">
      <c r="A2" s="341">
        <f>Hourly_kWh!A6</f>
        <v>45838.291666666664</v>
      </c>
      <c r="B2" s="342"/>
      <c r="C2" s="44" t="str">
        <f>'Feeder Names'!E3</f>
        <v>HT.GRID_VCB</v>
      </c>
      <c r="D2" s="44" t="str">
        <f>'Feeder Names'!F3</f>
        <v>HT.TRAFO-1</v>
      </c>
      <c r="E2" s="44" t="str">
        <f>'Feeder Names'!G3</f>
        <v>HT.TRAFO-2</v>
      </c>
      <c r="F2" s="44" t="str">
        <f>'Feeder Names'!H3</f>
        <v>HT.TRAFO-3</v>
      </c>
      <c r="G2" s="44" t="str">
        <f>'Feeder Names'!I3</f>
        <v>HT.TRAFO-4</v>
      </c>
      <c r="H2" s="44" t="str">
        <f>'Feeder Names'!J3</f>
        <v>DG.DG_INC</v>
      </c>
      <c r="I2" s="44" t="str">
        <f>'Feeder Names'!K3</f>
        <v>DG.DG-1</v>
      </c>
      <c r="J2" s="44" t="str">
        <f>'Feeder Names'!L3</f>
        <v>DG.DG-2</v>
      </c>
      <c r="K2" s="44" t="str">
        <f>'Feeder Names'!M3</f>
        <v>DG.DG-3</v>
      </c>
      <c r="L2" s="44" t="str">
        <f>'Feeder Names'!N3</f>
        <v>DG.GD-4</v>
      </c>
      <c r="M2" s="44" t="str">
        <f>'Feeder Names'!O3</f>
        <v>DG.DG-5</v>
      </c>
      <c r="N2" s="44" t="str">
        <f>'Feeder Names'!P3</f>
        <v>DG.VCB_OUTGOING</v>
      </c>
      <c r="O2" s="44" t="str">
        <f>'Feeder Names'!Q3</f>
        <v>SOLAR.SOLAR-1</v>
      </c>
      <c r="P2" s="44" t="str">
        <f>'Feeder Names'!R3</f>
        <v>SOLAR.SOLAR-2</v>
      </c>
    </row>
    <row r="3" spans="1:16" x14ac:dyDescent="0.25">
      <c r="A3" s="41">
        <v>0</v>
      </c>
      <c r="B3" s="42">
        <v>1.0416666666666666E-2</v>
      </c>
      <c r="C3" s="45">
        <v>0</v>
      </c>
      <c r="D3" s="45">
        <v>0</v>
      </c>
      <c r="E3" s="45">
        <v>0</v>
      </c>
      <c r="F3" s="45">
        <v>0</v>
      </c>
      <c r="G3" s="45">
        <v>0</v>
      </c>
      <c r="H3" s="45">
        <v>0</v>
      </c>
      <c r="I3" s="45">
        <v>0</v>
      </c>
      <c r="J3" s="45">
        <v>0</v>
      </c>
      <c r="K3" s="45">
        <v>0</v>
      </c>
      <c r="L3" s="45">
        <v>0</v>
      </c>
      <c r="M3" s="45">
        <v>0</v>
      </c>
      <c r="N3" s="45">
        <v>0</v>
      </c>
      <c r="O3" s="45">
        <v>0</v>
      </c>
      <c r="P3" s="45">
        <v>0</v>
      </c>
    </row>
    <row r="4" spans="1:16" x14ac:dyDescent="0.25">
      <c r="A4" s="43">
        <v>1.0416666666666666E-2</v>
      </c>
      <c r="B4" s="42">
        <v>2.0833333333333332E-2</v>
      </c>
      <c r="C4" s="45">
        <v>0</v>
      </c>
      <c r="D4" s="45">
        <v>0</v>
      </c>
      <c r="E4" s="45">
        <v>0</v>
      </c>
      <c r="F4" s="45">
        <v>0</v>
      </c>
      <c r="G4" s="45">
        <v>0</v>
      </c>
      <c r="H4" s="45">
        <v>0</v>
      </c>
      <c r="I4" s="45">
        <v>0</v>
      </c>
      <c r="J4" s="45">
        <v>0</v>
      </c>
      <c r="K4" s="45">
        <v>0</v>
      </c>
      <c r="L4" s="45">
        <v>0</v>
      </c>
      <c r="M4" s="45">
        <v>0</v>
      </c>
      <c r="N4" s="45">
        <v>0</v>
      </c>
      <c r="O4" s="45">
        <v>0</v>
      </c>
      <c r="P4" s="45">
        <v>0</v>
      </c>
    </row>
    <row r="5" spans="1:16" x14ac:dyDescent="0.25">
      <c r="A5" s="41">
        <v>2.0833333333333301E-2</v>
      </c>
      <c r="B5" s="42">
        <v>3.125E-2</v>
      </c>
      <c r="C5" s="45">
        <v>0</v>
      </c>
      <c r="D5" s="45">
        <v>0</v>
      </c>
      <c r="E5" s="45">
        <v>0</v>
      </c>
      <c r="F5" s="45">
        <v>0</v>
      </c>
      <c r="G5" s="45">
        <v>0</v>
      </c>
      <c r="H5" s="45">
        <v>0</v>
      </c>
      <c r="I5" s="45">
        <v>0</v>
      </c>
      <c r="J5" s="45">
        <v>0</v>
      </c>
      <c r="K5" s="45">
        <v>0</v>
      </c>
      <c r="L5" s="45">
        <v>0</v>
      </c>
      <c r="M5" s="45">
        <v>0</v>
      </c>
      <c r="N5" s="45">
        <v>0</v>
      </c>
      <c r="O5" s="45">
        <v>0</v>
      </c>
      <c r="P5" s="45">
        <v>0</v>
      </c>
    </row>
    <row r="6" spans="1:16" x14ac:dyDescent="0.25">
      <c r="A6" s="43">
        <v>3.125E-2</v>
      </c>
      <c r="B6" s="42">
        <v>4.1666666666666699E-2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45">
        <v>0</v>
      </c>
      <c r="K6" s="45">
        <v>0</v>
      </c>
      <c r="L6" s="45">
        <v>0</v>
      </c>
      <c r="M6" s="45">
        <v>0</v>
      </c>
      <c r="N6" s="45">
        <v>0</v>
      </c>
      <c r="O6" s="45">
        <v>0</v>
      </c>
      <c r="P6" s="45">
        <v>0</v>
      </c>
    </row>
    <row r="7" spans="1:16" x14ac:dyDescent="0.25">
      <c r="A7" s="41">
        <v>4.1666666666666699E-2</v>
      </c>
      <c r="B7" s="42">
        <v>5.2083333333333398E-2</v>
      </c>
      <c r="C7" s="45">
        <v>0</v>
      </c>
      <c r="D7" s="45">
        <v>0</v>
      </c>
      <c r="E7" s="45">
        <v>0</v>
      </c>
      <c r="F7" s="45">
        <v>0</v>
      </c>
      <c r="G7" s="45">
        <v>0</v>
      </c>
      <c r="H7" s="45">
        <v>0</v>
      </c>
      <c r="I7" s="45">
        <v>0</v>
      </c>
      <c r="J7" s="45">
        <v>0</v>
      </c>
      <c r="K7" s="45">
        <v>0</v>
      </c>
      <c r="L7" s="45">
        <v>0</v>
      </c>
      <c r="M7" s="45">
        <v>0</v>
      </c>
      <c r="N7" s="45">
        <v>0</v>
      </c>
      <c r="O7" s="45">
        <v>0</v>
      </c>
      <c r="P7" s="45">
        <v>0</v>
      </c>
    </row>
    <row r="8" spans="1:16" x14ac:dyDescent="0.25">
      <c r="A8" s="43">
        <v>5.2083333333333301E-2</v>
      </c>
      <c r="B8" s="42">
        <v>6.25E-2</v>
      </c>
      <c r="C8" s="45">
        <v>0</v>
      </c>
      <c r="D8" s="45">
        <v>0</v>
      </c>
      <c r="E8" s="45">
        <v>0</v>
      </c>
      <c r="F8" s="45">
        <v>0</v>
      </c>
      <c r="G8" s="45">
        <v>0</v>
      </c>
      <c r="H8" s="45">
        <v>0</v>
      </c>
      <c r="I8" s="45">
        <v>0</v>
      </c>
      <c r="J8" s="45">
        <v>0</v>
      </c>
      <c r="K8" s="45">
        <v>0</v>
      </c>
      <c r="L8" s="45">
        <v>0</v>
      </c>
      <c r="M8" s="45">
        <v>0</v>
      </c>
      <c r="N8" s="45">
        <v>0</v>
      </c>
      <c r="O8" s="45">
        <v>0</v>
      </c>
      <c r="P8" s="45">
        <v>0</v>
      </c>
    </row>
    <row r="9" spans="1:16" x14ac:dyDescent="0.25">
      <c r="A9" s="41">
        <v>6.25E-2</v>
      </c>
      <c r="B9" s="42">
        <v>7.2916666666666699E-2</v>
      </c>
      <c r="C9" s="45">
        <v>0</v>
      </c>
      <c r="D9" s="45">
        <v>0</v>
      </c>
      <c r="E9" s="45">
        <v>0</v>
      </c>
      <c r="F9" s="45">
        <v>0</v>
      </c>
      <c r="G9" s="45">
        <v>0</v>
      </c>
      <c r="H9" s="45">
        <v>0</v>
      </c>
      <c r="I9" s="45">
        <v>0</v>
      </c>
      <c r="J9" s="45">
        <v>0</v>
      </c>
      <c r="K9" s="45">
        <v>0</v>
      </c>
      <c r="L9" s="45">
        <v>0</v>
      </c>
      <c r="M9" s="45">
        <v>0</v>
      </c>
      <c r="N9" s="45">
        <v>0</v>
      </c>
      <c r="O9" s="45">
        <v>0</v>
      </c>
      <c r="P9" s="45">
        <v>0</v>
      </c>
    </row>
    <row r="10" spans="1:16" x14ac:dyDescent="0.25">
      <c r="A10" s="43">
        <v>7.2916666666666699E-2</v>
      </c>
      <c r="B10" s="42">
        <v>8.3333333333333398E-2</v>
      </c>
      <c r="C10" s="45">
        <v>0</v>
      </c>
      <c r="D10" s="45">
        <v>0</v>
      </c>
      <c r="E10" s="45">
        <v>0</v>
      </c>
      <c r="F10" s="45">
        <v>0</v>
      </c>
      <c r="G10" s="45">
        <v>0</v>
      </c>
      <c r="H10" s="45">
        <v>0</v>
      </c>
      <c r="I10" s="45">
        <v>0</v>
      </c>
      <c r="J10" s="45">
        <v>0</v>
      </c>
      <c r="K10" s="45">
        <v>0</v>
      </c>
      <c r="L10" s="45">
        <v>0</v>
      </c>
      <c r="M10" s="45">
        <v>0</v>
      </c>
      <c r="N10" s="45">
        <v>0</v>
      </c>
      <c r="O10" s="45">
        <v>0</v>
      </c>
      <c r="P10" s="45">
        <v>0</v>
      </c>
    </row>
    <row r="11" spans="1:16" x14ac:dyDescent="0.25">
      <c r="A11" s="41">
        <v>8.3333333333333301E-2</v>
      </c>
      <c r="B11" s="42">
        <v>9.375E-2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  <c r="H11" s="45">
        <v>0</v>
      </c>
      <c r="I11" s="45">
        <v>0</v>
      </c>
      <c r="J11" s="45">
        <v>0</v>
      </c>
      <c r="K11" s="45">
        <v>0</v>
      </c>
      <c r="L11" s="45">
        <v>0</v>
      </c>
      <c r="M11" s="45">
        <v>0</v>
      </c>
      <c r="N11" s="45">
        <v>0</v>
      </c>
      <c r="O11" s="45">
        <v>0</v>
      </c>
      <c r="P11" s="45">
        <v>0</v>
      </c>
    </row>
    <row r="12" spans="1:16" x14ac:dyDescent="0.25">
      <c r="A12" s="43">
        <v>9.375E-2</v>
      </c>
      <c r="B12" s="42">
        <v>0.104166666666667</v>
      </c>
      <c r="C12" s="45">
        <v>0</v>
      </c>
      <c r="D12" s="45">
        <v>0</v>
      </c>
      <c r="E12" s="45">
        <v>0</v>
      </c>
      <c r="F12" s="45">
        <v>0</v>
      </c>
      <c r="G12" s="45">
        <v>0</v>
      </c>
      <c r="H12" s="45">
        <v>0</v>
      </c>
      <c r="I12" s="45">
        <v>0</v>
      </c>
      <c r="J12" s="45">
        <v>0</v>
      </c>
      <c r="K12" s="45">
        <v>0</v>
      </c>
      <c r="L12" s="45">
        <v>0</v>
      </c>
      <c r="M12" s="45">
        <v>0</v>
      </c>
      <c r="N12" s="45">
        <v>0</v>
      </c>
      <c r="O12" s="45">
        <v>0</v>
      </c>
      <c r="P12" s="45">
        <v>0</v>
      </c>
    </row>
    <row r="13" spans="1:16" x14ac:dyDescent="0.25">
      <c r="A13" s="41">
        <v>0.104166666666667</v>
      </c>
      <c r="B13" s="42">
        <v>0.11458333333333399</v>
      </c>
      <c r="C13" s="45">
        <v>0</v>
      </c>
      <c r="D13" s="45">
        <v>0</v>
      </c>
      <c r="E13" s="45">
        <v>0</v>
      </c>
      <c r="F13" s="45">
        <v>0</v>
      </c>
      <c r="G13" s="45">
        <v>0</v>
      </c>
      <c r="H13" s="45">
        <v>0</v>
      </c>
      <c r="I13" s="45">
        <v>0</v>
      </c>
      <c r="J13" s="45">
        <v>0</v>
      </c>
      <c r="K13" s="45">
        <v>0</v>
      </c>
      <c r="L13" s="45">
        <v>0</v>
      </c>
      <c r="M13" s="45">
        <v>0</v>
      </c>
      <c r="N13" s="45">
        <v>0</v>
      </c>
      <c r="O13" s="45">
        <v>0</v>
      </c>
      <c r="P13" s="45">
        <v>0</v>
      </c>
    </row>
    <row r="14" spans="1:16" x14ac:dyDescent="0.25">
      <c r="A14" s="43">
        <v>0.114583333333333</v>
      </c>
      <c r="B14" s="42">
        <v>0.125</v>
      </c>
      <c r="C14" s="45">
        <v>0</v>
      </c>
      <c r="D14" s="45">
        <v>0</v>
      </c>
      <c r="E14" s="45">
        <v>0</v>
      </c>
      <c r="F14" s="45">
        <v>0</v>
      </c>
      <c r="G14" s="45">
        <v>0</v>
      </c>
      <c r="H14" s="45">
        <v>0</v>
      </c>
      <c r="I14" s="45">
        <v>0</v>
      </c>
      <c r="J14" s="45">
        <v>0</v>
      </c>
      <c r="K14" s="45">
        <v>0</v>
      </c>
      <c r="L14" s="45">
        <v>0</v>
      </c>
      <c r="M14" s="45">
        <v>0</v>
      </c>
      <c r="N14" s="45">
        <v>0</v>
      </c>
      <c r="O14" s="45">
        <v>0</v>
      </c>
      <c r="P14" s="45">
        <v>0</v>
      </c>
    </row>
    <row r="15" spans="1:16" x14ac:dyDescent="0.25">
      <c r="A15" s="41">
        <v>0.125</v>
      </c>
      <c r="B15" s="42">
        <v>0.13541666666666699</v>
      </c>
      <c r="C15" s="45">
        <v>0</v>
      </c>
      <c r="D15" s="45">
        <v>0</v>
      </c>
      <c r="E15" s="45">
        <v>0</v>
      </c>
      <c r="F15" s="45">
        <v>0</v>
      </c>
      <c r="G15" s="45">
        <v>0</v>
      </c>
      <c r="H15" s="45">
        <v>0</v>
      </c>
      <c r="I15" s="45">
        <v>0</v>
      </c>
      <c r="J15" s="45">
        <v>0</v>
      </c>
      <c r="K15" s="45">
        <v>0</v>
      </c>
      <c r="L15" s="45">
        <v>0</v>
      </c>
      <c r="M15" s="45">
        <v>0</v>
      </c>
      <c r="N15" s="45">
        <v>0</v>
      </c>
      <c r="O15" s="45">
        <v>0</v>
      </c>
      <c r="P15" s="45">
        <v>0</v>
      </c>
    </row>
    <row r="16" spans="1:16" x14ac:dyDescent="0.25">
      <c r="A16" s="43">
        <v>0.13541666666666699</v>
      </c>
      <c r="B16" s="42">
        <v>0.14583333333333401</v>
      </c>
      <c r="C16" s="45">
        <v>0</v>
      </c>
      <c r="D16" s="45">
        <v>0</v>
      </c>
      <c r="E16" s="45">
        <v>0</v>
      </c>
      <c r="F16" s="45">
        <v>0</v>
      </c>
      <c r="G16" s="45">
        <v>0</v>
      </c>
      <c r="H16" s="45">
        <v>0</v>
      </c>
      <c r="I16" s="45">
        <v>0</v>
      </c>
      <c r="J16" s="45">
        <v>0</v>
      </c>
      <c r="K16" s="45">
        <v>0</v>
      </c>
      <c r="L16" s="45">
        <v>0</v>
      </c>
      <c r="M16" s="45">
        <v>0</v>
      </c>
      <c r="N16" s="45">
        <v>0</v>
      </c>
      <c r="O16" s="45">
        <v>0</v>
      </c>
      <c r="P16" s="45">
        <v>0</v>
      </c>
    </row>
    <row r="17" spans="1:16" x14ac:dyDescent="0.25">
      <c r="A17" s="41">
        <v>0.14583333333333301</v>
      </c>
      <c r="B17" s="42">
        <v>0.15625</v>
      </c>
      <c r="C17" s="45">
        <v>0</v>
      </c>
      <c r="D17" s="45">
        <v>0</v>
      </c>
      <c r="E17" s="45">
        <v>0</v>
      </c>
      <c r="F17" s="45">
        <v>0</v>
      </c>
      <c r="G17" s="45">
        <v>0</v>
      </c>
      <c r="H17" s="45">
        <v>0</v>
      </c>
      <c r="I17" s="45">
        <v>0</v>
      </c>
      <c r="J17" s="45">
        <v>0</v>
      </c>
      <c r="K17" s="45">
        <v>0</v>
      </c>
      <c r="L17" s="45">
        <v>0</v>
      </c>
      <c r="M17" s="45">
        <v>0</v>
      </c>
      <c r="N17" s="45">
        <v>0</v>
      </c>
      <c r="O17" s="45">
        <v>0</v>
      </c>
      <c r="P17" s="45">
        <v>0</v>
      </c>
    </row>
    <row r="18" spans="1:16" x14ac:dyDescent="0.25">
      <c r="A18" s="43">
        <v>0.15625</v>
      </c>
      <c r="B18" s="42">
        <v>0.16666666666666699</v>
      </c>
      <c r="C18" s="45">
        <v>0</v>
      </c>
      <c r="D18" s="45">
        <v>0</v>
      </c>
      <c r="E18" s="45">
        <v>0</v>
      </c>
      <c r="F18" s="45">
        <v>0</v>
      </c>
      <c r="G18" s="45">
        <v>0</v>
      </c>
      <c r="H18" s="45">
        <v>0</v>
      </c>
      <c r="I18" s="45">
        <v>0</v>
      </c>
      <c r="J18" s="45">
        <v>0</v>
      </c>
      <c r="K18" s="45">
        <v>0</v>
      </c>
      <c r="L18" s="45">
        <v>0</v>
      </c>
      <c r="M18" s="45">
        <v>0</v>
      </c>
      <c r="N18" s="45">
        <v>0</v>
      </c>
      <c r="O18" s="45">
        <v>0</v>
      </c>
      <c r="P18" s="45">
        <v>0</v>
      </c>
    </row>
    <row r="19" spans="1:16" x14ac:dyDescent="0.25">
      <c r="A19" s="41">
        <v>0.16666666666666699</v>
      </c>
      <c r="B19" s="42">
        <v>0.17708333333333401</v>
      </c>
      <c r="C19" s="45">
        <v>0</v>
      </c>
      <c r="D19" s="45">
        <v>0</v>
      </c>
      <c r="E19" s="45">
        <v>0</v>
      </c>
      <c r="F19" s="45">
        <v>0</v>
      </c>
      <c r="G19" s="45">
        <v>0</v>
      </c>
      <c r="H19" s="45">
        <v>0</v>
      </c>
      <c r="I19" s="45">
        <v>0</v>
      </c>
      <c r="J19" s="45">
        <v>0</v>
      </c>
      <c r="K19" s="45">
        <v>0</v>
      </c>
      <c r="L19" s="45">
        <v>0</v>
      </c>
      <c r="M19" s="45">
        <v>0</v>
      </c>
      <c r="N19" s="45">
        <v>0</v>
      </c>
      <c r="O19" s="45">
        <v>0</v>
      </c>
      <c r="P19" s="45">
        <v>0</v>
      </c>
    </row>
    <row r="20" spans="1:16" x14ac:dyDescent="0.25">
      <c r="A20" s="43">
        <v>0.17708333333333301</v>
      </c>
      <c r="B20" s="42">
        <v>0.1875</v>
      </c>
      <c r="C20" s="45">
        <v>0</v>
      </c>
      <c r="D20" s="45">
        <v>0</v>
      </c>
      <c r="E20" s="45">
        <v>0</v>
      </c>
      <c r="F20" s="45">
        <v>0</v>
      </c>
      <c r="G20" s="45">
        <v>0</v>
      </c>
      <c r="H20" s="45">
        <v>0</v>
      </c>
      <c r="I20" s="45">
        <v>0</v>
      </c>
      <c r="J20" s="45">
        <v>0</v>
      </c>
      <c r="K20" s="45">
        <v>0</v>
      </c>
      <c r="L20" s="45">
        <v>0</v>
      </c>
      <c r="M20" s="45">
        <v>0</v>
      </c>
      <c r="N20" s="45">
        <v>0</v>
      </c>
      <c r="O20" s="45">
        <v>0</v>
      </c>
      <c r="P20" s="45">
        <v>0</v>
      </c>
    </row>
    <row r="21" spans="1:16" x14ac:dyDescent="0.25">
      <c r="A21" s="41">
        <v>0.1875</v>
      </c>
      <c r="B21" s="42">
        <v>0.19791666666666699</v>
      </c>
      <c r="C21" s="45">
        <v>0</v>
      </c>
      <c r="D21" s="45">
        <v>0</v>
      </c>
      <c r="E21" s="45">
        <v>0</v>
      </c>
      <c r="F21" s="45">
        <v>0</v>
      </c>
      <c r="G21" s="45">
        <v>0</v>
      </c>
      <c r="H21" s="45">
        <v>0</v>
      </c>
      <c r="I21" s="45">
        <v>0</v>
      </c>
      <c r="J21" s="45">
        <v>0</v>
      </c>
      <c r="K21" s="45">
        <v>0</v>
      </c>
      <c r="L21" s="45">
        <v>0</v>
      </c>
      <c r="M21" s="45">
        <v>0</v>
      </c>
      <c r="N21" s="45">
        <v>0</v>
      </c>
      <c r="O21" s="45">
        <v>0</v>
      </c>
      <c r="P21" s="45">
        <v>0</v>
      </c>
    </row>
    <row r="22" spans="1:16" x14ac:dyDescent="0.25">
      <c r="A22" s="43">
        <v>0.19791666666666699</v>
      </c>
      <c r="B22" s="42">
        <v>0.20833333333333401</v>
      </c>
      <c r="C22" s="45">
        <v>0</v>
      </c>
      <c r="D22" s="45">
        <v>0</v>
      </c>
      <c r="E22" s="45">
        <v>0</v>
      </c>
      <c r="F22" s="45">
        <v>0</v>
      </c>
      <c r="G22" s="45">
        <v>0</v>
      </c>
      <c r="H22" s="45">
        <v>0</v>
      </c>
      <c r="I22" s="45">
        <v>0</v>
      </c>
      <c r="J22" s="45">
        <v>0</v>
      </c>
      <c r="K22" s="45">
        <v>0</v>
      </c>
      <c r="L22" s="45">
        <v>0</v>
      </c>
      <c r="M22" s="45">
        <v>0</v>
      </c>
      <c r="N22" s="45">
        <v>0</v>
      </c>
      <c r="O22" s="45">
        <v>0</v>
      </c>
      <c r="P22" s="45">
        <v>0</v>
      </c>
    </row>
    <row r="23" spans="1:16" x14ac:dyDescent="0.25">
      <c r="A23" s="41">
        <v>0.20833333333333301</v>
      </c>
      <c r="B23" s="42">
        <v>0.21875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5">
        <v>0</v>
      </c>
      <c r="J23" s="45">
        <v>0</v>
      </c>
      <c r="K23" s="45">
        <v>0</v>
      </c>
      <c r="L23" s="45">
        <v>0</v>
      </c>
      <c r="M23" s="45">
        <v>0</v>
      </c>
      <c r="N23" s="45">
        <v>0</v>
      </c>
      <c r="O23" s="45">
        <v>0</v>
      </c>
      <c r="P23" s="45">
        <v>0</v>
      </c>
    </row>
    <row r="24" spans="1:16" x14ac:dyDescent="0.25">
      <c r="A24" s="43">
        <v>0.21875</v>
      </c>
      <c r="B24" s="42">
        <v>0.22916666666666699</v>
      </c>
      <c r="C24" s="45">
        <v>0</v>
      </c>
      <c r="D24" s="45">
        <v>0</v>
      </c>
      <c r="E24" s="45">
        <v>0</v>
      </c>
      <c r="F24" s="45">
        <v>0</v>
      </c>
      <c r="G24" s="45">
        <v>0</v>
      </c>
      <c r="H24" s="45">
        <v>0</v>
      </c>
      <c r="I24" s="45">
        <v>0</v>
      </c>
      <c r="J24" s="45">
        <v>0</v>
      </c>
      <c r="K24" s="45">
        <v>0</v>
      </c>
      <c r="L24" s="45">
        <v>0</v>
      </c>
      <c r="M24" s="45">
        <v>0</v>
      </c>
      <c r="N24" s="45">
        <v>0</v>
      </c>
      <c r="O24" s="45">
        <v>0</v>
      </c>
      <c r="P24" s="45">
        <v>0</v>
      </c>
    </row>
    <row r="25" spans="1:16" x14ac:dyDescent="0.25">
      <c r="A25" s="41">
        <v>0.22916666666666699</v>
      </c>
      <c r="B25" s="42">
        <v>0.23958333333333401</v>
      </c>
      <c r="C25" s="45">
        <v>0</v>
      </c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</row>
    <row r="26" spans="1:16" x14ac:dyDescent="0.25">
      <c r="A26" s="43">
        <v>0.23958333333333301</v>
      </c>
      <c r="B26" s="42">
        <v>0.25</v>
      </c>
      <c r="C26" s="45">
        <v>0</v>
      </c>
      <c r="D26" s="45">
        <v>0</v>
      </c>
      <c r="E26" s="45">
        <v>0</v>
      </c>
      <c r="F26" s="45">
        <v>0</v>
      </c>
      <c r="G26" s="45">
        <v>0</v>
      </c>
      <c r="H26" s="45">
        <v>0</v>
      </c>
      <c r="I26" s="45">
        <v>0</v>
      </c>
      <c r="J26" s="45">
        <v>0</v>
      </c>
      <c r="K26" s="45">
        <v>0</v>
      </c>
      <c r="L26" s="45">
        <v>0</v>
      </c>
      <c r="M26" s="45">
        <v>0</v>
      </c>
      <c r="N26" s="45">
        <v>0</v>
      </c>
      <c r="O26" s="45">
        <v>0</v>
      </c>
      <c r="P26" s="45">
        <v>0</v>
      </c>
    </row>
    <row r="27" spans="1:16" x14ac:dyDescent="0.25">
      <c r="A27" s="41">
        <v>0.25</v>
      </c>
      <c r="B27" s="42">
        <v>0.26041666666666702</v>
      </c>
      <c r="C27" s="45">
        <v>0</v>
      </c>
      <c r="D27" s="45">
        <v>0</v>
      </c>
      <c r="E27" s="45">
        <v>0</v>
      </c>
      <c r="F27" s="45">
        <v>0</v>
      </c>
      <c r="G27" s="45">
        <v>0</v>
      </c>
      <c r="H27" s="45">
        <v>0</v>
      </c>
      <c r="I27" s="45">
        <v>0</v>
      </c>
      <c r="J27" s="45">
        <v>0</v>
      </c>
      <c r="K27" s="45">
        <v>0</v>
      </c>
      <c r="L27" s="45">
        <v>0</v>
      </c>
      <c r="M27" s="45">
        <v>0</v>
      </c>
      <c r="N27" s="45">
        <v>0</v>
      </c>
      <c r="O27" s="45">
        <v>0</v>
      </c>
      <c r="P27" s="45">
        <v>0</v>
      </c>
    </row>
    <row r="28" spans="1:16" x14ac:dyDescent="0.25">
      <c r="A28" s="43">
        <v>0.26041666666666702</v>
      </c>
      <c r="B28" s="42">
        <v>0.27083333333333398</v>
      </c>
      <c r="C28" s="45">
        <v>0</v>
      </c>
      <c r="D28" s="45">
        <v>0</v>
      </c>
      <c r="E28" s="45">
        <v>0</v>
      </c>
      <c r="F28" s="45">
        <v>0</v>
      </c>
      <c r="G28" s="45">
        <v>0</v>
      </c>
      <c r="H28" s="45">
        <v>0</v>
      </c>
      <c r="I28" s="45">
        <v>0</v>
      </c>
      <c r="J28" s="45">
        <v>0</v>
      </c>
      <c r="K28" s="45">
        <v>0</v>
      </c>
      <c r="L28" s="45">
        <v>0</v>
      </c>
      <c r="M28" s="45">
        <v>0</v>
      </c>
      <c r="N28" s="45">
        <v>0</v>
      </c>
      <c r="O28" s="45">
        <v>0</v>
      </c>
      <c r="P28" s="45">
        <v>0</v>
      </c>
    </row>
    <row r="29" spans="1:16" x14ac:dyDescent="0.25">
      <c r="A29" s="41">
        <v>0.27083333333333298</v>
      </c>
      <c r="B29" s="42">
        <v>0.28125</v>
      </c>
      <c r="C29" s="45">
        <v>0</v>
      </c>
      <c r="D29" s="45">
        <v>0</v>
      </c>
      <c r="E29" s="45">
        <v>0</v>
      </c>
      <c r="F29" s="45">
        <v>0</v>
      </c>
      <c r="G29" s="45">
        <v>0</v>
      </c>
      <c r="H29" s="45">
        <v>0</v>
      </c>
      <c r="I29" s="45">
        <v>0</v>
      </c>
      <c r="J29" s="45">
        <v>0</v>
      </c>
      <c r="K29" s="45">
        <v>0</v>
      </c>
      <c r="L29" s="45">
        <v>0</v>
      </c>
      <c r="M29" s="45">
        <v>0</v>
      </c>
      <c r="N29" s="45">
        <v>0</v>
      </c>
      <c r="O29" s="45">
        <v>0</v>
      </c>
      <c r="P29" s="45">
        <v>0</v>
      </c>
    </row>
    <row r="30" spans="1:16" x14ac:dyDescent="0.25">
      <c r="A30" s="43">
        <v>0.28125</v>
      </c>
      <c r="B30" s="42">
        <v>0.29166666666666702</v>
      </c>
      <c r="C30" s="45">
        <v>0</v>
      </c>
      <c r="D30" s="45">
        <v>0</v>
      </c>
      <c r="E30" s="45">
        <v>0</v>
      </c>
      <c r="F30" s="45">
        <v>0</v>
      </c>
      <c r="G30" s="45">
        <v>0</v>
      </c>
      <c r="H30" s="45">
        <v>0</v>
      </c>
      <c r="I30" s="45">
        <v>0</v>
      </c>
      <c r="J30" s="45">
        <v>0</v>
      </c>
      <c r="K30" s="45">
        <v>0</v>
      </c>
      <c r="L30" s="45">
        <v>0</v>
      </c>
      <c r="M30" s="45">
        <v>0</v>
      </c>
      <c r="N30" s="45">
        <v>0</v>
      </c>
      <c r="O30" s="45">
        <v>0</v>
      </c>
      <c r="P30" s="45">
        <v>0</v>
      </c>
    </row>
    <row r="31" spans="1:16" x14ac:dyDescent="0.25">
      <c r="A31" s="41">
        <v>0.29166666666666702</v>
      </c>
      <c r="B31" s="42">
        <v>0.30208333333333398</v>
      </c>
      <c r="C31" s="45">
        <v>0</v>
      </c>
      <c r="D31" s="45">
        <v>0</v>
      </c>
      <c r="E31" s="45">
        <v>0</v>
      </c>
      <c r="F31" s="45">
        <v>0</v>
      </c>
      <c r="G31" s="45">
        <v>0</v>
      </c>
      <c r="H31" s="45">
        <v>0</v>
      </c>
      <c r="I31" s="45">
        <v>0</v>
      </c>
      <c r="J31" s="45">
        <v>0</v>
      </c>
      <c r="K31" s="45">
        <v>0</v>
      </c>
      <c r="L31" s="45">
        <v>0</v>
      </c>
      <c r="M31" s="45">
        <v>0</v>
      </c>
      <c r="N31" s="45">
        <v>0</v>
      </c>
      <c r="O31" s="45">
        <v>0</v>
      </c>
      <c r="P31" s="45">
        <v>0</v>
      </c>
    </row>
    <row r="32" spans="1:16" x14ac:dyDescent="0.25">
      <c r="A32" s="43">
        <v>0.30208333333333298</v>
      </c>
      <c r="B32" s="42">
        <v>0.3125</v>
      </c>
      <c r="C32" s="45">
        <v>0</v>
      </c>
      <c r="D32" s="45">
        <v>0</v>
      </c>
      <c r="E32" s="45">
        <v>0</v>
      </c>
      <c r="F32" s="45">
        <v>0</v>
      </c>
      <c r="G32" s="45">
        <v>0</v>
      </c>
      <c r="H32" s="45">
        <v>0</v>
      </c>
      <c r="I32" s="45">
        <v>0</v>
      </c>
      <c r="J32" s="45">
        <v>0</v>
      </c>
      <c r="K32" s="45">
        <v>0</v>
      </c>
      <c r="L32" s="45">
        <v>0</v>
      </c>
      <c r="M32" s="45">
        <v>0</v>
      </c>
      <c r="N32" s="45">
        <v>0</v>
      </c>
      <c r="O32" s="45">
        <v>0</v>
      </c>
      <c r="P32" s="45">
        <v>0</v>
      </c>
    </row>
    <row r="33" spans="1:16" x14ac:dyDescent="0.25">
      <c r="A33" s="41">
        <v>0.3125</v>
      </c>
      <c r="B33" s="42">
        <v>0.32291666666666702</v>
      </c>
      <c r="C33" s="45">
        <v>0</v>
      </c>
      <c r="D33" s="45">
        <v>0</v>
      </c>
      <c r="E33" s="45">
        <v>0</v>
      </c>
      <c r="F33" s="45">
        <v>0</v>
      </c>
      <c r="G33" s="45">
        <v>0</v>
      </c>
      <c r="H33" s="45">
        <v>0</v>
      </c>
      <c r="I33" s="45">
        <v>0</v>
      </c>
      <c r="J33" s="45">
        <v>0</v>
      </c>
      <c r="K33" s="45">
        <v>0</v>
      </c>
      <c r="L33" s="45">
        <v>0</v>
      </c>
      <c r="M33" s="45">
        <v>0</v>
      </c>
      <c r="N33" s="45">
        <v>0</v>
      </c>
      <c r="O33" s="45">
        <v>0</v>
      </c>
      <c r="P33" s="45">
        <v>0</v>
      </c>
    </row>
    <row r="34" spans="1:16" x14ac:dyDescent="0.25">
      <c r="A34" s="43">
        <v>0.32291666666666702</v>
      </c>
      <c r="B34" s="42">
        <v>0.33333333333333398</v>
      </c>
      <c r="C34" s="45">
        <v>0</v>
      </c>
      <c r="D34" s="45">
        <v>0</v>
      </c>
      <c r="E34" s="45">
        <v>0</v>
      </c>
      <c r="F34" s="45">
        <v>0</v>
      </c>
      <c r="G34" s="45">
        <v>0</v>
      </c>
      <c r="H34" s="45">
        <v>0</v>
      </c>
      <c r="I34" s="45">
        <v>0</v>
      </c>
      <c r="J34" s="45">
        <v>0</v>
      </c>
      <c r="K34" s="45">
        <v>0</v>
      </c>
      <c r="L34" s="45">
        <v>0</v>
      </c>
      <c r="M34" s="45">
        <v>0</v>
      </c>
      <c r="N34" s="45">
        <v>0</v>
      </c>
      <c r="O34" s="45">
        <v>0</v>
      </c>
      <c r="P34" s="45">
        <v>0</v>
      </c>
    </row>
    <row r="35" spans="1:16" x14ac:dyDescent="0.25">
      <c r="A35" s="41">
        <v>0.33333333333333298</v>
      </c>
      <c r="B35" s="42">
        <v>0.34375</v>
      </c>
      <c r="C35" s="45">
        <v>0</v>
      </c>
      <c r="D35" s="45">
        <v>0</v>
      </c>
      <c r="E35" s="45">
        <v>0</v>
      </c>
      <c r="F35" s="45">
        <v>0</v>
      </c>
      <c r="G35" s="45">
        <v>0</v>
      </c>
      <c r="H35" s="45">
        <v>0</v>
      </c>
      <c r="I35" s="45">
        <v>0</v>
      </c>
      <c r="J35" s="45">
        <v>0</v>
      </c>
      <c r="K35" s="45">
        <v>0</v>
      </c>
      <c r="L35" s="45">
        <v>0</v>
      </c>
      <c r="M35" s="45">
        <v>0</v>
      </c>
      <c r="N35" s="45">
        <v>0</v>
      </c>
      <c r="O35" s="45">
        <v>0</v>
      </c>
      <c r="P35" s="45">
        <v>0</v>
      </c>
    </row>
    <row r="36" spans="1:16" x14ac:dyDescent="0.25">
      <c r="A36" s="43">
        <v>0.34375</v>
      </c>
      <c r="B36" s="42">
        <v>0.35416666666666702</v>
      </c>
      <c r="C36" s="45">
        <v>0</v>
      </c>
      <c r="D36" s="45">
        <v>0</v>
      </c>
      <c r="E36" s="45">
        <v>0</v>
      </c>
      <c r="F36" s="45">
        <v>0</v>
      </c>
      <c r="G36" s="45">
        <v>0</v>
      </c>
      <c r="H36" s="45">
        <v>0</v>
      </c>
      <c r="I36" s="45">
        <v>0</v>
      </c>
      <c r="J36" s="45">
        <v>0</v>
      </c>
      <c r="K36" s="45">
        <v>0</v>
      </c>
      <c r="L36" s="45">
        <v>0</v>
      </c>
      <c r="M36" s="45">
        <v>0</v>
      </c>
      <c r="N36" s="45">
        <v>0</v>
      </c>
      <c r="O36" s="45">
        <v>0</v>
      </c>
      <c r="P36" s="45">
        <v>0</v>
      </c>
    </row>
    <row r="37" spans="1:16" x14ac:dyDescent="0.25">
      <c r="A37" s="41">
        <v>0.35416666666666702</v>
      </c>
      <c r="B37" s="42">
        <v>0.36458333333333398</v>
      </c>
      <c r="C37" s="45">
        <v>0</v>
      </c>
      <c r="D37" s="45">
        <v>0</v>
      </c>
      <c r="E37" s="45">
        <v>0</v>
      </c>
      <c r="F37" s="45">
        <v>0</v>
      </c>
      <c r="G37" s="45">
        <v>0</v>
      </c>
      <c r="H37" s="45">
        <v>0</v>
      </c>
      <c r="I37" s="45">
        <v>0</v>
      </c>
      <c r="J37" s="45">
        <v>0</v>
      </c>
      <c r="K37" s="45">
        <v>0</v>
      </c>
      <c r="L37" s="45">
        <v>0</v>
      </c>
      <c r="M37" s="45">
        <v>0</v>
      </c>
      <c r="N37" s="45">
        <v>0</v>
      </c>
      <c r="O37" s="45">
        <v>0</v>
      </c>
      <c r="P37" s="45">
        <v>0</v>
      </c>
    </row>
    <row r="38" spans="1:16" x14ac:dyDescent="0.25">
      <c r="A38" s="43">
        <v>0.36458333333333298</v>
      </c>
      <c r="B38" s="42">
        <v>0.375</v>
      </c>
      <c r="C38" s="45">
        <v>0</v>
      </c>
      <c r="D38" s="45">
        <v>0</v>
      </c>
      <c r="E38" s="45">
        <v>0</v>
      </c>
      <c r="F38" s="45">
        <v>0</v>
      </c>
      <c r="G38" s="45">
        <v>0</v>
      </c>
      <c r="H38" s="45">
        <v>0</v>
      </c>
      <c r="I38" s="45">
        <v>0</v>
      </c>
      <c r="J38" s="45">
        <v>0</v>
      </c>
      <c r="K38" s="45">
        <v>0</v>
      </c>
      <c r="L38" s="45">
        <v>0</v>
      </c>
      <c r="M38" s="45">
        <v>0</v>
      </c>
      <c r="N38" s="45">
        <v>0</v>
      </c>
      <c r="O38" s="45">
        <v>0</v>
      </c>
      <c r="P38" s="45">
        <v>0</v>
      </c>
    </row>
    <row r="39" spans="1:16" x14ac:dyDescent="0.25">
      <c r="A39" s="41">
        <v>0.375</v>
      </c>
      <c r="B39" s="42">
        <v>0.38541666666666702</v>
      </c>
      <c r="C39" s="45">
        <v>0</v>
      </c>
      <c r="D39" s="45">
        <v>0</v>
      </c>
      <c r="E39" s="45">
        <v>0</v>
      </c>
      <c r="F39" s="45">
        <v>0</v>
      </c>
      <c r="G39" s="45">
        <v>0</v>
      </c>
      <c r="H39" s="45">
        <v>0</v>
      </c>
      <c r="I39" s="45">
        <v>0</v>
      </c>
      <c r="J39" s="45">
        <v>0</v>
      </c>
      <c r="K39" s="45">
        <v>0</v>
      </c>
      <c r="L39" s="45">
        <v>0</v>
      </c>
      <c r="M39" s="45">
        <v>0</v>
      </c>
      <c r="N39" s="45">
        <v>0</v>
      </c>
      <c r="O39" s="45">
        <v>0</v>
      </c>
      <c r="P39" s="45">
        <v>0</v>
      </c>
    </row>
    <row r="40" spans="1:16" x14ac:dyDescent="0.25">
      <c r="A40" s="43">
        <v>0.38541666666666702</v>
      </c>
      <c r="B40" s="42">
        <v>0.39583333333333398</v>
      </c>
      <c r="C40" s="45">
        <v>0</v>
      </c>
      <c r="D40" s="45">
        <v>0</v>
      </c>
      <c r="E40" s="45">
        <v>0</v>
      </c>
      <c r="F40" s="45">
        <v>0</v>
      </c>
      <c r="G40" s="45">
        <v>0</v>
      </c>
      <c r="H40" s="45">
        <v>0</v>
      </c>
      <c r="I40" s="45">
        <v>0</v>
      </c>
      <c r="J40" s="45">
        <v>0</v>
      </c>
      <c r="K40" s="45">
        <v>0</v>
      </c>
      <c r="L40" s="45">
        <v>0</v>
      </c>
      <c r="M40" s="45">
        <v>0</v>
      </c>
      <c r="N40" s="45">
        <v>0</v>
      </c>
      <c r="O40" s="45">
        <v>0</v>
      </c>
      <c r="P40" s="45">
        <v>0</v>
      </c>
    </row>
    <row r="41" spans="1:16" x14ac:dyDescent="0.25">
      <c r="A41" s="41">
        <v>0.39583333333333298</v>
      </c>
      <c r="B41" s="42">
        <v>0.40625</v>
      </c>
      <c r="C41" s="45">
        <v>0</v>
      </c>
      <c r="D41" s="45">
        <v>0</v>
      </c>
      <c r="E41" s="45">
        <v>0</v>
      </c>
      <c r="F41" s="45">
        <v>0</v>
      </c>
      <c r="G41" s="45">
        <v>0</v>
      </c>
      <c r="H41" s="45">
        <v>0</v>
      </c>
      <c r="I41" s="45">
        <v>0</v>
      </c>
      <c r="J41" s="45">
        <v>0</v>
      </c>
      <c r="K41" s="45">
        <v>0</v>
      </c>
      <c r="L41" s="45">
        <v>0</v>
      </c>
      <c r="M41" s="45">
        <v>0</v>
      </c>
      <c r="N41" s="45">
        <v>0</v>
      </c>
      <c r="O41" s="45">
        <v>0</v>
      </c>
      <c r="P41" s="45">
        <v>0</v>
      </c>
    </row>
    <row r="42" spans="1:16" x14ac:dyDescent="0.25">
      <c r="A42" s="43">
        <v>0.40625</v>
      </c>
      <c r="B42" s="42">
        <v>0.41666666666666702</v>
      </c>
      <c r="C42" s="45">
        <v>0</v>
      </c>
      <c r="D42" s="45">
        <v>0</v>
      </c>
      <c r="E42" s="45">
        <v>0</v>
      </c>
      <c r="F42" s="45">
        <v>0</v>
      </c>
      <c r="G42" s="45">
        <v>0</v>
      </c>
      <c r="H42" s="45">
        <v>0</v>
      </c>
      <c r="I42" s="45">
        <v>0</v>
      </c>
      <c r="J42" s="45">
        <v>0</v>
      </c>
      <c r="K42" s="45">
        <v>0</v>
      </c>
      <c r="L42" s="45">
        <v>0</v>
      </c>
      <c r="M42" s="45">
        <v>0</v>
      </c>
      <c r="N42" s="45">
        <v>0</v>
      </c>
      <c r="O42" s="45">
        <v>0</v>
      </c>
      <c r="P42" s="45">
        <v>0</v>
      </c>
    </row>
    <row r="43" spans="1:16" x14ac:dyDescent="0.25">
      <c r="A43" s="41">
        <v>0.41666666666666702</v>
      </c>
      <c r="B43" s="42">
        <v>0.42708333333333398</v>
      </c>
      <c r="C43" s="45">
        <v>0</v>
      </c>
      <c r="D43" s="45">
        <v>0</v>
      </c>
      <c r="E43" s="45">
        <v>0</v>
      </c>
      <c r="F43" s="45">
        <v>0</v>
      </c>
      <c r="G43" s="45">
        <v>0</v>
      </c>
      <c r="H43" s="45">
        <v>0</v>
      </c>
      <c r="I43" s="45">
        <v>0</v>
      </c>
      <c r="J43" s="45">
        <v>0</v>
      </c>
      <c r="K43" s="45">
        <v>0</v>
      </c>
      <c r="L43" s="45">
        <v>0</v>
      </c>
      <c r="M43" s="45">
        <v>0</v>
      </c>
      <c r="N43" s="45">
        <v>0</v>
      </c>
      <c r="O43" s="45">
        <v>0</v>
      </c>
      <c r="P43" s="45">
        <v>0</v>
      </c>
    </row>
    <row r="44" spans="1:16" x14ac:dyDescent="0.25">
      <c r="A44" s="43">
        <v>0.42708333333333298</v>
      </c>
      <c r="B44" s="42">
        <v>0.4375</v>
      </c>
      <c r="C44" s="45">
        <v>0</v>
      </c>
      <c r="D44" s="45">
        <v>0</v>
      </c>
      <c r="E44" s="45">
        <v>0</v>
      </c>
      <c r="F44" s="45">
        <v>0</v>
      </c>
      <c r="G44" s="45">
        <v>0</v>
      </c>
      <c r="H44" s="45">
        <v>0</v>
      </c>
      <c r="I44" s="45">
        <v>0</v>
      </c>
      <c r="J44" s="45">
        <v>0</v>
      </c>
      <c r="K44" s="45">
        <v>0</v>
      </c>
      <c r="L44" s="45">
        <v>0</v>
      </c>
      <c r="M44" s="45">
        <v>0</v>
      </c>
      <c r="N44" s="45">
        <v>0</v>
      </c>
      <c r="O44" s="45">
        <v>0</v>
      </c>
      <c r="P44" s="45">
        <v>0</v>
      </c>
    </row>
    <row r="45" spans="1:16" x14ac:dyDescent="0.25">
      <c r="A45" s="41">
        <v>0.4375</v>
      </c>
      <c r="B45" s="42">
        <v>0.44791666666666702</v>
      </c>
      <c r="C45" s="45">
        <v>0</v>
      </c>
      <c r="D45" s="45">
        <v>0</v>
      </c>
      <c r="E45" s="45">
        <v>0</v>
      </c>
      <c r="F45" s="45">
        <v>0</v>
      </c>
      <c r="G45" s="45">
        <v>0</v>
      </c>
      <c r="H45" s="45">
        <v>0</v>
      </c>
      <c r="I45" s="45">
        <v>0</v>
      </c>
      <c r="J45" s="45">
        <v>0</v>
      </c>
      <c r="K45" s="45">
        <v>0</v>
      </c>
      <c r="L45" s="45">
        <v>0</v>
      </c>
      <c r="M45" s="45">
        <v>0</v>
      </c>
      <c r="N45" s="45">
        <v>0</v>
      </c>
      <c r="O45" s="45">
        <v>0</v>
      </c>
      <c r="P45" s="45">
        <v>0</v>
      </c>
    </row>
    <row r="46" spans="1:16" x14ac:dyDescent="0.25">
      <c r="A46" s="43">
        <v>0.44791666666666702</v>
      </c>
      <c r="B46" s="42">
        <v>0.45833333333333398</v>
      </c>
      <c r="C46" s="45">
        <v>0</v>
      </c>
      <c r="D46" s="45">
        <v>0</v>
      </c>
      <c r="E46" s="45">
        <v>0</v>
      </c>
      <c r="F46" s="45">
        <v>0</v>
      </c>
      <c r="G46" s="45">
        <v>0</v>
      </c>
      <c r="H46" s="45">
        <v>0</v>
      </c>
      <c r="I46" s="45">
        <v>0</v>
      </c>
      <c r="J46" s="45">
        <v>0</v>
      </c>
      <c r="K46" s="45">
        <v>0</v>
      </c>
      <c r="L46" s="45">
        <v>0</v>
      </c>
      <c r="M46" s="45">
        <v>0</v>
      </c>
      <c r="N46" s="45">
        <v>0</v>
      </c>
      <c r="O46" s="45">
        <v>0</v>
      </c>
      <c r="P46" s="45">
        <v>0</v>
      </c>
    </row>
    <row r="47" spans="1:16" x14ac:dyDescent="0.25">
      <c r="A47" s="41">
        <v>0.45833333333333298</v>
      </c>
      <c r="B47" s="42">
        <v>0.46875</v>
      </c>
      <c r="C47" s="45">
        <v>0</v>
      </c>
      <c r="D47" s="45">
        <v>0</v>
      </c>
      <c r="E47" s="45">
        <v>0</v>
      </c>
      <c r="F47" s="45">
        <v>0</v>
      </c>
      <c r="G47" s="45">
        <v>0</v>
      </c>
      <c r="H47" s="45">
        <v>0</v>
      </c>
      <c r="I47" s="45">
        <v>0</v>
      </c>
      <c r="J47" s="45">
        <v>0</v>
      </c>
      <c r="K47" s="45">
        <v>0</v>
      </c>
      <c r="L47" s="45">
        <v>0</v>
      </c>
      <c r="M47" s="45">
        <v>0</v>
      </c>
      <c r="N47" s="45">
        <v>0</v>
      </c>
      <c r="O47" s="45">
        <v>0</v>
      </c>
      <c r="P47" s="45">
        <v>0</v>
      </c>
    </row>
    <row r="48" spans="1:16" x14ac:dyDescent="0.25">
      <c r="A48" s="43">
        <v>0.46875</v>
      </c>
      <c r="B48" s="42">
        <v>0.47916666666666702</v>
      </c>
      <c r="C48" s="45">
        <v>0</v>
      </c>
      <c r="D48" s="45">
        <v>0</v>
      </c>
      <c r="E48" s="45">
        <v>0</v>
      </c>
      <c r="F48" s="45">
        <v>0</v>
      </c>
      <c r="G48" s="45">
        <v>0</v>
      </c>
      <c r="H48" s="45">
        <v>0</v>
      </c>
      <c r="I48" s="45">
        <v>0</v>
      </c>
      <c r="J48" s="45">
        <v>0</v>
      </c>
      <c r="K48" s="45">
        <v>0</v>
      </c>
      <c r="L48" s="45">
        <v>0</v>
      </c>
      <c r="M48" s="45">
        <v>0</v>
      </c>
      <c r="N48" s="45">
        <v>0</v>
      </c>
      <c r="O48" s="45">
        <v>0</v>
      </c>
      <c r="P48" s="45">
        <v>0</v>
      </c>
    </row>
    <row r="49" spans="1:16" x14ac:dyDescent="0.25">
      <c r="A49" s="41">
        <v>0.47916666666666702</v>
      </c>
      <c r="B49" s="42">
        <v>0.48958333333333398</v>
      </c>
      <c r="C49" s="45">
        <v>0</v>
      </c>
      <c r="D49" s="45">
        <v>0</v>
      </c>
      <c r="E49" s="45">
        <v>0</v>
      </c>
      <c r="F49" s="45">
        <v>0</v>
      </c>
      <c r="G49" s="45">
        <v>0</v>
      </c>
      <c r="H49" s="45">
        <v>0</v>
      </c>
      <c r="I49" s="45">
        <v>0</v>
      </c>
      <c r="J49" s="45">
        <v>0</v>
      </c>
      <c r="K49" s="45">
        <v>0</v>
      </c>
      <c r="L49" s="45">
        <v>0</v>
      </c>
      <c r="M49" s="45">
        <v>0</v>
      </c>
      <c r="N49" s="45">
        <v>0</v>
      </c>
      <c r="O49" s="45">
        <v>0</v>
      </c>
      <c r="P49" s="45">
        <v>0</v>
      </c>
    </row>
    <row r="50" spans="1:16" x14ac:dyDescent="0.25">
      <c r="A50" s="43">
        <v>0.48958333333333298</v>
      </c>
      <c r="B50" s="42">
        <v>0.5</v>
      </c>
      <c r="C50" s="45">
        <v>0</v>
      </c>
      <c r="D50" s="45">
        <v>0</v>
      </c>
      <c r="E50" s="45">
        <v>0</v>
      </c>
      <c r="F50" s="45">
        <v>0</v>
      </c>
      <c r="G50" s="45">
        <v>0</v>
      </c>
      <c r="H50" s="45">
        <v>0</v>
      </c>
      <c r="I50" s="45">
        <v>0</v>
      </c>
      <c r="J50" s="45">
        <v>0</v>
      </c>
      <c r="K50" s="45">
        <v>0</v>
      </c>
      <c r="L50" s="45">
        <v>0</v>
      </c>
      <c r="M50" s="45">
        <v>0</v>
      </c>
      <c r="N50" s="45">
        <v>0</v>
      </c>
      <c r="O50" s="45">
        <v>0</v>
      </c>
      <c r="P50" s="45">
        <v>0</v>
      </c>
    </row>
    <row r="51" spans="1:16" x14ac:dyDescent="0.25">
      <c r="A51" s="41">
        <v>0.5</v>
      </c>
      <c r="B51" s="42">
        <v>0.51041666666666696</v>
      </c>
      <c r="C51" s="45">
        <v>0</v>
      </c>
      <c r="D51" s="45">
        <v>0</v>
      </c>
      <c r="E51" s="45">
        <v>0</v>
      </c>
      <c r="F51" s="45">
        <v>0</v>
      </c>
      <c r="G51" s="45">
        <v>0</v>
      </c>
      <c r="H51" s="45">
        <v>0</v>
      </c>
      <c r="I51" s="45">
        <v>0</v>
      </c>
      <c r="J51" s="45">
        <v>0</v>
      </c>
      <c r="K51" s="45">
        <v>0</v>
      </c>
      <c r="L51" s="45">
        <v>0</v>
      </c>
      <c r="M51" s="45">
        <v>0</v>
      </c>
      <c r="N51" s="45">
        <v>0</v>
      </c>
      <c r="O51" s="45">
        <v>0</v>
      </c>
      <c r="P51" s="45">
        <v>0</v>
      </c>
    </row>
    <row r="52" spans="1:16" x14ac:dyDescent="0.25">
      <c r="A52" s="43">
        <v>0.51041666666666696</v>
      </c>
      <c r="B52" s="42">
        <v>0.52083333333333404</v>
      </c>
      <c r="C52" s="45">
        <v>0</v>
      </c>
      <c r="D52" s="45">
        <v>0</v>
      </c>
      <c r="E52" s="45">
        <v>0</v>
      </c>
      <c r="F52" s="45">
        <v>0</v>
      </c>
      <c r="G52" s="45">
        <v>0</v>
      </c>
      <c r="H52" s="45">
        <v>0</v>
      </c>
      <c r="I52" s="45">
        <v>0</v>
      </c>
      <c r="J52" s="45">
        <v>0</v>
      </c>
      <c r="K52" s="45">
        <v>0</v>
      </c>
      <c r="L52" s="45">
        <v>0</v>
      </c>
      <c r="M52" s="45">
        <v>0</v>
      </c>
      <c r="N52" s="45">
        <v>0</v>
      </c>
      <c r="O52" s="45">
        <v>0</v>
      </c>
      <c r="P52" s="45">
        <v>0</v>
      </c>
    </row>
    <row r="53" spans="1:16" x14ac:dyDescent="0.25">
      <c r="A53" s="41">
        <v>0.52083333333333304</v>
      </c>
      <c r="B53" s="42">
        <v>0.53125</v>
      </c>
      <c r="C53" s="45">
        <v>0</v>
      </c>
      <c r="D53" s="45">
        <v>0</v>
      </c>
      <c r="E53" s="45">
        <v>0</v>
      </c>
      <c r="F53" s="45">
        <v>0</v>
      </c>
      <c r="G53" s="45">
        <v>0</v>
      </c>
      <c r="H53" s="45">
        <v>0</v>
      </c>
      <c r="I53" s="45">
        <v>0</v>
      </c>
      <c r="J53" s="45">
        <v>0</v>
      </c>
      <c r="K53" s="45">
        <v>0</v>
      </c>
      <c r="L53" s="45">
        <v>0</v>
      </c>
      <c r="M53" s="45">
        <v>0</v>
      </c>
      <c r="N53" s="45">
        <v>0</v>
      </c>
      <c r="O53" s="45">
        <v>0</v>
      </c>
      <c r="P53" s="45">
        <v>0</v>
      </c>
    </row>
    <row r="54" spans="1:16" x14ac:dyDescent="0.25">
      <c r="A54" s="43">
        <v>0.53125</v>
      </c>
      <c r="B54" s="42">
        <v>0.54166666666666696</v>
      </c>
      <c r="C54" s="45">
        <v>0</v>
      </c>
      <c r="D54" s="45">
        <v>0</v>
      </c>
      <c r="E54" s="45">
        <v>0</v>
      </c>
      <c r="F54" s="45">
        <v>0</v>
      </c>
      <c r="G54" s="45">
        <v>0</v>
      </c>
      <c r="H54" s="45">
        <v>0</v>
      </c>
      <c r="I54" s="45">
        <v>0</v>
      </c>
      <c r="J54" s="45">
        <v>0</v>
      </c>
      <c r="K54" s="45">
        <v>0</v>
      </c>
      <c r="L54" s="45">
        <v>0</v>
      </c>
      <c r="M54" s="45">
        <v>0</v>
      </c>
      <c r="N54" s="45">
        <v>0</v>
      </c>
      <c r="O54" s="45">
        <v>0</v>
      </c>
      <c r="P54" s="45">
        <v>0</v>
      </c>
    </row>
    <row r="55" spans="1:16" x14ac:dyDescent="0.25">
      <c r="A55" s="41">
        <v>0.54166666666666696</v>
      </c>
      <c r="B55" s="42">
        <v>0.55208333333333404</v>
      </c>
      <c r="C55" s="45">
        <v>0</v>
      </c>
      <c r="D55" s="45">
        <v>0</v>
      </c>
      <c r="E55" s="45">
        <v>0</v>
      </c>
      <c r="F55" s="45">
        <v>0</v>
      </c>
      <c r="G55" s="45">
        <v>0</v>
      </c>
      <c r="H55" s="45">
        <v>0</v>
      </c>
      <c r="I55" s="45">
        <v>0</v>
      </c>
      <c r="J55" s="45">
        <v>0</v>
      </c>
      <c r="K55" s="45">
        <v>0</v>
      </c>
      <c r="L55" s="45">
        <v>0</v>
      </c>
      <c r="M55" s="45">
        <v>0</v>
      </c>
      <c r="N55" s="45">
        <v>0</v>
      </c>
      <c r="O55" s="45">
        <v>0</v>
      </c>
      <c r="P55" s="45">
        <v>0</v>
      </c>
    </row>
    <row r="56" spans="1:16" x14ac:dyDescent="0.25">
      <c r="A56" s="43">
        <v>0.55208333333333304</v>
      </c>
      <c r="B56" s="42">
        <v>0.5625</v>
      </c>
      <c r="C56" s="45">
        <v>0</v>
      </c>
      <c r="D56" s="45">
        <v>0</v>
      </c>
      <c r="E56" s="45">
        <v>0</v>
      </c>
      <c r="F56" s="45">
        <v>0</v>
      </c>
      <c r="G56" s="45">
        <v>0</v>
      </c>
      <c r="H56" s="45">
        <v>0</v>
      </c>
      <c r="I56" s="45">
        <v>0</v>
      </c>
      <c r="J56" s="45">
        <v>0</v>
      </c>
      <c r="K56" s="45">
        <v>0</v>
      </c>
      <c r="L56" s="45">
        <v>0</v>
      </c>
      <c r="M56" s="45">
        <v>0</v>
      </c>
      <c r="N56" s="45">
        <v>0</v>
      </c>
      <c r="O56" s="45">
        <v>0</v>
      </c>
      <c r="P56" s="45">
        <v>0</v>
      </c>
    </row>
    <row r="57" spans="1:16" x14ac:dyDescent="0.25">
      <c r="A57" s="41">
        <v>0.5625</v>
      </c>
      <c r="B57" s="42">
        <v>0.57291666666666696</v>
      </c>
      <c r="C57" s="45">
        <v>0</v>
      </c>
      <c r="D57" s="45">
        <v>0</v>
      </c>
      <c r="E57" s="45">
        <v>0</v>
      </c>
      <c r="F57" s="45">
        <v>0</v>
      </c>
      <c r="G57" s="45">
        <v>0</v>
      </c>
      <c r="H57" s="45">
        <v>0</v>
      </c>
      <c r="I57" s="45">
        <v>0</v>
      </c>
      <c r="J57" s="45">
        <v>0</v>
      </c>
      <c r="K57" s="45">
        <v>0</v>
      </c>
      <c r="L57" s="45">
        <v>0</v>
      </c>
      <c r="M57" s="45">
        <v>0</v>
      </c>
      <c r="N57" s="45">
        <v>0</v>
      </c>
      <c r="O57" s="45">
        <v>0</v>
      </c>
      <c r="P57" s="45">
        <v>0</v>
      </c>
    </row>
    <row r="58" spans="1:16" x14ac:dyDescent="0.25">
      <c r="A58" s="43">
        <v>0.57291666666666696</v>
      </c>
      <c r="B58" s="42">
        <v>0.58333333333333404</v>
      </c>
      <c r="C58" s="45">
        <v>0</v>
      </c>
      <c r="D58" s="45">
        <v>0</v>
      </c>
      <c r="E58" s="45">
        <v>0</v>
      </c>
      <c r="F58" s="45">
        <v>0</v>
      </c>
      <c r="G58" s="45">
        <v>0</v>
      </c>
      <c r="H58" s="45">
        <v>0</v>
      </c>
      <c r="I58" s="45">
        <v>0</v>
      </c>
      <c r="J58" s="45">
        <v>0</v>
      </c>
      <c r="K58" s="45">
        <v>0</v>
      </c>
      <c r="L58" s="45">
        <v>0</v>
      </c>
      <c r="M58" s="45">
        <v>0</v>
      </c>
      <c r="N58" s="45">
        <v>0</v>
      </c>
      <c r="O58" s="45">
        <v>0</v>
      </c>
      <c r="P58" s="45">
        <v>0</v>
      </c>
    </row>
    <row r="59" spans="1:16" x14ac:dyDescent="0.25">
      <c r="A59" s="41">
        <v>0.58333333333333304</v>
      </c>
      <c r="B59" s="42">
        <v>0.59375</v>
      </c>
      <c r="C59" s="45">
        <v>0</v>
      </c>
      <c r="D59" s="45">
        <v>0</v>
      </c>
      <c r="E59" s="45">
        <v>0</v>
      </c>
      <c r="F59" s="45">
        <v>0</v>
      </c>
      <c r="G59" s="45">
        <v>0</v>
      </c>
      <c r="H59" s="45">
        <v>0</v>
      </c>
      <c r="I59" s="45">
        <v>0</v>
      </c>
      <c r="J59" s="45">
        <v>0</v>
      </c>
      <c r="K59" s="45">
        <v>0</v>
      </c>
      <c r="L59" s="45">
        <v>0</v>
      </c>
      <c r="M59" s="45">
        <v>0</v>
      </c>
      <c r="N59" s="45">
        <v>0</v>
      </c>
      <c r="O59" s="45">
        <v>0</v>
      </c>
      <c r="P59" s="45">
        <v>0</v>
      </c>
    </row>
    <row r="60" spans="1:16" x14ac:dyDescent="0.25">
      <c r="A60" s="43">
        <v>0.59375</v>
      </c>
      <c r="B60" s="42">
        <v>0.60416666666666696</v>
      </c>
      <c r="C60" s="45">
        <v>0</v>
      </c>
      <c r="D60" s="45">
        <v>0</v>
      </c>
      <c r="E60" s="45">
        <v>0</v>
      </c>
      <c r="F60" s="45">
        <v>0</v>
      </c>
      <c r="G60" s="45">
        <v>0</v>
      </c>
      <c r="H60" s="45">
        <v>0</v>
      </c>
      <c r="I60" s="45">
        <v>0</v>
      </c>
      <c r="J60" s="45">
        <v>0</v>
      </c>
      <c r="K60" s="45">
        <v>0</v>
      </c>
      <c r="L60" s="45">
        <v>0</v>
      </c>
      <c r="M60" s="45">
        <v>0</v>
      </c>
      <c r="N60" s="45">
        <v>0</v>
      </c>
      <c r="O60" s="45">
        <v>0</v>
      </c>
      <c r="P60" s="45">
        <v>0</v>
      </c>
    </row>
    <row r="61" spans="1:16" x14ac:dyDescent="0.25">
      <c r="A61" s="41">
        <v>0.60416666666666696</v>
      </c>
      <c r="B61" s="42">
        <v>0.61458333333333404</v>
      </c>
      <c r="C61" s="45">
        <v>0</v>
      </c>
      <c r="D61" s="45">
        <v>0</v>
      </c>
      <c r="E61" s="45">
        <v>0</v>
      </c>
      <c r="F61" s="45">
        <v>0</v>
      </c>
      <c r="G61" s="45">
        <v>0</v>
      </c>
      <c r="H61" s="45">
        <v>0</v>
      </c>
      <c r="I61" s="45">
        <v>0</v>
      </c>
      <c r="J61" s="45">
        <v>0</v>
      </c>
      <c r="K61" s="45">
        <v>0</v>
      </c>
      <c r="L61" s="45">
        <v>0</v>
      </c>
      <c r="M61" s="45">
        <v>0</v>
      </c>
      <c r="N61" s="45">
        <v>0</v>
      </c>
      <c r="O61" s="45">
        <v>0</v>
      </c>
      <c r="P61" s="45">
        <v>0</v>
      </c>
    </row>
    <row r="62" spans="1:16" x14ac:dyDescent="0.25">
      <c r="A62" s="43">
        <v>0.61458333333333304</v>
      </c>
      <c r="B62" s="42">
        <v>0.625</v>
      </c>
      <c r="C62" s="45">
        <v>0</v>
      </c>
      <c r="D62" s="45">
        <v>0</v>
      </c>
      <c r="E62" s="45">
        <v>0</v>
      </c>
      <c r="F62" s="45">
        <v>0</v>
      </c>
      <c r="G62" s="45">
        <v>0</v>
      </c>
      <c r="H62" s="45">
        <v>0</v>
      </c>
      <c r="I62" s="45">
        <v>0</v>
      </c>
      <c r="J62" s="45">
        <v>0</v>
      </c>
      <c r="K62" s="45">
        <v>0</v>
      </c>
      <c r="L62" s="45">
        <v>0</v>
      </c>
      <c r="M62" s="45">
        <v>0</v>
      </c>
      <c r="N62" s="45">
        <v>0</v>
      </c>
      <c r="O62" s="45">
        <v>0</v>
      </c>
      <c r="P62" s="45">
        <v>0</v>
      </c>
    </row>
    <row r="63" spans="1:16" x14ac:dyDescent="0.25">
      <c r="A63" s="41">
        <v>0.625</v>
      </c>
      <c r="B63" s="42">
        <v>0.63541666666666696</v>
      </c>
      <c r="C63" s="45">
        <v>0</v>
      </c>
      <c r="D63" s="45">
        <v>0</v>
      </c>
      <c r="E63" s="45">
        <v>0</v>
      </c>
      <c r="F63" s="45">
        <v>0</v>
      </c>
      <c r="G63" s="45">
        <v>0</v>
      </c>
      <c r="H63" s="45">
        <v>0</v>
      </c>
      <c r="I63" s="45">
        <v>0</v>
      </c>
      <c r="J63" s="45">
        <v>0</v>
      </c>
      <c r="K63" s="45">
        <v>0</v>
      </c>
      <c r="L63" s="45">
        <v>0</v>
      </c>
      <c r="M63" s="45">
        <v>0</v>
      </c>
      <c r="N63" s="45">
        <v>0</v>
      </c>
      <c r="O63" s="45">
        <v>0</v>
      </c>
      <c r="P63" s="45">
        <v>0</v>
      </c>
    </row>
    <row r="64" spans="1:16" x14ac:dyDescent="0.25">
      <c r="A64" s="43">
        <v>0.63541666666666696</v>
      </c>
      <c r="B64" s="42">
        <v>0.64583333333333404</v>
      </c>
      <c r="C64" s="45">
        <v>0</v>
      </c>
      <c r="D64" s="45">
        <v>0</v>
      </c>
      <c r="E64" s="45">
        <v>0</v>
      </c>
      <c r="F64" s="45">
        <v>0</v>
      </c>
      <c r="G64" s="45">
        <v>0</v>
      </c>
      <c r="H64" s="45">
        <v>0</v>
      </c>
      <c r="I64" s="45">
        <v>0</v>
      </c>
      <c r="J64" s="45">
        <v>0</v>
      </c>
      <c r="K64" s="45">
        <v>0</v>
      </c>
      <c r="L64" s="45">
        <v>0</v>
      </c>
      <c r="M64" s="45">
        <v>0</v>
      </c>
      <c r="N64" s="45">
        <v>0</v>
      </c>
      <c r="O64" s="45">
        <v>0</v>
      </c>
      <c r="P64" s="45">
        <v>0</v>
      </c>
    </row>
    <row r="65" spans="1:16" x14ac:dyDescent="0.25">
      <c r="A65" s="41">
        <v>0.64583333333333304</v>
      </c>
      <c r="B65" s="42">
        <v>0.65625</v>
      </c>
      <c r="C65" s="45">
        <v>0</v>
      </c>
      <c r="D65" s="45">
        <v>0</v>
      </c>
      <c r="E65" s="45">
        <v>0</v>
      </c>
      <c r="F65" s="45">
        <v>0</v>
      </c>
      <c r="G65" s="45">
        <v>0</v>
      </c>
      <c r="H65" s="45">
        <v>0</v>
      </c>
      <c r="I65" s="45">
        <v>0</v>
      </c>
      <c r="J65" s="45">
        <v>0</v>
      </c>
      <c r="K65" s="45">
        <v>0</v>
      </c>
      <c r="L65" s="45">
        <v>0</v>
      </c>
      <c r="M65" s="45">
        <v>0</v>
      </c>
      <c r="N65" s="45">
        <v>0</v>
      </c>
      <c r="O65" s="45">
        <v>0</v>
      </c>
      <c r="P65" s="45">
        <v>0</v>
      </c>
    </row>
    <row r="66" spans="1:16" x14ac:dyDescent="0.25">
      <c r="A66" s="43">
        <v>0.65625</v>
      </c>
      <c r="B66" s="42">
        <v>0.66666666666666696</v>
      </c>
      <c r="C66" s="45">
        <v>0</v>
      </c>
      <c r="D66" s="45">
        <v>0</v>
      </c>
      <c r="E66" s="45">
        <v>0</v>
      </c>
      <c r="F66" s="45">
        <v>0</v>
      </c>
      <c r="G66" s="45">
        <v>0</v>
      </c>
      <c r="H66" s="45">
        <v>0</v>
      </c>
      <c r="I66" s="45">
        <v>0</v>
      </c>
      <c r="J66" s="45">
        <v>0</v>
      </c>
      <c r="K66" s="45">
        <v>0</v>
      </c>
      <c r="L66" s="45">
        <v>0</v>
      </c>
      <c r="M66" s="45">
        <v>0</v>
      </c>
      <c r="N66" s="45">
        <v>0</v>
      </c>
      <c r="O66" s="45">
        <v>0</v>
      </c>
      <c r="P66" s="45">
        <v>0</v>
      </c>
    </row>
    <row r="67" spans="1:16" x14ac:dyDescent="0.25">
      <c r="A67" s="41">
        <v>0.66666666666666696</v>
      </c>
      <c r="B67" s="42">
        <v>0.67708333333333404</v>
      </c>
      <c r="C67" s="45">
        <v>0</v>
      </c>
      <c r="D67" s="45">
        <v>0</v>
      </c>
      <c r="E67" s="45">
        <v>0</v>
      </c>
      <c r="F67" s="45">
        <v>0</v>
      </c>
      <c r="G67" s="45">
        <v>0</v>
      </c>
      <c r="H67" s="45">
        <v>0</v>
      </c>
      <c r="I67" s="45">
        <v>0</v>
      </c>
      <c r="J67" s="45">
        <v>0</v>
      </c>
      <c r="K67" s="45">
        <v>0</v>
      </c>
      <c r="L67" s="45">
        <v>0</v>
      </c>
      <c r="M67" s="45">
        <v>0</v>
      </c>
      <c r="N67" s="45">
        <v>0</v>
      </c>
      <c r="O67" s="45">
        <v>0</v>
      </c>
      <c r="P67" s="45">
        <v>0</v>
      </c>
    </row>
    <row r="68" spans="1:16" x14ac:dyDescent="0.25">
      <c r="A68" s="43">
        <v>0.67708333333333304</v>
      </c>
      <c r="B68" s="42">
        <v>0.6875</v>
      </c>
      <c r="C68" s="45">
        <v>0</v>
      </c>
      <c r="D68" s="45">
        <v>0</v>
      </c>
      <c r="E68" s="45">
        <v>0</v>
      </c>
      <c r="F68" s="45">
        <v>0</v>
      </c>
      <c r="G68" s="45">
        <v>0</v>
      </c>
      <c r="H68" s="45">
        <v>0</v>
      </c>
      <c r="I68" s="45">
        <v>0</v>
      </c>
      <c r="J68" s="45">
        <v>0</v>
      </c>
      <c r="K68" s="45">
        <v>0</v>
      </c>
      <c r="L68" s="45">
        <v>0</v>
      </c>
      <c r="M68" s="45">
        <v>0</v>
      </c>
      <c r="N68" s="45">
        <v>0</v>
      </c>
      <c r="O68" s="45">
        <v>0</v>
      </c>
      <c r="P68" s="45">
        <v>0</v>
      </c>
    </row>
    <row r="69" spans="1:16" x14ac:dyDescent="0.25">
      <c r="A69" s="41">
        <v>0.6875</v>
      </c>
      <c r="B69" s="42">
        <v>0.69791666666666696</v>
      </c>
      <c r="C69" s="45">
        <v>0</v>
      </c>
      <c r="D69" s="45">
        <v>0</v>
      </c>
      <c r="E69" s="45">
        <v>0</v>
      </c>
      <c r="F69" s="45">
        <v>0</v>
      </c>
      <c r="G69" s="45">
        <v>0</v>
      </c>
      <c r="H69" s="45">
        <v>0</v>
      </c>
      <c r="I69" s="45">
        <v>0</v>
      </c>
      <c r="J69" s="45">
        <v>0</v>
      </c>
      <c r="K69" s="45">
        <v>0</v>
      </c>
      <c r="L69" s="45">
        <v>0</v>
      </c>
      <c r="M69" s="45">
        <v>0</v>
      </c>
      <c r="N69" s="45">
        <v>0</v>
      </c>
      <c r="O69" s="45">
        <v>0</v>
      </c>
      <c r="P69" s="45">
        <v>0</v>
      </c>
    </row>
    <row r="70" spans="1:16" x14ac:dyDescent="0.25">
      <c r="A70" s="43">
        <v>0.69791666666666696</v>
      </c>
      <c r="B70" s="42">
        <v>0.70833333333333404</v>
      </c>
      <c r="C70" s="45">
        <v>0</v>
      </c>
      <c r="D70" s="45">
        <v>0</v>
      </c>
      <c r="E70" s="45">
        <v>0</v>
      </c>
      <c r="F70" s="45">
        <v>0</v>
      </c>
      <c r="G70" s="45">
        <v>0</v>
      </c>
      <c r="H70" s="45">
        <v>0</v>
      </c>
      <c r="I70" s="45">
        <v>0</v>
      </c>
      <c r="J70" s="45">
        <v>0</v>
      </c>
      <c r="K70" s="45">
        <v>0</v>
      </c>
      <c r="L70" s="45">
        <v>0</v>
      </c>
      <c r="M70" s="45">
        <v>0</v>
      </c>
      <c r="N70" s="45">
        <v>0</v>
      </c>
      <c r="O70" s="45">
        <v>0</v>
      </c>
      <c r="P70" s="45">
        <v>0</v>
      </c>
    </row>
    <row r="71" spans="1:16" x14ac:dyDescent="0.25">
      <c r="A71" s="41">
        <v>0.70833333333333304</v>
      </c>
      <c r="B71" s="42">
        <v>0.71875</v>
      </c>
      <c r="C71" s="45">
        <v>0</v>
      </c>
      <c r="D71" s="45">
        <v>0</v>
      </c>
      <c r="E71" s="45">
        <v>0</v>
      </c>
      <c r="F71" s="45">
        <v>0</v>
      </c>
      <c r="G71" s="45">
        <v>0</v>
      </c>
      <c r="H71" s="45">
        <v>0</v>
      </c>
      <c r="I71" s="45">
        <v>0</v>
      </c>
      <c r="J71" s="45">
        <v>0</v>
      </c>
      <c r="K71" s="45">
        <v>0</v>
      </c>
      <c r="L71" s="45">
        <v>0</v>
      </c>
      <c r="M71" s="45">
        <v>0</v>
      </c>
      <c r="N71" s="45">
        <v>0</v>
      </c>
      <c r="O71" s="45">
        <v>0</v>
      </c>
      <c r="P71" s="45">
        <v>0</v>
      </c>
    </row>
    <row r="72" spans="1:16" x14ac:dyDescent="0.25">
      <c r="A72" s="43">
        <v>0.71875</v>
      </c>
      <c r="B72" s="42">
        <v>0.72916666666666696</v>
      </c>
      <c r="C72" s="45">
        <v>0</v>
      </c>
      <c r="D72" s="45">
        <v>0</v>
      </c>
      <c r="E72" s="45">
        <v>0</v>
      </c>
      <c r="F72" s="45">
        <v>0</v>
      </c>
      <c r="G72" s="45">
        <v>0</v>
      </c>
      <c r="H72" s="45">
        <v>0</v>
      </c>
      <c r="I72" s="45">
        <v>0</v>
      </c>
      <c r="J72" s="45">
        <v>0</v>
      </c>
      <c r="K72" s="45">
        <v>0</v>
      </c>
      <c r="L72" s="45">
        <v>0</v>
      </c>
      <c r="M72" s="45">
        <v>0</v>
      </c>
      <c r="N72" s="45">
        <v>0</v>
      </c>
      <c r="O72" s="45">
        <v>0</v>
      </c>
      <c r="P72" s="45">
        <v>0</v>
      </c>
    </row>
    <row r="73" spans="1:16" x14ac:dyDescent="0.25">
      <c r="A73" s="41">
        <v>0.72916666666666696</v>
      </c>
      <c r="B73" s="42">
        <v>0.73958333333333404</v>
      </c>
      <c r="C73" s="45">
        <v>0</v>
      </c>
      <c r="D73" s="45">
        <v>0</v>
      </c>
      <c r="E73" s="45">
        <v>0</v>
      </c>
      <c r="F73" s="45">
        <v>0</v>
      </c>
      <c r="G73" s="45">
        <v>0</v>
      </c>
      <c r="H73" s="45">
        <v>0</v>
      </c>
      <c r="I73" s="45">
        <v>0</v>
      </c>
      <c r="J73" s="45">
        <v>0</v>
      </c>
      <c r="K73" s="45">
        <v>0</v>
      </c>
      <c r="L73" s="45">
        <v>0</v>
      </c>
      <c r="M73" s="45">
        <v>0</v>
      </c>
      <c r="N73" s="45">
        <v>0</v>
      </c>
      <c r="O73" s="45">
        <v>0</v>
      </c>
      <c r="P73" s="45">
        <v>0</v>
      </c>
    </row>
    <row r="74" spans="1:16" x14ac:dyDescent="0.25">
      <c r="A74" s="43">
        <v>0.73958333333333304</v>
      </c>
      <c r="B74" s="42">
        <v>0.75</v>
      </c>
      <c r="C74" s="45">
        <v>0</v>
      </c>
      <c r="D74" s="45">
        <v>0</v>
      </c>
      <c r="E74" s="45">
        <v>0</v>
      </c>
      <c r="F74" s="45">
        <v>0</v>
      </c>
      <c r="G74" s="45">
        <v>0</v>
      </c>
      <c r="H74" s="45">
        <v>0</v>
      </c>
      <c r="I74" s="45">
        <v>0</v>
      </c>
      <c r="J74" s="45">
        <v>0</v>
      </c>
      <c r="K74" s="45">
        <v>0</v>
      </c>
      <c r="L74" s="45">
        <v>0</v>
      </c>
      <c r="M74" s="45">
        <v>0</v>
      </c>
      <c r="N74" s="45">
        <v>0</v>
      </c>
      <c r="O74" s="45">
        <v>0</v>
      </c>
      <c r="P74" s="45">
        <v>0</v>
      </c>
    </row>
    <row r="75" spans="1:16" x14ac:dyDescent="0.25">
      <c r="A75" s="41">
        <v>0.75</v>
      </c>
      <c r="B75" s="42">
        <v>0.76041666666666696</v>
      </c>
      <c r="C75" s="45">
        <v>0</v>
      </c>
      <c r="D75" s="45">
        <v>0</v>
      </c>
      <c r="E75" s="45">
        <v>0</v>
      </c>
      <c r="F75" s="45">
        <v>0</v>
      </c>
      <c r="G75" s="45">
        <v>0</v>
      </c>
      <c r="H75" s="45">
        <v>0</v>
      </c>
      <c r="I75" s="45">
        <v>0</v>
      </c>
      <c r="J75" s="45">
        <v>0</v>
      </c>
      <c r="K75" s="45">
        <v>0</v>
      </c>
      <c r="L75" s="45">
        <v>0</v>
      </c>
      <c r="M75" s="45">
        <v>0</v>
      </c>
      <c r="N75" s="45">
        <v>0</v>
      </c>
      <c r="O75" s="45">
        <v>0</v>
      </c>
      <c r="P75" s="45">
        <v>0</v>
      </c>
    </row>
    <row r="76" spans="1:16" x14ac:dyDescent="0.25">
      <c r="A76" s="43">
        <v>0.76041666666666696</v>
      </c>
      <c r="B76" s="42">
        <v>0.77083333333333404</v>
      </c>
      <c r="C76" s="45">
        <v>0</v>
      </c>
      <c r="D76" s="45">
        <v>0</v>
      </c>
      <c r="E76" s="45">
        <v>0</v>
      </c>
      <c r="F76" s="45">
        <v>0</v>
      </c>
      <c r="G76" s="45">
        <v>0</v>
      </c>
      <c r="H76" s="45">
        <v>0</v>
      </c>
      <c r="I76" s="45">
        <v>0</v>
      </c>
      <c r="J76" s="45">
        <v>0</v>
      </c>
      <c r="K76" s="45">
        <v>0</v>
      </c>
      <c r="L76" s="45">
        <v>0</v>
      </c>
      <c r="M76" s="45">
        <v>0</v>
      </c>
      <c r="N76" s="45">
        <v>0</v>
      </c>
      <c r="O76" s="45">
        <v>0</v>
      </c>
      <c r="P76" s="45">
        <v>0</v>
      </c>
    </row>
    <row r="77" spans="1:16" x14ac:dyDescent="0.25">
      <c r="A77" s="41">
        <v>0.77083333333333304</v>
      </c>
      <c r="B77" s="42">
        <v>0.78125</v>
      </c>
      <c r="C77" s="45">
        <v>0</v>
      </c>
      <c r="D77" s="45">
        <v>0</v>
      </c>
      <c r="E77" s="45">
        <v>0</v>
      </c>
      <c r="F77" s="45">
        <v>0</v>
      </c>
      <c r="G77" s="45">
        <v>0</v>
      </c>
      <c r="H77" s="45">
        <v>0</v>
      </c>
      <c r="I77" s="45">
        <v>0</v>
      </c>
      <c r="J77" s="45">
        <v>0</v>
      </c>
      <c r="K77" s="45">
        <v>0</v>
      </c>
      <c r="L77" s="45">
        <v>0</v>
      </c>
      <c r="M77" s="45">
        <v>0</v>
      </c>
      <c r="N77" s="45">
        <v>0</v>
      </c>
      <c r="O77" s="45">
        <v>0</v>
      </c>
      <c r="P77" s="45">
        <v>0</v>
      </c>
    </row>
    <row r="78" spans="1:16" x14ac:dyDescent="0.25">
      <c r="A78" s="43">
        <v>0.78125</v>
      </c>
      <c r="B78" s="42">
        <v>0.79166666666666696</v>
      </c>
      <c r="C78" s="45">
        <v>0</v>
      </c>
      <c r="D78" s="45">
        <v>0</v>
      </c>
      <c r="E78" s="45">
        <v>0</v>
      </c>
      <c r="F78" s="45">
        <v>0</v>
      </c>
      <c r="G78" s="45">
        <v>0</v>
      </c>
      <c r="H78" s="45">
        <v>0</v>
      </c>
      <c r="I78" s="45">
        <v>0</v>
      </c>
      <c r="J78" s="45">
        <v>0</v>
      </c>
      <c r="K78" s="45">
        <v>0</v>
      </c>
      <c r="L78" s="45">
        <v>0</v>
      </c>
      <c r="M78" s="45">
        <v>0</v>
      </c>
      <c r="N78" s="45">
        <v>0</v>
      </c>
      <c r="O78" s="45">
        <v>0</v>
      </c>
      <c r="P78" s="45">
        <v>0</v>
      </c>
    </row>
    <row r="79" spans="1:16" x14ac:dyDescent="0.25">
      <c r="A79" s="41">
        <v>0.79166666666666696</v>
      </c>
      <c r="B79" s="42">
        <v>0.80208333333333404</v>
      </c>
      <c r="C79" s="45">
        <v>0</v>
      </c>
      <c r="D79" s="45">
        <v>0</v>
      </c>
      <c r="E79" s="45">
        <v>0</v>
      </c>
      <c r="F79" s="45">
        <v>0</v>
      </c>
      <c r="G79" s="45">
        <v>0</v>
      </c>
      <c r="H79" s="45">
        <v>0</v>
      </c>
      <c r="I79" s="45">
        <v>0</v>
      </c>
      <c r="J79" s="45">
        <v>0</v>
      </c>
      <c r="K79" s="45">
        <v>0</v>
      </c>
      <c r="L79" s="45">
        <v>0</v>
      </c>
      <c r="M79" s="45">
        <v>0</v>
      </c>
      <c r="N79" s="45">
        <v>0</v>
      </c>
      <c r="O79" s="45">
        <v>0</v>
      </c>
      <c r="P79" s="45">
        <v>0</v>
      </c>
    </row>
    <row r="80" spans="1:16" x14ac:dyDescent="0.25">
      <c r="A80" s="43">
        <v>0.80208333333333304</v>
      </c>
      <c r="B80" s="42">
        <v>0.8125</v>
      </c>
      <c r="C80" s="45">
        <v>0</v>
      </c>
      <c r="D80" s="45">
        <v>0</v>
      </c>
      <c r="E80" s="45">
        <v>0</v>
      </c>
      <c r="F80" s="45">
        <v>0</v>
      </c>
      <c r="G80" s="45">
        <v>0</v>
      </c>
      <c r="H80" s="45">
        <v>0</v>
      </c>
      <c r="I80" s="45">
        <v>0</v>
      </c>
      <c r="J80" s="45">
        <v>0</v>
      </c>
      <c r="K80" s="45">
        <v>0</v>
      </c>
      <c r="L80" s="45">
        <v>0</v>
      </c>
      <c r="M80" s="45">
        <v>0</v>
      </c>
      <c r="N80" s="45">
        <v>0</v>
      </c>
      <c r="O80" s="45">
        <v>0</v>
      </c>
      <c r="P80" s="45">
        <v>0</v>
      </c>
    </row>
    <row r="81" spans="1:16" x14ac:dyDescent="0.25">
      <c r="A81" s="41">
        <v>0.8125</v>
      </c>
      <c r="B81" s="42">
        <v>0.82291666666666696</v>
      </c>
      <c r="C81" s="45">
        <v>0</v>
      </c>
      <c r="D81" s="45">
        <v>0</v>
      </c>
      <c r="E81" s="45">
        <v>0</v>
      </c>
      <c r="F81" s="45">
        <v>0</v>
      </c>
      <c r="G81" s="45">
        <v>0</v>
      </c>
      <c r="H81" s="45">
        <v>0</v>
      </c>
      <c r="I81" s="45">
        <v>0</v>
      </c>
      <c r="J81" s="45">
        <v>0</v>
      </c>
      <c r="K81" s="45">
        <v>0</v>
      </c>
      <c r="L81" s="45">
        <v>0</v>
      </c>
      <c r="M81" s="45">
        <v>0</v>
      </c>
      <c r="N81" s="45">
        <v>0</v>
      </c>
      <c r="O81" s="45">
        <v>0</v>
      </c>
      <c r="P81" s="45">
        <v>0</v>
      </c>
    </row>
    <row r="82" spans="1:16" x14ac:dyDescent="0.25">
      <c r="A82" s="43">
        <v>0.82291666666666696</v>
      </c>
      <c r="B82" s="42">
        <v>0.83333333333333404</v>
      </c>
      <c r="C82" s="45">
        <v>0</v>
      </c>
      <c r="D82" s="45">
        <v>0</v>
      </c>
      <c r="E82" s="45">
        <v>0</v>
      </c>
      <c r="F82" s="45">
        <v>0</v>
      </c>
      <c r="G82" s="45">
        <v>0</v>
      </c>
      <c r="H82" s="45">
        <v>0</v>
      </c>
      <c r="I82" s="45">
        <v>0</v>
      </c>
      <c r="J82" s="45">
        <v>0</v>
      </c>
      <c r="K82" s="45">
        <v>0</v>
      </c>
      <c r="L82" s="45">
        <v>0</v>
      </c>
      <c r="M82" s="45">
        <v>0</v>
      </c>
      <c r="N82" s="45">
        <v>0</v>
      </c>
      <c r="O82" s="45">
        <v>0</v>
      </c>
      <c r="P82" s="45">
        <v>0</v>
      </c>
    </row>
    <row r="83" spans="1:16" x14ac:dyDescent="0.25">
      <c r="A83" s="41">
        <v>0.83333333333333304</v>
      </c>
      <c r="B83" s="42">
        <v>0.84375</v>
      </c>
      <c r="C83" s="45">
        <v>0</v>
      </c>
      <c r="D83" s="45">
        <v>0</v>
      </c>
      <c r="E83" s="45">
        <v>0</v>
      </c>
      <c r="F83" s="45">
        <v>0</v>
      </c>
      <c r="G83" s="45">
        <v>0</v>
      </c>
      <c r="H83" s="45">
        <v>0</v>
      </c>
      <c r="I83" s="45">
        <v>0</v>
      </c>
      <c r="J83" s="45">
        <v>0</v>
      </c>
      <c r="K83" s="45">
        <v>0</v>
      </c>
      <c r="L83" s="45">
        <v>0</v>
      </c>
      <c r="M83" s="45">
        <v>0</v>
      </c>
      <c r="N83" s="45">
        <v>0</v>
      </c>
      <c r="O83" s="45">
        <v>0</v>
      </c>
      <c r="P83" s="45">
        <v>0</v>
      </c>
    </row>
    <row r="84" spans="1:16" x14ac:dyDescent="0.25">
      <c r="A84" s="43">
        <v>0.84375</v>
      </c>
      <c r="B84" s="42">
        <v>0.85416666666666696</v>
      </c>
      <c r="C84" s="45">
        <v>0</v>
      </c>
      <c r="D84" s="45">
        <v>0</v>
      </c>
      <c r="E84" s="45">
        <v>0</v>
      </c>
      <c r="F84" s="45">
        <v>0</v>
      </c>
      <c r="G84" s="45">
        <v>0</v>
      </c>
      <c r="H84" s="45">
        <v>0</v>
      </c>
      <c r="I84" s="45">
        <v>0</v>
      </c>
      <c r="J84" s="45">
        <v>0</v>
      </c>
      <c r="K84" s="45">
        <v>0</v>
      </c>
      <c r="L84" s="45">
        <v>0</v>
      </c>
      <c r="M84" s="45">
        <v>0</v>
      </c>
      <c r="N84" s="45">
        <v>0</v>
      </c>
      <c r="O84" s="45">
        <v>0</v>
      </c>
      <c r="P84" s="45">
        <v>0</v>
      </c>
    </row>
    <row r="85" spans="1:16" x14ac:dyDescent="0.25">
      <c r="A85" s="41">
        <v>0.85416666666666696</v>
      </c>
      <c r="B85" s="42">
        <v>0.86458333333333404</v>
      </c>
      <c r="C85" s="45">
        <v>0</v>
      </c>
      <c r="D85" s="45">
        <v>0</v>
      </c>
      <c r="E85" s="45">
        <v>0</v>
      </c>
      <c r="F85" s="45">
        <v>0</v>
      </c>
      <c r="G85" s="45">
        <v>0</v>
      </c>
      <c r="H85" s="45">
        <v>0</v>
      </c>
      <c r="I85" s="45">
        <v>0</v>
      </c>
      <c r="J85" s="45">
        <v>0</v>
      </c>
      <c r="K85" s="45">
        <v>0</v>
      </c>
      <c r="L85" s="45">
        <v>0</v>
      </c>
      <c r="M85" s="45">
        <v>0</v>
      </c>
      <c r="N85" s="45">
        <v>0</v>
      </c>
      <c r="O85" s="45">
        <v>0</v>
      </c>
      <c r="P85" s="45">
        <v>0</v>
      </c>
    </row>
    <row r="86" spans="1:16" x14ac:dyDescent="0.25">
      <c r="A86" s="43">
        <v>0.86458333333333304</v>
      </c>
      <c r="B86" s="42">
        <v>0.875</v>
      </c>
      <c r="C86" s="45">
        <v>0</v>
      </c>
      <c r="D86" s="45">
        <v>0</v>
      </c>
      <c r="E86" s="45">
        <v>0</v>
      </c>
      <c r="F86" s="45">
        <v>0</v>
      </c>
      <c r="G86" s="45">
        <v>0</v>
      </c>
      <c r="H86" s="45">
        <v>0</v>
      </c>
      <c r="I86" s="45">
        <v>0</v>
      </c>
      <c r="J86" s="45">
        <v>0</v>
      </c>
      <c r="K86" s="45">
        <v>0</v>
      </c>
      <c r="L86" s="45">
        <v>0</v>
      </c>
      <c r="M86" s="45">
        <v>0</v>
      </c>
      <c r="N86" s="45">
        <v>0</v>
      </c>
      <c r="O86" s="45">
        <v>0</v>
      </c>
      <c r="P86" s="45">
        <v>0</v>
      </c>
    </row>
    <row r="87" spans="1:16" x14ac:dyDescent="0.25">
      <c r="A87" s="41">
        <v>0.875</v>
      </c>
      <c r="B87" s="42">
        <v>0.88541666666666696</v>
      </c>
      <c r="C87" s="45">
        <v>0</v>
      </c>
      <c r="D87" s="45">
        <v>0</v>
      </c>
      <c r="E87" s="45">
        <v>0</v>
      </c>
      <c r="F87" s="45">
        <v>0</v>
      </c>
      <c r="G87" s="45">
        <v>0</v>
      </c>
      <c r="H87" s="45">
        <v>0</v>
      </c>
      <c r="I87" s="45">
        <v>0</v>
      </c>
      <c r="J87" s="45">
        <v>0</v>
      </c>
      <c r="K87" s="45">
        <v>0</v>
      </c>
      <c r="L87" s="45">
        <v>0</v>
      </c>
      <c r="M87" s="45">
        <v>0</v>
      </c>
      <c r="N87" s="45">
        <v>0</v>
      </c>
      <c r="O87" s="45">
        <v>0</v>
      </c>
      <c r="P87" s="45">
        <v>0</v>
      </c>
    </row>
    <row r="88" spans="1:16" x14ac:dyDescent="0.25">
      <c r="A88" s="43">
        <v>0.88541666666666696</v>
      </c>
      <c r="B88" s="42">
        <v>0.89583333333333404</v>
      </c>
      <c r="C88" s="45">
        <v>0</v>
      </c>
      <c r="D88" s="45">
        <v>0</v>
      </c>
      <c r="E88" s="45">
        <v>0</v>
      </c>
      <c r="F88" s="45">
        <v>0</v>
      </c>
      <c r="G88" s="45">
        <v>0</v>
      </c>
      <c r="H88" s="45">
        <v>0</v>
      </c>
      <c r="I88" s="45">
        <v>0</v>
      </c>
      <c r="J88" s="45">
        <v>0</v>
      </c>
      <c r="K88" s="45">
        <v>0</v>
      </c>
      <c r="L88" s="45">
        <v>0</v>
      </c>
      <c r="M88" s="45">
        <v>0</v>
      </c>
      <c r="N88" s="45">
        <v>0</v>
      </c>
      <c r="O88" s="45">
        <v>0</v>
      </c>
      <c r="P88" s="45">
        <v>0</v>
      </c>
    </row>
    <row r="89" spans="1:16" x14ac:dyDescent="0.25">
      <c r="A89" s="41">
        <v>0.89583333333333304</v>
      </c>
      <c r="B89" s="42">
        <v>0.90625</v>
      </c>
      <c r="C89" s="45">
        <v>0</v>
      </c>
      <c r="D89" s="45">
        <v>0</v>
      </c>
      <c r="E89" s="45">
        <v>0</v>
      </c>
      <c r="F89" s="45">
        <v>0</v>
      </c>
      <c r="G89" s="45">
        <v>0</v>
      </c>
      <c r="H89" s="45">
        <v>0</v>
      </c>
      <c r="I89" s="45">
        <v>0</v>
      </c>
      <c r="J89" s="45">
        <v>0</v>
      </c>
      <c r="K89" s="45">
        <v>0</v>
      </c>
      <c r="L89" s="45">
        <v>0</v>
      </c>
      <c r="M89" s="45">
        <v>0</v>
      </c>
      <c r="N89" s="45">
        <v>0</v>
      </c>
      <c r="O89" s="45">
        <v>0</v>
      </c>
      <c r="P89" s="45">
        <v>0</v>
      </c>
    </row>
    <row r="90" spans="1:16" x14ac:dyDescent="0.25">
      <c r="A90" s="43">
        <v>0.90625</v>
      </c>
      <c r="B90" s="42">
        <v>0.91666666666666696</v>
      </c>
      <c r="C90" s="45">
        <v>0</v>
      </c>
      <c r="D90" s="45">
        <v>0</v>
      </c>
      <c r="E90" s="45">
        <v>0</v>
      </c>
      <c r="F90" s="45">
        <v>0</v>
      </c>
      <c r="G90" s="45">
        <v>0</v>
      </c>
      <c r="H90" s="45">
        <v>0</v>
      </c>
      <c r="I90" s="45">
        <v>0</v>
      </c>
      <c r="J90" s="45">
        <v>0</v>
      </c>
      <c r="K90" s="45">
        <v>0</v>
      </c>
      <c r="L90" s="45">
        <v>0</v>
      </c>
      <c r="M90" s="45">
        <v>0</v>
      </c>
      <c r="N90" s="45">
        <v>0</v>
      </c>
      <c r="O90" s="45">
        <v>0</v>
      </c>
      <c r="P90" s="45">
        <v>0</v>
      </c>
    </row>
    <row r="91" spans="1:16" x14ac:dyDescent="0.25">
      <c r="A91" s="41">
        <v>0.91666666666666696</v>
      </c>
      <c r="B91" s="42">
        <v>0.92708333333333404</v>
      </c>
      <c r="C91" s="45">
        <v>0</v>
      </c>
      <c r="D91" s="45">
        <v>0</v>
      </c>
      <c r="E91" s="45">
        <v>0</v>
      </c>
      <c r="F91" s="45">
        <v>0</v>
      </c>
      <c r="G91" s="45">
        <v>0</v>
      </c>
      <c r="H91" s="45">
        <v>0</v>
      </c>
      <c r="I91" s="45">
        <v>0</v>
      </c>
      <c r="J91" s="45">
        <v>0</v>
      </c>
      <c r="K91" s="45">
        <v>0</v>
      </c>
      <c r="L91" s="45">
        <v>0</v>
      </c>
      <c r="M91" s="45">
        <v>0</v>
      </c>
      <c r="N91" s="45">
        <v>0</v>
      </c>
      <c r="O91" s="45">
        <v>0</v>
      </c>
      <c r="P91" s="45">
        <v>0</v>
      </c>
    </row>
    <row r="92" spans="1:16" x14ac:dyDescent="0.25">
      <c r="A92" s="43">
        <v>0.92708333333333304</v>
      </c>
      <c r="B92" s="42">
        <v>0.9375</v>
      </c>
      <c r="C92" s="45">
        <v>0</v>
      </c>
      <c r="D92" s="45">
        <v>0</v>
      </c>
      <c r="E92" s="45">
        <v>0</v>
      </c>
      <c r="F92" s="45">
        <v>0</v>
      </c>
      <c r="G92" s="45">
        <v>0</v>
      </c>
      <c r="H92" s="45">
        <v>0</v>
      </c>
      <c r="I92" s="45">
        <v>0</v>
      </c>
      <c r="J92" s="45">
        <v>0</v>
      </c>
      <c r="K92" s="45">
        <v>0</v>
      </c>
      <c r="L92" s="45">
        <v>0</v>
      </c>
      <c r="M92" s="45">
        <v>0</v>
      </c>
      <c r="N92" s="45">
        <v>0</v>
      </c>
      <c r="O92" s="45">
        <v>0</v>
      </c>
      <c r="P92" s="45">
        <v>0</v>
      </c>
    </row>
    <row r="93" spans="1:16" x14ac:dyDescent="0.25">
      <c r="A93" s="41">
        <v>0.9375</v>
      </c>
      <c r="B93" s="42">
        <v>0.94791666666666696</v>
      </c>
      <c r="C93" s="45">
        <v>0</v>
      </c>
      <c r="D93" s="45">
        <v>0</v>
      </c>
      <c r="E93" s="45">
        <v>0</v>
      </c>
      <c r="F93" s="45">
        <v>0</v>
      </c>
      <c r="G93" s="45">
        <v>0</v>
      </c>
      <c r="H93" s="45">
        <v>0</v>
      </c>
      <c r="I93" s="45">
        <v>0</v>
      </c>
      <c r="J93" s="45">
        <v>0</v>
      </c>
      <c r="K93" s="45">
        <v>0</v>
      </c>
      <c r="L93" s="45">
        <v>0</v>
      </c>
      <c r="M93" s="45">
        <v>0</v>
      </c>
      <c r="N93" s="45">
        <v>0</v>
      </c>
      <c r="O93" s="45">
        <v>0</v>
      </c>
      <c r="P93" s="45">
        <v>0</v>
      </c>
    </row>
    <row r="94" spans="1:16" x14ac:dyDescent="0.25">
      <c r="A94" s="43">
        <v>0.94791666666666696</v>
      </c>
      <c r="B94" s="42">
        <v>0.95833333333333404</v>
      </c>
      <c r="C94" s="45">
        <v>0</v>
      </c>
      <c r="D94" s="45">
        <v>0</v>
      </c>
      <c r="E94" s="45">
        <v>0</v>
      </c>
      <c r="F94" s="45">
        <v>0</v>
      </c>
      <c r="G94" s="45">
        <v>0</v>
      </c>
      <c r="H94" s="45">
        <v>0</v>
      </c>
      <c r="I94" s="45">
        <v>0</v>
      </c>
      <c r="J94" s="45">
        <v>0</v>
      </c>
      <c r="K94" s="45">
        <v>0</v>
      </c>
      <c r="L94" s="45">
        <v>0</v>
      </c>
      <c r="M94" s="45">
        <v>0</v>
      </c>
      <c r="N94" s="45">
        <v>0</v>
      </c>
      <c r="O94" s="45">
        <v>0</v>
      </c>
      <c r="P94" s="45">
        <v>0</v>
      </c>
    </row>
    <row r="95" spans="1:16" x14ac:dyDescent="0.25">
      <c r="A95" s="41">
        <v>0.95833333333333304</v>
      </c>
      <c r="B95" s="42">
        <v>0.96875</v>
      </c>
      <c r="C95" s="45">
        <v>0</v>
      </c>
      <c r="D95" s="45">
        <v>0</v>
      </c>
      <c r="E95" s="45">
        <v>0</v>
      </c>
      <c r="F95" s="45">
        <v>0</v>
      </c>
      <c r="G95" s="45">
        <v>0</v>
      </c>
      <c r="H95" s="45">
        <v>0</v>
      </c>
      <c r="I95" s="45">
        <v>0</v>
      </c>
      <c r="J95" s="45">
        <v>0</v>
      </c>
      <c r="K95" s="45">
        <v>0</v>
      </c>
      <c r="L95" s="45">
        <v>0</v>
      </c>
      <c r="M95" s="45">
        <v>0</v>
      </c>
      <c r="N95" s="45">
        <v>0</v>
      </c>
      <c r="O95" s="45">
        <v>0</v>
      </c>
      <c r="P95" s="45">
        <v>0</v>
      </c>
    </row>
    <row r="96" spans="1:16" x14ac:dyDescent="0.25">
      <c r="A96" s="43">
        <v>0.96875</v>
      </c>
      <c r="B96" s="42">
        <v>0.97916666666666696</v>
      </c>
      <c r="C96" s="45">
        <v>0</v>
      </c>
      <c r="D96" s="45">
        <v>0</v>
      </c>
      <c r="E96" s="45">
        <v>0</v>
      </c>
      <c r="F96" s="45">
        <v>0</v>
      </c>
      <c r="G96" s="45">
        <v>0</v>
      </c>
      <c r="H96" s="45">
        <v>0</v>
      </c>
      <c r="I96" s="45">
        <v>0</v>
      </c>
      <c r="J96" s="45">
        <v>0</v>
      </c>
      <c r="K96" s="45">
        <v>0</v>
      </c>
      <c r="L96" s="45">
        <v>0</v>
      </c>
      <c r="M96" s="45">
        <v>0</v>
      </c>
      <c r="N96" s="45">
        <v>0</v>
      </c>
      <c r="O96" s="45">
        <v>0</v>
      </c>
      <c r="P96" s="45">
        <v>0</v>
      </c>
    </row>
    <row r="97" spans="1:16" x14ac:dyDescent="0.25">
      <c r="A97" s="41">
        <v>0.97916666666666696</v>
      </c>
      <c r="B97" s="42">
        <v>0.98958333333333404</v>
      </c>
      <c r="C97" s="45">
        <v>0</v>
      </c>
      <c r="D97" s="45">
        <v>0</v>
      </c>
      <c r="E97" s="45">
        <v>0</v>
      </c>
      <c r="F97" s="45">
        <v>0</v>
      </c>
      <c r="G97" s="45">
        <v>0</v>
      </c>
      <c r="H97" s="45">
        <v>0</v>
      </c>
      <c r="I97" s="45">
        <v>0</v>
      </c>
      <c r="J97" s="45">
        <v>0</v>
      </c>
      <c r="K97" s="45">
        <v>0</v>
      </c>
      <c r="L97" s="45">
        <v>0</v>
      </c>
      <c r="M97" s="45">
        <v>0</v>
      </c>
      <c r="N97" s="45">
        <v>0</v>
      </c>
      <c r="O97" s="45">
        <v>0</v>
      </c>
      <c r="P97" s="45">
        <v>0</v>
      </c>
    </row>
    <row r="98" spans="1:16" x14ac:dyDescent="0.25">
      <c r="A98" s="43">
        <v>0.98958333333333304</v>
      </c>
      <c r="B98" s="42">
        <v>1</v>
      </c>
      <c r="C98" s="45">
        <v>0</v>
      </c>
      <c r="D98" s="45">
        <v>0</v>
      </c>
      <c r="E98" s="45">
        <v>0</v>
      </c>
      <c r="F98" s="45">
        <v>0</v>
      </c>
      <c r="G98" s="45">
        <v>0</v>
      </c>
      <c r="H98" s="45">
        <v>0</v>
      </c>
      <c r="I98" s="45">
        <v>0</v>
      </c>
      <c r="J98" s="45">
        <v>0</v>
      </c>
      <c r="K98" s="45">
        <v>0</v>
      </c>
      <c r="L98" s="45">
        <v>0</v>
      </c>
      <c r="M98" s="45">
        <v>0</v>
      </c>
      <c r="N98" s="45">
        <v>0</v>
      </c>
      <c r="O98" s="45">
        <v>0</v>
      </c>
      <c r="P98" s="45">
        <v>0</v>
      </c>
    </row>
  </sheetData>
  <mergeCells count="1">
    <mergeCell ref="A2:B2"/>
  </mergeCells>
  <pageMargins left="0.7" right="0.7" top="0.75" bottom="0.75" header="0.3" footer="0.3"/>
  <headerFooter>
    <oddHeader>&amp;C&amp;"Calibri"&amp;10&amp;KFF0000 CONFIDENTIAL&amp;1#_x000D_</oddHead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15"/>
  <dimension ref="A1:P98"/>
  <sheetViews>
    <sheetView workbookViewId="0">
      <selection activeCell="J3" sqref="J3"/>
    </sheetView>
  </sheetViews>
  <sheetFormatPr defaultColWidth="8.54296875" defaultRowHeight="12.5" x14ac:dyDescent="0.25"/>
  <cols>
    <col min="1" max="1" width="12.453125" customWidth="1"/>
    <col min="2" max="16" width="10.1796875" customWidth="1"/>
  </cols>
  <sheetData>
    <row r="1" spans="1:16" ht="51.75" customHeight="1" thickBot="1" x14ac:dyDescent="0.3">
      <c r="A1" s="34" t="s">
        <v>58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39" x14ac:dyDescent="0.3">
      <c r="A2" s="341">
        <f>Hourly_kWh!A6</f>
        <v>45838.291666666664</v>
      </c>
      <c r="B2" s="342"/>
      <c r="C2" s="38" t="str">
        <f>'Feeder Names'!E3</f>
        <v>HT.GRID_VCB</v>
      </c>
      <c r="D2" s="38" t="str">
        <f>'Feeder Names'!F3</f>
        <v>HT.TRAFO-1</v>
      </c>
      <c r="E2" s="38" t="str">
        <f>'Feeder Names'!G3</f>
        <v>HT.TRAFO-2</v>
      </c>
      <c r="F2" s="38" t="str">
        <f>'Feeder Names'!H3</f>
        <v>HT.TRAFO-3</v>
      </c>
      <c r="G2" s="38" t="str">
        <f>'Feeder Names'!I3</f>
        <v>HT.TRAFO-4</v>
      </c>
      <c r="H2" s="38" t="str">
        <f>'Feeder Names'!J3</f>
        <v>DG.DG_INC</v>
      </c>
      <c r="I2" s="38" t="str">
        <f>'Feeder Names'!K3</f>
        <v>DG.DG-1</v>
      </c>
      <c r="J2" s="38" t="str">
        <f>'Feeder Names'!L3</f>
        <v>DG.DG-2</v>
      </c>
      <c r="K2" s="38" t="str">
        <f>'Feeder Names'!M3</f>
        <v>DG.DG-3</v>
      </c>
      <c r="L2" s="38" t="str">
        <f>'Feeder Names'!N3</f>
        <v>DG.GD-4</v>
      </c>
      <c r="M2" s="38" t="str">
        <f>'Feeder Names'!O3</f>
        <v>DG.DG-5</v>
      </c>
      <c r="N2" s="38" t="str">
        <f>'Feeder Names'!P3</f>
        <v>DG.VCB_OUTGOING</v>
      </c>
      <c r="O2" s="38" t="str">
        <f>'Feeder Names'!Q3</f>
        <v>SOLAR.SOLAR-1</v>
      </c>
      <c r="P2" s="38" t="str">
        <f>'Feeder Names'!R3</f>
        <v>SOLAR.SOLAR-2</v>
      </c>
    </row>
    <row r="3" spans="1:16" x14ac:dyDescent="0.25">
      <c r="A3" s="41">
        <v>0</v>
      </c>
      <c r="B3" s="42">
        <v>1.0416666666666666E-2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</row>
    <row r="4" spans="1:16" x14ac:dyDescent="0.25">
      <c r="A4" s="43">
        <v>1.0416666666666666E-2</v>
      </c>
      <c r="B4" s="42">
        <v>2.0833333333333332E-2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</row>
    <row r="5" spans="1:16" x14ac:dyDescent="0.25">
      <c r="A5" s="41">
        <v>2.0833333333333301E-2</v>
      </c>
      <c r="B5" s="42">
        <v>3.125E-2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</row>
    <row r="6" spans="1:16" x14ac:dyDescent="0.25">
      <c r="A6" s="43">
        <v>3.125E-2</v>
      </c>
      <c r="B6" s="42">
        <v>4.1666666666666699E-2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0</v>
      </c>
      <c r="P6" s="37">
        <v>0</v>
      </c>
    </row>
    <row r="7" spans="1:16" x14ac:dyDescent="0.25">
      <c r="A7" s="41">
        <v>4.1666666666666699E-2</v>
      </c>
      <c r="B7" s="42">
        <v>5.2083333333333398E-2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</row>
    <row r="8" spans="1:16" x14ac:dyDescent="0.25">
      <c r="A8" s="43">
        <v>5.2083333333333301E-2</v>
      </c>
      <c r="B8" s="42">
        <v>6.25E-2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</row>
    <row r="9" spans="1:16" x14ac:dyDescent="0.25">
      <c r="A9" s="41">
        <v>6.25E-2</v>
      </c>
      <c r="B9" s="42">
        <v>7.2916666666666699E-2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</row>
    <row r="10" spans="1:16" x14ac:dyDescent="0.25">
      <c r="A10" s="43">
        <v>7.2916666666666699E-2</v>
      </c>
      <c r="B10" s="42">
        <v>8.3333333333333398E-2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0</v>
      </c>
      <c r="P10" s="37">
        <v>0</v>
      </c>
    </row>
    <row r="11" spans="1:16" x14ac:dyDescent="0.25">
      <c r="A11" s="41">
        <v>8.3333333333333301E-2</v>
      </c>
      <c r="B11" s="42">
        <v>9.375E-2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0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</row>
    <row r="12" spans="1:16" x14ac:dyDescent="0.25">
      <c r="A12" s="43">
        <v>9.375E-2</v>
      </c>
      <c r="B12" s="42">
        <v>0.104166666666667</v>
      </c>
      <c r="C12" s="37">
        <v>0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0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0</v>
      </c>
      <c r="P12" s="37">
        <v>0</v>
      </c>
    </row>
    <row r="13" spans="1:16" x14ac:dyDescent="0.25">
      <c r="A13" s="41">
        <v>0.104166666666667</v>
      </c>
      <c r="B13" s="42">
        <v>0.11458333333333399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</row>
    <row r="14" spans="1:16" x14ac:dyDescent="0.25">
      <c r="A14" s="43">
        <v>0.114583333333333</v>
      </c>
      <c r="B14" s="42">
        <v>0.125</v>
      </c>
      <c r="C14" s="37">
        <v>0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0</v>
      </c>
      <c r="J14" s="37">
        <v>0</v>
      </c>
      <c r="K14" s="37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</row>
    <row r="15" spans="1:16" x14ac:dyDescent="0.25">
      <c r="A15" s="41">
        <v>0.125</v>
      </c>
      <c r="B15" s="42">
        <v>0.13541666666666699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</row>
    <row r="16" spans="1:16" x14ac:dyDescent="0.25">
      <c r="A16" s="43">
        <v>0.13541666666666699</v>
      </c>
      <c r="B16" s="42">
        <v>0.14583333333333401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</row>
    <row r="17" spans="1:16" x14ac:dyDescent="0.25">
      <c r="A17" s="41">
        <v>0.14583333333333301</v>
      </c>
      <c r="B17" s="42">
        <v>0.15625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37">
        <v>0</v>
      </c>
    </row>
    <row r="18" spans="1:16" x14ac:dyDescent="0.25">
      <c r="A18" s="43">
        <v>0.15625</v>
      </c>
      <c r="B18" s="42">
        <v>0.16666666666666699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0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</row>
    <row r="19" spans="1:16" x14ac:dyDescent="0.25">
      <c r="A19" s="41">
        <v>0.16666666666666699</v>
      </c>
      <c r="B19" s="42">
        <v>0.17708333333333401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0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0</v>
      </c>
      <c r="P19" s="37">
        <v>0</v>
      </c>
    </row>
    <row r="20" spans="1:16" x14ac:dyDescent="0.25">
      <c r="A20" s="43">
        <v>0.17708333333333301</v>
      </c>
      <c r="B20" s="42">
        <v>0.1875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</row>
    <row r="21" spans="1:16" x14ac:dyDescent="0.25">
      <c r="A21" s="41">
        <v>0.1875</v>
      </c>
      <c r="B21" s="42">
        <v>0.19791666666666699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</row>
    <row r="22" spans="1:16" x14ac:dyDescent="0.25">
      <c r="A22" s="43">
        <v>0.19791666666666699</v>
      </c>
      <c r="B22" s="42">
        <v>0.20833333333333401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</row>
    <row r="23" spans="1:16" x14ac:dyDescent="0.25">
      <c r="A23" s="41">
        <v>0.20833333333333301</v>
      </c>
      <c r="B23" s="42">
        <v>0.21875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</row>
    <row r="24" spans="1:16" x14ac:dyDescent="0.25">
      <c r="A24" s="43">
        <v>0.21875</v>
      </c>
      <c r="B24" s="42">
        <v>0.22916666666666699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</row>
    <row r="25" spans="1:16" x14ac:dyDescent="0.25">
      <c r="A25" s="41">
        <v>0.22916666666666699</v>
      </c>
      <c r="B25" s="42">
        <v>0.23958333333333401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</row>
    <row r="26" spans="1:16" x14ac:dyDescent="0.25">
      <c r="A26" s="43">
        <v>0.23958333333333301</v>
      </c>
      <c r="B26" s="42">
        <v>0.25</v>
      </c>
      <c r="C26" s="37">
        <v>0</v>
      </c>
      <c r="D26" s="37">
        <v>0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</row>
    <row r="27" spans="1:16" x14ac:dyDescent="0.25">
      <c r="A27" s="41">
        <v>0.25</v>
      </c>
      <c r="B27" s="42">
        <v>0.26041666666666702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</row>
    <row r="28" spans="1:16" x14ac:dyDescent="0.25">
      <c r="A28" s="43">
        <v>0.26041666666666702</v>
      </c>
      <c r="B28" s="42">
        <v>0.27083333333333398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</row>
    <row r="29" spans="1:16" x14ac:dyDescent="0.25">
      <c r="A29" s="41">
        <v>0.27083333333333298</v>
      </c>
      <c r="B29" s="42">
        <v>0.28125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</row>
    <row r="30" spans="1:16" x14ac:dyDescent="0.25">
      <c r="A30" s="43">
        <v>0.28125</v>
      </c>
      <c r="B30" s="42">
        <v>0.29166666666666702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</row>
    <row r="31" spans="1:16" x14ac:dyDescent="0.25">
      <c r="A31" s="41">
        <v>0.29166666666666702</v>
      </c>
      <c r="B31" s="42">
        <v>0.30208333333333398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</row>
    <row r="32" spans="1:16" x14ac:dyDescent="0.25">
      <c r="A32" s="43">
        <v>0.30208333333333298</v>
      </c>
      <c r="B32" s="42">
        <v>0.3125</v>
      </c>
      <c r="C32" s="37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0</v>
      </c>
      <c r="P32" s="37">
        <v>0</v>
      </c>
    </row>
    <row r="33" spans="1:16" x14ac:dyDescent="0.25">
      <c r="A33" s="41">
        <v>0.3125</v>
      </c>
      <c r="B33" s="42">
        <v>0.32291666666666702</v>
      </c>
      <c r="C33" s="37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0</v>
      </c>
      <c r="P33" s="37">
        <v>0</v>
      </c>
    </row>
    <row r="34" spans="1:16" x14ac:dyDescent="0.25">
      <c r="A34" s="43">
        <v>0.32291666666666702</v>
      </c>
      <c r="B34" s="42">
        <v>0.33333333333333398</v>
      </c>
      <c r="C34" s="37">
        <v>0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  <c r="P34" s="37">
        <v>0</v>
      </c>
    </row>
    <row r="35" spans="1:16" x14ac:dyDescent="0.25">
      <c r="A35" s="41">
        <v>0.33333333333333298</v>
      </c>
      <c r="B35" s="42">
        <v>0.34375</v>
      </c>
      <c r="C35" s="37">
        <v>0</v>
      </c>
      <c r="D35" s="37">
        <v>0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</row>
    <row r="36" spans="1:16" x14ac:dyDescent="0.25">
      <c r="A36" s="43">
        <v>0.34375</v>
      </c>
      <c r="B36" s="42">
        <v>0.35416666666666702</v>
      </c>
      <c r="C36" s="37">
        <v>0</v>
      </c>
      <c r="D36" s="37">
        <v>0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  <c r="P36" s="37">
        <v>0</v>
      </c>
    </row>
    <row r="37" spans="1:16" x14ac:dyDescent="0.25">
      <c r="A37" s="41">
        <v>0.35416666666666702</v>
      </c>
      <c r="B37" s="42">
        <v>0.36458333333333398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</row>
    <row r="38" spans="1:16" x14ac:dyDescent="0.25">
      <c r="A38" s="43">
        <v>0.36458333333333298</v>
      </c>
      <c r="B38" s="42">
        <v>0.375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</row>
    <row r="39" spans="1:16" x14ac:dyDescent="0.25">
      <c r="A39" s="41">
        <v>0.375</v>
      </c>
      <c r="B39" s="42">
        <v>0.38541666666666702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0</v>
      </c>
      <c r="P39" s="37">
        <v>0</v>
      </c>
    </row>
    <row r="40" spans="1:16" x14ac:dyDescent="0.25">
      <c r="A40" s="43">
        <v>0.38541666666666702</v>
      </c>
      <c r="B40" s="42">
        <v>0.39583333333333398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</row>
    <row r="41" spans="1:16" x14ac:dyDescent="0.25">
      <c r="A41" s="41">
        <v>0.39583333333333298</v>
      </c>
      <c r="B41" s="42">
        <v>0.40625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</row>
    <row r="42" spans="1:16" x14ac:dyDescent="0.25">
      <c r="A42" s="43">
        <v>0.40625</v>
      </c>
      <c r="B42" s="42">
        <v>0.41666666666666702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</row>
    <row r="43" spans="1:16" x14ac:dyDescent="0.25">
      <c r="A43" s="41">
        <v>0.41666666666666702</v>
      </c>
      <c r="B43" s="42">
        <v>0.42708333333333398</v>
      </c>
      <c r="C43" s="37">
        <v>0</v>
      </c>
      <c r="D43" s="37">
        <v>0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</row>
    <row r="44" spans="1:16" x14ac:dyDescent="0.25">
      <c r="A44" s="43">
        <v>0.42708333333333298</v>
      </c>
      <c r="B44" s="42">
        <v>0.4375</v>
      </c>
      <c r="C44" s="37">
        <v>0</v>
      </c>
      <c r="D44" s="37">
        <v>0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</row>
    <row r="45" spans="1:16" x14ac:dyDescent="0.25">
      <c r="A45" s="41">
        <v>0.4375</v>
      </c>
      <c r="B45" s="42">
        <v>0.44791666666666702</v>
      </c>
      <c r="C45" s="37">
        <v>0</v>
      </c>
      <c r="D45" s="37">
        <v>0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0</v>
      </c>
      <c r="P45" s="37">
        <v>0</v>
      </c>
    </row>
    <row r="46" spans="1:16" x14ac:dyDescent="0.25">
      <c r="A46" s="43">
        <v>0.44791666666666702</v>
      </c>
      <c r="B46" s="42">
        <v>0.45833333333333398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</row>
    <row r="47" spans="1:16" x14ac:dyDescent="0.25">
      <c r="A47" s="41">
        <v>0.45833333333333298</v>
      </c>
      <c r="B47" s="42">
        <v>0.46875</v>
      </c>
      <c r="C47" s="37">
        <v>0</v>
      </c>
      <c r="D47" s="37">
        <v>0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</row>
    <row r="48" spans="1:16" x14ac:dyDescent="0.25">
      <c r="A48" s="43">
        <v>0.46875</v>
      </c>
      <c r="B48" s="42">
        <v>0.47916666666666702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</row>
    <row r="49" spans="1:16" x14ac:dyDescent="0.25">
      <c r="A49" s="41">
        <v>0.47916666666666702</v>
      </c>
      <c r="B49" s="42">
        <v>0.48958333333333398</v>
      </c>
      <c r="C49" s="37">
        <v>0</v>
      </c>
      <c r="D49" s="37">
        <v>0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</row>
    <row r="50" spans="1:16" x14ac:dyDescent="0.25">
      <c r="A50" s="43">
        <v>0.48958333333333298</v>
      </c>
      <c r="B50" s="42">
        <v>0.5</v>
      </c>
      <c r="C50" s="37">
        <v>0</v>
      </c>
      <c r="D50" s="37">
        <v>0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</row>
    <row r="51" spans="1:16" x14ac:dyDescent="0.25">
      <c r="A51" s="41">
        <v>0.5</v>
      </c>
      <c r="B51" s="42">
        <v>0.51041666666666696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</row>
    <row r="52" spans="1:16" x14ac:dyDescent="0.25">
      <c r="A52" s="43">
        <v>0.51041666666666696</v>
      </c>
      <c r="B52" s="42">
        <v>0.52083333333333404</v>
      </c>
      <c r="C52" s="37">
        <v>0</v>
      </c>
      <c r="D52" s="37">
        <v>0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</row>
    <row r="53" spans="1:16" x14ac:dyDescent="0.25">
      <c r="A53" s="41">
        <v>0.52083333333333304</v>
      </c>
      <c r="B53" s="42">
        <v>0.53125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</row>
    <row r="54" spans="1:16" x14ac:dyDescent="0.25">
      <c r="A54" s="43">
        <v>0.53125</v>
      </c>
      <c r="B54" s="42">
        <v>0.54166666666666696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</row>
    <row r="55" spans="1:16" x14ac:dyDescent="0.25">
      <c r="A55" s="41">
        <v>0.54166666666666696</v>
      </c>
      <c r="B55" s="42">
        <v>0.55208333333333404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</row>
    <row r="56" spans="1:16" x14ac:dyDescent="0.25">
      <c r="A56" s="43">
        <v>0.55208333333333304</v>
      </c>
      <c r="B56" s="42">
        <v>0.5625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</row>
    <row r="57" spans="1:16" x14ac:dyDescent="0.25">
      <c r="A57" s="41">
        <v>0.5625</v>
      </c>
      <c r="B57" s="42">
        <v>0.57291666666666696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</row>
    <row r="58" spans="1:16" x14ac:dyDescent="0.25">
      <c r="A58" s="43">
        <v>0.57291666666666696</v>
      </c>
      <c r="B58" s="42">
        <v>0.58333333333333404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</row>
    <row r="59" spans="1:16" x14ac:dyDescent="0.25">
      <c r="A59" s="41">
        <v>0.58333333333333304</v>
      </c>
      <c r="B59" s="42">
        <v>0.59375</v>
      </c>
      <c r="C59" s="37">
        <v>0</v>
      </c>
      <c r="D59" s="37">
        <v>0</v>
      </c>
      <c r="E59" s="37">
        <v>0</v>
      </c>
      <c r="F59" s="37">
        <v>0</v>
      </c>
      <c r="G59" s="37">
        <v>0</v>
      </c>
      <c r="H59" s="37">
        <v>0</v>
      </c>
      <c r="I59" s="37">
        <v>0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0</v>
      </c>
      <c r="P59" s="37">
        <v>0</v>
      </c>
    </row>
    <row r="60" spans="1:16" x14ac:dyDescent="0.25">
      <c r="A60" s="43">
        <v>0.59375</v>
      </c>
      <c r="B60" s="42">
        <v>0.60416666666666696</v>
      </c>
      <c r="C60" s="37">
        <v>0</v>
      </c>
      <c r="D60" s="37">
        <v>0</v>
      </c>
      <c r="E60" s="37">
        <v>0</v>
      </c>
      <c r="F60" s="37">
        <v>0</v>
      </c>
      <c r="G60" s="37">
        <v>0</v>
      </c>
      <c r="H60" s="37">
        <v>0</v>
      </c>
      <c r="I60" s="37">
        <v>0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</row>
    <row r="61" spans="1:16" x14ac:dyDescent="0.25">
      <c r="A61" s="41">
        <v>0.60416666666666696</v>
      </c>
      <c r="B61" s="42">
        <v>0.61458333333333404</v>
      </c>
      <c r="C61" s="37">
        <v>0</v>
      </c>
      <c r="D61" s="37">
        <v>0</v>
      </c>
      <c r="E61" s="37">
        <v>0</v>
      </c>
      <c r="F61" s="37">
        <v>0</v>
      </c>
      <c r="G61" s="37">
        <v>0</v>
      </c>
      <c r="H61" s="37">
        <v>0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</row>
    <row r="62" spans="1:16" x14ac:dyDescent="0.25">
      <c r="A62" s="43">
        <v>0.61458333333333304</v>
      </c>
      <c r="B62" s="42">
        <v>0.625</v>
      </c>
      <c r="C62" s="37">
        <v>0</v>
      </c>
      <c r="D62" s="37">
        <v>0</v>
      </c>
      <c r="E62" s="37">
        <v>0</v>
      </c>
      <c r="F62" s="37">
        <v>0</v>
      </c>
      <c r="G62" s="37">
        <v>0</v>
      </c>
      <c r="H62" s="37">
        <v>0</v>
      </c>
      <c r="I62" s="37">
        <v>0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</row>
    <row r="63" spans="1:16" x14ac:dyDescent="0.25">
      <c r="A63" s="41">
        <v>0.625</v>
      </c>
      <c r="B63" s="42">
        <v>0.63541666666666696</v>
      </c>
      <c r="C63" s="37">
        <v>0</v>
      </c>
      <c r="D63" s="37">
        <v>0</v>
      </c>
      <c r="E63" s="37">
        <v>0</v>
      </c>
      <c r="F63" s="37">
        <v>0</v>
      </c>
      <c r="G63" s="37">
        <v>0</v>
      </c>
      <c r="H63" s="37">
        <v>0</v>
      </c>
      <c r="I63" s="37">
        <v>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</row>
    <row r="64" spans="1:16" x14ac:dyDescent="0.25">
      <c r="A64" s="43">
        <v>0.63541666666666696</v>
      </c>
      <c r="B64" s="42">
        <v>0.64583333333333404</v>
      </c>
      <c r="C64" s="37">
        <v>0</v>
      </c>
      <c r="D64" s="37">
        <v>0</v>
      </c>
      <c r="E64" s="37">
        <v>0</v>
      </c>
      <c r="F64" s="37">
        <v>0</v>
      </c>
      <c r="G64" s="37">
        <v>0</v>
      </c>
      <c r="H64" s="37">
        <v>0</v>
      </c>
      <c r="I64" s="37">
        <v>0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</row>
    <row r="65" spans="1:16" x14ac:dyDescent="0.25">
      <c r="A65" s="41">
        <v>0.64583333333333304</v>
      </c>
      <c r="B65" s="42">
        <v>0.65625</v>
      </c>
      <c r="C65" s="37">
        <v>0</v>
      </c>
      <c r="D65" s="37">
        <v>0</v>
      </c>
      <c r="E65" s="37">
        <v>0</v>
      </c>
      <c r="F65" s="37">
        <v>0</v>
      </c>
      <c r="G65" s="37">
        <v>0</v>
      </c>
      <c r="H65" s="37">
        <v>0</v>
      </c>
      <c r="I65" s="37">
        <v>0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</row>
    <row r="66" spans="1:16" x14ac:dyDescent="0.25">
      <c r="A66" s="43">
        <v>0.65625</v>
      </c>
      <c r="B66" s="42">
        <v>0.66666666666666696</v>
      </c>
      <c r="C66" s="37">
        <v>0</v>
      </c>
      <c r="D66" s="37">
        <v>0</v>
      </c>
      <c r="E66" s="37">
        <v>0</v>
      </c>
      <c r="F66" s="37">
        <v>0</v>
      </c>
      <c r="G66" s="37">
        <v>0</v>
      </c>
      <c r="H66" s="37">
        <v>0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</row>
    <row r="67" spans="1:16" x14ac:dyDescent="0.25">
      <c r="A67" s="41">
        <v>0.66666666666666696</v>
      </c>
      <c r="B67" s="42">
        <v>0.67708333333333404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</row>
    <row r="68" spans="1:16" x14ac:dyDescent="0.25">
      <c r="A68" s="43">
        <v>0.67708333333333304</v>
      </c>
      <c r="B68" s="42">
        <v>0.6875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</row>
    <row r="69" spans="1:16" x14ac:dyDescent="0.25">
      <c r="A69" s="41">
        <v>0.6875</v>
      </c>
      <c r="B69" s="42">
        <v>0.69791666666666696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</row>
    <row r="70" spans="1:16" x14ac:dyDescent="0.25">
      <c r="A70" s="43">
        <v>0.69791666666666696</v>
      </c>
      <c r="B70" s="42">
        <v>0.70833333333333404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</row>
    <row r="71" spans="1:16" x14ac:dyDescent="0.25">
      <c r="A71" s="41">
        <v>0.70833333333333304</v>
      </c>
      <c r="B71" s="42">
        <v>0.71875</v>
      </c>
      <c r="C71" s="37">
        <v>0</v>
      </c>
      <c r="D71" s="37">
        <v>0</v>
      </c>
      <c r="E71" s="37">
        <v>0</v>
      </c>
      <c r="F71" s="37">
        <v>0</v>
      </c>
      <c r="G71" s="37">
        <v>0</v>
      </c>
      <c r="H71" s="37">
        <v>0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</row>
    <row r="72" spans="1:16" x14ac:dyDescent="0.25">
      <c r="A72" s="43">
        <v>0.71875</v>
      </c>
      <c r="B72" s="42">
        <v>0.72916666666666696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</row>
    <row r="73" spans="1:16" x14ac:dyDescent="0.25">
      <c r="A73" s="41">
        <v>0.72916666666666696</v>
      </c>
      <c r="B73" s="42">
        <v>0.73958333333333404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</row>
    <row r="74" spans="1:16" x14ac:dyDescent="0.25">
      <c r="A74" s="43">
        <v>0.73958333333333304</v>
      </c>
      <c r="B74" s="42">
        <v>0.75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</row>
    <row r="75" spans="1:16" x14ac:dyDescent="0.25">
      <c r="A75" s="41">
        <v>0.75</v>
      </c>
      <c r="B75" s="42">
        <v>0.76041666666666696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</row>
    <row r="76" spans="1:16" x14ac:dyDescent="0.25">
      <c r="A76" s="43">
        <v>0.76041666666666696</v>
      </c>
      <c r="B76" s="42">
        <v>0.77083333333333404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</row>
    <row r="77" spans="1:16" x14ac:dyDescent="0.25">
      <c r="A77" s="41">
        <v>0.77083333333333304</v>
      </c>
      <c r="B77" s="42">
        <v>0.78125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0</v>
      </c>
      <c r="P77" s="37">
        <v>0</v>
      </c>
    </row>
    <row r="78" spans="1:16" x14ac:dyDescent="0.25">
      <c r="A78" s="43">
        <v>0.78125</v>
      </c>
      <c r="B78" s="42">
        <v>0.79166666666666696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</row>
    <row r="79" spans="1:16" x14ac:dyDescent="0.25">
      <c r="A79" s="41">
        <v>0.79166666666666696</v>
      </c>
      <c r="B79" s="42">
        <v>0.80208333333333404</v>
      </c>
      <c r="C79" s="37">
        <v>0</v>
      </c>
      <c r="D79" s="37">
        <v>0</v>
      </c>
      <c r="E79" s="37">
        <v>0</v>
      </c>
      <c r="F79" s="37">
        <v>0</v>
      </c>
      <c r="G79" s="37">
        <v>0</v>
      </c>
      <c r="H79" s="37">
        <v>0</v>
      </c>
      <c r="I79" s="37">
        <v>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</row>
    <row r="80" spans="1:16" x14ac:dyDescent="0.25">
      <c r="A80" s="43">
        <v>0.80208333333333304</v>
      </c>
      <c r="B80" s="42">
        <v>0.8125</v>
      </c>
      <c r="C80" s="37">
        <v>0</v>
      </c>
      <c r="D80" s="37">
        <v>0</v>
      </c>
      <c r="E80" s="37">
        <v>0</v>
      </c>
      <c r="F80" s="37">
        <v>0</v>
      </c>
      <c r="G80" s="37">
        <v>0</v>
      </c>
      <c r="H80" s="37">
        <v>0</v>
      </c>
      <c r="I80" s="37">
        <v>0</v>
      </c>
      <c r="J80" s="37">
        <v>0</v>
      </c>
      <c r="K80" s="37">
        <v>0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</row>
    <row r="81" spans="1:16" x14ac:dyDescent="0.25">
      <c r="A81" s="41">
        <v>0.8125</v>
      </c>
      <c r="B81" s="42">
        <v>0.82291666666666696</v>
      </c>
      <c r="C81" s="37">
        <v>0</v>
      </c>
      <c r="D81" s="37">
        <v>0</v>
      </c>
      <c r="E81" s="37">
        <v>0</v>
      </c>
      <c r="F81" s="37">
        <v>0</v>
      </c>
      <c r="G81" s="37">
        <v>0</v>
      </c>
      <c r="H81" s="37">
        <v>0</v>
      </c>
      <c r="I81" s="37">
        <v>0</v>
      </c>
      <c r="J81" s="37">
        <v>0</v>
      </c>
      <c r="K81" s="37">
        <v>0</v>
      </c>
      <c r="L81" s="37">
        <v>0</v>
      </c>
      <c r="M81" s="37">
        <v>0</v>
      </c>
      <c r="N81" s="37">
        <v>0</v>
      </c>
      <c r="O81" s="37">
        <v>0</v>
      </c>
      <c r="P81" s="37">
        <v>0</v>
      </c>
    </row>
    <row r="82" spans="1:16" x14ac:dyDescent="0.25">
      <c r="A82" s="43">
        <v>0.82291666666666696</v>
      </c>
      <c r="B82" s="42">
        <v>0.83333333333333404</v>
      </c>
      <c r="C82" s="37">
        <v>0</v>
      </c>
      <c r="D82" s="37">
        <v>0</v>
      </c>
      <c r="E82" s="37">
        <v>0</v>
      </c>
      <c r="F82" s="37">
        <v>0</v>
      </c>
      <c r="G82" s="37">
        <v>0</v>
      </c>
      <c r="H82" s="37">
        <v>0</v>
      </c>
      <c r="I82" s="37">
        <v>0</v>
      </c>
      <c r="J82" s="37">
        <v>0</v>
      </c>
      <c r="K82" s="37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</row>
    <row r="83" spans="1:16" x14ac:dyDescent="0.25">
      <c r="A83" s="41">
        <v>0.83333333333333304</v>
      </c>
      <c r="B83" s="42">
        <v>0.84375</v>
      </c>
      <c r="C83" s="37">
        <v>0</v>
      </c>
      <c r="D83" s="37">
        <v>0</v>
      </c>
      <c r="E83" s="37">
        <v>0</v>
      </c>
      <c r="F83" s="37">
        <v>0</v>
      </c>
      <c r="G83" s="37">
        <v>0</v>
      </c>
      <c r="H83" s="37">
        <v>0</v>
      </c>
      <c r="I83" s="37">
        <v>0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0</v>
      </c>
      <c r="P83" s="37">
        <v>0</v>
      </c>
    </row>
    <row r="84" spans="1:16" x14ac:dyDescent="0.25">
      <c r="A84" s="43">
        <v>0.84375</v>
      </c>
      <c r="B84" s="42">
        <v>0.85416666666666696</v>
      </c>
      <c r="C84" s="37">
        <v>0</v>
      </c>
      <c r="D84" s="37">
        <v>0</v>
      </c>
      <c r="E84" s="37">
        <v>0</v>
      </c>
      <c r="F84" s="37">
        <v>0</v>
      </c>
      <c r="G84" s="37">
        <v>0</v>
      </c>
      <c r="H84" s="37">
        <v>0</v>
      </c>
      <c r="I84" s="37">
        <v>0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0</v>
      </c>
      <c r="P84" s="37">
        <v>0</v>
      </c>
    </row>
    <row r="85" spans="1:16" x14ac:dyDescent="0.25">
      <c r="A85" s="41">
        <v>0.85416666666666696</v>
      </c>
      <c r="B85" s="42">
        <v>0.86458333333333404</v>
      </c>
      <c r="C85" s="37">
        <v>0</v>
      </c>
      <c r="D85" s="37">
        <v>0</v>
      </c>
      <c r="E85" s="37">
        <v>0</v>
      </c>
      <c r="F85" s="37">
        <v>0</v>
      </c>
      <c r="G85" s="37">
        <v>0</v>
      </c>
      <c r="H85" s="37">
        <v>0</v>
      </c>
      <c r="I85" s="37">
        <v>0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</row>
    <row r="86" spans="1:16" x14ac:dyDescent="0.25">
      <c r="A86" s="43">
        <v>0.86458333333333304</v>
      </c>
      <c r="B86" s="42">
        <v>0.875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0</v>
      </c>
      <c r="P86" s="37">
        <v>0</v>
      </c>
    </row>
    <row r="87" spans="1:16" x14ac:dyDescent="0.25">
      <c r="A87" s="41">
        <v>0.875</v>
      </c>
      <c r="B87" s="42">
        <v>0.88541666666666696</v>
      </c>
      <c r="C87" s="37">
        <v>0</v>
      </c>
      <c r="D87" s="37">
        <v>0</v>
      </c>
      <c r="E87" s="37">
        <v>0</v>
      </c>
      <c r="F87" s="37">
        <v>0</v>
      </c>
      <c r="G87" s="37">
        <v>0</v>
      </c>
      <c r="H87" s="37">
        <v>0</v>
      </c>
      <c r="I87" s="37">
        <v>0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0</v>
      </c>
      <c r="P87" s="37">
        <v>0</v>
      </c>
    </row>
    <row r="88" spans="1:16" x14ac:dyDescent="0.25">
      <c r="A88" s="43">
        <v>0.88541666666666696</v>
      </c>
      <c r="B88" s="42">
        <v>0.89583333333333404</v>
      </c>
      <c r="C88" s="37">
        <v>0</v>
      </c>
      <c r="D88" s="37">
        <v>0</v>
      </c>
      <c r="E88" s="37">
        <v>0</v>
      </c>
      <c r="F88" s="37">
        <v>0</v>
      </c>
      <c r="G88" s="37">
        <v>0</v>
      </c>
      <c r="H88" s="37">
        <v>0</v>
      </c>
      <c r="I88" s="37">
        <v>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</row>
    <row r="89" spans="1:16" x14ac:dyDescent="0.25">
      <c r="A89" s="41">
        <v>0.89583333333333304</v>
      </c>
      <c r="B89" s="42">
        <v>0.90625</v>
      </c>
      <c r="C89" s="37">
        <v>0</v>
      </c>
      <c r="D89" s="37">
        <v>0</v>
      </c>
      <c r="E89" s="37">
        <v>0</v>
      </c>
      <c r="F89" s="37">
        <v>0</v>
      </c>
      <c r="G89" s="37">
        <v>0</v>
      </c>
      <c r="H89" s="37">
        <v>0</v>
      </c>
      <c r="I89" s="37">
        <v>0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0</v>
      </c>
      <c r="P89" s="37">
        <v>0</v>
      </c>
    </row>
    <row r="90" spans="1:16" x14ac:dyDescent="0.25">
      <c r="A90" s="43">
        <v>0.90625</v>
      </c>
      <c r="B90" s="42">
        <v>0.91666666666666696</v>
      </c>
      <c r="C90" s="37">
        <v>0</v>
      </c>
      <c r="D90" s="37">
        <v>0</v>
      </c>
      <c r="E90" s="37">
        <v>0</v>
      </c>
      <c r="F90" s="37">
        <v>0</v>
      </c>
      <c r="G90" s="37">
        <v>0</v>
      </c>
      <c r="H90" s="37">
        <v>0</v>
      </c>
      <c r="I90" s="37">
        <v>0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0</v>
      </c>
      <c r="P90" s="37">
        <v>0</v>
      </c>
    </row>
    <row r="91" spans="1:16" x14ac:dyDescent="0.25">
      <c r="A91" s="41">
        <v>0.91666666666666696</v>
      </c>
      <c r="B91" s="42">
        <v>0.92708333333333404</v>
      </c>
      <c r="C91" s="37">
        <v>0</v>
      </c>
      <c r="D91" s="37">
        <v>0</v>
      </c>
      <c r="E91" s="37">
        <v>0</v>
      </c>
      <c r="F91" s="37">
        <v>0</v>
      </c>
      <c r="G91" s="37">
        <v>0</v>
      </c>
      <c r="H91" s="37">
        <v>0</v>
      </c>
      <c r="I91" s="37">
        <v>0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</row>
    <row r="92" spans="1:16" x14ac:dyDescent="0.25">
      <c r="A92" s="43">
        <v>0.92708333333333304</v>
      </c>
      <c r="B92" s="42">
        <v>0.9375</v>
      </c>
      <c r="C92" s="37">
        <v>0</v>
      </c>
      <c r="D92" s="37">
        <v>0</v>
      </c>
      <c r="E92" s="37">
        <v>0</v>
      </c>
      <c r="F92" s="37">
        <v>0</v>
      </c>
      <c r="G92" s="37">
        <v>0</v>
      </c>
      <c r="H92" s="37">
        <v>0</v>
      </c>
      <c r="I92" s="37">
        <v>0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0</v>
      </c>
      <c r="P92" s="37">
        <v>0</v>
      </c>
    </row>
    <row r="93" spans="1:16" x14ac:dyDescent="0.25">
      <c r="A93" s="41">
        <v>0.9375</v>
      </c>
      <c r="B93" s="42">
        <v>0.94791666666666696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</row>
    <row r="94" spans="1:16" x14ac:dyDescent="0.25">
      <c r="A94" s="43">
        <v>0.94791666666666696</v>
      </c>
      <c r="B94" s="42">
        <v>0.95833333333333404</v>
      </c>
      <c r="C94" s="37">
        <v>0</v>
      </c>
      <c r="D94" s="37">
        <v>0</v>
      </c>
      <c r="E94" s="37">
        <v>0</v>
      </c>
      <c r="F94" s="37">
        <v>0</v>
      </c>
      <c r="G94" s="37">
        <v>0</v>
      </c>
      <c r="H94" s="37">
        <v>0</v>
      </c>
      <c r="I94" s="37">
        <v>0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</row>
    <row r="95" spans="1:16" x14ac:dyDescent="0.25">
      <c r="A95" s="41">
        <v>0.95833333333333304</v>
      </c>
      <c r="B95" s="42">
        <v>0.96875</v>
      </c>
      <c r="C95" s="37">
        <v>0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0</v>
      </c>
      <c r="P95" s="37">
        <v>0</v>
      </c>
    </row>
    <row r="96" spans="1:16" x14ac:dyDescent="0.25">
      <c r="A96" s="43">
        <v>0.96875</v>
      </c>
      <c r="B96" s="42">
        <v>0.97916666666666696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</row>
    <row r="97" spans="1:16" x14ac:dyDescent="0.25">
      <c r="A97" s="41">
        <v>0.97916666666666696</v>
      </c>
      <c r="B97" s="42">
        <v>0.98958333333333404</v>
      </c>
      <c r="C97" s="37">
        <v>0</v>
      </c>
      <c r="D97" s="37">
        <v>0</v>
      </c>
      <c r="E97" s="37">
        <v>0</v>
      </c>
      <c r="F97" s="37">
        <v>0</v>
      </c>
      <c r="G97" s="37">
        <v>0</v>
      </c>
      <c r="H97" s="37">
        <v>0</v>
      </c>
      <c r="I97" s="37">
        <v>0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</row>
    <row r="98" spans="1:16" x14ac:dyDescent="0.25">
      <c r="A98" s="43">
        <v>0.98958333333333304</v>
      </c>
      <c r="B98" s="42">
        <v>1</v>
      </c>
      <c r="C98" s="37">
        <v>0</v>
      </c>
      <c r="D98" s="37">
        <v>0</v>
      </c>
      <c r="E98" s="37">
        <v>0</v>
      </c>
      <c r="F98" s="37">
        <v>0</v>
      </c>
      <c r="G98" s="37">
        <v>0</v>
      </c>
      <c r="H98" s="37">
        <v>0</v>
      </c>
      <c r="I98" s="37">
        <v>0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</row>
  </sheetData>
  <mergeCells count="1">
    <mergeCell ref="A2:B2"/>
  </mergeCells>
  <pageMargins left="0.7" right="0.7" top="0.75" bottom="0.75" header="0.3" footer="0.3"/>
  <headerFooter>
    <oddHeader>&amp;C&amp;"Calibri"&amp;10&amp;KFF0000 CONFIDENTIAL&amp;1#_x000D_</oddHead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16"/>
  <dimension ref="A1:P98"/>
  <sheetViews>
    <sheetView workbookViewId="0">
      <selection activeCell="A2" sqref="A2:B2"/>
    </sheetView>
  </sheetViews>
  <sheetFormatPr defaultColWidth="8.54296875" defaultRowHeight="12.5" x14ac:dyDescent="0.25"/>
  <cols>
    <col min="1" max="1" width="12.453125" customWidth="1"/>
    <col min="2" max="16" width="10.1796875" customWidth="1"/>
  </cols>
  <sheetData>
    <row r="1" spans="1:16" ht="51.75" customHeight="1" thickBot="1" x14ac:dyDescent="0.3">
      <c r="A1" s="34" t="s">
        <v>58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</row>
    <row r="2" spans="1:16" ht="39" x14ac:dyDescent="0.3">
      <c r="A2" s="341">
        <f>Hourly_kWh!A6</f>
        <v>45838.291666666664</v>
      </c>
      <c r="B2" s="342"/>
      <c r="C2" s="38" t="str">
        <f>'Feeder Names'!E3</f>
        <v>HT.GRID_VCB</v>
      </c>
      <c r="D2" s="38" t="str">
        <f>'Feeder Names'!F3</f>
        <v>HT.TRAFO-1</v>
      </c>
      <c r="E2" s="38" t="str">
        <f>'Feeder Names'!G3</f>
        <v>HT.TRAFO-2</v>
      </c>
      <c r="F2" s="38" t="str">
        <f>'Feeder Names'!H3</f>
        <v>HT.TRAFO-3</v>
      </c>
      <c r="G2" s="38" t="str">
        <f>'Feeder Names'!I3</f>
        <v>HT.TRAFO-4</v>
      </c>
      <c r="H2" s="38" t="str">
        <f>'Feeder Names'!J3</f>
        <v>DG.DG_INC</v>
      </c>
      <c r="I2" s="38" t="str">
        <f>'Feeder Names'!K3</f>
        <v>DG.DG-1</v>
      </c>
      <c r="J2" s="38" t="str">
        <f>'Feeder Names'!L3</f>
        <v>DG.DG-2</v>
      </c>
      <c r="K2" s="38" t="str">
        <f>'Feeder Names'!M3</f>
        <v>DG.DG-3</v>
      </c>
      <c r="L2" s="38" t="str">
        <f>'Feeder Names'!N3</f>
        <v>DG.GD-4</v>
      </c>
      <c r="M2" s="38" t="str">
        <f>'Feeder Names'!O3</f>
        <v>DG.DG-5</v>
      </c>
      <c r="N2" s="38" t="str">
        <f>'Feeder Names'!P3</f>
        <v>DG.VCB_OUTGOING</v>
      </c>
      <c r="O2" s="38" t="str">
        <f>'Feeder Names'!Q3</f>
        <v>SOLAR.SOLAR-1</v>
      </c>
      <c r="P2" s="38" t="str">
        <f>'Feeder Names'!R3</f>
        <v>SOLAR.SOLAR-2</v>
      </c>
    </row>
    <row r="3" spans="1:16" x14ac:dyDescent="0.25">
      <c r="A3" s="41">
        <v>0</v>
      </c>
      <c r="B3" s="42">
        <v>1.0416666666666666E-2</v>
      </c>
      <c r="C3" s="37">
        <v>0</v>
      </c>
      <c r="D3" s="37">
        <v>0</v>
      </c>
      <c r="E3" s="37">
        <v>0</v>
      </c>
      <c r="F3" s="37">
        <v>0</v>
      </c>
      <c r="G3" s="37">
        <v>0</v>
      </c>
      <c r="H3" s="37">
        <v>0</v>
      </c>
      <c r="I3" s="37">
        <v>0</v>
      </c>
      <c r="J3" s="37">
        <v>0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</row>
    <row r="4" spans="1:16" x14ac:dyDescent="0.25">
      <c r="A4" s="43">
        <v>1.0416666666666666E-2</v>
      </c>
      <c r="B4" s="42">
        <v>2.0833333333333332E-2</v>
      </c>
      <c r="C4" s="37">
        <v>0</v>
      </c>
      <c r="D4" s="37">
        <v>0</v>
      </c>
      <c r="E4" s="37">
        <v>0</v>
      </c>
      <c r="F4" s="37">
        <v>0</v>
      </c>
      <c r="G4" s="37">
        <v>0</v>
      </c>
      <c r="H4" s="37">
        <v>0</v>
      </c>
      <c r="I4" s="37">
        <v>0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</row>
    <row r="5" spans="1:16" x14ac:dyDescent="0.25">
      <c r="A5" s="41">
        <v>2.0833333333333301E-2</v>
      </c>
      <c r="B5" s="42">
        <v>3.125E-2</v>
      </c>
      <c r="C5" s="37">
        <v>0</v>
      </c>
      <c r="D5" s="37">
        <v>0</v>
      </c>
      <c r="E5" s="37">
        <v>0</v>
      </c>
      <c r="F5" s="37">
        <v>0</v>
      </c>
      <c r="G5" s="37">
        <v>0</v>
      </c>
      <c r="H5" s="37">
        <v>0</v>
      </c>
      <c r="I5" s="37">
        <v>0</v>
      </c>
      <c r="J5" s="37">
        <v>0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</row>
    <row r="6" spans="1:16" x14ac:dyDescent="0.25">
      <c r="A6" s="43">
        <v>3.125E-2</v>
      </c>
      <c r="B6" s="42">
        <v>4.1666666666666699E-2</v>
      </c>
      <c r="C6" s="37">
        <v>0</v>
      </c>
      <c r="D6" s="37">
        <v>0</v>
      </c>
      <c r="E6" s="37">
        <v>0</v>
      </c>
      <c r="F6" s="37">
        <v>0</v>
      </c>
      <c r="G6" s="37">
        <v>0</v>
      </c>
      <c r="H6" s="37">
        <v>0</v>
      </c>
      <c r="I6" s="37">
        <v>0</v>
      </c>
      <c r="J6" s="37">
        <v>0</v>
      </c>
      <c r="K6" s="37">
        <v>0</v>
      </c>
      <c r="L6" s="37">
        <v>0</v>
      </c>
      <c r="M6" s="37">
        <v>0</v>
      </c>
      <c r="N6" s="37">
        <v>0</v>
      </c>
      <c r="O6" s="37">
        <v>0</v>
      </c>
      <c r="P6" s="37">
        <v>0</v>
      </c>
    </row>
    <row r="7" spans="1:16" x14ac:dyDescent="0.25">
      <c r="A7" s="41">
        <v>4.1666666666666699E-2</v>
      </c>
      <c r="B7" s="42">
        <v>5.2083333333333398E-2</v>
      </c>
      <c r="C7" s="37">
        <v>0</v>
      </c>
      <c r="D7" s="37">
        <v>0</v>
      </c>
      <c r="E7" s="37">
        <v>0</v>
      </c>
      <c r="F7" s="37">
        <v>0</v>
      </c>
      <c r="G7" s="37">
        <v>0</v>
      </c>
      <c r="H7" s="37">
        <v>0</v>
      </c>
      <c r="I7" s="37">
        <v>0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</row>
    <row r="8" spans="1:16" x14ac:dyDescent="0.25">
      <c r="A8" s="43">
        <v>5.2083333333333301E-2</v>
      </c>
      <c r="B8" s="42">
        <v>6.25E-2</v>
      </c>
      <c r="C8" s="37">
        <v>0</v>
      </c>
      <c r="D8" s="37">
        <v>0</v>
      </c>
      <c r="E8" s="37">
        <v>0</v>
      </c>
      <c r="F8" s="37">
        <v>0</v>
      </c>
      <c r="G8" s="37">
        <v>0</v>
      </c>
      <c r="H8" s="37">
        <v>0</v>
      </c>
      <c r="I8" s="37">
        <v>0</v>
      </c>
      <c r="J8" s="37">
        <v>0</v>
      </c>
      <c r="K8" s="37">
        <v>0</v>
      </c>
      <c r="L8" s="37">
        <v>0</v>
      </c>
      <c r="M8" s="37">
        <v>0</v>
      </c>
      <c r="N8" s="37">
        <v>0</v>
      </c>
      <c r="O8" s="37">
        <v>0</v>
      </c>
      <c r="P8" s="37">
        <v>0</v>
      </c>
    </row>
    <row r="9" spans="1:16" x14ac:dyDescent="0.25">
      <c r="A9" s="41">
        <v>6.25E-2</v>
      </c>
      <c r="B9" s="42">
        <v>7.2916666666666699E-2</v>
      </c>
      <c r="C9" s="37">
        <v>0</v>
      </c>
      <c r="D9" s="37">
        <v>0</v>
      </c>
      <c r="E9" s="37">
        <v>0</v>
      </c>
      <c r="F9" s="37">
        <v>0</v>
      </c>
      <c r="G9" s="37">
        <v>0</v>
      </c>
      <c r="H9" s="37">
        <v>0</v>
      </c>
      <c r="I9" s="37">
        <v>0</v>
      </c>
      <c r="J9" s="37">
        <v>0</v>
      </c>
      <c r="K9" s="37">
        <v>0</v>
      </c>
      <c r="L9" s="37">
        <v>0</v>
      </c>
      <c r="M9" s="37">
        <v>0</v>
      </c>
      <c r="N9" s="37">
        <v>0</v>
      </c>
      <c r="O9" s="37">
        <v>0</v>
      </c>
      <c r="P9" s="37">
        <v>0</v>
      </c>
    </row>
    <row r="10" spans="1:16" x14ac:dyDescent="0.25">
      <c r="A10" s="43">
        <v>7.2916666666666699E-2</v>
      </c>
      <c r="B10" s="42">
        <v>8.3333333333333398E-2</v>
      </c>
      <c r="C10" s="37">
        <v>0</v>
      </c>
      <c r="D10" s="37">
        <v>0</v>
      </c>
      <c r="E10" s="37">
        <v>0</v>
      </c>
      <c r="F10" s="37">
        <v>0</v>
      </c>
      <c r="G10" s="37">
        <v>0</v>
      </c>
      <c r="H10" s="37">
        <v>0</v>
      </c>
      <c r="I10" s="37">
        <v>0</v>
      </c>
      <c r="J10" s="37">
        <v>0</v>
      </c>
      <c r="K10" s="37">
        <v>0</v>
      </c>
      <c r="L10" s="37">
        <v>0</v>
      </c>
      <c r="M10" s="37">
        <v>0</v>
      </c>
      <c r="N10" s="37">
        <v>0</v>
      </c>
      <c r="O10" s="37">
        <v>0</v>
      </c>
      <c r="P10" s="37">
        <v>0</v>
      </c>
    </row>
    <row r="11" spans="1:16" x14ac:dyDescent="0.25">
      <c r="A11" s="41">
        <v>8.3333333333333301E-2</v>
      </c>
      <c r="B11" s="42">
        <v>9.375E-2</v>
      </c>
      <c r="C11" s="37">
        <v>0</v>
      </c>
      <c r="D11" s="37">
        <v>0</v>
      </c>
      <c r="E11" s="37">
        <v>0</v>
      </c>
      <c r="F11" s="37">
        <v>0</v>
      </c>
      <c r="G11" s="37">
        <v>0</v>
      </c>
      <c r="H11" s="37">
        <v>0</v>
      </c>
      <c r="I11" s="37">
        <v>0</v>
      </c>
      <c r="J11" s="37">
        <v>0</v>
      </c>
      <c r="K11" s="37">
        <v>0</v>
      </c>
      <c r="L11" s="37">
        <v>0</v>
      </c>
      <c r="M11" s="37">
        <v>0</v>
      </c>
      <c r="N11" s="37">
        <v>0</v>
      </c>
      <c r="O11" s="37">
        <v>0</v>
      </c>
      <c r="P11" s="37">
        <v>0</v>
      </c>
    </row>
    <row r="12" spans="1:16" x14ac:dyDescent="0.25">
      <c r="A12" s="43">
        <v>9.375E-2</v>
      </c>
      <c r="B12" s="42">
        <v>0.104166666666667</v>
      </c>
      <c r="C12" s="37">
        <v>0</v>
      </c>
      <c r="D12" s="37">
        <v>0</v>
      </c>
      <c r="E12" s="37">
        <v>0</v>
      </c>
      <c r="F12" s="37">
        <v>0</v>
      </c>
      <c r="G12" s="37">
        <v>0</v>
      </c>
      <c r="H12" s="37">
        <v>0</v>
      </c>
      <c r="I12" s="37">
        <v>0</v>
      </c>
      <c r="J12" s="37">
        <v>0</v>
      </c>
      <c r="K12" s="37">
        <v>0</v>
      </c>
      <c r="L12" s="37">
        <v>0</v>
      </c>
      <c r="M12" s="37">
        <v>0</v>
      </c>
      <c r="N12" s="37">
        <v>0</v>
      </c>
      <c r="O12" s="37">
        <v>0</v>
      </c>
      <c r="P12" s="37">
        <v>0</v>
      </c>
    </row>
    <row r="13" spans="1:16" x14ac:dyDescent="0.25">
      <c r="A13" s="41">
        <v>0.104166666666667</v>
      </c>
      <c r="B13" s="42">
        <v>0.11458333333333399</v>
      </c>
      <c r="C13" s="37">
        <v>0</v>
      </c>
      <c r="D13" s="37">
        <v>0</v>
      </c>
      <c r="E13" s="37">
        <v>0</v>
      </c>
      <c r="F13" s="37">
        <v>0</v>
      </c>
      <c r="G13" s="37">
        <v>0</v>
      </c>
      <c r="H13" s="37">
        <v>0</v>
      </c>
      <c r="I13" s="37">
        <v>0</v>
      </c>
      <c r="J13" s="37">
        <v>0</v>
      </c>
      <c r="K13" s="37">
        <v>0</v>
      </c>
      <c r="L13" s="37">
        <v>0</v>
      </c>
      <c r="M13" s="37">
        <v>0</v>
      </c>
      <c r="N13" s="37">
        <v>0</v>
      </c>
      <c r="O13" s="37">
        <v>0</v>
      </c>
      <c r="P13" s="37">
        <v>0</v>
      </c>
    </row>
    <row r="14" spans="1:16" x14ac:dyDescent="0.25">
      <c r="A14" s="43">
        <v>0.114583333333333</v>
      </c>
      <c r="B14" s="42">
        <v>0.125</v>
      </c>
      <c r="C14" s="37">
        <v>0</v>
      </c>
      <c r="D14" s="37">
        <v>0</v>
      </c>
      <c r="E14" s="37">
        <v>0</v>
      </c>
      <c r="F14" s="37">
        <v>0</v>
      </c>
      <c r="G14" s="37">
        <v>0</v>
      </c>
      <c r="H14" s="37">
        <v>0</v>
      </c>
      <c r="I14" s="37">
        <v>0</v>
      </c>
      <c r="J14" s="37">
        <v>0</v>
      </c>
      <c r="K14" s="37">
        <v>0</v>
      </c>
      <c r="L14" s="37">
        <v>0</v>
      </c>
      <c r="M14" s="37">
        <v>0</v>
      </c>
      <c r="N14" s="37">
        <v>0</v>
      </c>
      <c r="O14" s="37">
        <v>0</v>
      </c>
      <c r="P14" s="37">
        <v>0</v>
      </c>
    </row>
    <row r="15" spans="1:16" x14ac:dyDescent="0.25">
      <c r="A15" s="41">
        <v>0.125</v>
      </c>
      <c r="B15" s="42">
        <v>0.13541666666666699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</row>
    <row r="16" spans="1:16" x14ac:dyDescent="0.25">
      <c r="A16" s="43">
        <v>0.13541666666666699</v>
      </c>
      <c r="B16" s="42">
        <v>0.14583333333333401</v>
      </c>
      <c r="C16" s="37">
        <v>0</v>
      </c>
      <c r="D16" s="37">
        <v>0</v>
      </c>
      <c r="E16" s="37">
        <v>0</v>
      </c>
      <c r="F16" s="37">
        <v>0</v>
      </c>
      <c r="G16" s="37">
        <v>0</v>
      </c>
      <c r="H16" s="37">
        <v>0</v>
      </c>
      <c r="I16" s="37">
        <v>0</v>
      </c>
      <c r="J16" s="37">
        <v>0</v>
      </c>
      <c r="K16" s="37">
        <v>0</v>
      </c>
      <c r="L16" s="37">
        <v>0</v>
      </c>
      <c r="M16" s="37">
        <v>0</v>
      </c>
      <c r="N16" s="37">
        <v>0</v>
      </c>
      <c r="O16" s="37">
        <v>0</v>
      </c>
      <c r="P16" s="37">
        <v>0</v>
      </c>
    </row>
    <row r="17" spans="1:16" x14ac:dyDescent="0.25">
      <c r="A17" s="41">
        <v>0.14583333333333301</v>
      </c>
      <c r="B17" s="42">
        <v>0.15625</v>
      </c>
      <c r="C17" s="37">
        <v>0</v>
      </c>
      <c r="D17" s="37">
        <v>0</v>
      </c>
      <c r="E17" s="37">
        <v>0</v>
      </c>
      <c r="F17" s="37">
        <v>0</v>
      </c>
      <c r="G17" s="37">
        <v>0</v>
      </c>
      <c r="H17" s="37">
        <v>0</v>
      </c>
      <c r="I17" s="37">
        <v>0</v>
      </c>
      <c r="J17" s="37">
        <v>0</v>
      </c>
      <c r="K17" s="37">
        <v>0</v>
      </c>
      <c r="L17" s="37">
        <v>0</v>
      </c>
      <c r="M17" s="37">
        <v>0</v>
      </c>
      <c r="N17" s="37">
        <v>0</v>
      </c>
      <c r="O17" s="37">
        <v>0</v>
      </c>
      <c r="P17" s="37">
        <v>0</v>
      </c>
    </row>
    <row r="18" spans="1:16" x14ac:dyDescent="0.25">
      <c r="A18" s="43">
        <v>0.15625</v>
      </c>
      <c r="B18" s="42">
        <v>0.16666666666666699</v>
      </c>
      <c r="C18" s="37">
        <v>0</v>
      </c>
      <c r="D18" s="37">
        <v>0</v>
      </c>
      <c r="E18" s="37">
        <v>0</v>
      </c>
      <c r="F18" s="37">
        <v>0</v>
      </c>
      <c r="G18" s="37">
        <v>0</v>
      </c>
      <c r="H18" s="37">
        <v>0</v>
      </c>
      <c r="I18" s="37">
        <v>0</v>
      </c>
      <c r="J18" s="37">
        <v>0</v>
      </c>
      <c r="K18" s="37">
        <v>0</v>
      </c>
      <c r="L18" s="37">
        <v>0</v>
      </c>
      <c r="M18" s="37">
        <v>0</v>
      </c>
      <c r="N18" s="37">
        <v>0</v>
      </c>
      <c r="O18" s="37">
        <v>0</v>
      </c>
      <c r="P18" s="37">
        <v>0</v>
      </c>
    </row>
    <row r="19" spans="1:16" x14ac:dyDescent="0.25">
      <c r="A19" s="41">
        <v>0.16666666666666699</v>
      </c>
      <c r="B19" s="42">
        <v>0.17708333333333401</v>
      </c>
      <c r="C19" s="37">
        <v>0</v>
      </c>
      <c r="D19" s="37">
        <v>0</v>
      </c>
      <c r="E19" s="37">
        <v>0</v>
      </c>
      <c r="F19" s="37">
        <v>0</v>
      </c>
      <c r="G19" s="37">
        <v>0</v>
      </c>
      <c r="H19" s="37">
        <v>0</v>
      </c>
      <c r="I19" s="37">
        <v>0</v>
      </c>
      <c r="J19" s="37">
        <v>0</v>
      </c>
      <c r="K19" s="37">
        <v>0</v>
      </c>
      <c r="L19" s="37">
        <v>0</v>
      </c>
      <c r="M19" s="37">
        <v>0</v>
      </c>
      <c r="N19" s="37">
        <v>0</v>
      </c>
      <c r="O19" s="37">
        <v>0</v>
      </c>
      <c r="P19" s="37">
        <v>0</v>
      </c>
    </row>
    <row r="20" spans="1:16" x14ac:dyDescent="0.25">
      <c r="A20" s="43">
        <v>0.17708333333333301</v>
      </c>
      <c r="B20" s="42">
        <v>0.1875</v>
      </c>
      <c r="C20" s="37">
        <v>0</v>
      </c>
      <c r="D20" s="37">
        <v>0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</row>
    <row r="21" spans="1:16" x14ac:dyDescent="0.25">
      <c r="A21" s="41">
        <v>0.1875</v>
      </c>
      <c r="B21" s="42">
        <v>0.19791666666666699</v>
      </c>
      <c r="C21" s="37">
        <v>0</v>
      </c>
      <c r="D21" s="37">
        <v>0</v>
      </c>
      <c r="E21" s="37">
        <v>0</v>
      </c>
      <c r="F21" s="37">
        <v>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</row>
    <row r="22" spans="1:16" x14ac:dyDescent="0.25">
      <c r="A22" s="43">
        <v>0.19791666666666699</v>
      </c>
      <c r="B22" s="42">
        <v>0.20833333333333401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</row>
    <row r="23" spans="1:16" x14ac:dyDescent="0.25">
      <c r="A23" s="41">
        <v>0.20833333333333301</v>
      </c>
      <c r="B23" s="42">
        <v>0.21875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</row>
    <row r="24" spans="1:16" x14ac:dyDescent="0.25">
      <c r="A24" s="43">
        <v>0.21875</v>
      </c>
      <c r="B24" s="42">
        <v>0.22916666666666699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</row>
    <row r="25" spans="1:16" x14ac:dyDescent="0.25">
      <c r="A25" s="41">
        <v>0.22916666666666699</v>
      </c>
      <c r="B25" s="42">
        <v>0.23958333333333401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</row>
    <row r="26" spans="1:16" x14ac:dyDescent="0.25">
      <c r="A26" s="43">
        <v>0.23958333333333301</v>
      </c>
      <c r="B26" s="42">
        <v>0.25</v>
      </c>
      <c r="C26" s="37">
        <v>0</v>
      </c>
      <c r="D26" s="37">
        <v>0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7">
        <v>0</v>
      </c>
      <c r="L26" s="37">
        <v>0</v>
      </c>
      <c r="M26" s="37">
        <v>0</v>
      </c>
      <c r="N26" s="37">
        <v>0</v>
      </c>
      <c r="O26" s="37">
        <v>0</v>
      </c>
      <c r="P26" s="37">
        <v>0</v>
      </c>
    </row>
    <row r="27" spans="1:16" x14ac:dyDescent="0.25">
      <c r="A27" s="41">
        <v>0.25</v>
      </c>
      <c r="B27" s="42">
        <v>0.26041666666666702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</row>
    <row r="28" spans="1:16" x14ac:dyDescent="0.25">
      <c r="A28" s="43">
        <v>0.26041666666666702</v>
      </c>
      <c r="B28" s="42">
        <v>0.27083333333333398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</row>
    <row r="29" spans="1:16" x14ac:dyDescent="0.25">
      <c r="A29" s="41">
        <v>0.27083333333333298</v>
      </c>
      <c r="B29" s="42">
        <v>0.28125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</row>
    <row r="30" spans="1:16" x14ac:dyDescent="0.25">
      <c r="A30" s="43">
        <v>0.28125</v>
      </c>
      <c r="B30" s="42">
        <v>0.29166666666666702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</row>
    <row r="31" spans="1:16" x14ac:dyDescent="0.25">
      <c r="A31" s="41">
        <v>0.29166666666666702</v>
      </c>
      <c r="B31" s="42">
        <v>0.30208333333333398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</row>
    <row r="32" spans="1:16" x14ac:dyDescent="0.25">
      <c r="A32" s="43">
        <v>0.30208333333333298</v>
      </c>
      <c r="B32" s="42">
        <v>0.3125</v>
      </c>
      <c r="C32" s="37">
        <v>0</v>
      </c>
      <c r="D32" s="37">
        <v>0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7">
        <v>0</v>
      </c>
      <c r="L32" s="37">
        <v>0</v>
      </c>
      <c r="M32" s="37">
        <v>0</v>
      </c>
      <c r="N32" s="37">
        <v>0</v>
      </c>
      <c r="O32" s="37">
        <v>0</v>
      </c>
      <c r="P32" s="37">
        <v>0</v>
      </c>
    </row>
    <row r="33" spans="1:16" x14ac:dyDescent="0.25">
      <c r="A33" s="41">
        <v>0.3125</v>
      </c>
      <c r="B33" s="42">
        <v>0.32291666666666702</v>
      </c>
      <c r="C33" s="37">
        <v>0</v>
      </c>
      <c r="D33" s="37">
        <v>0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7">
        <v>0</v>
      </c>
      <c r="L33" s="37">
        <v>0</v>
      </c>
      <c r="M33" s="37">
        <v>0</v>
      </c>
      <c r="N33" s="37">
        <v>0</v>
      </c>
      <c r="O33" s="37">
        <v>0</v>
      </c>
      <c r="P33" s="37">
        <v>0</v>
      </c>
    </row>
    <row r="34" spans="1:16" x14ac:dyDescent="0.25">
      <c r="A34" s="43">
        <v>0.32291666666666702</v>
      </c>
      <c r="B34" s="42">
        <v>0.33333333333333398</v>
      </c>
      <c r="C34" s="37">
        <v>0</v>
      </c>
      <c r="D34" s="37">
        <v>0</v>
      </c>
      <c r="E34" s="37">
        <v>0</v>
      </c>
      <c r="F34" s="37">
        <v>0</v>
      </c>
      <c r="G34" s="37">
        <v>0</v>
      </c>
      <c r="H34" s="37">
        <v>0</v>
      </c>
      <c r="I34" s="37">
        <v>0</v>
      </c>
      <c r="J34" s="37">
        <v>0</v>
      </c>
      <c r="K34" s="37">
        <v>0</v>
      </c>
      <c r="L34" s="37">
        <v>0</v>
      </c>
      <c r="M34" s="37">
        <v>0</v>
      </c>
      <c r="N34" s="37">
        <v>0</v>
      </c>
      <c r="O34" s="37">
        <v>0</v>
      </c>
      <c r="P34" s="37">
        <v>0</v>
      </c>
    </row>
    <row r="35" spans="1:16" x14ac:dyDescent="0.25">
      <c r="A35" s="41">
        <v>0.33333333333333298</v>
      </c>
      <c r="B35" s="42">
        <v>0.34375</v>
      </c>
      <c r="C35" s="37">
        <v>0</v>
      </c>
      <c r="D35" s="37">
        <v>0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7">
        <v>0</v>
      </c>
      <c r="L35" s="37">
        <v>0</v>
      </c>
      <c r="M35" s="37">
        <v>0</v>
      </c>
      <c r="N35" s="37">
        <v>0</v>
      </c>
      <c r="O35" s="37">
        <v>0</v>
      </c>
      <c r="P35" s="37">
        <v>0</v>
      </c>
    </row>
    <row r="36" spans="1:16" x14ac:dyDescent="0.25">
      <c r="A36" s="43">
        <v>0.34375</v>
      </c>
      <c r="B36" s="42">
        <v>0.35416666666666702</v>
      </c>
      <c r="C36" s="37">
        <v>0</v>
      </c>
      <c r="D36" s="37">
        <v>0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7">
        <v>0</v>
      </c>
      <c r="L36" s="37">
        <v>0</v>
      </c>
      <c r="M36" s="37">
        <v>0</v>
      </c>
      <c r="N36" s="37">
        <v>0</v>
      </c>
      <c r="O36" s="37">
        <v>0</v>
      </c>
      <c r="P36" s="37">
        <v>0</v>
      </c>
    </row>
    <row r="37" spans="1:16" x14ac:dyDescent="0.25">
      <c r="A37" s="41">
        <v>0.35416666666666702</v>
      </c>
      <c r="B37" s="42">
        <v>0.36458333333333398</v>
      </c>
      <c r="C37" s="37">
        <v>0</v>
      </c>
      <c r="D37" s="37">
        <v>0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7">
        <v>0</v>
      </c>
      <c r="L37" s="37">
        <v>0</v>
      </c>
      <c r="M37" s="37">
        <v>0</v>
      </c>
      <c r="N37" s="37">
        <v>0</v>
      </c>
      <c r="O37" s="37">
        <v>0</v>
      </c>
      <c r="P37" s="37">
        <v>0</v>
      </c>
    </row>
    <row r="38" spans="1:16" x14ac:dyDescent="0.25">
      <c r="A38" s="43">
        <v>0.36458333333333298</v>
      </c>
      <c r="B38" s="42">
        <v>0.375</v>
      </c>
      <c r="C38" s="37">
        <v>0</v>
      </c>
      <c r="D38" s="37">
        <v>0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7">
        <v>0</v>
      </c>
      <c r="L38" s="37">
        <v>0</v>
      </c>
      <c r="M38" s="37">
        <v>0</v>
      </c>
      <c r="N38" s="37">
        <v>0</v>
      </c>
      <c r="O38" s="37">
        <v>0</v>
      </c>
      <c r="P38" s="37">
        <v>0</v>
      </c>
    </row>
    <row r="39" spans="1:16" x14ac:dyDescent="0.25">
      <c r="A39" s="41">
        <v>0.375</v>
      </c>
      <c r="B39" s="42">
        <v>0.38541666666666702</v>
      </c>
      <c r="C39" s="37">
        <v>0</v>
      </c>
      <c r="D39" s="37">
        <v>0</v>
      </c>
      <c r="E39" s="37">
        <v>0</v>
      </c>
      <c r="F39" s="37">
        <v>0</v>
      </c>
      <c r="G39" s="37">
        <v>0</v>
      </c>
      <c r="H39" s="37">
        <v>0</v>
      </c>
      <c r="I39" s="37">
        <v>0</v>
      </c>
      <c r="J39" s="37">
        <v>0</v>
      </c>
      <c r="K39" s="37">
        <v>0</v>
      </c>
      <c r="L39" s="37">
        <v>0</v>
      </c>
      <c r="M39" s="37">
        <v>0</v>
      </c>
      <c r="N39" s="37">
        <v>0</v>
      </c>
      <c r="O39" s="37">
        <v>0</v>
      </c>
      <c r="P39" s="37">
        <v>0</v>
      </c>
    </row>
    <row r="40" spans="1:16" x14ac:dyDescent="0.25">
      <c r="A40" s="43">
        <v>0.38541666666666702</v>
      </c>
      <c r="B40" s="42">
        <v>0.39583333333333398</v>
      </c>
      <c r="C40" s="37">
        <v>0</v>
      </c>
      <c r="D40" s="37">
        <v>0</v>
      </c>
      <c r="E40" s="37">
        <v>0</v>
      </c>
      <c r="F40" s="37">
        <v>0</v>
      </c>
      <c r="G40" s="37">
        <v>0</v>
      </c>
      <c r="H40" s="37">
        <v>0</v>
      </c>
      <c r="I40" s="37">
        <v>0</v>
      </c>
      <c r="J40" s="37">
        <v>0</v>
      </c>
      <c r="K40" s="37">
        <v>0</v>
      </c>
      <c r="L40" s="37">
        <v>0</v>
      </c>
      <c r="M40" s="37">
        <v>0</v>
      </c>
      <c r="N40" s="37">
        <v>0</v>
      </c>
      <c r="O40" s="37">
        <v>0</v>
      </c>
      <c r="P40" s="37">
        <v>0</v>
      </c>
    </row>
    <row r="41" spans="1:16" x14ac:dyDescent="0.25">
      <c r="A41" s="41">
        <v>0.39583333333333298</v>
      </c>
      <c r="B41" s="42">
        <v>0.40625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0</v>
      </c>
      <c r="L41" s="37">
        <v>0</v>
      </c>
      <c r="M41" s="37">
        <v>0</v>
      </c>
      <c r="N41" s="37">
        <v>0</v>
      </c>
      <c r="O41" s="37">
        <v>0</v>
      </c>
      <c r="P41" s="37">
        <v>0</v>
      </c>
    </row>
    <row r="42" spans="1:16" x14ac:dyDescent="0.25">
      <c r="A42" s="43">
        <v>0.40625</v>
      </c>
      <c r="B42" s="42">
        <v>0.41666666666666702</v>
      </c>
      <c r="C42" s="37">
        <v>0</v>
      </c>
      <c r="D42" s="37">
        <v>0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7">
        <v>0</v>
      </c>
      <c r="L42" s="37">
        <v>0</v>
      </c>
      <c r="M42" s="37">
        <v>0</v>
      </c>
      <c r="N42" s="37">
        <v>0</v>
      </c>
      <c r="O42" s="37">
        <v>0</v>
      </c>
      <c r="P42" s="37">
        <v>0</v>
      </c>
    </row>
    <row r="43" spans="1:16" x14ac:dyDescent="0.25">
      <c r="A43" s="41">
        <v>0.41666666666666702</v>
      </c>
      <c r="B43" s="42">
        <v>0.42708333333333398</v>
      </c>
      <c r="C43" s="37">
        <v>0</v>
      </c>
      <c r="D43" s="37">
        <v>0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7">
        <v>0</v>
      </c>
      <c r="L43" s="37">
        <v>0</v>
      </c>
      <c r="M43" s="37">
        <v>0</v>
      </c>
      <c r="N43" s="37">
        <v>0</v>
      </c>
      <c r="O43" s="37">
        <v>0</v>
      </c>
      <c r="P43" s="37">
        <v>0</v>
      </c>
    </row>
    <row r="44" spans="1:16" x14ac:dyDescent="0.25">
      <c r="A44" s="43">
        <v>0.42708333333333298</v>
      </c>
      <c r="B44" s="42">
        <v>0.4375</v>
      </c>
      <c r="C44" s="37">
        <v>0</v>
      </c>
      <c r="D44" s="37">
        <v>0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7">
        <v>0</v>
      </c>
      <c r="L44" s="37">
        <v>0</v>
      </c>
      <c r="M44" s="37">
        <v>0</v>
      </c>
      <c r="N44" s="37">
        <v>0</v>
      </c>
      <c r="O44" s="37">
        <v>0</v>
      </c>
      <c r="P44" s="37">
        <v>0</v>
      </c>
    </row>
    <row r="45" spans="1:16" x14ac:dyDescent="0.25">
      <c r="A45" s="41">
        <v>0.4375</v>
      </c>
      <c r="B45" s="42">
        <v>0.44791666666666702</v>
      </c>
      <c r="C45" s="37">
        <v>0</v>
      </c>
      <c r="D45" s="37">
        <v>0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7">
        <v>0</v>
      </c>
      <c r="L45" s="37">
        <v>0</v>
      </c>
      <c r="M45" s="37">
        <v>0</v>
      </c>
      <c r="N45" s="37">
        <v>0</v>
      </c>
      <c r="O45" s="37">
        <v>0</v>
      </c>
      <c r="P45" s="37">
        <v>0</v>
      </c>
    </row>
    <row r="46" spans="1:16" x14ac:dyDescent="0.25">
      <c r="A46" s="43">
        <v>0.44791666666666702</v>
      </c>
      <c r="B46" s="42">
        <v>0.45833333333333398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</row>
    <row r="47" spans="1:16" x14ac:dyDescent="0.25">
      <c r="A47" s="41">
        <v>0.45833333333333298</v>
      </c>
      <c r="B47" s="42">
        <v>0.46875</v>
      </c>
      <c r="C47" s="37">
        <v>0</v>
      </c>
      <c r="D47" s="37">
        <v>0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7">
        <v>0</v>
      </c>
      <c r="L47" s="37">
        <v>0</v>
      </c>
      <c r="M47" s="37">
        <v>0</v>
      </c>
      <c r="N47" s="37">
        <v>0</v>
      </c>
      <c r="O47" s="37">
        <v>0</v>
      </c>
      <c r="P47" s="37">
        <v>0</v>
      </c>
    </row>
    <row r="48" spans="1:16" x14ac:dyDescent="0.25">
      <c r="A48" s="43">
        <v>0.46875</v>
      </c>
      <c r="B48" s="42">
        <v>0.47916666666666702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</row>
    <row r="49" spans="1:16" x14ac:dyDescent="0.25">
      <c r="A49" s="41">
        <v>0.47916666666666702</v>
      </c>
      <c r="B49" s="42">
        <v>0.48958333333333398</v>
      </c>
      <c r="C49" s="37">
        <v>0</v>
      </c>
      <c r="D49" s="37">
        <v>0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7">
        <v>0</v>
      </c>
      <c r="L49" s="37">
        <v>0</v>
      </c>
      <c r="M49" s="37">
        <v>0</v>
      </c>
      <c r="N49" s="37">
        <v>0</v>
      </c>
      <c r="O49" s="37">
        <v>0</v>
      </c>
      <c r="P49" s="37">
        <v>0</v>
      </c>
    </row>
    <row r="50" spans="1:16" x14ac:dyDescent="0.25">
      <c r="A50" s="43">
        <v>0.48958333333333298</v>
      </c>
      <c r="B50" s="42">
        <v>0.5</v>
      </c>
      <c r="C50" s="37">
        <v>0</v>
      </c>
      <c r="D50" s="37">
        <v>0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7">
        <v>0</v>
      </c>
      <c r="L50" s="37">
        <v>0</v>
      </c>
      <c r="M50" s="37">
        <v>0</v>
      </c>
      <c r="N50" s="37">
        <v>0</v>
      </c>
      <c r="O50" s="37">
        <v>0</v>
      </c>
      <c r="P50" s="37">
        <v>0</v>
      </c>
    </row>
    <row r="51" spans="1:16" x14ac:dyDescent="0.25">
      <c r="A51" s="41">
        <v>0.5</v>
      </c>
      <c r="B51" s="42">
        <v>0.51041666666666696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</row>
    <row r="52" spans="1:16" x14ac:dyDescent="0.25">
      <c r="A52" s="43">
        <v>0.51041666666666696</v>
      </c>
      <c r="B52" s="42">
        <v>0.52083333333333404</v>
      </c>
      <c r="C52" s="37">
        <v>0</v>
      </c>
      <c r="D52" s="37">
        <v>0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7">
        <v>0</v>
      </c>
      <c r="L52" s="37">
        <v>0</v>
      </c>
      <c r="M52" s="37">
        <v>0</v>
      </c>
      <c r="N52" s="37">
        <v>0</v>
      </c>
      <c r="O52" s="37">
        <v>0</v>
      </c>
      <c r="P52" s="37">
        <v>0</v>
      </c>
    </row>
    <row r="53" spans="1:16" x14ac:dyDescent="0.25">
      <c r="A53" s="41">
        <v>0.52083333333333304</v>
      </c>
      <c r="B53" s="42">
        <v>0.53125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</row>
    <row r="54" spans="1:16" x14ac:dyDescent="0.25">
      <c r="A54" s="43">
        <v>0.53125</v>
      </c>
      <c r="B54" s="42">
        <v>0.54166666666666696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</row>
    <row r="55" spans="1:16" x14ac:dyDescent="0.25">
      <c r="A55" s="41">
        <v>0.54166666666666696</v>
      </c>
      <c r="B55" s="42">
        <v>0.55208333333333404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</row>
    <row r="56" spans="1:16" x14ac:dyDescent="0.25">
      <c r="A56" s="43">
        <v>0.55208333333333304</v>
      </c>
      <c r="B56" s="42">
        <v>0.5625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</row>
    <row r="57" spans="1:16" x14ac:dyDescent="0.25">
      <c r="A57" s="41">
        <v>0.5625</v>
      </c>
      <c r="B57" s="42">
        <v>0.57291666666666696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</row>
    <row r="58" spans="1:16" x14ac:dyDescent="0.25">
      <c r="A58" s="43">
        <v>0.57291666666666696</v>
      </c>
      <c r="B58" s="42">
        <v>0.58333333333333404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</row>
    <row r="59" spans="1:16" x14ac:dyDescent="0.25">
      <c r="A59" s="41">
        <v>0.58333333333333304</v>
      </c>
      <c r="B59" s="42">
        <v>0.59375</v>
      </c>
      <c r="C59" s="37">
        <v>0</v>
      </c>
      <c r="D59" s="37">
        <v>0</v>
      </c>
      <c r="E59" s="37">
        <v>0</v>
      </c>
      <c r="F59" s="37">
        <v>0</v>
      </c>
      <c r="G59" s="37">
        <v>0</v>
      </c>
      <c r="H59" s="37">
        <v>0</v>
      </c>
      <c r="I59" s="37">
        <v>0</v>
      </c>
      <c r="J59" s="37">
        <v>0</v>
      </c>
      <c r="K59" s="37">
        <v>0</v>
      </c>
      <c r="L59" s="37">
        <v>0</v>
      </c>
      <c r="M59" s="37">
        <v>0</v>
      </c>
      <c r="N59" s="37">
        <v>0</v>
      </c>
      <c r="O59" s="37">
        <v>0</v>
      </c>
      <c r="P59" s="37">
        <v>0</v>
      </c>
    </row>
    <row r="60" spans="1:16" x14ac:dyDescent="0.25">
      <c r="A60" s="43">
        <v>0.59375</v>
      </c>
      <c r="B60" s="42">
        <v>0.60416666666666696</v>
      </c>
      <c r="C60" s="37">
        <v>0</v>
      </c>
      <c r="D60" s="37">
        <v>0</v>
      </c>
      <c r="E60" s="37">
        <v>0</v>
      </c>
      <c r="F60" s="37">
        <v>0</v>
      </c>
      <c r="G60" s="37">
        <v>0</v>
      </c>
      <c r="H60" s="37">
        <v>0</v>
      </c>
      <c r="I60" s="37">
        <v>0</v>
      </c>
      <c r="J60" s="37">
        <v>0</v>
      </c>
      <c r="K60" s="37">
        <v>0</v>
      </c>
      <c r="L60" s="37">
        <v>0</v>
      </c>
      <c r="M60" s="37">
        <v>0</v>
      </c>
      <c r="N60" s="37">
        <v>0</v>
      </c>
      <c r="O60" s="37">
        <v>0</v>
      </c>
      <c r="P60" s="37">
        <v>0</v>
      </c>
    </row>
    <row r="61" spans="1:16" x14ac:dyDescent="0.25">
      <c r="A61" s="41">
        <v>0.60416666666666696</v>
      </c>
      <c r="B61" s="42">
        <v>0.61458333333333404</v>
      </c>
      <c r="C61" s="37">
        <v>0</v>
      </c>
      <c r="D61" s="37">
        <v>0</v>
      </c>
      <c r="E61" s="37">
        <v>0</v>
      </c>
      <c r="F61" s="37">
        <v>0</v>
      </c>
      <c r="G61" s="37">
        <v>0</v>
      </c>
      <c r="H61" s="37">
        <v>0</v>
      </c>
      <c r="I61" s="37">
        <v>0</v>
      </c>
      <c r="J61" s="37">
        <v>0</v>
      </c>
      <c r="K61" s="37">
        <v>0</v>
      </c>
      <c r="L61" s="37">
        <v>0</v>
      </c>
      <c r="M61" s="37">
        <v>0</v>
      </c>
      <c r="N61" s="37">
        <v>0</v>
      </c>
      <c r="O61" s="37">
        <v>0</v>
      </c>
      <c r="P61" s="37">
        <v>0</v>
      </c>
    </row>
    <row r="62" spans="1:16" x14ac:dyDescent="0.25">
      <c r="A62" s="43">
        <v>0.61458333333333304</v>
      </c>
      <c r="B62" s="42">
        <v>0.625</v>
      </c>
      <c r="C62" s="37">
        <v>0</v>
      </c>
      <c r="D62" s="37">
        <v>0</v>
      </c>
      <c r="E62" s="37">
        <v>0</v>
      </c>
      <c r="F62" s="37">
        <v>0</v>
      </c>
      <c r="G62" s="37">
        <v>0</v>
      </c>
      <c r="H62" s="37">
        <v>0</v>
      </c>
      <c r="I62" s="37">
        <v>0</v>
      </c>
      <c r="J62" s="37">
        <v>0</v>
      </c>
      <c r="K62" s="37">
        <v>0</v>
      </c>
      <c r="L62" s="37">
        <v>0</v>
      </c>
      <c r="M62" s="37">
        <v>0</v>
      </c>
      <c r="N62" s="37">
        <v>0</v>
      </c>
      <c r="O62" s="37">
        <v>0</v>
      </c>
      <c r="P62" s="37">
        <v>0</v>
      </c>
    </row>
    <row r="63" spans="1:16" x14ac:dyDescent="0.25">
      <c r="A63" s="41">
        <v>0.625</v>
      </c>
      <c r="B63" s="42">
        <v>0.63541666666666696</v>
      </c>
      <c r="C63" s="37">
        <v>0</v>
      </c>
      <c r="D63" s="37">
        <v>0</v>
      </c>
      <c r="E63" s="37">
        <v>0</v>
      </c>
      <c r="F63" s="37">
        <v>0</v>
      </c>
      <c r="G63" s="37">
        <v>0</v>
      </c>
      <c r="H63" s="37">
        <v>0</v>
      </c>
      <c r="I63" s="37">
        <v>0</v>
      </c>
      <c r="J63" s="37">
        <v>0</v>
      </c>
      <c r="K63" s="37">
        <v>0</v>
      </c>
      <c r="L63" s="37">
        <v>0</v>
      </c>
      <c r="M63" s="37">
        <v>0</v>
      </c>
      <c r="N63" s="37">
        <v>0</v>
      </c>
      <c r="O63" s="37">
        <v>0</v>
      </c>
      <c r="P63" s="37">
        <v>0</v>
      </c>
    </row>
    <row r="64" spans="1:16" x14ac:dyDescent="0.25">
      <c r="A64" s="43">
        <v>0.63541666666666696</v>
      </c>
      <c r="B64" s="42">
        <v>0.64583333333333404</v>
      </c>
      <c r="C64" s="37">
        <v>0</v>
      </c>
      <c r="D64" s="37">
        <v>0</v>
      </c>
      <c r="E64" s="37">
        <v>0</v>
      </c>
      <c r="F64" s="37">
        <v>0</v>
      </c>
      <c r="G64" s="37">
        <v>0</v>
      </c>
      <c r="H64" s="37">
        <v>0</v>
      </c>
      <c r="I64" s="37">
        <v>0</v>
      </c>
      <c r="J64" s="37">
        <v>0</v>
      </c>
      <c r="K64" s="37">
        <v>0</v>
      </c>
      <c r="L64" s="37">
        <v>0</v>
      </c>
      <c r="M64" s="37">
        <v>0</v>
      </c>
      <c r="N64" s="37">
        <v>0</v>
      </c>
      <c r="O64" s="37">
        <v>0</v>
      </c>
      <c r="P64" s="37">
        <v>0</v>
      </c>
    </row>
    <row r="65" spans="1:16" x14ac:dyDescent="0.25">
      <c r="A65" s="41">
        <v>0.64583333333333304</v>
      </c>
      <c r="B65" s="42">
        <v>0.65625</v>
      </c>
      <c r="C65" s="37">
        <v>0</v>
      </c>
      <c r="D65" s="37">
        <v>0</v>
      </c>
      <c r="E65" s="37">
        <v>0</v>
      </c>
      <c r="F65" s="37">
        <v>0</v>
      </c>
      <c r="G65" s="37">
        <v>0</v>
      </c>
      <c r="H65" s="37">
        <v>0</v>
      </c>
      <c r="I65" s="37">
        <v>0</v>
      </c>
      <c r="J65" s="37">
        <v>0</v>
      </c>
      <c r="K65" s="37">
        <v>0</v>
      </c>
      <c r="L65" s="37">
        <v>0</v>
      </c>
      <c r="M65" s="37">
        <v>0</v>
      </c>
      <c r="N65" s="37">
        <v>0</v>
      </c>
      <c r="O65" s="37">
        <v>0</v>
      </c>
      <c r="P65" s="37">
        <v>0</v>
      </c>
    </row>
    <row r="66" spans="1:16" x14ac:dyDescent="0.25">
      <c r="A66" s="43">
        <v>0.65625</v>
      </c>
      <c r="B66" s="42">
        <v>0.66666666666666696</v>
      </c>
      <c r="C66" s="37">
        <v>0</v>
      </c>
      <c r="D66" s="37">
        <v>0</v>
      </c>
      <c r="E66" s="37">
        <v>0</v>
      </c>
      <c r="F66" s="37">
        <v>0</v>
      </c>
      <c r="G66" s="37">
        <v>0</v>
      </c>
      <c r="H66" s="37">
        <v>0</v>
      </c>
      <c r="I66" s="37">
        <v>0</v>
      </c>
      <c r="J66" s="37">
        <v>0</v>
      </c>
      <c r="K66" s="37">
        <v>0</v>
      </c>
      <c r="L66" s="37">
        <v>0</v>
      </c>
      <c r="M66" s="37">
        <v>0</v>
      </c>
      <c r="N66" s="37">
        <v>0</v>
      </c>
      <c r="O66" s="37">
        <v>0</v>
      </c>
      <c r="P66" s="37">
        <v>0</v>
      </c>
    </row>
    <row r="67" spans="1:16" x14ac:dyDescent="0.25">
      <c r="A67" s="41">
        <v>0.66666666666666696</v>
      </c>
      <c r="B67" s="42">
        <v>0.67708333333333404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</row>
    <row r="68" spans="1:16" x14ac:dyDescent="0.25">
      <c r="A68" s="43">
        <v>0.67708333333333304</v>
      </c>
      <c r="B68" s="42">
        <v>0.6875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</row>
    <row r="69" spans="1:16" x14ac:dyDescent="0.25">
      <c r="A69" s="41">
        <v>0.6875</v>
      </c>
      <c r="B69" s="42">
        <v>0.69791666666666696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</row>
    <row r="70" spans="1:16" x14ac:dyDescent="0.25">
      <c r="A70" s="43">
        <v>0.69791666666666696</v>
      </c>
      <c r="B70" s="42">
        <v>0.70833333333333404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</row>
    <row r="71" spans="1:16" x14ac:dyDescent="0.25">
      <c r="A71" s="41">
        <v>0.70833333333333304</v>
      </c>
      <c r="B71" s="42">
        <v>0.71875</v>
      </c>
      <c r="C71" s="37">
        <v>0</v>
      </c>
      <c r="D71" s="37">
        <v>0</v>
      </c>
      <c r="E71" s="37">
        <v>0</v>
      </c>
      <c r="F71" s="37">
        <v>0</v>
      </c>
      <c r="G71" s="37">
        <v>0</v>
      </c>
      <c r="H71" s="37">
        <v>0</v>
      </c>
      <c r="I71" s="37">
        <v>0</v>
      </c>
      <c r="J71" s="37">
        <v>0</v>
      </c>
      <c r="K71" s="37">
        <v>0</v>
      </c>
      <c r="L71" s="37">
        <v>0</v>
      </c>
      <c r="M71" s="37">
        <v>0</v>
      </c>
      <c r="N71" s="37">
        <v>0</v>
      </c>
      <c r="O71" s="37">
        <v>0</v>
      </c>
      <c r="P71" s="37">
        <v>0</v>
      </c>
    </row>
    <row r="72" spans="1:16" x14ac:dyDescent="0.25">
      <c r="A72" s="43">
        <v>0.71875</v>
      </c>
      <c r="B72" s="42">
        <v>0.72916666666666696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</row>
    <row r="73" spans="1:16" x14ac:dyDescent="0.25">
      <c r="A73" s="41">
        <v>0.72916666666666696</v>
      </c>
      <c r="B73" s="42">
        <v>0.73958333333333404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</row>
    <row r="74" spans="1:16" x14ac:dyDescent="0.25">
      <c r="A74" s="43">
        <v>0.73958333333333304</v>
      </c>
      <c r="B74" s="42">
        <v>0.75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</row>
    <row r="75" spans="1:16" x14ac:dyDescent="0.25">
      <c r="A75" s="41">
        <v>0.75</v>
      </c>
      <c r="B75" s="42">
        <v>0.76041666666666696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</row>
    <row r="76" spans="1:16" x14ac:dyDescent="0.25">
      <c r="A76" s="43">
        <v>0.76041666666666696</v>
      </c>
      <c r="B76" s="42">
        <v>0.77083333333333404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</row>
    <row r="77" spans="1:16" x14ac:dyDescent="0.25">
      <c r="A77" s="41">
        <v>0.77083333333333304</v>
      </c>
      <c r="B77" s="42">
        <v>0.78125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v>0</v>
      </c>
      <c r="P77" s="37">
        <v>0</v>
      </c>
    </row>
    <row r="78" spans="1:16" x14ac:dyDescent="0.25">
      <c r="A78" s="43">
        <v>0.78125</v>
      </c>
      <c r="B78" s="42">
        <v>0.79166666666666696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</row>
    <row r="79" spans="1:16" x14ac:dyDescent="0.25">
      <c r="A79" s="41">
        <v>0.79166666666666696</v>
      </c>
      <c r="B79" s="42">
        <v>0.80208333333333404</v>
      </c>
      <c r="C79" s="37">
        <v>0</v>
      </c>
      <c r="D79" s="37">
        <v>0</v>
      </c>
      <c r="E79" s="37">
        <v>0</v>
      </c>
      <c r="F79" s="37">
        <v>0</v>
      </c>
      <c r="G79" s="37">
        <v>0</v>
      </c>
      <c r="H79" s="37">
        <v>0</v>
      </c>
      <c r="I79" s="37">
        <v>0</v>
      </c>
      <c r="J79" s="37">
        <v>0</v>
      </c>
      <c r="K79" s="37">
        <v>0</v>
      </c>
      <c r="L79" s="37">
        <v>0</v>
      </c>
      <c r="M79" s="37">
        <v>0</v>
      </c>
      <c r="N79" s="37">
        <v>0</v>
      </c>
      <c r="O79" s="37">
        <v>0</v>
      </c>
      <c r="P79" s="37">
        <v>0</v>
      </c>
    </row>
    <row r="80" spans="1:16" x14ac:dyDescent="0.25">
      <c r="A80" s="43">
        <v>0.80208333333333304</v>
      </c>
      <c r="B80" s="42">
        <v>0.8125</v>
      </c>
      <c r="C80" s="37">
        <v>0</v>
      </c>
      <c r="D80" s="37">
        <v>0</v>
      </c>
      <c r="E80" s="37">
        <v>0</v>
      </c>
      <c r="F80" s="37">
        <v>0</v>
      </c>
      <c r="G80" s="37">
        <v>0</v>
      </c>
      <c r="H80" s="37">
        <v>0</v>
      </c>
      <c r="I80" s="37">
        <v>0</v>
      </c>
      <c r="J80" s="37">
        <v>0</v>
      </c>
      <c r="K80" s="37">
        <v>0</v>
      </c>
      <c r="L80" s="37">
        <v>0</v>
      </c>
      <c r="M80" s="37">
        <v>0</v>
      </c>
      <c r="N80" s="37">
        <v>0</v>
      </c>
      <c r="O80" s="37">
        <v>0</v>
      </c>
      <c r="P80" s="37">
        <v>0</v>
      </c>
    </row>
    <row r="81" spans="1:16" x14ac:dyDescent="0.25">
      <c r="A81" s="41">
        <v>0.8125</v>
      </c>
      <c r="B81" s="42">
        <v>0.82291666666666696</v>
      </c>
      <c r="C81" s="37">
        <v>0</v>
      </c>
      <c r="D81" s="37">
        <v>0</v>
      </c>
      <c r="E81" s="37">
        <v>0</v>
      </c>
      <c r="F81" s="37">
        <v>0</v>
      </c>
      <c r="G81" s="37">
        <v>0</v>
      </c>
      <c r="H81" s="37">
        <v>0</v>
      </c>
      <c r="I81" s="37">
        <v>0</v>
      </c>
      <c r="J81" s="37">
        <v>0</v>
      </c>
      <c r="K81" s="37">
        <v>0</v>
      </c>
      <c r="L81" s="37">
        <v>0</v>
      </c>
      <c r="M81" s="37">
        <v>0</v>
      </c>
      <c r="N81" s="37">
        <v>0</v>
      </c>
      <c r="O81" s="37">
        <v>0</v>
      </c>
      <c r="P81" s="37">
        <v>0</v>
      </c>
    </row>
    <row r="82" spans="1:16" x14ac:dyDescent="0.25">
      <c r="A82" s="43">
        <v>0.82291666666666696</v>
      </c>
      <c r="B82" s="42">
        <v>0.83333333333333404</v>
      </c>
      <c r="C82" s="37">
        <v>0</v>
      </c>
      <c r="D82" s="37">
        <v>0</v>
      </c>
      <c r="E82" s="37">
        <v>0</v>
      </c>
      <c r="F82" s="37">
        <v>0</v>
      </c>
      <c r="G82" s="37">
        <v>0</v>
      </c>
      <c r="H82" s="37">
        <v>0</v>
      </c>
      <c r="I82" s="37">
        <v>0</v>
      </c>
      <c r="J82" s="37">
        <v>0</v>
      </c>
      <c r="K82" s="37">
        <v>0</v>
      </c>
      <c r="L82" s="37">
        <v>0</v>
      </c>
      <c r="M82" s="37">
        <v>0</v>
      </c>
      <c r="N82" s="37">
        <v>0</v>
      </c>
      <c r="O82" s="37">
        <v>0</v>
      </c>
      <c r="P82" s="37">
        <v>0</v>
      </c>
    </row>
    <row r="83" spans="1:16" x14ac:dyDescent="0.25">
      <c r="A83" s="41">
        <v>0.83333333333333304</v>
      </c>
      <c r="B83" s="42">
        <v>0.84375</v>
      </c>
      <c r="C83" s="37">
        <v>0</v>
      </c>
      <c r="D83" s="37">
        <v>0</v>
      </c>
      <c r="E83" s="37">
        <v>0</v>
      </c>
      <c r="F83" s="37">
        <v>0</v>
      </c>
      <c r="G83" s="37">
        <v>0</v>
      </c>
      <c r="H83" s="37">
        <v>0</v>
      </c>
      <c r="I83" s="37">
        <v>0</v>
      </c>
      <c r="J83" s="37">
        <v>0</v>
      </c>
      <c r="K83" s="37">
        <v>0</v>
      </c>
      <c r="L83" s="37">
        <v>0</v>
      </c>
      <c r="M83" s="37">
        <v>0</v>
      </c>
      <c r="N83" s="37">
        <v>0</v>
      </c>
      <c r="O83" s="37">
        <v>0</v>
      </c>
      <c r="P83" s="37">
        <v>0</v>
      </c>
    </row>
    <row r="84" spans="1:16" x14ac:dyDescent="0.25">
      <c r="A84" s="43">
        <v>0.84375</v>
      </c>
      <c r="B84" s="42">
        <v>0.85416666666666696</v>
      </c>
      <c r="C84" s="37">
        <v>0</v>
      </c>
      <c r="D84" s="37">
        <v>0</v>
      </c>
      <c r="E84" s="37">
        <v>0</v>
      </c>
      <c r="F84" s="37">
        <v>0</v>
      </c>
      <c r="G84" s="37">
        <v>0</v>
      </c>
      <c r="H84" s="37">
        <v>0</v>
      </c>
      <c r="I84" s="37">
        <v>0</v>
      </c>
      <c r="J84" s="37">
        <v>0</v>
      </c>
      <c r="K84" s="37">
        <v>0</v>
      </c>
      <c r="L84" s="37">
        <v>0</v>
      </c>
      <c r="M84" s="37">
        <v>0</v>
      </c>
      <c r="N84" s="37">
        <v>0</v>
      </c>
      <c r="O84" s="37">
        <v>0</v>
      </c>
      <c r="P84" s="37">
        <v>0</v>
      </c>
    </row>
    <row r="85" spans="1:16" x14ac:dyDescent="0.25">
      <c r="A85" s="41">
        <v>0.85416666666666696</v>
      </c>
      <c r="B85" s="42">
        <v>0.86458333333333404</v>
      </c>
      <c r="C85" s="37">
        <v>0</v>
      </c>
      <c r="D85" s="37">
        <v>0</v>
      </c>
      <c r="E85" s="37">
        <v>0</v>
      </c>
      <c r="F85" s="37">
        <v>0</v>
      </c>
      <c r="G85" s="37">
        <v>0</v>
      </c>
      <c r="H85" s="37">
        <v>0</v>
      </c>
      <c r="I85" s="37">
        <v>0</v>
      </c>
      <c r="J85" s="37">
        <v>0</v>
      </c>
      <c r="K85" s="37">
        <v>0</v>
      </c>
      <c r="L85" s="37">
        <v>0</v>
      </c>
      <c r="M85" s="37">
        <v>0</v>
      </c>
      <c r="N85" s="37">
        <v>0</v>
      </c>
      <c r="O85" s="37">
        <v>0</v>
      </c>
      <c r="P85" s="37">
        <v>0</v>
      </c>
    </row>
    <row r="86" spans="1:16" x14ac:dyDescent="0.25">
      <c r="A86" s="43">
        <v>0.86458333333333304</v>
      </c>
      <c r="B86" s="42">
        <v>0.875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</v>
      </c>
      <c r="L86" s="37">
        <v>0</v>
      </c>
      <c r="M86" s="37">
        <v>0</v>
      </c>
      <c r="N86" s="37">
        <v>0</v>
      </c>
      <c r="O86" s="37">
        <v>0</v>
      </c>
      <c r="P86" s="37">
        <v>0</v>
      </c>
    </row>
    <row r="87" spans="1:16" x14ac:dyDescent="0.25">
      <c r="A87" s="41">
        <v>0.875</v>
      </c>
      <c r="B87" s="42">
        <v>0.88541666666666696</v>
      </c>
      <c r="C87" s="37">
        <v>0</v>
      </c>
      <c r="D87" s="37">
        <v>0</v>
      </c>
      <c r="E87" s="37">
        <v>0</v>
      </c>
      <c r="F87" s="37">
        <v>0</v>
      </c>
      <c r="G87" s="37">
        <v>0</v>
      </c>
      <c r="H87" s="37">
        <v>0</v>
      </c>
      <c r="I87" s="37">
        <v>0</v>
      </c>
      <c r="J87" s="37">
        <v>0</v>
      </c>
      <c r="K87" s="37">
        <v>0</v>
      </c>
      <c r="L87" s="37">
        <v>0</v>
      </c>
      <c r="M87" s="37">
        <v>0</v>
      </c>
      <c r="N87" s="37">
        <v>0</v>
      </c>
      <c r="O87" s="37">
        <v>0</v>
      </c>
      <c r="P87" s="37">
        <v>0</v>
      </c>
    </row>
    <row r="88" spans="1:16" x14ac:dyDescent="0.25">
      <c r="A88" s="43">
        <v>0.88541666666666696</v>
      </c>
      <c r="B88" s="42">
        <v>0.89583333333333404</v>
      </c>
      <c r="C88" s="37">
        <v>0</v>
      </c>
      <c r="D88" s="37">
        <v>0</v>
      </c>
      <c r="E88" s="37">
        <v>0</v>
      </c>
      <c r="F88" s="37">
        <v>0</v>
      </c>
      <c r="G88" s="37">
        <v>0</v>
      </c>
      <c r="H88" s="37">
        <v>0</v>
      </c>
      <c r="I88" s="37">
        <v>0</v>
      </c>
      <c r="J88" s="37">
        <v>0</v>
      </c>
      <c r="K88" s="37">
        <v>0</v>
      </c>
      <c r="L88" s="37">
        <v>0</v>
      </c>
      <c r="M88" s="37">
        <v>0</v>
      </c>
      <c r="N88" s="37">
        <v>0</v>
      </c>
      <c r="O88" s="37">
        <v>0</v>
      </c>
      <c r="P88" s="37">
        <v>0</v>
      </c>
    </row>
    <row r="89" spans="1:16" x14ac:dyDescent="0.25">
      <c r="A89" s="41">
        <v>0.89583333333333304</v>
      </c>
      <c r="B89" s="42">
        <v>0.90625</v>
      </c>
      <c r="C89" s="37">
        <v>0</v>
      </c>
      <c r="D89" s="37">
        <v>0</v>
      </c>
      <c r="E89" s="37">
        <v>0</v>
      </c>
      <c r="F89" s="37">
        <v>0</v>
      </c>
      <c r="G89" s="37">
        <v>0</v>
      </c>
      <c r="H89" s="37">
        <v>0</v>
      </c>
      <c r="I89" s="37">
        <v>0</v>
      </c>
      <c r="J89" s="37">
        <v>0</v>
      </c>
      <c r="K89" s="37">
        <v>0</v>
      </c>
      <c r="L89" s="37">
        <v>0</v>
      </c>
      <c r="M89" s="37">
        <v>0</v>
      </c>
      <c r="N89" s="37">
        <v>0</v>
      </c>
      <c r="O89" s="37">
        <v>0</v>
      </c>
      <c r="P89" s="37">
        <v>0</v>
      </c>
    </row>
    <row r="90" spans="1:16" x14ac:dyDescent="0.25">
      <c r="A90" s="43">
        <v>0.90625</v>
      </c>
      <c r="B90" s="42">
        <v>0.91666666666666696</v>
      </c>
      <c r="C90" s="37">
        <v>0</v>
      </c>
      <c r="D90" s="37">
        <v>0</v>
      </c>
      <c r="E90" s="37">
        <v>0</v>
      </c>
      <c r="F90" s="37">
        <v>0</v>
      </c>
      <c r="G90" s="37">
        <v>0</v>
      </c>
      <c r="H90" s="37">
        <v>0</v>
      </c>
      <c r="I90" s="37">
        <v>0</v>
      </c>
      <c r="J90" s="37">
        <v>0</v>
      </c>
      <c r="K90" s="37">
        <v>0</v>
      </c>
      <c r="L90" s="37">
        <v>0</v>
      </c>
      <c r="M90" s="37">
        <v>0</v>
      </c>
      <c r="N90" s="37">
        <v>0</v>
      </c>
      <c r="O90" s="37">
        <v>0</v>
      </c>
      <c r="P90" s="37">
        <v>0</v>
      </c>
    </row>
    <row r="91" spans="1:16" x14ac:dyDescent="0.25">
      <c r="A91" s="41">
        <v>0.91666666666666696</v>
      </c>
      <c r="B91" s="42">
        <v>0.92708333333333404</v>
      </c>
      <c r="C91" s="37">
        <v>0</v>
      </c>
      <c r="D91" s="37">
        <v>0</v>
      </c>
      <c r="E91" s="37">
        <v>0</v>
      </c>
      <c r="F91" s="37">
        <v>0</v>
      </c>
      <c r="G91" s="37">
        <v>0</v>
      </c>
      <c r="H91" s="37">
        <v>0</v>
      </c>
      <c r="I91" s="37">
        <v>0</v>
      </c>
      <c r="J91" s="37">
        <v>0</v>
      </c>
      <c r="K91" s="37">
        <v>0</v>
      </c>
      <c r="L91" s="37">
        <v>0</v>
      </c>
      <c r="M91" s="37">
        <v>0</v>
      </c>
      <c r="N91" s="37">
        <v>0</v>
      </c>
      <c r="O91" s="37">
        <v>0</v>
      </c>
      <c r="P91" s="37">
        <v>0</v>
      </c>
    </row>
    <row r="92" spans="1:16" x14ac:dyDescent="0.25">
      <c r="A92" s="43">
        <v>0.92708333333333304</v>
      </c>
      <c r="B92" s="42">
        <v>0.9375</v>
      </c>
      <c r="C92" s="37">
        <v>0</v>
      </c>
      <c r="D92" s="37">
        <v>0</v>
      </c>
      <c r="E92" s="37">
        <v>0</v>
      </c>
      <c r="F92" s="37">
        <v>0</v>
      </c>
      <c r="G92" s="37">
        <v>0</v>
      </c>
      <c r="H92" s="37">
        <v>0</v>
      </c>
      <c r="I92" s="37">
        <v>0</v>
      </c>
      <c r="J92" s="37">
        <v>0</v>
      </c>
      <c r="K92" s="37">
        <v>0</v>
      </c>
      <c r="L92" s="37">
        <v>0</v>
      </c>
      <c r="M92" s="37">
        <v>0</v>
      </c>
      <c r="N92" s="37">
        <v>0</v>
      </c>
      <c r="O92" s="37">
        <v>0</v>
      </c>
      <c r="P92" s="37">
        <v>0</v>
      </c>
    </row>
    <row r="93" spans="1:16" x14ac:dyDescent="0.25">
      <c r="A93" s="41">
        <v>0.9375</v>
      </c>
      <c r="B93" s="42">
        <v>0.94791666666666696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</row>
    <row r="94" spans="1:16" x14ac:dyDescent="0.25">
      <c r="A94" s="43">
        <v>0.94791666666666696</v>
      </c>
      <c r="B94" s="42">
        <v>0.95833333333333404</v>
      </c>
      <c r="C94" s="37">
        <v>0</v>
      </c>
      <c r="D94" s="37">
        <v>0</v>
      </c>
      <c r="E94" s="37">
        <v>0</v>
      </c>
      <c r="F94" s="37">
        <v>0</v>
      </c>
      <c r="G94" s="37">
        <v>0</v>
      </c>
      <c r="H94" s="37">
        <v>0</v>
      </c>
      <c r="I94" s="37">
        <v>0</v>
      </c>
      <c r="J94" s="37">
        <v>0</v>
      </c>
      <c r="K94" s="37">
        <v>0</v>
      </c>
      <c r="L94" s="37">
        <v>0</v>
      </c>
      <c r="M94" s="37">
        <v>0</v>
      </c>
      <c r="N94" s="37">
        <v>0</v>
      </c>
      <c r="O94" s="37">
        <v>0</v>
      </c>
      <c r="P94" s="37">
        <v>0</v>
      </c>
    </row>
    <row r="95" spans="1:16" x14ac:dyDescent="0.25">
      <c r="A95" s="41">
        <v>0.95833333333333304</v>
      </c>
      <c r="B95" s="42">
        <v>0.96875</v>
      </c>
      <c r="C95" s="37">
        <v>0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0</v>
      </c>
      <c r="O95" s="37">
        <v>0</v>
      </c>
      <c r="P95" s="37">
        <v>0</v>
      </c>
    </row>
    <row r="96" spans="1:16" x14ac:dyDescent="0.25">
      <c r="A96" s="43">
        <v>0.96875</v>
      </c>
      <c r="B96" s="42">
        <v>0.97916666666666696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</row>
    <row r="97" spans="1:16" x14ac:dyDescent="0.25">
      <c r="A97" s="41">
        <v>0.97916666666666696</v>
      </c>
      <c r="B97" s="42">
        <v>0.98958333333333404</v>
      </c>
      <c r="C97" s="37">
        <v>0</v>
      </c>
      <c r="D97" s="37">
        <v>0</v>
      </c>
      <c r="E97" s="37">
        <v>0</v>
      </c>
      <c r="F97" s="37">
        <v>0</v>
      </c>
      <c r="G97" s="37">
        <v>0</v>
      </c>
      <c r="H97" s="37">
        <v>0</v>
      </c>
      <c r="I97" s="37">
        <v>0</v>
      </c>
      <c r="J97" s="37">
        <v>0</v>
      </c>
      <c r="K97" s="37">
        <v>0</v>
      </c>
      <c r="L97" s="37">
        <v>0</v>
      </c>
      <c r="M97" s="37">
        <v>0</v>
      </c>
      <c r="N97" s="37">
        <v>0</v>
      </c>
      <c r="O97" s="37">
        <v>0</v>
      </c>
      <c r="P97" s="37">
        <v>0</v>
      </c>
    </row>
    <row r="98" spans="1:16" x14ac:dyDescent="0.25">
      <c r="A98" s="43">
        <v>0.98958333333333304</v>
      </c>
      <c r="B98" s="42">
        <v>1</v>
      </c>
      <c r="C98" s="37">
        <v>0</v>
      </c>
      <c r="D98" s="37">
        <v>0</v>
      </c>
      <c r="E98" s="37">
        <v>0</v>
      </c>
      <c r="F98" s="37">
        <v>0</v>
      </c>
      <c r="G98" s="37">
        <v>0</v>
      </c>
      <c r="H98" s="37">
        <v>0</v>
      </c>
      <c r="I98" s="37">
        <v>0</v>
      </c>
      <c r="J98" s="37">
        <v>0</v>
      </c>
      <c r="K98" s="37">
        <v>0</v>
      </c>
      <c r="L98" s="37">
        <v>0</v>
      </c>
      <c r="M98" s="37">
        <v>0</v>
      </c>
      <c r="N98" s="37">
        <v>0</v>
      </c>
      <c r="O98" s="37">
        <v>0</v>
      </c>
      <c r="P98" s="37">
        <v>0</v>
      </c>
    </row>
  </sheetData>
  <mergeCells count="1">
    <mergeCell ref="A2:B2"/>
  </mergeCells>
  <pageMargins left="0.7" right="0.7" top="0.75" bottom="0.75" header="0.3" footer="0.3"/>
  <headerFooter>
    <oddHeader>&amp;C&amp;"Calibri"&amp;10&amp;KFF0000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Summary</vt:lpstr>
      <vt:lpstr>Daily_Energy1</vt:lpstr>
      <vt:lpstr>Feeder Names</vt:lpstr>
      <vt:lpstr>Sheet1</vt:lpstr>
      <vt:lpstr>SHIFT_A</vt:lpstr>
      <vt:lpstr>SHIFT_B</vt:lpstr>
      <vt:lpstr>SHIFT_C</vt:lpstr>
      <vt:lpstr>DAILY_ENERGY</vt:lpstr>
      <vt:lpstr>Daily Data</vt:lpstr>
      <vt:lpstr>Shiftwise Data</vt:lpstr>
      <vt:lpstr>Hourly</vt:lpstr>
      <vt:lpstr>Energy Data Monthly</vt:lpstr>
      <vt:lpstr>Monthly_kWh</vt:lpstr>
      <vt:lpstr>Monthly_Consumption</vt:lpstr>
      <vt:lpstr>Yearly_Consumption</vt:lpstr>
      <vt:lpstr>Zone wise Meter data</vt:lpstr>
      <vt:lpstr>Hourly_kWh</vt:lpstr>
      <vt:lpstr>REP_Interval</vt:lpstr>
      <vt:lpstr>Prev_Month_kWh</vt:lpstr>
      <vt:lpstr>Monthly_kVAh</vt:lpstr>
      <vt:lpstr>Avg_par</vt:lpstr>
      <vt:lpstr>kWh Monthly</vt:lpstr>
      <vt:lpstr>This_Year_KWH</vt:lpstr>
      <vt:lpstr>Prev_Year_KWH</vt:lpstr>
      <vt:lpstr>This_Year_KVAH</vt:lpstr>
      <vt:lpstr>Interval_kwh</vt:lpstr>
      <vt:lpstr>Avg_Par_A</vt:lpstr>
      <vt:lpstr>Avg_Voltage</vt:lpstr>
      <vt:lpstr>Max_kw</vt:lpstr>
      <vt:lpstr>Max_kva</vt:lpstr>
      <vt:lpstr>Ithd_A</vt:lpstr>
      <vt:lpstr>Ithd_B</vt:lpstr>
      <vt:lpstr>Ithd_C</vt:lpstr>
      <vt:lpstr>Vthd_A</vt:lpstr>
      <vt:lpstr>Vthd_B</vt:lpstr>
      <vt:lpstr>Vthd_C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</dc:creator>
  <cp:lastModifiedBy>PMI</cp:lastModifiedBy>
  <cp:lastPrinted>2024-05-21T10:13:00Z</cp:lastPrinted>
  <dcterms:created xsi:type="dcterms:W3CDTF">2024-05-21T09:36:43Z</dcterms:created>
  <dcterms:modified xsi:type="dcterms:W3CDTF">2025-11-04T10:17:04Z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2025-03-11T02:40:12Z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8f06d8ae-2361-4b0b-9f29-be00d6b008f9</vt:lpwstr>
  </property>
  <property fmtid="{D5CDD505-2E9C-101B-9397-08002B2CF9AE}" pid="8" name="MSIP_Label_7ed1414a-99f2-46f9-bbe5-740af8d1b502_ContentBits">
    <vt:lpwstr>1</vt:lpwstr>
  </property>
  <property fmtid="{D5CDD505-2E9C-101B-9397-08002B2CF9AE}" pid="9" name="MSIP_Label_7ed1414a-99f2-46f9-bbe5-740af8d1b502_Tag">
    <vt:lpwstr>10, 3, 0, 1</vt:lpwstr>
  </property>
</Properties>
</file>